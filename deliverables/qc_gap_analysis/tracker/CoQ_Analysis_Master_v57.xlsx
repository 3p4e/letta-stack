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Supersession'!$A$1:$P$119</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84</v>
      </c>
      <c r="B78" s="241" t="inlineStr">
        <is>
          <t>iCoA-PP_26-084</t>
        </is>
      </c>
      <c r="C78" s="246" t="inlineStr">
        <is>
          <t>yes</t>
        </is>
      </c>
      <c r="D78" s="242" t="n">
        <v>46247</v>
      </c>
      <c r="E78" s="242" t="n">
        <v>46247</v>
      </c>
      <c r="F78" s="242">
        <f>IFERROR(INDEX('Batch Dates'!$G:$G,MATCH(J78,'Batch Dates'!$C:$C,0)),IFERROR(INDEX('Batch Dates'!$G:$G,MATCH(I78,'Batch Dates'!$B:$B,0)),""))</f>
        <v/>
      </c>
      <c r="G78" s="240" t="inlineStr">
        <is>
          <t>post-SOP</t>
        </is>
      </c>
      <c r="H78" s="240" t="inlineStr">
        <is>
          <t>initial release</t>
        </is>
      </c>
      <c r="I78" s="241" t="inlineStr">
        <is>
          <t>JD042601</t>
        </is>
      </c>
      <c r="J78" s="240" t="inlineStr">
        <is>
          <t>P060492</t>
        </is>
      </c>
      <c r="K78" s="240" t="inlineStr">
        <is>
          <t>Jelly Donuts</t>
        </is>
      </c>
      <c r="L78" s="240" t="inlineStr">
        <is>
          <t>Ident A + Ident B + Foreign matter</t>
        </is>
      </c>
      <c r="M78" s="245" t="inlineStr">
        <is>
          <t>—</t>
        </is>
      </c>
      <c r="N78" s="240">
        <f>IFERROR(INDEX('CoQ Register'!$B:$B,MATCH("P060492|I",'CoQ Register'!$S:$S,0)),"—")</f>
        <v/>
      </c>
      <c r="O78" s="245" t="inlineStr">
        <is>
          <t>—</t>
        </is>
      </c>
      <c r="P78" s="240" t="inlineStr">
        <is>
          <t>13.08.2026</t>
        </is>
      </c>
      <c r="Q78" s="240" t="inlineStr">
        <is>
          <t>21.07.2026</t>
        </is>
      </c>
      <c r="R78" s="240" t="inlineStr">
        <is>
          <t>13.08.2026</t>
        </is>
      </c>
      <c r="S78" s="242">
        <f>IFERROR(INDEX('CoQ Register'!$D:$D,MATCH("P060492|I",'CoQ Register'!$S:$S,0)),"")</f>
        <v/>
      </c>
      <c r="T78" s="240" t="inlineStr">
        <is>
          <t>Conforms</t>
        </is>
      </c>
      <c r="U78" s="240" t="inlineStr">
        <is>
          <t>Conforms</t>
        </is>
      </c>
      <c r="V78" s="240" t="inlineStr">
        <is>
          <t>Conforms</t>
        </is>
      </c>
      <c r="W78" s="240" t="inlineStr">
        <is>
          <t>— no cannabinoid certificate from the initial testing —</t>
        </is>
      </c>
      <c r="X78" s="240" t="inlineStr">
        <is>
          <t>—</t>
        </is>
      </c>
      <c r="Y78" s="240" t="inlineStr">
        <is>
          <t>—</t>
        </is>
      </c>
      <c r="Z78" s="240" t="inlineStr">
        <is>
          <t>—</t>
        </is>
      </c>
      <c r="AA78" s="240" t="inlineStr">
        <is>
          <t>P060492|I</t>
        </is>
      </c>
      <c r="AB78" s="247" t="inlineStr">
        <is>
          <t>registered — initial release, issued 13.08.2026</t>
        </is>
      </c>
    </row>
    <row r="79">
      <c r="A79" s="240" t="n">
        <v>85</v>
      </c>
      <c r="B79" s="241" t="inlineStr">
        <is>
          <t>iCoA-PP_26-085</t>
        </is>
      </c>
      <c r="C79" s="246" t="inlineStr">
        <is>
          <t>yes</t>
        </is>
      </c>
      <c r="D79" s="242" t="n">
        <v>46258</v>
      </c>
      <c r="E79" s="242" t="n">
        <v>46254</v>
      </c>
      <c r="F79" s="242">
        <f>IFERROR(INDEX('Batch Dates'!$G:$G,MATCH(J79,'Batch Dates'!$C:$C,0)),IFERROR(INDEX('Batch Dates'!$G:$G,MATCH(I79,'Batch Dates'!$B:$B,0)),""))</f>
        <v/>
      </c>
      <c r="G79" s="240" t="inlineStr">
        <is>
          <t>legacy</t>
        </is>
      </c>
      <c r="H79" s="240" t="inlineStr">
        <is>
          <t>retest 2</t>
        </is>
      </c>
      <c r="I79" s="241" t="inlineStr">
        <is>
          <t>GG1024_02</t>
        </is>
      </c>
      <c r="J79" s="240" t="inlineStr">
        <is>
          <t>P050012</t>
        </is>
      </c>
      <c r="K79" s="240" t="inlineStr">
        <is>
          <t>Gorilla Glue</t>
        </is>
      </c>
      <c r="L79" s="240" t="inlineStr">
        <is>
          <t>Ident A + Ident B + Foreign matter</t>
        </is>
      </c>
      <c r="M79" s="245" t="inlineStr">
        <is>
          <t>—</t>
        </is>
      </c>
      <c r="N79" s="240">
        <f>IFERROR(INDEX('CoQ Register'!$B:$B,MATCH("P050012|R2",'CoQ Register'!$S:$S,0)),"—")</f>
        <v/>
      </c>
      <c r="O79" s="245" t="inlineStr">
        <is>
          <t>—</t>
        </is>
      </c>
      <c r="P79" s="240" t="inlineStr">
        <is>
          <t>30.05.2026</t>
        </is>
      </c>
      <c r="Q79" s="240" t="inlineStr">
        <is>
          <t>14.04.2025 – 15.04.2025</t>
        </is>
      </c>
      <c r="R79" s="240" t="inlineStr">
        <is>
          <t>11.06.2025 – 16.06.2025 (the issuance plan's basis: 30.05.2025)</t>
        </is>
      </c>
      <c r="S79" s="242">
        <f>IFERROR(INDEX('CoQ Register'!$D:$D,MATCH("P050012|R2",'CoQ Register'!$S:$S,0)),"")</f>
        <v/>
      </c>
      <c r="T79" s="240" t="inlineStr">
        <is>
          <t>Conforms</t>
        </is>
      </c>
      <c r="U79" s="240" t="inlineStr">
        <is>
          <t>Conforms</t>
        </is>
      </c>
      <c r="V79" s="240" t="inlineStr">
        <is>
          <t>Conforms</t>
        </is>
      </c>
      <c r="W79" s="240" t="inlineStr">
        <is>
          <t>227-19-K-26, (11.09.2026) [FHM-K]</t>
        </is>
      </c>
      <c r="X79" s="240" t="inlineStr">
        <is>
          <t>227-19-K-26, (11.09.2026) [FHM-K]</t>
        </is>
      </c>
      <c r="Y79" s="240" t="inlineStr">
        <is>
          <t>— pending —</t>
        </is>
      </c>
      <c r="Z79" s="240" t="inlineStr">
        <is>
          <t>#8, #9, #11, #12 from the initial testing</t>
        </is>
      </c>
      <c r="AA79" s="240" t="inlineStr">
        <is>
          <t>P050012|R2</t>
        </is>
      </c>
      <c r="AB79" s="247" t="inlineStr">
        <is>
          <t>registered — retest 2 · Tranche 3 (sampled 19–21.08.2026), tested 20.08.2026, issued 24.08.2026</t>
        </is>
      </c>
    </row>
    <row r="80">
      <c r="A80" s="240" t="n">
        <v>86</v>
      </c>
      <c r="B80" s="241" t="inlineStr">
        <is>
          <t>iCoA-PP_26-086</t>
        </is>
      </c>
      <c r="C80" s="246" t="inlineStr">
        <is>
          <t>yes</t>
        </is>
      </c>
      <c r="D80" s="242" t="n">
        <v>46258</v>
      </c>
      <c r="E80" s="242" t="n">
        <v>46255</v>
      </c>
      <c r="F80" s="242">
        <f>IFERROR(INDEX('Batch Dates'!$G:$G,MATCH(J80,'Batch Dates'!$C:$C,0)),IFERROR(INDEX('Batch Dates'!$G:$G,MATCH(I80,'Batch Dates'!$B:$B,0)),""))</f>
        <v/>
      </c>
      <c r="G80" s="240" t="inlineStr">
        <is>
          <t>legacy</t>
        </is>
      </c>
      <c r="H80" s="240" t="inlineStr">
        <is>
          <t>retest 2</t>
        </is>
      </c>
      <c r="I80" s="241" t="inlineStr">
        <is>
          <t>BSS1024_01</t>
        </is>
      </c>
      <c r="J80" s="240" t="inlineStr">
        <is>
          <t>P050122</t>
        </is>
      </c>
      <c r="K80" s="240" t="inlineStr">
        <is>
          <t>Blue Sunset Sherbet</t>
        </is>
      </c>
      <c r="L80" s="240" t="inlineStr">
        <is>
          <t>Ident A + Ident B + Foreign matter</t>
        </is>
      </c>
      <c r="M80" s="245" t="inlineStr">
        <is>
          <t>—</t>
        </is>
      </c>
      <c r="N80" s="240">
        <f>IFERROR(INDEX('CoQ Register'!$B:$B,MATCH("P050122|R2",'CoQ Register'!$S:$S,0)),"—")</f>
        <v/>
      </c>
      <c r="O80" s="245" t="inlineStr">
        <is>
          <t>—</t>
        </is>
      </c>
      <c r="P80" s="240" t="inlineStr">
        <is>
          <t>10.07.2026</t>
        </is>
      </c>
      <c r="Q80" s="240" t="inlineStr">
        <is>
          <t>04.06.2025 – 05.06.2025</t>
        </is>
      </c>
      <c r="R80" s="240" t="inlineStr">
        <is>
          <t>01.09.2025 – 09.09.2025 (the issuance plan's basis: 10.07.2025)</t>
        </is>
      </c>
      <c r="S80" s="242">
        <f>IFERROR(INDEX('CoQ Register'!$D:$D,MATCH("P050122|R2",'CoQ Register'!$S:$S,0)),"")</f>
        <v/>
      </c>
      <c r="T80" s="240" t="inlineStr">
        <is>
          <t>Conforms</t>
        </is>
      </c>
      <c r="U80" s="240" t="inlineStr">
        <is>
          <t>Conforms</t>
        </is>
      </c>
      <c r="V80" s="240" t="inlineStr">
        <is>
          <t>Conforms</t>
        </is>
      </c>
      <c r="W80" s="240" t="inlineStr">
        <is>
          <t>227-29-K-26, (11.09.2026) [FHM-K]</t>
        </is>
      </c>
      <c r="X80" s="240" t="inlineStr">
        <is>
          <t>227-29-K-26, (11.09.2026) [FHM-K]</t>
        </is>
      </c>
      <c r="Y80" s="240" t="inlineStr">
        <is>
          <t>— pending —</t>
        </is>
      </c>
      <c r="Z80" s="240" t="inlineStr">
        <is>
          <t>#8, #9, #11, #12 from the initial testing</t>
        </is>
      </c>
      <c r="AA80" s="240" t="inlineStr">
        <is>
          <t>P050122|R2</t>
        </is>
      </c>
      <c r="AB80" s="247" t="inlineStr">
        <is>
          <t>registered — retest 2 · Tranche 3 (sampled 19–21.08.2026), tested 21.08.2026, issued 24.08.2026</t>
        </is>
      </c>
    </row>
    <row r="81">
      <c r="A81" s="240" t="n">
        <v>89</v>
      </c>
      <c r="B81" s="241" t="inlineStr">
        <is>
          <t>iCoA-PP_26-089</t>
        </is>
      </c>
      <c r="C81" s="246" t="inlineStr">
        <is>
          <t>yes</t>
        </is>
      </c>
      <c r="D81" s="242" t="n">
        <v>46258</v>
      </c>
      <c r="E81" s="242" t="n">
        <v>46255</v>
      </c>
      <c r="F81" s="242">
        <f>IFERROR(INDEX('Batch Dates'!$G:$G,MATCH(J81,'Batch Dates'!$C:$C,0)),IFERROR(INDEX('Batch Dates'!$G:$G,MATCH(I81,'Batch Dates'!$B:$B,0)),""))</f>
        <v/>
      </c>
      <c r="G81" s="240" t="inlineStr">
        <is>
          <t>legacy</t>
        </is>
      </c>
      <c r="H81" s="240" t="inlineStr">
        <is>
          <t>retest 2</t>
        </is>
      </c>
      <c r="I81" s="241" t="inlineStr">
        <is>
          <t>CJ1024</t>
        </is>
      </c>
      <c r="J81" s="240" t="inlineStr">
        <is>
          <t>N/A — no P batch assigned</t>
        </is>
      </c>
      <c r="K81" s="240" t="inlineStr">
        <is>
          <t>Cap Junky</t>
        </is>
      </c>
      <c r="L81" s="240" t="inlineStr">
        <is>
          <t>Ident A + Ident B + Foreign matter</t>
        </is>
      </c>
      <c r="M81" s="245" t="inlineStr">
        <is>
          <t>—</t>
        </is>
      </c>
      <c r="N81" s="240">
        <f>IFERROR(INDEX('CoQ Register'!$B:$B,MATCH("CJ1024|R2",'CoQ Register'!$S:$S,0)),"—")</f>
        <v/>
      </c>
      <c r="O81" s="245" t="inlineStr">
        <is>
          <t>—</t>
        </is>
      </c>
      <c r="P81" s="240" t="inlineStr">
        <is>
          <t>27.02.2026</t>
        </is>
      </c>
      <c r="Q81" s="240" t="inlineStr">
        <is>
          <t>20.01.2025</t>
        </is>
      </c>
      <c r="R81" s="240" t="inlineStr">
        <is>
          <t>03.03.2025 (the issuance plan's basis: 27.02.2025)</t>
        </is>
      </c>
      <c r="S81" s="242">
        <f>IFERROR(INDEX('CoQ Register'!$D:$D,MATCH("CJ1024|R2",'CoQ Register'!$S:$S,0)),"")</f>
        <v/>
      </c>
      <c r="T81" s="240" t="inlineStr">
        <is>
          <t>Conforms</t>
        </is>
      </c>
      <c r="U81" s="240" t="inlineStr">
        <is>
          <t>Conforms</t>
        </is>
      </c>
      <c r="V81" s="240" t="inlineStr">
        <is>
          <t>Conforms</t>
        </is>
      </c>
      <c r="W81" s="240" t="inlineStr">
        <is>
          <t>227-26-K-26, (11.09.2026) [FHM-K]</t>
        </is>
      </c>
      <c r="X81" s="240" t="inlineStr">
        <is>
          <t>227-26-K-26, (11.09.2026) [FHM-K]</t>
        </is>
      </c>
      <c r="Y81" s="240" t="inlineStr">
        <is>
          <t>— pending —</t>
        </is>
      </c>
      <c r="Z81" s="240" t="inlineStr">
        <is>
          <t>#8, #9, #11, #12 from the initial testing</t>
        </is>
      </c>
      <c r="AA81" s="240" t="inlineStr">
        <is>
          <t>CJ1024|R2</t>
        </is>
      </c>
      <c r="AB81" s="247" t="inlineStr">
        <is>
          <t>registered — retest 2 · Tranche 3 (sampled 19–21.08.2026), tested 21.08.2026, issued 24.08.2026</t>
        </is>
      </c>
    </row>
    <row r="82">
      <c r="A82" s="240" t="n">
        <v>90</v>
      </c>
      <c r="B82" s="241" t="inlineStr">
        <is>
          <t>iCoA-PP_26-090</t>
        </is>
      </c>
      <c r="C82" s="246" t="inlineStr">
        <is>
          <t>yes</t>
        </is>
      </c>
      <c r="D82" s="242" t="n">
        <v>46258</v>
      </c>
      <c r="E82" s="242" t="n">
        <v>46255</v>
      </c>
      <c r="F82" s="242">
        <f>IFERROR(INDEX('Batch Dates'!$G:$G,MATCH(J82,'Batch Dates'!$C:$C,0)),IFERROR(INDEX('Batch Dates'!$G:$G,MATCH(I82,'Batch Dates'!$B:$B,0)),""))</f>
        <v/>
      </c>
      <c r="G82" s="240" t="inlineStr">
        <is>
          <t>legacy</t>
        </is>
      </c>
      <c r="H82" s="240" t="inlineStr">
        <is>
          <t>retest 2</t>
        </is>
      </c>
      <c r="I82" s="241" t="inlineStr">
        <is>
          <t>CJ052501-2</t>
        </is>
      </c>
      <c r="J82" s="240" t="inlineStr">
        <is>
          <t>P050172</t>
        </is>
      </c>
      <c r="K82" s="240" t="inlineStr">
        <is>
          <t>Cap Junky</t>
        </is>
      </c>
      <c r="L82" s="240" t="inlineStr">
        <is>
          <t>Ident A + Ident B + Foreign matter</t>
        </is>
      </c>
      <c r="M82" s="245" t="inlineStr">
        <is>
          <t>—</t>
        </is>
      </c>
      <c r="N82" s="240">
        <f>IFERROR(INDEX('CoQ Register'!$B:$B,MATCH("P050172|R2",'CoQ Register'!$S:$S,0)),"—")</f>
        <v/>
      </c>
      <c r="O82" s="245" t="inlineStr">
        <is>
          <t>—</t>
        </is>
      </c>
      <c r="P82" s="240" t="inlineStr">
        <is>
          <t>17.09.2026</t>
        </is>
      </c>
      <c r="Q82" s="240" t="inlineStr">
        <is>
          <t>20.08.2025</t>
        </is>
      </c>
      <c r="R82" s="240" t="inlineStr">
        <is>
          <t>01.10.2025 – 02.10.2025 (the issuance plan's basis: 17.09.2025)</t>
        </is>
      </c>
      <c r="S82" s="242">
        <f>IFERROR(INDEX('CoQ Register'!$D:$D,MATCH("P050172|R2",'CoQ Register'!$S:$S,0)),"")</f>
        <v/>
      </c>
      <c r="T82" s="240" t="inlineStr">
        <is>
          <t>Conforms</t>
        </is>
      </c>
      <c r="U82" s="240" t="inlineStr">
        <is>
          <t>Conforms</t>
        </is>
      </c>
      <c r="V82" s="240" t="inlineStr">
        <is>
          <t>Conforms</t>
        </is>
      </c>
      <c r="W82" s="240" t="inlineStr">
        <is>
          <t>227-28-K-26, (11.09.2026) [FHM-K]</t>
        </is>
      </c>
      <c r="X82" s="240" t="inlineStr">
        <is>
          <t>227-28-K-26, (11.09.2026) [FHM-K]</t>
        </is>
      </c>
      <c r="Y82" s="240" t="inlineStr">
        <is>
          <t>— pending —</t>
        </is>
      </c>
      <c r="Z82" s="240" t="inlineStr">
        <is>
          <t>#8, #9, #11, #12 from the initial testing</t>
        </is>
      </c>
      <c r="AA82" s="240" t="inlineStr">
        <is>
          <t>P050172|R2</t>
        </is>
      </c>
      <c r="AB82" s="247" t="inlineStr">
        <is>
          <t>registered — retest 2 · Tranche 3 (sampled 19–21.08.2026), tested 21.08.2026, issued 24.08.2026</t>
        </is>
      </c>
    </row>
    <row r="83">
      <c r="A83" s="240" t="n">
        <v>91</v>
      </c>
      <c r="B83" s="241" t="inlineStr">
        <is>
          <t>iCoA-PP_26-091</t>
        </is>
      </c>
      <c r="C83" s="246" t="inlineStr">
        <is>
          <t>yes</t>
        </is>
      </c>
      <c r="D83" s="242" t="n">
        <v>46230</v>
      </c>
      <c r="E83" s="242" t="n">
        <v>46224</v>
      </c>
      <c r="F83" s="242">
        <f>IFERROR(INDEX('Batch Dates'!$G:$G,MATCH(J83,'Batch Dates'!$C:$C,0)),IFERROR(INDEX('Batch Dates'!$G:$G,MATCH(I83,'Batch Dates'!$B:$B,0)),""))</f>
        <v/>
      </c>
      <c r="G83" s="240" t="inlineStr">
        <is>
          <t>legacy</t>
        </is>
      </c>
      <c r="H83" s="240" t="inlineStr">
        <is>
          <t>retest 2</t>
        </is>
      </c>
      <c r="I83" s="241" t="inlineStr">
        <is>
          <t>CJ062501-2</t>
        </is>
      </c>
      <c r="J83" s="240" t="inlineStr">
        <is>
          <t>P050212</t>
        </is>
      </c>
      <c r="K83" s="240" t="inlineStr">
        <is>
          <t>Cap Junky</t>
        </is>
      </c>
      <c r="L83" s="240" t="inlineStr">
        <is>
          <t>Ident A + Ident B + Foreign matter</t>
        </is>
      </c>
      <c r="M83" s="245" t="inlineStr">
        <is>
          <t>—</t>
        </is>
      </c>
      <c r="N83" s="240">
        <f>IFERROR(INDEX('CoQ Register'!$B:$B,MATCH("P050212|R2",'CoQ Register'!$S:$S,0)),"—")</f>
        <v/>
      </c>
      <c r="O83" s="245" t="inlineStr">
        <is>
          <t>—</t>
        </is>
      </c>
      <c r="P83" s="240" t="inlineStr">
        <is>
          <t>24.01.2027</t>
        </is>
      </c>
      <c r="Q83" s="240" t="inlineStr">
        <is>
          <t>23.09.2025 – 24.09.2025</t>
        </is>
      </c>
      <c r="R83" s="240" t="inlineStr">
        <is>
          <t>18.11.2025 – 24.11.2025 (the issuance plan's basis: 24.01.2026)</t>
        </is>
      </c>
      <c r="S83" s="242">
        <f>IFERROR(INDEX('CoQ Register'!$D:$D,MATCH("P050212|R2",'CoQ Register'!$S:$S,0)),"")</f>
        <v/>
      </c>
      <c r="T83" s="240" t="inlineStr">
        <is>
          <t>Conforms</t>
        </is>
      </c>
      <c r="U83" s="240" t="inlineStr">
        <is>
          <t>Conforms</t>
        </is>
      </c>
      <c r="V83" s="240" t="inlineStr">
        <is>
          <t>Conforms</t>
        </is>
      </c>
      <c r="W83" s="240" t="inlineStr">
        <is>
          <t>197-4-K-26, (07.08.2026) [FHM-K]</t>
        </is>
      </c>
      <c r="X83" s="240" t="inlineStr">
        <is>
          <t>197-4-K-26, (07.08.2026) [FHM-K]</t>
        </is>
      </c>
      <c r="Y83" s="240" t="inlineStr">
        <is>
          <t>197-4-M-26, (10.08.2026) [FHM-M]</t>
        </is>
      </c>
      <c r="Z83" s="240" t="inlineStr">
        <is>
          <t>#8, #9, #11, #12 from the initial testing</t>
        </is>
      </c>
      <c r="AA83" s="240" t="inlineStr">
        <is>
          <t>P050212|R2</t>
        </is>
      </c>
      <c r="AB83" s="247" t="inlineStr">
        <is>
          <t>registered — retest 2 · Tranche 1 (sampled 21–24.07.2026), tested 21.07.2026, issued 27.07.2026</t>
        </is>
      </c>
    </row>
    <row r="84">
      <c r="A84" s="240" t="n">
        <v>92</v>
      </c>
      <c r="B84" s="241" t="inlineStr">
        <is>
          <t>iCoA-PP_26-092</t>
        </is>
      </c>
      <c r="C84" s="246" t="inlineStr">
        <is>
          <t>yes</t>
        </is>
      </c>
      <c r="D84" s="242" t="n">
        <v>46230</v>
      </c>
      <c r="E84" s="242" t="n">
        <v>46225</v>
      </c>
      <c r="F84" s="242">
        <f>IFERROR(INDEX('Batch Dates'!$G:$G,MATCH(J84,'Batch Dates'!$C:$C,0)),IFERROR(INDEX('Batch Dates'!$G:$G,MATCH(I84,'Batch Dates'!$B:$B,0)),""))</f>
        <v/>
      </c>
      <c r="G84" s="240" t="inlineStr">
        <is>
          <t>post-SOP</t>
        </is>
      </c>
      <c r="H84" s="240" t="inlineStr">
        <is>
          <t>retest 1</t>
        </is>
      </c>
      <c r="I84" s="241" t="inlineStr">
        <is>
          <t>GG012603</t>
        </is>
      </c>
      <c r="J84" s="240" t="inlineStr">
        <is>
          <t>P060402</t>
        </is>
      </c>
      <c r="K84" s="240" t="inlineStr">
        <is>
          <t>Gorilla Glue</t>
        </is>
      </c>
      <c r="L84" s="240" t="inlineStr">
        <is>
          <t>Ident A + Ident B + Foreign matter</t>
        </is>
      </c>
      <c r="M84" s="245" t="inlineStr">
        <is>
          <t>—</t>
        </is>
      </c>
      <c r="N84" s="240">
        <f>IFERROR(INDEX('CoQ Register'!$B:$B,MATCH("P060402|R",'CoQ Register'!$S:$S,0)),"—")</f>
        <v/>
      </c>
      <c r="O84" s="245" t="inlineStr">
        <is>
          <t>—</t>
        </is>
      </c>
      <c r="P84" s="240" t="inlineStr">
        <is>
          <t>24.05.2027</t>
        </is>
      </c>
      <c r="Q84" s="240" t="inlineStr">
        <is>
          <t>04.05.2026</t>
        </is>
      </c>
      <c r="R84" s="240" t="inlineStr">
        <is>
          <t>24.05.2026</t>
        </is>
      </c>
      <c r="S84" s="242">
        <f>IFERROR(INDEX('CoQ Register'!$D:$D,MATCH("P060402|R",'CoQ Register'!$S:$S,0)),"")</f>
        <v/>
      </c>
      <c r="T84" s="240" t="inlineStr">
        <is>
          <t>CNP ППК26114</t>
        </is>
      </c>
      <c r="U84" s="240" t="inlineStr">
        <is>
          <t>CNP ППК26114</t>
        </is>
      </c>
      <c r="V84" s="240" t="inlineStr">
        <is>
          <t>Conforms</t>
        </is>
      </c>
      <c r="W84" s="240" t="inlineStr">
        <is>
          <t>197-8-K-26, (07.08.2026) [FHM-K]</t>
        </is>
      </c>
      <c r="X84" s="240" t="inlineStr">
        <is>
          <t>197-8-K-26, (07.08.2026) [FHM-K]</t>
        </is>
      </c>
      <c r="Y84" s="240" t="inlineStr">
        <is>
          <t>197-8-M-26, (10.08.2026) [FHM-M]</t>
        </is>
      </c>
      <c r="Z84" s="240" t="inlineStr">
        <is>
          <t>#8, #9, #11, #12 from the initial testing</t>
        </is>
      </c>
      <c r="AA84" s="240" t="inlineStr">
        <is>
          <t>P060402|R</t>
        </is>
      </c>
      <c r="AB84" s="247" t="inlineStr">
        <is>
          <t>registered — retest 1 · Tranche 1 (sampled 21–24.07.2026), tested 22.07.2026, issued 27.07.2026</t>
        </is>
      </c>
    </row>
    <row r="85">
      <c r="A85" s="240" t="n">
        <v>93</v>
      </c>
      <c r="B85" s="241" t="inlineStr">
        <is>
          <t>iCoA-PP_26-093</t>
        </is>
      </c>
      <c r="C85" s="246" t="inlineStr">
        <is>
          <t>yes</t>
        </is>
      </c>
      <c r="D85" s="242" t="n">
        <v>46258</v>
      </c>
      <c r="E85" s="242" t="n">
        <v>46254</v>
      </c>
      <c r="F85" s="242">
        <f>IFERROR(INDEX('Batch Dates'!$G:$G,MATCH(J85,'Batch Dates'!$C:$C,0)),IFERROR(INDEX('Batch Dates'!$G:$G,MATCH(I85,'Batch Dates'!$B:$B,0)),""))</f>
        <v/>
      </c>
      <c r="G85" s="240" t="inlineStr">
        <is>
          <t>legacy</t>
        </is>
      </c>
      <c r="H85" s="240" t="inlineStr">
        <is>
          <t>retest 5</t>
        </is>
      </c>
      <c r="I85" s="241" t="inlineStr">
        <is>
          <t>GP062501</t>
        </is>
      </c>
      <c r="J85" s="240" t="inlineStr">
        <is>
          <t>P050202</t>
        </is>
      </c>
      <c r="K85" s="240" t="inlineStr">
        <is>
          <t>Grape Pie</t>
        </is>
      </c>
      <c r="L85" s="240" t="inlineStr">
        <is>
          <t>Ident A + Ident B + Foreign matter</t>
        </is>
      </c>
      <c r="M85" s="245" t="inlineStr">
        <is>
          <t>—</t>
        </is>
      </c>
      <c r="N85" s="240">
        <f>IFERROR(INDEX('CoQ Register'!$B:$B,MATCH("P050202|R5",'CoQ Register'!$S:$S,0)),"—")</f>
        <v/>
      </c>
      <c r="O85" s="245" t="inlineStr">
        <is>
          <t>—</t>
        </is>
      </c>
      <c r="P85" s="240" t="inlineStr">
        <is>
          <t>11.05.2027</t>
        </is>
      </c>
      <c r="Q85" s="240" t="inlineStr">
        <is>
          <t>15.09.2025 – 17.09.2025</t>
        </is>
      </c>
      <c r="R85" s="240" t="inlineStr">
        <is>
          <t>30.10.2025 – 07.11.2025 (the issuance plan's basis: 11.05.2026)</t>
        </is>
      </c>
      <c r="S85" s="242">
        <f>IFERROR(INDEX('CoQ Register'!$D:$D,MATCH("P050202|R5",'CoQ Register'!$S:$S,0)),"")</f>
        <v/>
      </c>
      <c r="T85" s="240" t="inlineStr">
        <is>
          <t>Conforms</t>
        </is>
      </c>
      <c r="U85" s="240" t="inlineStr">
        <is>
          <t>Conforms</t>
        </is>
      </c>
      <c r="V85" s="240" t="inlineStr">
        <is>
          <t>Conforms</t>
        </is>
      </c>
      <c r="W85" s="240" t="inlineStr">
        <is>
          <t>227-18-K-26, (11.09.2026) [FHM-K]</t>
        </is>
      </c>
      <c r="X85" s="240" t="inlineStr">
        <is>
          <t>227-18-K-26, (11.09.2026) [FHM-K]</t>
        </is>
      </c>
      <c r="Y85" s="240" t="inlineStr">
        <is>
          <t>— pending —</t>
        </is>
      </c>
      <c r="Z85" s="240" t="inlineStr">
        <is>
          <t>#8, #9, #11, #12 from the initial testing</t>
        </is>
      </c>
      <c r="AA85" s="240" t="inlineStr">
        <is>
          <t>P050202|R5</t>
        </is>
      </c>
      <c r="AB85" s="247" t="inlineStr">
        <is>
          <t>registered — retest 5 · Tranche 3 (sampled 19–21.08.2026), tested 20.08.2026, issued 24.08.2026</t>
        </is>
      </c>
    </row>
    <row r="86">
      <c r="A86" s="240" t="n">
        <v>94</v>
      </c>
      <c r="B86" s="241" t="inlineStr">
        <is>
          <t>iCoA-PP_26-094</t>
        </is>
      </c>
      <c r="C86" s="246" t="inlineStr">
        <is>
          <t>yes</t>
        </is>
      </c>
      <c r="D86" s="242" t="n">
        <v>46258</v>
      </c>
      <c r="E86" s="242" t="n">
        <v>46254</v>
      </c>
      <c r="F86" s="242">
        <f>IFERROR(INDEX('Batch Dates'!$G:$G,MATCH(J86,'Batch Dates'!$C:$C,0)),IFERROR(INDEX('Batch Dates'!$G:$G,MATCH(I86,'Batch Dates'!$B:$B,0)),""))</f>
        <v/>
      </c>
      <c r="G86" s="240" t="inlineStr">
        <is>
          <t>legacy</t>
        </is>
      </c>
      <c r="H86" s="240" t="inlineStr">
        <is>
          <t>retest 2</t>
        </is>
      </c>
      <c r="I86" s="241" t="inlineStr">
        <is>
          <t>GP072501-1</t>
        </is>
      </c>
      <c r="J86" s="240" t="inlineStr">
        <is>
          <t>P050292</t>
        </is>
      </c>
      <c r="K86" s="240" t="inlineStr">
        <is>
          <t>Grape Pie</t>
        </is>
      </c>
      <c r="L86" s="240" t="inlineStr">
        <is>
          <t>Ident A + Ident B + Foreign matter</t>
        </is>
      </c>
      <c r="M86" s="245" t="inlineStr">
        <is>
          <t>—</t>
        </is>
      </c>
      <c r="N86" s="240">
        <f>IFERROR(INDEX('CoQ Register'!$B:$B,MATCH("P050292|R2",'CoQ Register'!$S:$S,0)),"—")</f>
        <v/>
      </c>
      <c r="O86" s="245" t="inlineStr">
        <is>
          <t>—</t>
        </is>
      </c>
      <c r="P86" s="240" t="inlineStr">
        <is>
          <t>21.01.2027</t>
        </is>
      </c>
      <c r="Q86" s="240" t="inlineStr">
        <is>
          <t>11.11.2025 – 13.11.2025</t>
        </is>
      </c>
      <c r="R86" s="240" t="inlineStr">
        <is>
          <t>15.12.2025 – 21.12.2025 (the issuance plan's basis: 21.01.2026)</t>
        </is>
      </c>
      <c r="S86" s="242">
        <f>IFERROR(INDEX('CoQ Register'!$D:$D,MATCH("P050292|R2",'CoQ Register'!$S:$S,0)),"")</f>
        <v/>
      </c>
      <c r="T86" s="240" t="inlineStr">
        <is>
          <t>Conforms</t>
        </is>
      </c>
      <c r="U86" s="240" t="inlineStr">
        <is>
          <t>Conforms</t>
        </is>
      </c>
      <c r="V86" s="240" t="inlineStr">
        <is>
          <t>Conforms</t>
        </is>
      </c>
      <c r="W86" s="240" t="inlineStr">
        <is>
          <t>227-17-K-26, (11.09.2026) [FHM-K]</t>
        </is>
      </c>
      <c r="X86" s="240" t="inlineStr">
        <is>
          <t>227-17-K-26, (11.09.2026) [FHM-K]</t>
        </is>
      </c>
      <c r="Y86" s="240" t="inlineStr">
        <is>
          <t>— pending —</t>
        </is>
      </c>
      <c r="Z86" s="240" t="inlineStr">
        <is>
          <t>#8, #9, #11, #12 from the initial testing</t>
        </is>
      </c>
      <c r="AA86" s="240" t="inlineStr">
        <is>
          <t>P050292|R2</t>
        </is>
      </c>
      <c r="AB86" s="247" t="inlineStr">
        <is>
          <t>registered — retest 2 · Tranche 3 (sampled 19–21.08.2026), tested 20.08.2026, issued 24.08.2026</t>
        </is>
      </c>
    </row>
    <row r="87">
      <c r="A87" s="240" t="n">
        <v>95</v>
      </c>
      <c r="B87" s="241" t="inlineStr">
        <is>
          <t>iCoA-PP_26-095</t>
        </is>
      </c>
      <c r="C87" s="246" t="inlineStr">
        <is>
          <t>yes</t>
        </is>
      </c>
      <c r="D87" s="242" t="n">
        <v>46258</v>
      </c>
      <c r="E87" s="242" t="n">
        <v>46254</v>
      </c>
      <c r="F87" s="242">
        <f>IFERROR(INDEX('Batch Dates'!$G:$G,MATCH(J87,'Batch Dates'!$C:$C,0)),IFERROR(INDEX('Batch Dates'!$G:$G,MATCH(I87,'Batch Dates'!$B:$B,0)),""))</f>
        <v/>
      </c>
      <c r="G87" s="240" t="inlineStr">
        <is>
          <t>legacy</t>
        </is>
      </c>
      <c r="H87" s="240" t="inlineStr">
        <is>
          <t>retest 2</t>
        </is>
      </c>
      <c r="I87" s="241" t="inlineStr">
        <is>
          <t>GRC102501/1</t>
        </is>
      </c>
      <c r="J87" s="240" t="inlineStr">
        <is>
          <t>P060142</t>
        </is>
      </c>
      <c r="K87" s="240" t="inlineStr">
        <is>
          <t>Grapes And Cream</t>
        </is>
      </c>
      <c r="L87" s="240" t="inlineStr">
        <is>
          <t>Ident A + Ident B + Foreign matter</t>
        </is>
      </c>
      <c r="M87" s="245" t="inlineStr">
        <is>
          <t>—</t>
        </is>
      </c>
      <c r="N87" s="240">
        <f>IFERROR(INDEX('CoQ Register'!$B:$B,MATCH("P060142|R2",'CoQ Register'!$S:$S,0)),"—")</f>
        <v/>
      </c>
      <c r="O87" s="245" t="inlineStr">
        <is>
          <t>—</t>
        </is>
      </c>
      <c r="P87" s="240" t="inlineStr">
        <is>
          <t>23.02.2027</t>
        </is>
      </c>
      <c r="Q87" s="240" t="inlineStr">
        <is>
          <t>09.01.2026</t>
        </is>
      </c>
      <c r="R87" s="240" t="inlineStr">
        <is>
          <t>23.02.2026</t>
        </is>
      </c>
      <c r="S87" s="242">
        <f>IFERROR(INDEX('CoQ Register'!$D:$D,MATCH("P060142|R2",'CoQ Register'!$S:$S,0)),"")</f>
        <v/>
      </c>
      <c r="T87" s="240" t="inlineStr">
        <is>
          <t>Conforms</t>
        </is>
      </c>
      <c r="U87" s="240" t="inlineStr">
        <is>
          <t>Conforms</t>
        </is>
      </c>
      <c r="V87" s="240" t="inlineStr">
        <is>
          <t>Conforms</t>
        </is>
      </c>
      <c r="W87" s="240" t="inlineStr">
        <is>
          <t>227-16-K-26, (11.09.2026) [FHM-K]</t>
        </is>
      </c>
      <c r="X87" s="240" t="inlineStr">
        <is>
          <t>227-16-K-26, (11.09.2026) [FHM-K]</t>
        </is>
      </c>
      <c r="Y87" s="240" t="inlineStr">
        <is>
          <t>— pending —</t>
        </is>
      </c>
      <c r="Z87" s="240" t="inlineStr">
        <is>
          <t>#8, #9, #11, #12 from the initial testing</t>
        </is>
      </c>
      <c r="AA87" s="240" t="inlineStr">
        <is>
          <t>P060142|R2</t>
        </is>
      </c>
      <c r="AB87" s="247" t="inlineStr">
        <is>
          <t>registered — retest 2 · Tranche 3 (sampled 19–21.08.2026), tested 20.08.2026, issued 24.08.2026</t>
        </is>
      </c>
    </row>
    <row r="88">
      <c r="A88" s="240" t="n">
        <v>96</v>
      </c>
      <c r="B88" s="241" t="inlineStr">
        <is>
          <t>iCoA-PP_26-096</t>
        </is>
      </c>
      <c r="C88" s="246" t="inlineStr">
        <is>
          <t>yes</t>
        </is>
      </c>
      <c r="D88" s="242" t="n">
        <v>46258</v>
      </c>
      <c r="E88" s="242" t="n">
        <v>46255</v>
      </c>
      <c r="F88" s="242">
        <f>IFERROR(INDEX('Batch Dates'!$G:$G,MATCH(J88,'Batch Dates'!$C:$C,0)),IFERROR(INDEX('Batch Dates'!$G:$G,MATCH(I88,'Batch Dates'!$B:$B,0)),""))</f>
        <v/>
      </c>
      <c r="G88" s="240" t="inlineStr">
        <is>
          <t>post-SOP</t>
        </is>
      </c>
      <c r="H88" s="240" t="inlineStr">
        <is>
          <t>retest 2</t>
        </is>
      </c>
      <c r="I88" s="241" t="inlineStr">
        <is>
          <t>CC112501</t>
        </is>
      </c>
      <c r="J88" s="240" t="inlineStr">
        <is>
          <t>P060272</t>
        </is>
      </c>
      <c r="K88" s="240" t="inlineStr">
        <is>
          <t>Cash Cow</t>
        </is>
      </c>
      <c r="L88" s="240" t="inlineStr">
        <is>
          <t>Ident A + Ident B + Foreign matter</t>
        </is>
      </c>
      <c r="M88" s="245" t="inlineStr">
        <is>
          <t>—</t>
        </is>
      </c>
      <c r="N88" s="240">
        <f>IFERROR(INDEX('CoQ Register'!$B:$B,MATCH("P060272|R2",'CoQ Register'!$S:$S,0)),"—")</f>
        <v/>
      </c>
      <c r="O88" s="245" t="inlineStr">
        <is>
          <t>—</t>
        </is>
      </c>
      <c r="P88" s="240" t="inlineStr">
        <is>
          <t>11.05.2027</t>
        </is>
      </c>
      <c r="Q88" s="240" t="inlineStr">
        <is>
          <t>25.03.2026</t>
        </is>
      </c>
      <c r="R88" s="240" t="inlineStr">
        <is>
          <t>18.05.2026 (the issuance plan's basis: 11.05.2026)</t>
        </is>
      </c>
      <c r="S88" s="242">
        <f>IFERROR(INDEX('CoQ Register'!$D:$D,MATCH("P060272|R2",'CoQ Register'!$S:$S,0)),"")</f>
        <v/>
      </c>
      <c r="T88" s="240" t="inlineStr">
        <is>
          <t>Conforms</t>
        </is>
      </c>
      <c r="U88" s="240" t="inlineStr">
        <is>
          <t>Conforms</t>
        </is>
      </c>
      <c r="V88" s="240" t="inlineStr">
        <is>
          <t>Conforms</t>
        </is>
      </c>
      <c r="W88" s="240" t="inlineStr">
        <is>
          <t>227-25-K-26, (11.09.2026) [FHM-K]</t>
        </is>
      </c>
      <c r="X88" s="240" t="inlineStr">
        <is>
          <t>227-25-K-26, (11.09.2026) [FHM-K]</t>
        </is>
      </c>
      <c r="Y88" s="240" t="inlineStr">
        <is>
          <t>— pending —</t>
        </is>
      </c>
      <c r="Z88" s="240" t="inlineStr">
        <is>
          <t>#8, #9, #11, #12 from the initial testing</t>
        </is>
      </c>
      <c r="AA88" s="240" t="inlineStr">
        <is>
          <t>P060272|R2</t>
        </is>
      </c>
      <c r="AB88" s="247" t="inlineStr">
        <is>
          <t>registered — retest 2 · Tranche 3 (sampled 19–21.08.2026), tested 21.08.2026, issued 24.08.2026</t>
        </is>
      </c>
    </row>
    <row r="89">
      <c r="A89" s="240" t="n">
        <v>97</v>
      </c>
      <c r="B89" s="241" t="inlineStr">
        <is>
          <t>iCoA-PP_26-097</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GG112501</t>
        </is>
      </c>
      <c r="J89" s="240" t="inlineStr">
        <is>
          <t>P060252</t>
        </is>
      </c>
      <c r="K89" s="240" t="inlineStr">
        <is>
          <t>Gorilla Glue</t>
        </is>
      </c>
      <c r="L89" s="240" t="inlineStr">
        <is>
          <t>Ident A + Ident B + Foreign matter</t>
        </is>
      </c>
      <c r="M89" s="245" t="inlineStr">
        <is>
          <t>—</t>
        </is>
      </c>
      <c r="N89" s="240">
        <f>IFERROR(INDEX('CoQ Register'!$B:$B,MATCH("P060252|R2",'CoQ Register'!$S:$S,0)),"—")</f>
        <v/>
      </c>
      <c r="O89" s="245" t="inlineStr">
        <is>
          <t>—</t>
        </is>
      </c>
      <c r="P89" s="240" t="inlineStr">
        <is>
          <t>11.05.2027</t>
        </is>
      </c>
      <c r="Q89" s="240" t="inlineStr">
        <is>
          <t>25.03.2026</t>
        </is>
      </c>
      <c r="R89" s="240" t="inlineStr">
        <is>
          <t>05.05.2026 (the issuance plan's basis: 11.05.2026)</t>
        </is>
      </c>
      <c r="S89" s="242">
        <f>IFERROR(INDEX('CoQ Register'!$D:$D,MATCH("P060252|R2",'CoQ Register'!$S:$S,0)),"")</f>
        <v/>
      </c>
      <c r="T89" s="240" t="inlineStr">
        <is>
          <t>Conforms</t>
        </is>
      </c>
      <c r="U89" s="240" t="inlineStr">
        <is>
          <t>Conforms</t>
        </is>
      </c>
      <c r="V89" s="240" t="inlineStr">
        <is>
          <t>Conforms</t>
        </is>
      </c>
      <c r="W89" s="240" t="inlineStr">
        <is>
          <t>227-20-K-26, (11.09.2026) [FHM-K]</t>
        </is>
      </c>
      <c r="X89" s="240" t="inlineStr">
        <is>
          <t>227-20-K-26, (11.09.2026) [FHM-K]</t>
        </is>
      </c>
      <c r="Y89" s="240" t="inlineStr">
        <is>
          <t>— pending —</t>
        </is>
      </c>
      <c r="Z89" s="240" t="inlineStr">
        <is>
          <t>#8, #9, #11, #12 from the initial testing</t>
        </is>
      </c>
      <c r="AA89" s="240" t="inlineStr">
        <is>
          <t>P060252|R2</t>
        </is>
      </c>
      <c r="AB89" s="247" t="inlineStr">
        <is>
          <t>registered — retest 2 · Tranche 3 (sampled 19–21.08.2026), tested 20.08.2026, issued 24.08.2026</t>
        </is>
      </c>
    </row>
    <row r="90">
      <c r="A90" s="240" t="n">
        <v>98</v>
      </c>
      <c r="B90" s="241" t="inlineStr">
        <is>
          <t>iCoA-PP_26-098</t>
        </is>
      </c>
      <c r="C90" s="246" t="inlineStr">
        <is>
          <t>yes</t>
        </is>
      </c>
      <c r="D90" s="242" t="n">
        <v>46230</v>
      </c>
      <c r="E90" s="242" t="n">
        <v>46224</v>
      </c>
      <c r="F90" s="242">
        <f>IFERROR(INDEX('Batch Dates'!$G:$G,MATCH(J90,'Batch Dates'!$C:$C,0)),IFERROR(INDEX('Batch Dates'!$G:$G,MATCH(I90,'Batch Dates'!$B:$B,0)),""))</f>
        <v/>
      </c>
      <c r="G90" s="240" t="inlineStr">
        <is>
          <t>legacy</t>
        </is>
      </c>
      <c r="H90" s="240" t="inlineStr">
        <is>
          <t>retest 1</t>
        </is>
      </c>
      <c r="I90" s="241" t="inlineStr">
        <is>
          <t>BG1024</t>
        </is>
      </c>
      <c r="J90" s="240" t="inlineStr">
        <is>
          <t>BG1024</t>
        </is>
      </c>
      <c r="K90" s="240" t="inlineStr">
        <is>
          <t>Blue Gelato</t>
        </is>
      </c>
      <c r="L90" s="240" t="inlineStr">
        <is>
          <t>Ident A + Ident B + Foreign matter</t>
        </is>
      </c>
      <c r="M90" s="245" t="inlineStr">
        <is>
          <t>—</t>
        </is>
      </c>
      <c r="N90" s="240">
        <f>IFERROR(INDEX('CoQ Register'!$B:$B,MATCH("BG1024|R",'CoQ Register'!$S:$S,0)),"—")</f>
        <v/>
      </c>
      <c r="O90" s="245" t="inlineStr">
        <is>
          <t>—</t>
        </is>
      </c>
      <c r="P90" s="240" t="inlineStr">
        <is>
          <t>07.03.2026</t>
        </is>
      </c>
      <c r="Q90" s="240" t="inlineStr">
        <is>
          <t>21.01.2025</t>
        </is>
      </c>
      <c r="R90" s="240" t="inlineStr">
        <is>
          <t>07.03.2025</t>
        </is>
      </c>
      <c r="S90" s="242">
        <f>IFERROR(INDEX('CoQ Register'!$D:$D,MATCH("BG1024|R",'CoQ Register'!$S:$S,0)),"")</f>
        <v/>
      </c>
      <c r="T90" s="240" t="inlineStr">
        <is>
          <t>Conforms</t>
        </is>
      </c>
      <c r="U90" s="240" t="inlineStr">
        <is>
          <t>Conforms</t>
        </is>
      </c>
      <c r="V90" s="240" t="inlineStr">
        <is>
          <t>Conforms</t>
        </is>
      </c>
      <c r="W90" s="240" t="inlineStr">
        <is>
          <t>197-1-K-26, (07.08.2026) [FHM-K]</t>
        </is>
      </c>
      <c r="X90" s="240" t="inlineStr">
        <is>
          <t>197-1-K-26, (07.08.2026) [FHM-K]</t>
        </is>
      </c>
      <c r="Y90" s="240" t="inlineStr">
        <is>
          <t>197-1-M-26, (10.08.2026) [FHM-M]</t>
        </is>
      </c>
      <c r="Z90" s="240" t="inlineStr">
        <is>
          <t>#8, #9, #11, #12 from the initial testing</t>
        </is>
      </c>
      <c r="AA90" s="240" t="inlineStr">
        <is>
          <t>BG1024|R</t>
        </is>
      </c>
      <c r="AB90" s="247" t="inlineStr">
        <is>
          <t>registered — retest 1 · Tranche 1 (sampled 21–24.07.2026), tested 21.07.2026, issued 27.07.2026</t>
        </is>
      </c>
    </row>
    <row r="91">
      <c r="A91" s="240" t="n">
        <v>99</v>
      </c>
      <c r="B91" s="241" t="inlineStr">
        <is>
          <t>iCoA-PP_26-099</t>
        </is>
      </c>
      <c r="C91" s="246" t="inlineStr">
        <is>
          <t>yes</t>
        </is>
      </c>
      <c r="D91" s="242" t="n">
        <v>46230</v>
      </c>
      <c r="E91" s="242" t="n">
        <v>46224</v>
      </c>
      <c r="F91" s="242">
        <f>IFERROR(INDEX('Batch Dates'!$G:$G,MATCH(J91,'Batch Dates'!$C:$C,0)),IFERROR(INDEX('Batch Dates'!$G:$G,MATCH(I91,'Batch Dates'!$B:$B,0)),""))</f>
        <v/>
      </c>
      <c r="G91" s="240" t="inlineStr">
        <is>
          <t>legacy</t>
        </is>
      </c>
      <c r="H91" s="240" t="inlineStr">
        <is>
          <t>retest 1</t>
        </is>
      </c>
      <c r="I91" s="241" t="inlineStr">
        <is>
          <t>BSS1024</t>
        </is>
      </c>
      <c r="J91" s="240" t="inlineStr">
        <is>
          <t>BSS1024</t>
        </is>
      </c>
      <c r="K91" s="240" t="inlineStr">
        <is>
          <t>Blue Sunset Sherbet</t>
        </is>
      </c>
      <c r="L91" s="240" t="inlineStr">
        <is>
          <t>Ident A + Ident B + Foreign matter</t>
        </is>
      </c>
      <c r="M91" s="245" t="inlineStr">
        <is>
          <t>—</t>
        </is>
      </c>
      <c r="N91" s="240">
        <f>IFERROR(INDEX('CoQ Register'!$B:$B,MATCH("BSS1024|R",'CoQ Register'!$S:$S,0)),"—")</f>
        <v/>
      </c>
      <c r="O91" s="245" t="inlineStr">
        <is>
          <t>—</t>
        </is>
      </c>
      <c r="P91" s="240" t="inlineStr">
        <is>
          <t>04.03.2026</t>
        </is>
      </c>
      <c r="Q91" s="240" t="inlineStr">
        <is>
          <t>22.01.2025</t>
        </is>
      </c>
      <c r="R91" s="240" t="inlineStr">
        <is>
          <t>04.03.2025</t>
        </is>
      </c>
      <c r="S91" s="242">
        <f>IFERROR(INDEX('CoQ Register'!$D:$D,MATCH("BSS1024|R",'CoQ Register'!$S:$S,0)),"")</f>
        <v/>
      </c>
      <c r="T91" s="240" t="inlineStr">
        <is>
          <t>Conforms</t>
        </is>
      </c>
      <c r="U91" s="240" t="inlineStr">
        <is>
          <t>Conforms</t>
        </is>
      </c>
      <c r="V91" s="240" t="inlineStr">
        <is>
          <t>Conforms</t>
        </is>
      </c>
      <c r="W91" s="240" t="inlineStr">
        <is>
          <t>197-2-K-26, (07.08.2026) [FHM-K]</t>
        </is>
      </c>
      <c r="X91" s="240" t="inlineStr">
        <is>
          <t>197-2-K-26, (07.08.2026) [FHM-K]</t>
        </is>
      </c>
      <c r="Y91" s="240" t="inlineStr">
        <is>
          <t>197-2-M-26, (10.08.2026) [FHM-M]</t>
        </is>
      </c>
      <c r="Z91" s="240" t="inlineStr">
        <is>
          <t>#8, #9, #11, #12 from the initial testing</t>
        </is>
      </c>
      <c r="AA91" s="240" t="inlineStr">
        <is>
          <t>BSS1024|R</t>
        </is>
      </c>
      <c r="AB91" s="247" t="inlineStr">
        <is>
          <t>registered — retest 1 · Tranche 1 (sampled 21–24.07.2026), tested 21.07.2026, issued 27.07.2026</t>
        </is>
      </c>
    </row>
    <row r="92">
      <c r="A92" s="240" t="n">
        <v>100</v>
      </c>
      <c r="B92" s="241" t="inlineStr">
        <is>
          <t>iCoA-PP_26-100</t>
        </is>
      </c>
      <c r="C92" s="246" t="inlineStr">
        <is>
          <t>yes</t>
        </is>
      </c>
      <c r="D92" s="242" t="n">
        <v>46230</v>
      </c>
      <c r="E92" s="242" t="n">
        <v>46224</v>
      </c>
      <c r="F92" s="242">
        <f>IFERROR(INDEX('Batch Dates'!$G:$G,MATCH(J92,'Batch Dates'!$C:$C,0)),IFERROR(INDEX('Batch Dates'!$G:$G,MATCH(I92,'Batch Dates'!$B:$B,0)),""))</f>
        <v/>
      </c>
      <c r="G92" s="240" t="inlineStr">
        <is>
          <t>legacy</t>
        </is>
      </c>
      <c r="H92" s="240" t="inlineStr">
        <is>
          <t>retest 1</t>
        </is>
      </c>
      <c r="I92" s="241" t="inlineStr">
        <is>
          <t>CJ052501/01</t>
        </is>
      </c>
      <c r="J92" s="240" t="inlineStr">
        <is>
          <t>P050162</t>
        </is>
      </c>
      <c r="K92" s="240" t="inlineStr">
        <is>
          <t>Cap Junky</t>
        </is>
      </c>
      <c r="L92" s="240" t="inlineStr">
        <is>
          <t>Ident A + Ident B + Foreign matter</t>
        </is>
      </c>
      <c r="M92" s="245" t="inlineStr">
        <is>
          <t>—</t>
        </is>
      </c>
      <c r="N92" s="240">
        <f>IFERROR(INDEX('CoQ Register'!$B:$B,MATCH("P050162|R",'CoQ Register'!$S:$S,0)),"—")</f>
        <v/>
      </c>
      <c r="O92" s="245" t="inlineStr">
        <is>
          <t>—</t>
        </is>
      </c>
      <c r="P92" s="240" t="inlineStr">
        <is>
          <t>30.09.2026</t>
        </is>
      </c>
      <c r="Q92" s="240" t="inlineStr">
        <is>
          <t>20.08.2025</t>
        </is>
      </c>
      <c r="R92" s="240" t="inlineStr">
        <is>
          <t>30.09.2025 – 01.10.2025</t>
        </is>
      </c>
      <c r="S92" s="242">
        <f>IFERROR(INDEX('CoQ Register'!$D:$D,MATCH("P050162|R",'CoQ Register'!$S:$S,0)),"")</f>
        <v/>
      </c>
      <c r="T92" s="240" t="inlineStr">
        <is>
          <t>Conforms</t>
        </is>
      </c>
      <c r="U92" s="240" t="inlineStr">
        <is>
          <t>Conforms</t>
        </is>
      </c>
      <c r="V92" s="240" t="inlineStr">
        <is>
          <t>Conforms</t>
        </is>
      </c>
      <c r="W92" s="240" t="inlineStr">
        <is>
          <t>197-3-K-26, (07.08.2026) [FHM-K]</t>
        </is>
      </c>
      <c r="X92" s="240" t="inlineStr">
        <is>
          <t>197-3-K-26, (07.08.2026) [FHM-K]</t>
        </is>
      </c>
      <c r="Y92" s="240" t="inlineStr">
        <is>
          <t>197-3-M-26, (10.08.2026) [FHM-M]</t>
        </is>
      </c>
      <c r="Z92" s="240" t="inlineStr">
        <is>
          <t>#8, #9, #11, #12 from the initial testing</t>
        </is>
      </c>
      <c r="AA92" s="240" t="inlineStr">
        <is>
          <t>P050162|R</t>
        </is>
      </c>
      <c r="AB92" s="247" t="inlineStr">
        <is>
          <t>registered — retest 1 · Tranche 1 (sampled 21–24.07.2026), tested 21.07.2026, issued 27.07.2026</t>
        </is>
      </c>
    </row>
    <row r="93">
      <c r="A93" s="240" t="n">
        <v>102</v>
      </c>
      <c r="B93" s="241" t="inlineStr">
        <is>
          <t>iCoA-PP_26-102</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CJ082501/2</t>
        </is>
      </c>
      <c r="J93" s="240" t="inlineStr">
        <is>
          <t>P060032</t>
        </is>
      </c>
      <c r="K93" s="240" t="inlineStr">
        <is>
          <t>Cap Junky</t>
        </is>
      </c>
      <c r="L93" s="240" t="inlineStr">
        <is>
          <t>Ident A + Ident B + Foreign matter</t>
        </is>
      </c>
      <c r="M93" s="245" t="inlineStr">
        <is>
          <t>—</t>
        </is>
      </c>
      <c r="N93" s="240">
        <f>IFERROR(INDEX('CoQ Register'!$B:$B,MATCH("P060032|R",'CoQ Register'!$S:$S,0)),"—")</f>
        <v/>
      </c>
      <c r="O93" s="245" t="inlineStr">
        <is>
          <t>—</t>
        </is>
      </c>
      <c r="P93" s="240" t="inlineStr">
        <is>
          <t>29.01.2027</t>
        </is>
      </c>
      <c r="Q93" s="240" t="inlineStr">
        <is>
          <t>10.12.2025</t>
        </is>
      </c>
      <c r="R93" s="240" t="inlineStr">
        <is>
          <t>29.01.2026</t>
        </is>
      </c>
      <c r="S93" s="242">
        <f>IFERROR(INDEX('CoQ Register'!$D:$D,MATCH("P060032|R",'CoQ Register'!$S:$S,0)),"")</f>
        <v/>
      </c>
      <c r="T93" s="240" t="inlineStr">
        <is>
          <t>Conforms</t>
        </is>
      </c>
      <c r="U93" s="240" t="inlineStr">
        <is>
          <t>Conforms</t>
        </is>
      </c>
      <c r="V93" s="240" t="inlineStr">
        <is>
          <t>Conforms</t>
        </is>
      </c>
      <c r="W93" s="240" t="inlineStr">
        <is>
          <t>197-5-K-26, (07.08.2026) [FHM-K]</t>
        </is>
      </c>
      <c r="X93" s="240" t="inlineStr">
        <is>
          <t>197-5-K-26, (07.08.2026) [FHM-K]</t>
        </is>
      </c>
      <c r="Y93" s="240" t="inlineStr">
        <is>
          <t>197-5-M-26, (10.08.2026) [FHM-M]</t>
        </is>
      </c>
      <c r="Z93" s="240" t="inlineStr">
        <is>
          <t>#8, #9, #11, #12 from the initial testing</t>
        </is>
      </c>
      <c r="AA93" s="240" t="inlineStr">
        <is>
          <t>P060032|R</t>
        </is>
      </c>
      <c r="AB93" s="247" t="inlineStr">
        <is>
          <t>registered — retest 1 · Tranche 1 (sampled 21–24.07.2026), tested 21.07.2026, issued 27.07.2026</t>
        </is>
      </c>
    </row>
    <row r="94">
      <c r="A94" s="240" t="n">
        <v>103</v>
      </c>
      <c r="B94" s="241" t="inlineStr">
        <is>
          <t>iCoA-PP_26-103</t>
        </is>
      </c>
      <c r="C94" s="246" t="inlineStr">
        <is>
          <t>yes</t>
        </is>
      </c>
      <c r="D94" s="242" t="n">
        <v>46251</v>
      </c>
      <c r="E94" s="242" t="n">
        <v>46246</v>
      </c>
      <c r="F94" s="242">
        <f>IFERROR(INDEX('Batch Dates'!$G:$G,MATCH(J94,'Batch Dates'!$C:$C,0)),IFERROR(INDEX('Batch Dates'!$G:$G,MATCH(I94,'Batch Dates'!$B:$B,0)),""))</f>
        <v/>
      </c>
      <c r="G94" s="240" t="inlineStr">
        <is>
          <t>legacy</t>
        </is>
      </c>
      <c r="H94" s="240" t="inlineStr">
        <is>
          <t>retest 1</t>
        </is>
      </c>
      <c r="I94" s="241" t="inlineStr">
        <is>
          <t>CLE072501</t>
        </is>
      </c>
      <c r="J94" s="240" t="inlineStr">
        <is>
          <t>P050282</t>
        </is>
      </c>
      <c r="K94" s="240" t="inlineStr">
        <is>
          <t>Clemosa A Bud</t>
        </is>
      </c>
      <c r="L94" s="240" t="inlineStr">
        <is>
          <t>Ident A + Ident B + Foreign matter</t>
        </is>
      </c>
      <c r="M94" s="245" t="inlineStr">
        <is>
          <t>—</t>
        </is>
      </c>
      <c r="N94" s="240">
        <f>IFERROR(INDEX('CoQ Register'!$B:$B,MATCH("P050282|R",'CoQ Register'!$S:$S,0)),"—")</f>
        <v/>
      </c>
      <c r="O94" s="245" t="inlineStr">
        <is>
          <t>—</t>
        </is>
      </c>
      <c r="P94" s="240" t="inlineStr">
        <is>
          <t>03.12.2026</t>
        </is>
      </c>
      <c r="Q94" s="240" t="inlineStr">
        <is>
          <t>28.10.2025</t>
        </is>
      </c>
      <c r="R94" s="240" t="inlineStr">
        <is>
          <t>03.12.2025 – 04.12.2025</t>
        </is>
      </c>
      <c r="S94" s="242">
        <f>IFERROR(INDEX('CoQ Register'!$D:$D,MATCH("P050282|R",'CoQ Register'!$S:$S,0)),"")</f>
        <v/>
      </c>
      <c r="T94" s="240" t="inlineStr">
        <is>
          <t>Conforms</t>
        </is>
      </c>
      <c r="U94" s="240" t="inlineStr">
        <is>
          <t>Conforms</t>
        </is>
      </c>
      <c r="V94" s="240" t="inlineStr">
        <is>
          <t>Conforms</t>
        </is>
      </c>
      <c r="W94" s="240" t="inlineStr">
        <is>
          <t>220-7-K-26, (25.08.2026) [FHM-K]</t>
        </is>
      </c>
      <c r="X94" s="240" t="inlineStr">
        <is>
          <t>220-7-K-26, (25.08.2026) [FHM-K]</t>
        </is>
      </c>
      <c r="Y94" s="240" t="inlineStr">
        <is>
          <t>220-7-M-26, (11.09.2026) [FHM-M]</t>
        </is>
      </c>
      <c r="Z94" s="240" t="inlineStr">
        <is>
          <t>#8, #9, #11, #12 from the initial testing</t>
        </is>
      </c>
      <c r="AA94" s="240" t="inlineStr">
        <is>
          <t>P050282|R</t>
        </is>
      </c>
      <c r="AB94" s="247" t="inlineStr">
        <is>
          <t>registered — retest 1 · Tranche 2 (sampled 12–14.08.2026), tested 12.08.2026, issued 17.08.2026</t>
        </is>
      </c>
    </row>
    <row r="95">
      <c r="A95" s="240" t="n">
        <v>104</v>
      </c>
      <c r="B95" s="241" t="inlineStr">
        <is>
          <t>iCoA-PP_26-104</t>
        </is>
      </c>
      <c r="C95" s="246" t="inlineStr">
        <is>
          <t>yes</t>
        </is>
      </c>
      <c r="D95" s="242" t="n">
        <v>46230</v>
      </c>
      <c r="E95" s="242" t="n">
        <v>46225</v>
      </c>
      <c r="F95" s="242">
        <f>IFERROR(INDEX('Batch Dates'!$G:$G,MATCH(J95,'Batch Dates'!$C:$C,0)),IFERROR(INDEX('Batch Dates'!$G:$G,MATCH(I95,'Batch Dates'!$B:$B,0)),""))</f>
        <v/>
      </c>
      <c r="G95" s="240" t="inlineStr">
        <is>
          <t>legacy</t>
        </is>
      </c>
      <c r="H95" s="240" t="inlineStr">
        <is>
          <t>retest 1</t>
        </is>
      </c>
      <c r="I95" s="241" t="inlineStr">
        <is>
          <t>GG1024_01</t>
        </is>
      </c>
      <c r="J95" s="240" t="inlineStr">
        <is>
          <t>P050092</t>
        </is>
      </c>
      <c r="K95" s="240" t="inlineStr">
        <is>
          <t>Gorilla Glue</t>
        </is>
      </c>
      <c r="L95" s="240" t="inlineStr">
        <is>
          <t>Ident A + Ident B + Foreign matter</t>
        </is>
      </c>
      <c r="M95" s="245" t="inlineStr">
        <is>
          <t>—</t>
        </is>
      </c>
      <c r="N95" s="240">
        <f>IFERROR(INDEX('CoQ Register'!$B:$B,MATCH("P050092|R",'CoQ Register'!$S:$S,0)),"—")</f>
        <v/>
      </c>
      <c r="O95" s="245" t="inlineStr">
        <is>
          <t>—</t>
        </is>
      </c>
      <c r="P95" s="240" t="inlineStr">
        <is>
          <t>31.07.2026</t>
        </is>
      </c>
      <c r="Q95" s="240" t="inlineStr">
        <is>
          <t>17.03.2025 – 18.03.2025</t>
        </is>
      </c>
      <c r="R95" s="240" t="inlineStr">
        <is>
          <t>31.07.2025 – 05.08.2025</t>
        </is>
      </c>
      <c r="S95" s="242">
        <f>IFERROR(INDEX('CoQ Register'!$D:$D,MATCH("P050092|R",'CoQ Register'!$S:$S,0)),"")</f>
        <v/>
      </c>
      <c r="T95" s="240" t="inlineStr">
        <is>
          <t>Conforms</t>
        </is>
      </c>
      <c r="U95" s="240" t="inlineStr">
        <is>
          <t>Conforms</t>
        </is>
      </c>
      <c r="V95" s="240" t="inlineStr">
        <is>
          <t>Conforms</t>
        </is>
      </c>
      <c r="W95" s="240" t="inlineStr">
        <is>
          <t>197-9-K-26, (07.08.2026) [FHM-K]</t>
        </is>
      </c>
      <c r="X95" s="240" t="inlineStr">
        <is>
          <t>197-9-K-26, (07.08.2026) [FHM-K]</t>
        </is>
      </c>
      <c r="Y95" s="240" t="inlineStr">
        <is>
          <t>197-9-M-26, (10.08.2026) [FHM-M]</t>
        </is>
      </c>
      <c r="Z95" s="240" t="inlineStr">
        <is>
          <t>#8, #9, #11, #12 from the initial testing</t>
        </is>
      </c>
      <c r="AA95" s="240" t="inlineStr">
        <is>
          <t>P050092|R</t>
        </is>
      </c>
      <c r="AB95" s="247" t="inlineStr">
        <is>
          <t>registered — retest 1 · Tranche 1 (sampled 21–24.07.2026), tested 22.07.2026, issued 27.07.2026</t>
        </is>
      </c>
    </row>
    <row r="96">
      <c r="A96" s="240" t="n">
        <v>105</v>
      </c>
      <c r="B96" s="241" t="inlineStr">
        <is>
          <t>iCoA-PP_26-105</t>
        </is>
      </c>
      <c r="C96" s="246" t="inlineStr">
        <is>
          <t>yes</t>
        </is>
      </c>
      <c r="D96" s="242" t="n">
        <v>46230</v>
      </c>
      <c r="E96" s="242" t="n">
        <v>46225</v>
      </c>
      <c r="F96" s="242">
        <f>IFERROR(INDEX('Batch Dates'!$G:$G,MATCH(J96,'Batch Dates'!$C:$C,0)),IFERROR(INDEX('Batch Dates'!$G:$G,MATCH(I96,'Batch Dates'!$B:$B,0)),""))</f>
        <v/>
      </c>
      <c r="G96" s="240" t="inlineStr">
        <is>
          <t>legacy</t>
        </is>
      </c>
      <c r="H96" s="240" t="inlineStr">
        <is>
          <t>retest 1</t>
        </is>
      </c>
      <c r="I96" s="241" t="inlineStr">
        <is>
          <t>GP052501</t>
        </is>
      </c>
      <c r="J96" s="240" t="inlineStr">
        <is>
          <t>P050152</t>
        </is>
      </c>
      <c r="K96" s="240" t="inlineStr">
        <is>
          <t>Grape Pie</t>
        </is>
      </c>
      <c r="L96" s="240" t="inlineStr">
        <is>
          <t>Ident A + Ident B + Foreign matter</t>
        </is>
      </c>
      <c r="M96" s="245" t="inlineStr">
        <is>
          <t>—</t>
        </is>
      </c>
      <c r="N96" s="240">
        <f>IFERROR(INDEX('CoQ Register'!$B:$B,MATCH("P050152|R",'CoQ Register'!$S:$S,0)),"—")</f>
        <v/>
      </c>
      <c r="O96" s="245" t="inlineStr">
        <is>
          <t>—</t>
        </is>
      </c>
      <c r="P96" s="240" t="inlineStr">
        <is>
          <t>25.09.2026</t>
        </is>
      </c>
      <c r="Q96" s="240" t="inlineStr">
        <is>
          <t>— not given —</t>
        </is>
      </c>
      <c r="R96" s="240" t="inlineStr">
        <is>
          <t>25.09.2025</t>
        </is>
      </c>
      <c r="S96" s="242">
        <f>IFERROR(INDEX('CoQ Register'!$D:$D,MATCH("P050152|R",'CoQ Register'!$S:$S,0)),"")</f>
        <v/>
      </c>
      <c r="T96" s="240" t="inlineStr">
        <is>
          <t>Conforms</t>
        </is>
      </c>
      <c r="U96" s="240" t="inlineStr">
        <is>
          <t>Conforms</t>
        </is>
      </c>
      <c r="V96" s="240" t="inlineStr">
        <is>
          <t>Conforms</t>
        </is>
      </c>
      <c r="W96" s="240" t="inlineStr">
        <is>
          <t>197-10-K-26, (07.08.2026) [FHM-K]</t>
        </is>
      </c>
      <c r="X96" s="240" t="inlineStr">
        <is>
          <t>197-10-K-26, (07.08.2026) [FHM-K]</t>
        </is>
      </c>
      <c r="Y96" s="240" t="inlineStr">
        <is>
          <t>197-10-M-26, (10.08.2026) [FHM-M]</t>
        </is>
      </c>
      <c r="Z96" s="240" t="inlineStr">
        <is>
          <t>#8, #9, #11, #12 from the initial testing</t>
        </is>
      </c>
      <c r="AA96" s="240" t="inlineStr">
        <is>
          <t>P050152|R</t>
        </is>
      </c>
      <c r="AB96" s="247" t="inlineStr">
        <is>
          <t>registered — retest 1 · Tranche 1 (sampled 21–24.07.2026), tested 22.07.2026, issued 27.07.2026</t>
        </is>
      </c>
    </row>
    <row r="97">
      <c r="A97" s="240" t="n">
        <v>106</v>
      </c>
      <c r="B97" s="241" t="inlineStr">
        <is>
          <t>iCoA-PP_26-106</t>
        </is>
      </c>
      <c r="C97" s="246" t="inlineStr">
        <is>
          <t>yes</t>
        </is>
      </c>
      <c r="D97" s="242" t="n">
        <v>46230</v>
      </c>
      <c r="E97" s="242" t="n">
        <v>46225</v>
      </c>
      <c r="F97" s="242">
        <f>IFERROR(INDEX('Batch Dates'!$G:$G,MATCH(J97,'Batch Dates'!$C:$C,0)),IFERROR(INDEX('Batch Dates'!$G:$G,MATCH(I97,'Batch Dates'!$B:$B,0)),""))</f>
        <v/>
      </c>
      <c r="G97" s="240" t="inlineStr">
        <is>
          <t>legacy</t>
        </is>
      </c>
      <c r="H97" s="240" t="inlineStr">
        <is>
          <t>retest 5</t>
        </is>
      </c>
      <c r="I97" s="241" t="inlineStr">
        <is>
          <t>GP0824_02</t>
        </is>
      </c>
      <c r="J97" s="240" t="inlineStr">
        <is>
          <t>P050022</t>
        </is>
      </c>
      <c r="K97" s="240" t="inlineStr">
        <is>
          <t>Grape Pie</t>
        </is>
      </c>
      <c r="L97" s="240" t="inlineStr">
        <is>
          <t>Ident A + Ident B + Foreign matter</t>
        </is>
      </c>
      <c r="M97" s="245" t="inlineStr">
        <is>
          <t>—</t>
        </is>
      </c>
      <c r="N97" s="240">
        <f>IFERROR(INDEX('CoQ Register'!$B:$B,MATCH("P050022|R5",'CoQ Register'!$S:$S,0)),"—")</f>
        <v/>
      </c>
      <c r="O97" s="245" t="inlineStr">
        <is>
          <t>—</t>
        </is>
      </c>
      <c r="P97" s="240" t="inlineStr">
        <is>
          <t>03.06.2026</t>
        </is>
      </c>
      <c r="Q97" s="240" t="inlineStr">
        <is>
          <t>22.04.2025 – 23.04.2025</t>
        </is>
      </c>
      <c r="R97" s="240" t="inlineStr">
        <is>
          <t>03.06.2025 – 11.06.2025</t>
        </is>
      </c>
      <c r="S97" s="242">
        <f>IFERROR(INDEX('CoQ Register'!$D:$D,MATCH("P050022|R5",'CoQ Register'!$S:$S,0)),"")</f>
        <v/>
      </c>
      <c r="T97" s="240" t="inlineStr">
        <is>
          <t>Conforms</t>
        </is>
      </c>
      <c r="U97" s="240" t="inlineStr">
        <is>
          <t>Conforms</t>
        </is>
      </c>
      <c r="V97" s="240" t="inlineStr">
        <is>
          <t>Conforms</t>
        </is>
      </c>
      <c r="W97" s="240" t="inlineStr">
        <is>
          <t>197-11-K-26, (07.08.2026) [FHM-K]</t>
        </is>
      </c>
      <c r="X97" s="240" t="inlineStr">
        <is>
          <t>197-11-K-26, (07.08.2026) [FHM-K]</t>
        </is>
      </c>
      <c r="Y97" s="240" t="inlineStr">
        <is>
          <t>197-11-M-26, (10.08.2026) [FHM-M]</t>
        </is>
      </c>
      <c r="Z97" s="240" t="inlineStr">
        <is>
          <t>#8, #9, #11, #12 from the initial testing</t>
        </is>
      </c>
      <c r="AA97" s="240" t="inlineStr">
        <is>
          <t>P050022|R5</t>
        </is>
      </c>
      <c r="AB97" s="247" t="inlineStr">
        <is>
          <t>registered — retest 5 · Tranche 1 (sampled 21–24.07.2026), tested 22.07.2026, issued 27.07.2026</t>
        </is>
      </c>
    </row>
    <row r="98">
      <c r="A98" s="240" t="n">
        <v>107</v>
      </c>
      <c r="B98" s="241" t="inlineStr">
        <is>
          <t>iCoA-PP_26-107</t>
        </is>
      </c>
      <c r="C98" s="246" t="inlineStr">
        <is>
          <t>yes</t>
        </is>
      </c>
      <c r="D98" s="242" t="n">
        <v>46230</v>
      </c>
      <c r="E98" s="242" t="n">
        <v>46225</v>
      </c>
      <c r="F98" s="242">
        <f>IFERROR(INDEX('Batch Dates'!$G:$G,MATCH(J98,'Batch Dates'!$C:$C,0)),IFERROR(INDEX('Batch Dates'!$G:$G,MATCH(I98,'Batch Dates'!$B:$B,0)),""))</f>
        <v/>
      </c>
      <c r="G98" s="240" t="inlineStr">
        <is>
          <t>post-SOP</t>
        </is>
      </c>
      <c r="H98" s="240" t="inlineStr">
        <is>
          <t>retest 1</t>
        </is>
      </c>
      <c r="I98" s="241" t="inlineStr">
        <is>
          <t>FB012602</t>
        </is>
      </c>
      <c r="J98" s="240" t="inlineStr">
        <is>
          <t>P060352</t>
        </is>
      </c>
      <c r="K98" s="240" t="inlineStr">
        <is>
          <t>Fat Bastard</t>
        </is>
      </c>
      <c r="L98" s="240" t="inlineStr">
        <is>
          <t>Ident A + Ident B + Foreign matter</t>
        </is>
      </c>
      <c r="M98" s="245" t="inlineStr">
        <is>
          <t>—</t>
        </is>
      </c>
      <c r="N98" s="240">
        <f>IFERROR(INDEX('CoQ Register'!$B:$B,MATCH("P060352|R",'CoQ Register'!$S:$S,0)),"—")</f>
        <v/>
      </c>
      <c r="O98" s="245" t="inlineStr">
        <is>
          <t>—</t>
        </is>
      </c>
      <c r="P98" s="240" t="inlineStr">
        <is>
          <t>23.05.2027</t>
        </is>
      </c>
      <c r="Q98" s="240" t="inlineStr">
        <is>
          <t>16.04.2026</t>
        </is>
      </c>
      <c r="R98" s="240" t="inlineStr">
        <is>
          <t>23.05.2026</t>
        </is>
      </c>
      <c r="S98" s="242">
        <f>IFERROR(INDEX('CoQ Register'!$D:$D,MATCH("P060352|R",'CoQ Register'!$S:$S,0)),"")</f>
        <v/>
      </c>
      <c r="T98" s="240" t="inlineStr">
        <is>
          <t>Conforms</t>
        </is>
      </c>
      <c r="U98" s="240" t="inlineStr">
        <is>
          <t>Conforms</t>
        </is>
      </c>
      <c r="V98" s="240" t="inlineStr">
        <is>
          <t>Conforms</t>
        </is>
      </c>
      <c r="W98" s="240" t="inlineStr">
        <is>
          <t>197-7-K-26, (07.08.2026) [FHM-K]</t>
        </is>
      </c>
      <c r="X98" s="240" t="inlineStr">
        <is>
          <t>197-7-K-26, (07.08.2026) [FHM-K]</t>
        </is>
      </c>
      <c r="Y98" s="240" t="inlineStr">
        <is>
          <t>197-7-M-26, (10.08.2026) [FHM-M]</t>
        </is>
      </c>
      <c r="Z98" s="240" t="inlineStr">
        <is>
          <t>#8, #9, #11, #12 from the initial testing</t>
        </is>
      </c>
      <c r="AA98" s="240" t="inlineStr">
        <is>
          <t>P060352|R</t>
        </is>
      </c>
      <c r="AB98" s="247" t="inlineStr">
        <is>
          <t>registered — retest 1 · Tranche 1 (sampled 21–24.07.2026), tested 22.07.2026, issued 27.07.2026</t>
        </is>
      </c>
    </row>
    <row r="99">
      <c r="A99" s="240" t="n">
        <v>108</v>
      </c>
      <c r="B99" s="241" t="inlineStr">
        <is>
          <t>iCoA-PP_26-108</t>
        </is>
      </c>
      <c r="C99" s="246" t="inlineStr">
        <is>
          <t>yes</t>
        </is>
      </c>
      <c r="D99" s="242" t="n">
        <v>46251</v>
      </c>
      <c r="E99" s="242" t="n">
        <v>46247</v>
      </c>
      <c r="F99" s="242">
        <f>IFERROR(INDEX('Batch Dates'!$G:$G,MATCH(J99,'Batch Dates'!$C:$C,0)),IFERROR(INDEX('Batch Dates'!$G:$G,MATCH(I99,'Batch Dates'!$B:$B,0)),""))</f>
        <v/>
      </c>
      <c r="G99" s="240" t="inlineStr">
        <is>
          <t>legacy</t>
        </is>
      </c>
      <c r="H99" s="240" t="inlineStr">
        <is>
          <t>retest 1</t>
        </is>
      </c>
      <c r="I99" s="241" t="inlineStr">
        <is>
          <t>OPM092501</t>
        </is>
      </c>
      <c r="J99" s="240" t="inlineStr">
        <is>
          <t>P060042</t>
        </is>
      </c>
      <c r="K99" s="240" t="inlineStr">
        <is>
          <t>Orange Punch Mimosa</t>
        </is>
      </c>
      <c r="L99" s="240" t="inlineStr">
        <is>
          <t>Ident A + Ident B + Foreign matter</t>
        </is>
      </c>
      <c r="M99" s="245" t="inlineStr">
        <is>
          <t>—</t>
        </is>
      </c>
      <c r="N99" s="240">
        <f>IFERROR(INDEX('CoQ Register'!$B:$B,MATCH("P060042|R",'CoQ Register'!$S:$S,0)),"—")</f>
        <v/>
      </c>
      <c r="O99" s="245" t="inlineStr">
        <is>
          <t>—</t>
        </is>
      </c>
      <c r="P99" s="240" t="inlineStr">
        <is>
          <t>29.01.2027</t>
        </is>
      </c>
      <c r="Q99" s="240" t="inlineStr">
        <is>
          <t>12.12.2025</t>
        </is>
      </c>
      <c r="R99" s="240" t="inlineStr">
        <is>
          <t>29.01.2026</t>
        </is>
      </c>
      <c r="S99" s="242">
        <f>IFERROR(INDEX('CoQ Register'!$D:$D,MATCH("P060042|R",'CoQ Register'!$S:$S,0)),"")</f>
        <v/>
      </c>
      <c r="T99" s="240" t="inlineStr">
        <is>
          <t>Conforms</t>
        </is>
      </c>
      <c r="U99" s="240" t="inlineStr">
        <is>
          <t>Conforms</t>
        </is>
      </c>
      <c r="V99" s="240" t="inlineStr">
        <is>
          <t>Conforms</t>
        </is>
      </c>
      <c r="W99" s="240" t="inlineStr">
        <is>
          <t>220-22-K-26, (26.08.2026) [FHM-K]</t>
        </is>
      </c>
      <c r="X99" s="240" t="inlineStr">
        <is>
          <t>220-22-K-26, (26.08.2026) [FHM-K]</t>
        </is>
      </c>
      <c r="Y99" s="240" t="inlineStr">
        <is>
          <t>220-22-M-26, (11.09.2026) [FHM-M]</t>
        </is>
      </c>
      <c r="Z99" s="240" t="inlineStr">
        <is>
          <t>#8, #9, #11, #12 from the initial testing</t>
        </is>
      </c>
      <c r="AA99" s="240" t="inlineStr">
        <is>
          <t>P060042|R</t>
        </is>
      </c>
      <c r="AB99" s="247" t="inlineStr">
        <is>
          <t>registered — retest 1 · Tranche 2 (sampled 12–14.08.2026), tested 13.08.2026, issued 17.08.2026</t>
        </is>
      </c>
    </row>
    <row r="100">
      <c r="A100" s="240" t="n">
        <v>109</v>
      </c>
      <c r="B100" s="241" t="inlineStr">
        <is>
          <t>iCoA-PP_26-109</t>
        </is>
      </c>
      <c r="C100" s="246" t="inlineStr">
        <is>
          <t>yes</t>
        </is>
      </c>
      <c r="D100" s="242" t="n">
        <v>46230</v>
      </c>
      <c r="E100" s="242" t="n">
        <v>46226</v>
      </c>
      <c r="F100" s="242">
        <f>IFERROR(INDEX('Batch Dates'!$G:$G,MATCH(J100,'Batch Dates'!$C:$C,0)),IFERROR(INDEX('Batch Dates'!$G:$G,MATCH(I100,'Batch Dates'!$B:$B,0)),""))</f>
        <v/>
      </c>
      <c r="G100" s="240" t="inlineStr">
        <is>
          <t>legacy</t>
        </is>
      </c>
      <c r="H100" s="240" t="inlineStr">
        <is>
          <t>retest 1</t>
        </is>
      </c>
      <c r="I100" s="241" t="inlineStr">
        <is>
          <t>GP082501/2</t>
        </is>
      </c>
      <c r="J100" s="240" t="inlineStr">
        <is>
          <t>P050322</t>
        </is>
      </c>
      <c r="K100" s="240" t="inlineStr">
        <is>
          <t>Grape Pie</t>
        </is>
      </c>
      <c r="L100" s="240" t="inlineStr">
        <is>
          <t>Ident A + Ident B + Foreign matter</t>
        </is>
      </c>
      <c r="M100" s="245" t="inlineStr">
        <is>
          <t>—</t>
        </is>
      </c>
      <c r="N100" s="240">
        <f>IFERROR(INDEX('CoQ Register'!$B:$B,MATCH("P050322|R",'CoQ Register'!$S:$S,0)),"—")</f>
        <v/>
      </c>
      <c r="O100" s="245" t="inlineStr">
        <is>
          <t>—</t>
        </is>
      </c>
      <c r="P100" s="240" t="inlineStr">
        <is>
          <t>26.12.2026</t>
        </is>
      </c>
      <c r="Q100" s="240" t="inlineStr">
        <is>
          <t>20.11.2025</t>
        </is>
      </c>
      <c r="R100" s="240" t="inlineStr">
        <is>
          <t>26.12.2025</t>
        </is>
      </c>
      <c r="S100" s="242">
        <f>IFERROR(INDEX('CoQ Register'!$D:$D,MATCH("P050322|R",'CoQ Register'!$S:$S,0)),"")</f>
        <v/>
      </c>
      <c r="T100" s="240" t="inlineStr">
        <is>
          <t>Conforms</t>
        </is>
      </c>
      <c r="U100" s="240" t="inlineStr">
        <is>
          <t>Conforms</t>
        </is>
      </c>
      <c r="V100" s="240" t="inlineStr">
        <is>
          <t>Conforms</t>
        </is>
      </c>
      <c r="W100" s="240" t="inlineStr">
        <is>
          <t>197-12-K-26, (07.08.2026) [FHM-K]</t>
        </is>
      </c>
      <c r="X100" s="240" t="inlineStr">
        <is>
          <t>197-12-K-26, (07.08.2026) [FHM-K]</t>
        </is>
      </c>
      <c r="Y100" s="240" t="inlineStr">
        <is>
          <t>197-12-M-26, (10.08.2026) [FHM-M]</t>
        </is>
      </c>
      <c r="Z100" s="240" t="inlineStr">
        <is>
          <t>#8, #9, #11, #12 from the initial testing</t>
        </is>
      </c>
      <c r="AA100" s="240" t="inlineStr">
        <is>
          <t>P050322|R</t>
        </is>
      </c>
      <c r="AB100" s="247" t="inlineStr">
        <is>
          <t>registered — retest 1 · Tranche 1 (sampled 21–24.07.2026), tested 23.07.2026, issued 27.07.2026</t>
        </is>
      </c>
    </row>
    <row r="101">
      <c r="A101" s="240" t="n">
        <v>110</v>
      </c>
      <c r="B101" s="241" t="inlineStr">
        <is>
          <t>iCoA-PP_26-110</t>
        </is>
      </c>
      <c r="C101" s="246" t="inlineStr">
        <is>
          <t>yes</t>
        </is>
      </c>
      <c r="D101" s="242" t="n">
        <v>46230</v>
      </c>
      <c r="E101" s="242" t="n">
        <v>46226</v>
      </c>
      <c r="F101" s="242">
        <f>IFERROR(INDEX('Batch Dates'!$G:$G,MATCH(J101,'Batch Dates'!$C:$C,0)),IFERROR(INDEX('Batch Dates'!$G:$G,MATCH(I101,'Batch Dates'!$B:$B,0)),""))</f>
        <v/>
      </c>
      <c r="G101" s="240" t="inlineStr">
        <is>
          <t>legacy</t>
        </is>
      </c>
      <c r="H101" s="240" t="inlineStr">
        <is>
          <t>retest 1</t>
        </is>
      </c>
      <c r="I101" s="241" t="inlineStr">
        <is>
          <t>HPA1024</t>
        </is>
      </c>
      <c r="J101" s="240" t="inlineStr">
        <is>
          <t>HPA1024</t>
        </is>
      </c>
      <c r="K101" s="240" t="inlineStr">
        <is>
          <t>High Pro Amnesia</t>
        </is>
      </c>
      <c r="L101" s="240" t="inlineStr">
        <is>
          <t>Ident A + Ident B + Foreign matter</t>
        </is>
      </c>
      <c r="M101" s="245" t="inlineStr">
        <is>
          <t>—</t>
        </is>
      </c>
      <c r="N101" s="240">
        <f>IFERROR(INDEX('CoQ Register'!$B:$B,MATCH("HPA1024|R",'CoQ Register'!$S:$S,0)),"—")</f>
        <v/>
      </c>
      <c r="O101" s="245" t="inlineStr">
        <is>
          <t>—</t>
        </is>
      </c>
      <c r="P101" s="240" t="inlineStr">
        <is>
          <t>11.04.2026</t>
        </is>
      </c>
      <c r="Q101" s="240" t="inlineStr">
        <is>
          <t>22.01.2025</t>
        </is>
      </c>
      <c r="R101" s="240" t="inlineStr">
        <is>
          <t>11.04.2025</t>
        </is>
      </c>
      <c r="S101" s="242">
        <f>IFERROR(INDEX('CoQ Register'!$D:$D,MATCH("HPA1024|R",'CoQ Register'!$S:$S,0)),"")</f>
        <v/>
      </c>
      <c r="T101" s="240" t="inlineStr">
        <is>
          <t>Conforms</t>
        </is>
      </c>
      <c r="U101" s="240" t="inlineStr">
        <is>
          <t>Conforms</t>
        </is>
      </c>
      <c r="V101" s="240" t="inlineStr">
        <is>
          <t>Conforms</t>
        </is>
      </c>
      <c r="W101" s="240" t="inlineStr">
        <is>
          <t>197-13-K-26, (07.08.2026) [FHM-K]</t>
        </is>
      </c>
      <c r="X101" s="240" t="inlineStr">
        <is>
          <t>197-13-K-26, (07.08.2026) [FHM-K]</t>
        </is>
      </c>
      <c r="Y101" s="240" t="inlineStr">
        <is>
          <t>197-13-M-26, (10.08.2026) [FHM-M]</t>
        </is>
      </c>
      <c r="Z101" s="240" t="inlineStr">
        <is>
          <t>#8, #9, #11, #12 from the initial testing</t>
        </is>
      </c>
      <c r="AA101" s="240" t="inlineStr">
        <is>
          <t>HPA1024|R</t>
        </is>
      </c>
      <c r="AB101" s="247" t="inlineStr">
        <is>
          <t>registered — retest 1 · Tranche 1 (sampled 21–24.07.2026), tested 23.07.2026, issued 27.07.2026</t>
        </is>
      </c>
    </row>
    <row r="102">
      <c r="A102" s="240" t="n">
        <v>111</v>
      </c>
      <c r="B102" s="241" t="inlineStr">
        <is>
          <t>iCoA-PP_26-111</t>
        </is>
      </c>
      <c r="C102" s="246" t="inlineStr">
        <is>
          <t>yes</t>
        </is>
      </c>
      <c r="D102" s="242" t="n">
        <v>46230</v>
      </c>
      <c r="E102" s="242" t="n">
        <v>46226</v>
      </c>
      <c r="F102" s="242">
        <f>IFERROR(INDEX('Batch Dates'!$G:$G,MATCH(J102,'Batch Dates'!$C:$C,0)),IFERROR(INDEX('Batch Dates'!$G:$G,MATCH(I102,'Batch Dates'!$B:$B,0)),""))</f>
        <v/>
      </c>
      <c r="G102" s="240" t="inlineStr">
        <is>
          <t>legacy</t>
        </is>
      </c>
      <c r="H102" s="240" t="inlineStr">
        <is>
          <t>retest 1</t>
        </is>
      </c>
      <c r="I102" s="241" t="inlineStr">
        <is>
          <t>HPA1024_01</t>
        </is>
      </c>
      <c r="J102" s="240" t="inlineStr">
        <is>
          <t>P050052</t>
        </is>
      </c>
      <c r="K102" s="240" t="inlineStr">
        <is>
          <t>High Pro Amnesia</t>
        </is>
      </c>
      <c r="L102" s="240" t="inlineStr">
        <is>
          <t>Ident A + Ident B + Foreign matter</t>
        </is>
      </c>
      <c r="M102" s="245" t="inlineStr">
        <is>
          <t>—</t>
        </is>
      </c>
      <c r="N102" s="240">
        <f>IFERROR(INDEX('CoQ Register'!$B:$B,MATCH("P050052|R",'CoQ Register'!$S:$S,0)),"—")</f>
        <v/>
      </c>
      <c r="O102" s="245" t="inlineStr">
        <is>
          <t>—</t>
        </is>
      </c>
      <c r="P102" s="240" t="inlineStr">
        <is>
          <t>27.06.2026</t>
        </is>
      </c>
      <c r="Q102" s="240" t="inlineStr">
        <is>
          <t>27.05.2025 – 28.05.2025</t>
        </is>
      </c>
      <c r="R102" s="240" t="inlineStr">
        <is>
          <t>27.06.2025 – 04.07.2025</t>
        </is>
      </c>
      <c r="S102" s="242">
        <f>IFERROR(INDEX('CoQ Register'!$D:$D,MATCH("P050052|R",'CoQ Register'!$S:$S,0)),"")</f>
        <v/>
      </c>
      <c r="T102" s="240" t="inlineStr">
        <is>
          <t>Conforms</t>
        </is>
      </c>
      <c r="U102" s="240" t="inlineStr">
        <is>
          <t>Conforms</t>
        </is>
      </c>
      <c r="V102" s="240" t="inlineStr">
        <is>
          <t>Conforms</t>
        </is>
      </c>
      <c r="W102" s="240" t="inlineStr">
        <is>
          <t>197-14-K-26, (07.08.2026) [FHM-K]</t>
        </is>
      </c>
      <c r="X102" s="240" t="inlineStr">
        <is>
          <t>197-14-K-26, (07.08.2026) [FHM-K]</t>
        </is>
      </c>
      <c r="Y102" s="240" t="inlineStr">
        <is>
          <t>197-14-M-26, (10.08.2026) [FHM-M]</t>
        </is>
      </c>
      <c r="Z102" s="240" t="inlineStr">
        <is>
          <t>#8, #9, #11, #12 from the initial testing</t>
        </is>
      </c>
      <c r="AA102" s="240" t="inlineStr">
        <is>
          <t>P050052|R</t>
        </is>
      </c>
      <c r="AB102" s="247" t="inlineStr">
        <is>
          <t>registered — retest 1 · Tranche 1 (sampled 21–24.07.2026), tested 23.07.2026, issued 27.07.2026</t>
        </is>
      </c>
    </row>
    <row r="103">
      <c r="A103" s="240" t="n">
        <v>112</v>
      </c>
      <c r="B103" s="241" t="inlineStr">
        <is>
          <t>iCoA-PP_26-112</t>
        </is>
      </c>
      <c r="C103" s="246" t="inlineStr">
        <is>
          <t>yes</t>
        </is>
      </c>
      <c r="D103" s="242" t="n">
        <v>46230</v>
      </c>
      <c r="E103" s="242" t="n">
        <v>46226</v>
      </c>
      <c r="F103" s="242">
        <f>IFERROR(INDEX('Batch Dates'!$G:$G,MATCH(J103,'Batch Dates'!$C:$C,0)),IFERROR(INDEX('Batch Dates'!$G:$G,MATCH(I103,'Batch Dates'!$B:$B,0)),""))</f>
        <v/>
      </c>
      <c r="G103" s="240" t="inlineStr">
        <is>
          <t>legacy</t>
        </is>
      </c>
      <c r="H103" s="240" t="inlineStr">
        <is>
          <t>retest 1</t>
        </is>
      </c>
      <c r="I103" s="241" t="inlineStr">
        <is>
          <t>J31102501</t>
        </is>
      </c>
      <c r="J103" s="240" t="inlineStr">
        <is>
          <t>P060152</t>
        </is>
      </c>
      <c r="K103" s="240" t="inlineStr">
        <is>
          <t>Jokerz 31</t>
        </is>
      </c>
      <c r="L103" s="240" t="inlineStr">
        <is>
          <t>Ident A + Ident B + Foreign matter</t>
        </is>
      </c>
      <c r="M103" s="245" t="inlineStr">
        <is>
          <t>—</t>
        </is>
      </c>
      <c r="N103" s="240">
        <f>IFERROR(INDEX('CoQ Register'!$B:$B,MATCH("P060152|R",'CoQ Register'!$S:$S,0)),"—")</f>
        <v/>
      </c>
      <c r="O103" s="245" t="inlineStr">
        <is>
          <t>—</t>
        </is>
      </c>
      <c r="P103" s="240" t="inlineStr">
        <is>
          <t>05.03.2027</t>
        </is>
      </c>
      <c r="Q103" s="240" t="inlineStr">
        <is>
          <t>21.01.2026</t>
        </is>
      </c>
      <c r="R103" s="240" t="inlineStr">
        <is>
          <t>05.03.2026</t>
        </is>
      </c>
      <c r="S103" s="242">
        <f>IFERROR(INDEX('CoQ Register'!$D:$D,MATCH("P060152|R",'CoQ Register'!$S:$S,0)),"")</f>
        <v/>
      </c>
      <c r="T103" s="240" t="inlineStr">
        <is>
          <t>Conforms</t>
        </is>
      </c>
      <c r="U103" s="240" t="inlineStr">
        <is>
          <t>Conforms</t>
        </is>
      </c>
      <c r="V103" s="240" t="inlineStr">
        <is>
          <t>Conforms</t>
        </is>
      </c>
      <c r="W103" s="240" t="inlineStr">
        <is>
          <t>197-16-K-26, (07.08.2026) [FHM-K]</t>
        </is>
      </c>
      <c r="X103" s="240" t="inlineStr">
        <is>
          <t>197-16-K-26, (07.08.2026) [FHM-K]</t>
        </is>
      </c>
      <c r="Y103" s="240" t="inlineStr">
        <is>
          <t>197-16-M-26, (10.08.2026) [FHM-M]</t>
        </is>
      </c>
      <c r="Z103" s="240" t="inlineStr">
        <is>
          <t>#8, #9, #11, #12 from the initial testing</t>
        </is>
      </c>
      <c r="AA103" s="240" t="inlineStr">
        <is>
          <t>P060152|R</t>
        </is>
      </c>
      <c r="AB103" s="247" t="inlineStr">
        <is>
          <t>registered — retest 1 · Tranche 1 (sampled 21–24.07.2026), tested 23.07.2026, issued 27.07.2026</t>
        </is>
      </c>
    </row>
    <row r="104">
      <c r="A104" s="240" t="n">
        <v>113</v>
      </c>
      <c r="B104" s="241" t="inlineStr">
        <is>
          <t>iCoA-PP_26-113</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JD112501</t>
        </is>
      </c>
      <c r="J104" s="240" t="inlineStr">
        <is>
          <t>P060212</t>
        </is>
      </c>
      <c r="K104" s="240" t="inlineStr">
        <is>
          <t>Jelly Donuts</t>
        </is>
      </c>
      <c r="L104" s="240" t="inlineStr">
        <is>
          <t>Ident A + Ident B + Foreign matter</t>
        </is>
      </c>
      <c r="M104" s="245" t="inlineStr">
        <is>
          <t>—</t>
        </is>
      </c>
      <c r="N104" s="240">
        <f>IFERROR(INDEX('CoQ Register'!$B:$B,MATCH("P060212|R",'CoQ Register'!$S:$S,0)),"—")</f>
        <v/>
      </c>
      <c r="O104" s="245" t="inlineStr">
        <is>
          <t>—</t>
        </is>
      </c>
      <c r="P104" s="240" t="inlineStr">
        <is>
          <t>21.04.2027</t>
        </is>
      </c>
      <c r="Q104" s="240" t="inlineStr">
        <is>
          <t>25.03.2026</t>
        </is>
      </c>
      <c r="R104" s="240" t="inlineStr">
        <is>
          <t>21.04.2026</t>
        </is>
      </c>
      <c r="S104" s="242">
        <f>IFERROR(INDEX('CoQ Register'!$D:$D,MATCH("P060212|R",'CoQ Register'!$S:$S,0)),"")</f>
        <v/>
      </c>
      <c r="T104" s="240" t="inlineStr">
        <is>
          <t>Conforms</t>
        </is>
      </c>
      <c r="U104" s="240" t="inlineStr">
        <is>
          <t>Conforms</t>
        </is>
      </c>
      <c r="V104" s="240" t="inlineStr">
        <is>
          <t>Conforms</t>
        </is>
      </c>
      <c r="W104" s="240" t="inlineStr">
        <is>
          <t>197-15-K-26, (07.08.2026) [FHM-K]</t>
        </is>
      </c>
      <c r="X104" s="240" t="inlineStr">
        <is>
          <t>197-15-K-26, (07.08.2026) [FHM-K]</t>
        </is>
      </c>
      <c r="Y104" s="240" t="inlineStr">
        <is>
          <t>197-15-M-26, (10.08.2026) [FHM-M]</t>
        </is>
      </c>
      <c r="Z104" s="240" t="inlineStr">
        <is>
          <t>#8, #9, #11, #12 from the initial testing</t>
        </is>
      </c>
      <c r="AA104" s="240" t="inlineStr">
        <is>
          <t>P060212|R</t>
        </is>
      </c>
      <c r="AB104" s="247" t="inlineStr">
        <is>
          <t>registered — retest 1 · Tranche 1 (sampled 21–24.07.2026), tested 23.07.2026, issued 27.07.2026</t>
        </is>
      </c>
    </row>
    <row r="105">
      <c r="A105" s="240" t="n">
        <v>114</v>
      </c>
      <c r="B105" s="241" t="inlineStr">
        <is>
          <t>iCoA-PP_26-114</t>
        </is>
      </c>
      <c r="C105" s="246" t="inlineStr">
        <is>
          <t>yes</t>
        </is>
      </c>
      <c r="D105" s="242" t="n">
        <v>46230</v>
      </c>
      <c r="E105" s="242" t="n">
        <v>46227</v>
      </c>
      <c r="F105" s="242">
        <f>IFERROR(INDEX('Batch Dates'!$G:$G,MATCH(J105,'Batch Dates'!$C:$C,0)),IFERROR(INDEX('Batch Dates'!$G:$G,MATCH(I105,'Batch Dates'!$B:$B,0)),""))</f>
        <v/>
      </c>
      <c r="G105" s="240" t="inlineStr">
        <is>
          <t>legacy</t>
        </is>
      </c>
      <c r="H105" s="240" t="inlineStr">
        <is>
          <t>retest 1</t>
        </is>
      </c>
      <c r="I105" s="241" t="inlineStr">
        <is>
          <t>OPM1024</t>
        </is>
      </c>
      <c r="J105" s="240" t="inlineStr">
        <is>
          <t>OPM1024</t>
        </is>
      </c>
      <c r="K105" s="240" t="inlineStr">
        <is>
          <t>Orange Punch Mimosa</t>
        </is>
      </c>
      <c r="L105" s="240" t="inlineStr">
        <is>
          <t>Ident A + Ident B + Foreign matter</t>
        </is>
      </c>
      <c r="M105" s="245" t="inlineStr">
        <is>
          <t>—</t>
        </is>
      </c>
      <c r="N105" s="240">
        <f>IFERROR(INDEX('CoQ Register'!$B:$B,MATCH("OPM1024|R",'CoQ Register'!$S:$S,0)),"—")</f>
        <v/>
      </c>
      <c r="O105" s="245" t="inlineStr">
        <is>
          <t>—</t>
        </is>
      </c>
      <c r="P105" s="240" t="inlineStr">
        <is>
          <t>24.04.2026</t>
        </is>
      </c>
      <c r="Q105" s="240" t="inlineStr">
        <is>
          <t>21.01.2025</t>
        </is>
      </c>
      <c r="R105" s="240" t="inlineStr">
        <is>
          <t>24.04.2025 – 25.04.2025</t>
        </is>
      </c>
      <c r="S105" s="242">
        <f>IFERROR(INDEX('CoQ Register'!$D:$D,MATCH("OPM1024|R",'CoQ Register'!$S:$S,0)),"")</f>
        <v/>
      </c>
      <c r="T105" s="240" t="inlineStr">
        <is>
          <t>Conforms</t>
        </is>
      </c>
      <c r="U105" s="240" t="inlineStr">
        <is>
          <t>Conforms</t>
        </is>
      </c>
      <c r="V105" s="240" t="inlineStr">
        <is>
          <t>Conforms</t>
        </is>
      </c>
      <c r="W105" s="240" t="inlineStr">
        <is>
          <t>197-17-K-26, (07.08.2026) [FHM-K]</t>
        </is>
      </c>
      <c r="X105" s="240" t="inlineStr">
        <is>
          <t>197-17-K-26, (07.08.2026) [FHM-K]</t>
        </is>
      </c>
      <c r="Y105" s="240" t="inlineStr">
        <is>
          <t>197-17-M-26, (10.08.2026) [FHM-M]</t>
        </is>
      </c>
      <c r="Z105" s="240" t="inlineStr">
        <is>
          <t>#8, #9, #11, #12 from the initial testing</t>
        </is>
      </c>
      <c r="AA105" s="240" t="inlineStr">
        <is>
          <t>OPM1024|R</t>
        </is>
      </c>
      <c r="AB105" s="247" t="inlineStr">
        <is>
          <t>registered — retest 1 · Tranche 1 (sampled 21–24.07.2026), tested 24.07.2026, issued 27.07.2026</t>
        </is>
      </c>
    </row>
    <row r="106">
      <c r="A106" s="240" t="n">
        <v>115</v>
      </c>
      <c r="B106" s="241" t="inlineStr">
        <is>
          <t>iCoA-PP_26-115</t>
        </is>
      </c>
      <c r="C106" s="246" t="inlineStr">
        <is>
          <t>yes</t>
        </is>
      </c>
      <c r="D106" s="242" t="n">
        <v>46230</v>
      </c>
      <c r="E106" s="242" t="n">
        <v>46227</v>
      </c>
      <c r="F106" s="242">
        <f>IFERROR(INDEX('Batch Dates'!$G:$G,MATCH(J106,'Batch Dates'!$C:$C,0)),IFERROR(INDEX('Batch Dates'!$G:$G,MATCH(I106,'Batch Dates'!$B:$B,0)),""))</f>
        <v/>
      </c>
      <c r="G106" s="240" t="inlineStr">
        <is>
          <t>legacy</t>
        </is>
      </c>
      <c r="H106" s="240" t="inlineStr">
        <is>
          <t>retest 1</t>
        </is>
      </c>
      <c r="I106" s="241" t="inlineStr">
        <is>
          <t>OPM1024_02</t>
        </is>
      </c>
      <c r="J106" s="240" t="inlineStr">
        <is>
          <t>P050062</t>
        </is>
      </c>
      <c r="K106" s="240" t="inlineStr">
        <is>
          <t>Orange Punch Mimosa</t>
        </is>
      </c>
      <c r="L106" s="240" t="inlineStr">
        <is>
          <t>Ident A + Ident B + Foreign matter</t>
        </is>
      </c>
      <c r="M106" s="245" t="inlineStr">
        <is>
          <t>—</t>
        </is>
      </c>
      <c r="N106" s="240">
        <f>IFERROR(INDEX('CoQ Register'!$B:$B,MATCH("P050062|R",'CoQ Register'!$S:$S,0)),"—")</f>
        <v/>
      </c>
      <c r="O106" s="245" t="inlineStr">
        <is>
          <t>—</t>
        </is>
      </c>
      <c r="P106" s="240" t="inlineStr">
        <is>
          <t>04.07.2026</t>
        </is>
      </c>
      <c r="Q106" s="240" t="inlineStr">
        <is>
          <t>29.05.2025 – 30.05.2025</t>
        </is>
      </c>
      <c r="R106" s="240" t="inlineStr">
        <is>
          <t>04.07.2025 – 10.07.2025</t>
        </is>
      </c>
      <c r="S106" s="242">
        <f>IFERROR(INDEX('CoQ Register'!$D:$D,MATCH("P050062|R",'CoQ Register'!$S:$S,0)),"")</f>
        <v/>
      </c>
      <c r="T106" s="240" t="inlineStr">
        <is>
          <t>Conforms</t>
        </is>
      </c>
      <c r="U106" s="240" t="inlineStr">
        <is>
          <t>Conforms</t>
        </is>
      </c>
      <c r="V106" s="240" t="inlineStr">
        <is>
          <t>Conforms</t>
        </is>
      </c>
      <c r="W106" s="240" t="inlineStr">
        <is>
          <t>197-18-K-26, (07.08.2026) [FHM-K]</t>
        </is>
      </c>
      <c r="X106" s="240" t="inlineStr">
        <is>
          <t>197-18-K-26, (07.08.2026) [FHM-K]</t>
        </is>
      </c>
      <c r="Y106" s="240" t="inlineStr">
        <is>
          <t>197-18-M-26, (10.08.2026) [FHM-M]</t>
        </is>
      </c>
      <c r="Z106" s="240" t="inlineStr">
        <is>
          <t>#8, #9, #11, #12 from the initial testing</t>
        </is>
      </c>
      <c r="AA106" s="240" t="inlineStr">
        <is>
          <t>P050062|R</t>
        </is>
      </c>
      <c r="AB106" s="247" t="inlineStr">
        <is>
          <t>registered — retest 1 · Tranche 1 (sampled 21–24.07.2026), tested 24.07.2026, issued 27.07.2026</t>
        </is>
      </c>
    </row>
    <row r="107">
      <c r="A107" s="240" t="n">
        <v>116</v>
      </c>
      <c r="B107" s="241" t="inlineStr">
        <is>
          <t>iCoA-PP_26-116</t>
        </is>
      </c>
      <c r="C107" s="246" t="inlineStr">
        <is>
          <t>yes</t>
        </is>
      </c>
      <c r="D107" s="242" t="n">
        <v>46230</v>
      </c>
      <c r="E107" s="242" t="n">
        <v>46227</v>
      </c>
      <c r="F107" s="242">
        <f>IFERROR(INDEX('Batch Dates'!$G:$G,MATCH(J107,'Batch Dates'!$C:$C,0)),IFERROR(INDEX('Batch Dates'!$G:$G,MATCH(I107,'Batch Dates'!$B:$B,0)),""))</f>
        <v/>
      </c>
      <c r="G107" s="240" t="inlineStr">
        <is>
          <t>legacy</t>
        </is>
      </c>
      <c r="H107" s="240" t="inlineStr">
        <is>
          <t>retest 1</t>
        </is>
      </c>
      <c r="I107" s="241" t="inlineStr">
        <is>
          <t>OPM122501</t>
        </is>
      </c>
      <c r="J107" s="240" t="inlineStr">
        <is>
          <t>P060242</t>
        </is>
      </c>
      <c r="K107" s="240" t="inlineStr">
        <is>
          <t>Orange Punch Mimosa</t>
        </is>
      </c>
      <c r="L107" s="240" t="inlineStr">
        <is>
          <t>Ident A + Ident B + Foreign matter</t>
        </is>
      </c>
      <c r="M107" s="245" t="inlineStr">
        <is>
          <t>—</t>
        </is>
      </c>
      <c r="N107" s="240">
        <f>IFERROR(INDEX('CoQ Register'!$B:$B,MATCH("P060242|R",'CoQ Register'!$S:$S,0)),"—")</f>
        <v/>
      </c>
      <c r="O107" s="245" t="inlineStr">
        <is>
          <t>—</t>
        </is>
      </c>
      <c r="P107" s="240" t="inlineStr">
        <is>
          <t>28.04.2027</t>
        </is>
      </c>
      <c r="Q107" s="240" t="inlineStr">
        <is>
          <t>11.03.2026</t>
        </is>
      </c>
      <c r="R107" s="240" t="inlineStr">
        <is>
          <t>28.04.2026</t>
        </is>
      </c>
      <c r="S107" s="242">
        <f>IFERROR(INDEX('CoQ Register'!$D:$D,MATCH("P060242|R",'CoQ Register'!$S:$S,0)),"")</f>
        <v/>
      </c>
      <c r="T107" s="240" t="inlineStr">
        <is>
          <t>Conforms</t>
        </is>
      </c>
      <c r="U107" s="240" t="inlineStr">
        <is>
          <t>Conforms</t>
        </is>
      </c>
      <c r="V107" s="240" t="inlineStr">
        <is>
          <t>Conforms</t>
        </is>
      </c>
      <c r="W107" s="240" t="inlineStr">
        <is>
          <t>197-19-K-26, (07.08.2026) [FHM-K]</t>
        </is>
      </c>
      <c r="X107" s="240" t="inlineStr">
        <is>
          <t>197-19-K-26, (07.08.2026) [FHM-K]</t>
        </is>
      </c>
      <c r="Y107" s="240" t="inlineStr">
        <is>
          <t>197-19-M-26, (10.08.2026) [FHM-M]</t>
        </is>
      </c>
      <c r="Z107" s="240" t="inlineStr">
        <is>
          <t>#8, #9, #11, #12 from the initial testing</t>
        </is>
      </c>
      <c r="AA107" s="240" t="inlineStr">
        <is>
          <t>P060242|R</t>
        </is>
      </c>
      <c r="AB107" s="247" t="inlineStr">
        <is>
          <t>registered — retest 1 · Tranche 1 (sampled 21–24.07.2026), tested 24.07.2026, issued 27.07.2026</t>
        </is>
      </c>
    </row>
    <row r="108">
      <c r="A108" s="240" t="n">
        <v>117</v>
      </c>
      <c r="B108" s="241" t="inlineStr">
        <is>
          <t>iCoA-PP_26-117</t>
        </is>
      </c>
      <c r="C108" s="246" t="inlineStr">
        <is>
          <t>yes</t>
        </is>
      </c>
      <c r="D108" s="242" t="n">
        <v>46230</v>
      </c>
      <c r="E108" s="242" t="n">
        <v>46227</v>
      </c>
      <c r="F108" s="242">
        <f>IFERROR(INDEX('Batch Dates'!$G:$G,MATCH(J108,'Batch Dates'!$C:$C,0)),IFERROR(INDEX('Batch Dates'!$G:$G,MATCH(I108,'Batch Dates'!$B:$B,0)),""))</f>
        <v/>
      </c>
      <c r="G108" s="240" t="inlineStr">
        <is>
          <t>post-SOP</t>
        </is>
      </c>
      <c r="H108" s="240" t="inlineStr">
        <is>
          <t>retest 1</t>
        </is>
      </c>
      <c r="I108" s="241" t="inlineStr">
        <is>
          <t>SCR012603</t>
        </is>
      </c>
      <c r="J108" s="240" t="inlineStr">
        <is>
          <t>P060382</t>
        </is>
      </c>
      <c r="K108" s="240" t="inlineStr">
        <is>
          <t>Scrambler</t>
        </is>
      </c>
      <c r="L108" s="240" t="inlineStr">
        <is>
          <t>Ident A + Ident B + Foreign matter</t>
        </is>
      </c>
      <c r="M108" s="245" t="inlineStr">
        <is>
          <t>—</t>
        </is>
      </c>
      <c r="N108" s="240">
        <f>IFERROR(INDEX('CoQ Register'!$B:$B,MATCH("P060382|R",'CoQ Register'!$S:$S,0)),"—")</f>
        <v/>
      </c>
      <c r="O108" s="245" t="inlineStr">
        <is>
          <t>—</t>
        </is>
      </c>
      <c r="P108" s="240" t="inlineStr">
        <is>
          <t>25.05.2027</t>
        </is>
      </c>
      <c r="Q108" s="240" t="inlineStr">
        <is>
          <t>22.04.2026</t>
        </is>
      </c>
      <c r="R108" s="240" t="inlineStr">
        <is>
          <t>25.05.2026</t>
        </is>
      </c>
      <c r="S108" s="242">
        <f>IFERROR(INDEX('CoQ Register'!$D:$D,MATCH("P060382|R",'CoQ Register'!$S:$S,0)),"")</f>
        <v/>
      </c>
      <c r="T108" s="240" t="inlineStr">
        <is>
          <t>Conforms</t>
        </is>
      </c>
      <c r="U108" s="240" t="inlineStr">
        <is>
          <t>Conforms</t>
        </is>
      </c>
      <c r="V108" s="240" t="inlineStr">
        <is>
          <t>Conforms</t>
        </is>
      </c>
      <c r="W108" s="240" t="inlineStr">
        <is>
          <t>197-21-K-26, (07.08.2026) [FHM-K]</t>
        </is>
      </c>
      <c r="X108" s="240" t="inlineStr">
        <is>
          <t>197-21-K-26, (07.08.2026) [FHM-K]</t>
        </is>
      </c>
      <c r="Y108" s="240" t="inlineStr">
        <is>
          <t>197-21-M-26, (10.08.2026) [FHM-M]</t>
        </is>
      </c>
      <c r="Z108" s="240" t="inlineStr">
        <is>
          <t>#8, #9, #11, #12 from the initial testing</t>
        </is>
      </c>
      <c r="AA108" s="240" t="inlineStr">
        <is>
          <t>P060382|R</t>
        </is>
      </c>
      <c r="AB108" s="247" t="inlineStr">
        <is>
          <t>registered — retest 1 · Tranche 1 (sampled 21–24.07.2026), tested 24.07.2026, issued 27.07.2026</t>
        </is>
      </c>
    </row>
    <row r="109">
      <c r="A109" s="240" t="n">
        <v>118</v>
      </c>
      <c r="B109" s="241" t="inlineStr">
        <is>
          <t>iCoA-PP_26-118</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PM092501</t>
        </is>
      </c>
      <c r="J109" s="240" t="inlineStr">
        <is>
          <t>P060062</t>
        </is>
      </c>
      <c r="K109" s="240" t="inlineStr">
        <is>
          <t>Permanent Marker</t>
        </is>
      </c>
      <c r="L109" s="240" t="inlineStr">
        <is>
          <t>Ident A + Ident B + Foreign matter</t>
        </is>
      </c>
      <c r="M109" s="245" t="inlineStr">
        <is>
          <t>—</t>
        </is>
      </c>
      <c r="N109" s="240">
        <f>IFERROR(INDEX('CoQ Register'!$B:$B,MATCH("P060062|R",'CoQ Register'!$S:$S,0)),"—")</f>
        <v/>
      </c>
      <c r="O109" s="245" t="inlineStr">
        <is>
          <t>—</t>
        </is>
      </c>
      <c r="P109" s="240" t="inlineStr">
        <is>
          <t>30.01.2027</t>
        </is>
      </c>
      <c r="Q109" s="240" t="inlineStr">
        <is>
          <t>11.12.2025</t>
        </is>
      </c>
      <c r="R109" s="240" t="inlineStr">
        <is>
          <t>30.01.2026</t>
        </is>
      </c>
      <c r="S109" s="242">
        <f>IFERROR(INDEX('CoQ Register'!$D:$D,MATCH("P060062|R",'CoQ Register'!$S:$S,0)),"")</f>
        <v/>
      </c>
      <c r="T109" s="240" t="inlineStr">
        <is>
          <t>Conforms</t>
        </is>
      </c>
      <c r="U109" s="240" t="inlineStr">
        <is>
          <t>Conforms</t>
        </is>
      </c>
      <c r="V109" s="240" t="inlineStr">
        <is>
          <t>Conforms</t>
        </is>
      </c>
      <c r="W109" s="240" t="inlineStr">
        <is>
          <t>197-20-K-26, (07.08.2026) [FHM-K]</t>
        </is>
      </c>
      <c r="X109" s="240" t="inlineStr">
        <is>
          <t>197-20-K-26, (07.08.2026) [FHM-K]</t>
        </is>
      </c>
      <c r="Y109" s="240" t="inlineStr">
        <is>
          <t>197-20-M-26, (10.08.2026) [FHM-M]</t>
        </is>
      </c>
      <c r="Z109" s="240" t="inlineStr">
        <is>
          <t>#8, #9, #11, #12 from the initial testing</t>
        </is>
      </c>
      <c r="AA109" s="240" t="inlineStr">
        <is>
          <t>P060062|R</t>
        </is>
      </c>
      <c r="AB109" s="247" t="inlineStr">
        <is>
          <t>registered — retest 1 · Tranche 1 (sampled 21–24.07.2026), tested 24.07.2026, issued 27.07.2026</t>
        </is>
      </c>
    </row>
    <row r="110">
      <c r="A110" s="240" t="n">
        <v>119</v>
      </c>
      <c r="B110" s="241" t="inlineStr">
        <is>
          <t>iCoA-PP_26-119</t>
        </is>
      </c>
      <c r="C110" s="246" t="inlineStr">
        <is>
          <t>yes</t>
        </is>
      </c>
      <c r="D110" s="242" t="n">
        <v>46251</v>
      </c>
      <c r="E110" s="242" t="n">
        <v>46248</v>
      </c>
      <c r="F110" s="242">
        <f>IFERROR(INDEX('Batch Dates'!$G:$G,MATCH(J110,'Batch Dates'!$C:$C,0)),IFERROR(INDEX('Batch Dates'!$G:$G,MATCH(I110,'Batch Dates'!$B:$B,0)),""))</f>
        <v/>
      </c>
      <c r="G110" s="240" t="inlineStr">
        <is>
          <t>legacy</t>
        </is>
      </c>
      <c r="H110" s="240" t="inlineStr">
        <is>
          <t>retest 1</t>
        </is>
      </c>
      <c r="I110" s="241" t="inlineStr">
        <is>
          <t>SJ092501</t>
        </is>
      </c>
      <c r="J110" s="240" t="inlineStr">
        <is>
          <t>P060082</t>
        </is>
      </c>
      <c r="K110" s="240" t="inlineStr">
        <is>
          <t>Sleepy Joe</t>
        </is>
      </c>
      <c r="L110" s="240" t="inlineStr">
        <is>
          <t>Ident A + Ident B + Foreign matter</t>
        </is>
      </c>
      <c r="M110" s="245" t="inlineStr">
        <is>
          <t>—</t>
        </is>
      </c>
      <c r="N110" s="240">
        <f>IFERROR(INDEX('CoQ Register'!$B:$B,MATCH("P060082|R",'CoQ Register'!$S:$S,0)),"—")</f>
        <v/>
      </c>
      <c r="O110" s="245" t="inlineStr">
        <is>
          <t>—</t>
        </is>
      </c>
      <c r="P110" s="240" t="inlineStr">
        <is>
          <t>02.02.2027</t>
        </is>
      </c>
      <c r="Q110" s="240" t="inlineStr">
        <is>
          <t>11.12.2025 – 12.12.2025</t>
        </is>
      </c>
      <c r="R110" s="240" t="inlineStr">
        <is>
          <t>02.02.2026</t>
        </is>
      </c>
      <c r="S110" s="242">
        <f>IFERROR(INDEX('CoQ Register'!$D:$D,MATCH("P060082|R",'CoQ Register'!$S:$S,0)),"")</f>
        <v/>
      </c>
      <c r="T110" s="240" t="inlineStr">
        <is>
          <t>Conforms</t>
        </is>
      </c>
      <c r="U110" s="240" t="inlineStr">
        <is>
          <t>Conforms</t>
        </is>
      </c>
      <c r="V110" s="240" t="inlineStr">
        <is>
          <t>Conforms</t>
        </is>
      </c>
      <c r="W110" s="240" t="inlineStr">
        <is>
          <t>220-27-K-26, (26.08.2026) [FHM-K]</t>
        </is>
      </c>
      <c r="X110" s="240" t="inlineStr">
        <is>
          <t>220-27-K-26, (26.08.2026) [FHM-K]</t>
        </is>
      </c>
      <c r="Y110" s="240" t="inlineStr">
        <is>
          <t>220-27-M-26, (11.09.2026) [FHM-M]</t>
        </is>
      </c>
      <c r="Z110" s="240" t="inlineStr">
        <is>
          <t>#8, #9, #11, #12 from the initial testing</t>
        </is>
      </c>
      <c r="AA110" s="240" t="inlineStr">
        <is>
          <t>P060082|R</t>
        </is>
      </c>
      <c r="AB110" s="247" t="inlineStr">
        <is>
          <t>registered — retest 1 · Tranche 2 (sampled 12–14.08.2026), tested 14.08.2026, issued 17.08.2026</t>
        </is>
      </c>
    </row>
    <row r="111">
      <c r="A111" s="240" t="n">
        <v>121</v>
      </c>
      <c r="B111" s="241" t="inlineStr">
        <is>
          <t>iCoA-PP_26-121</t>
        </is>
      </c>
      <c r="C111" s="246" t="inlineStr">
        <is>
          <t>yes</t>
        </is>
      </c>
      <c r="D111" s="242" t="n">
        <v>46251</v>
      </c>
      <c r="E111" s="242" t="n">
        <v>46246</v>
      </c>
      <c r="F111" s="242">
        <f>IFERROR(INDEX('Batch Dates'!$G:$G,MATCH(J111,'Batch Dates'!$C:$C,0)),IFERROR(INDEX('Batch Dates'!$G:$G,MATCH(I111,'Batch Dates'!$B:$B,0)),""))</f>
        <v/>
      </c>
      <c r="G111" s="240" t="inlineStr">
        <is>
          <t>legacy</t>
        </is>
      </c>
      <c r="H111" s="240" t="inlineStr">
        <is>
          <t>retest 1</t>
        </is>
      </c>
      <c r="I111" s="241" t="inlineStr">
        <is>
          <t>ACC102501</t>
        </is>
      </c>
      <c r="J111" s="240" t="inlineStr">
        <is>
          <t>P060122</t>
        </is>
      </c>
      <c r="K111" s="240" t="inlineStr">
        <is>
          <t>Amnesia Core Cut</t>
        </is>
      </c>
      <c r="L111" s="240" t="inlineStr">
        <is>
          <t>Ident A + Ident B + Foreign matter</t>
        </is>
      </c>
      <c r="M111" s="245" t="inlineStr">
        <is>
          <t>—</t>
        </is>
      </c>
      <c r="N111" s="240">
        <f>IFERROR(INDEX('CoQ Register'!$B:$B,MATCH("P060122|R",'CoQ Register'!$S:$S,0)),"—")</f>
        <v/>
      </c>
      <c r="O111" s="245" t="inlineStr">
        <is>
          <t>—</t>
        </is>
      </c>
      <c r="P111" s="240" t="inlineStr">
        <is>
          <t>18.02.2027</t>
        </is>
      </c>
      <c r="Q111" s="240" t="inlineStr">
        <is>
          <t>09.01.2026</t>
        </is>
      </c>
      <c r="R111" s="240" t="inlineStr">
        <is>
          <t>18.02.2026 – 19.02.2026</t>
        </is>
      </c>
      <c r="S111" s="242">
        <f>IFERROR(INDEX('CoQ Register'!$D:$D,MATCH("P060122|R",'CoQ Register'!$S:$S,0)),"")</f>
        <v/>
      </c>
      <c r="T111" s="240" t="inlineStr">
        <is>
          <t>Conforms</t>
        </is>
      </c>
      <c r="U111" s="240" t="inlineStr">
        <is>
          <t>Conforms</t>
        </is>
      </c>
      <c r="V111" s="240" t="inlineStr">
        <is>
          <t>Conforms</t>
        </is>
      </c>
      <c r="W111" s="240" t="inlineStr">
        <is>
          <t>220-1-K-26, (25.08.2026) [FHM-K]</t>
        </is>
      </c>
      <c r="X111" s="240" t="inlineStr">
        <is>
          <t>220-1-K-26, (25.08.2026) [FHM-K]</t>
        </is>
      </c>
      <c r="Y111" s="240" t="inlineStr">
        <is>
          <t>220-1-M-26, (11.09.2026) [FHM-M]</t>
        </is>
      </c>
      <c r="Z111" s="240" t="inlineStr">
        <is>
          <t>#8, #9, #11, #12 from the initial testing</t>
        </is>
      </c>
      <c r="AA111" s="240" t="inlineStr">
        <is>
          <t>P060122|R</t>
        </is>
      </c>
      <c r="AB111" s="247" t="inlineStr">
        <is>
          <t>registered — retest 1 · Tranche 2 (sampled 12–14.08.2026), tested 12.08.2026, issued 17.08.2026</t>
        </is>
      </c>
    </row>
    <row r="112">
      <c r="A112" s="240" t="n">
        <v>122</v>
      </c>
      <c r="B112" s="241" t="inlineStr">
        <is>
          <t>iCoA-PP_26-122</t>
        </is>
      </c>
      <c r="C112" s="246" t="inlineStr">
        <is>
          <t>yes</t>
        </is>
      </c>
      <c r="D112" s="242" t="n">
        <v>46251</v>
      </c>
      <c r="E112" s="242" t="n">
        <v>46246</v>
      </c>
      <c r="F112" s="242">
        <f>IFERROR(INDEX('Batch Dates'!$G:$G,MATCH(J112,'Batch Dates'!$C:$C,0)),IFERROR(INDEX('Batch Dates'!$G:$G,MATCH(I112,'Batch Dates'!$B:$B,0)),""))</f>
        <v/>
      </c>
      <c r="G112" s="240" t="inlineStr">
        <is>
          <t>legacy</t>
        </is>
      </c>
      <c r="H112" s="240" t="inlineStr">
        <is>
          <t>retest 1</t>
        </is>
      </c>
      <c r="I112" s="241" t="inlineStr">
        <is>
          <t>BSS052501</t>
        </is>
      </c>
      <c r="J112" s="240" t="inlineStr">
        <is>
          <t>P050192</t>
        </is>
      </c>
      <c r="K112" s="240" t="inlineStr">
        <is>
          <t>Blue Sunset Sherbet</t>
        </is>
      </c>
      <c r="L112" s="240" t="inlineStr">
        <is>
          <t>Ident A + Ident B + Foreign matter</t>
        </is>
      </c>
      <c r="M112" s="245" t="inlineStr">
        <is>
          <t>—</t>
        </is>
      </c>
      <c r="N112" s="240">
        <f>IFERROR(INDEX('CoQ Register'!$B:$B,MATCH("P050192|R",'CoQ Register'!$S:$S,0)),"—")</f>
        <v/>
      </c>
      <c r="O112" s="245" t="inlineStr">
        <is>
          <t>—</t>
        </is>
      </c>
      <c r="P112" s="240" t="inlineStr">
        <is>
          <t>10.10.2026</t>
        </is>
      </c>
      <c r="Q112" s="240" t="inlineStr">
        <is>
          <t>01.09.2025 – 03.09.2025</t>
        </is>
      </c>
      <c r="R112" s="240" t="inlineStr">
        <is>
          <t>10.10.2025 – 21.10.2025</t>
        </is>
      </c>
      <c r="S112" s="242">
        <f>IFERROR(INDEX('CoQ Register'!$D:$D,MATCH("P050192|R",'CoQ Register'!$S:$S,0)),"")</f>
        <v/>
      </c>
      <c r="T112" s="240" t="inlineStr">
        <is>
          <t>Conforms</t>
        </is>
      </c>
      <c r="U112" s="240" t="inlineStr">
        <is>
          <t>Conforms</t>
        </is>
      </c>
      <c r="V112" s="240" t="inlineStr">
        <is>
          <t>Conforms</t>
        </is>
      </c>
      <c r="W112" s="240" t="inlineStr">
        <is>
          <t>220-2-K-26, (25.08.2026) [FHM-K]</t>
        </is>
      </c>
      <c r="X112" s="240" t="inlineStr">
        <is>
          <t>220-2-K-26, (25.08.2026) [FHM-K]</t>
        </is>
      </c>
      <c r="Y112" s="240" t="inlineStr">
        <is>
          <t>220-2-M-26, (11.09.2026) [FHM-M]</t>
        </is>
      </c>
      <c r="Z112" s="240" t="inlineStr">
        <is>
          <t>#8, #9, #11, #12 from the initial testing</t>
        </is>
      </c>
      <c r="AA112" s="240" t="inlineStr">
        <is>
          <t>P050192|R</t>
        </is>
      </c>
      <c r="AB112" s="247" t="inlineStr">
        <is>
          <t>registered — retest 1 · Tranche 2 (sampled 12–14.08.2026), tested 12.08.2026, issued 17.08.2026</t>
        </is>
      </c>
    </row>
    <row r="113">
      <c r="A113" s="240" t="n">
        <v>123</v>
      </c>
      <c r="B113" s="241" t="inlineStr">
        <is>
          <t>iCoA-PP_26-123</t>
        </is>
      </c>
      <c r="C113" s="246" t="inlineStr">
        <is>
          <t>yes</t>
        </is>
      </c>
      <c r="D113" s="242" t="n">
        <v>46251</v>
      </c>
      <c r="E113" s="242" t="n">
        <v>46247</v>
      </c>
      <c r="F113" s="242">
        <f>IFERROR(INDEX('Batch Dates'!$G:$G,MATCH(J113,'Batch Dates'!$C:$C,0)),IFERROR(INDEX('Batch Dates'!$G:$G,MATCH(I113,'Batch Dates'!$B:$B,0)),""))</f>
        <v/>
      </c>
      <c r="G113" s="240" t="inlineStr">
        <is>
          <t>legacy</t>
        </is>
      </c>
      <c r="H113" s="240" t="inlineStr">
        <is>
          <t>retest 1</t>
        </is>
      </c>
      <c r="I113" s="241" t="inlineStr">
        <is>
          <t>JD012603/02</t>
        </is>
      </c>
      <c r="J113" s="240" t="inlineStr">
        <is>
          <t>P060412</t>
        </is>
      </c>
      <c r="K113" s="240" t="inlineStr">
        <is>
          <t>Jelly Donuts</t>
        </is>
      </c>
      <c r="L113" s="240" t="inlineStr">
        <is>
          <t>Ident A + Ident B + Foreign matter</t>
        </is>
      </c>
      <c r="M113" s="245" t="inlineStr">
        <is>
          <t>—</t>
        </is>
      </c>
      <c r="N113" s="240">
        <f>IFERROR(INDEX('CoQ Register'!$B:$B,MATCH("P060132|R",'CoQ Register'!$S:$S,0)),"—")</f>
        <v/>
      </c>
      <c r="O113" s="245" t="inlineStr">
        <is>
          <t>—</t>
        </is>
      </c>
      <c r="P113" s="240" t="inlineStr">
        <is>
          <t>19.02.2027</t>
        </is>
      </c>
      <c r="Q113" s="240" t="inlineStr">
        <is>
          <t>09.01.2026</t>
        </is>
      </c>
      <c r="R113" s="240" t="inlineStr">
        <is>
          <t>19.02.2026 – 20.02.2026</t>
        </is>
      </c>
      <c r="S113" s="242">
        <f>IFERROR(INDEX('CoQ Register'!$D:$D,MATCH("P060132|R",'CoQ Register'!$S:$S,0)),"")</f>
        <v/>
      </c>
      <c r="T113" s="240" t="inlineStr">
        <is>
          <t>Conforms</t>
        </is>
      </c>
      <c r="U113" s="240" t="inlineStr">
        <is>
          <t>Conforms</t>
        </is>
      </c>
      <c r="V113" s="240" t="inlineStr">
        <is>
          <t>Conforms</t>
        </is>
      </c>
      <c r="W113" s="240" t="inlineStr">
        <is>
          <t>220-6-K-26, (25.08.2026) [FHM-K]</t>
        </is>
      </c>
      <c r="X113" s="240" t="inlineStr">
        <is>
          <t>220-6-K-26, (25.08.2026) [FHM-K]</t>
        </is>
      </c>
      <c r="Y113" s="240" t="inlineStr">
        <is>
          <t>220-6-M-26, (11.09.2026) [FHM-M]</t>
        </is>
      </c>
      <c r="Z113" s="240" t="inlineStr">
        <is>
          <t>#8, #9, #11, #12 from the initial testing</t>
        </is>
      </c>
      <c r="AA113" s="240" t="inlineStr">
        <is>
          <t>P060132|R</t>
        </is>
      </c>
      <c r="AB113" s="247" t="inlineStr">
        <is>
          <t>registered — retest 1 · Tranche 2 (sampled 12–14.08.2026), tested 12.08.2026, issued 17.08.2026</t>
        </is>
      </c>
    </row>
    <row r="114">
      <c r="A114" s="240" t="n">
        <v>124</v>
      </c>
      <c r="B114" s="241" t="inlineStr">
        <is>
          <t>iCoA-PP_26-124</t>
        </is>
      </c>
      <c r="C114" s="246" t="inlineStr">
        <is>
          <t>yes</t>
        </is>
      </c>
      <c r="D114" s="242" t="n">
        <v>46251</v>
      </c>
      <c r="E114" s="242" t="n">
        <v>46246</v>
      </c>
      <c r="F114" s="242">
        <f>IFERROR(INDEX('Batch Dates'!$G:$G,MATCH(J114,'Batch Dates'!$C:$C,0)),IFERROR(INDEX('Batch Dates'!$G:$G,MATCH(I114,'Batch Dates'!$B:$B,0)),""))</f>
        <v/>
      </c>
      <c r="G114" s="240" t="inlineStr">
        <is>
          <t>legacy</t>
        </is>
      </c>
      <c r="H114" s="240" t="inlineStr">
        <is>
          <t>retest 2</t>
        </is>
      </c>
      <c r="I114" s="241" t="inlineStr">
        <is>
          <t>CJ062501/1</t>
        </is>
      </c>
      <c r="J114" s="240" t="inlineStr">
        <is>
          <t>P050222</t>
        </is>
      </c>
      <c r="K114" s="240" t="inlineStr">
        <is>
          <t>Cap Junky</t>
        </is>
      </c>
      <c r="L114" s="240" t="inlineStr">
        <is>
          <t>Ident A + Ident B + Foreign matter</t>
        </is>
      </c>
      <c r="M114" s="245" t="inlineStr">
        <is>
          <t>—</t>
        </is>
      </c>
      <c r="N114" s="240">
        <f>IFERROR(INDEX('CoQ Register'!$B:$B,MATCH("P050222|R2",'CoQ Register'!$S:$S,0)),"—")</f>
        <v/>
      </c>
      <c r="O114" s="245" t="inlineStr">
        <is>
          <t>—</t>
        </is>
      </c>
      <c r="P114" s="240" t="inlineStr">
        <is>
          <t>24.11.2026</t>
        </is>
      </c>
      <c r="Q114" s="240" t="inlineStr">
        <is>
          <t>23.09.2025</t>
        </is>
      </c>
      <c r="R114" s="240" t="inlineStr">
        <is>
          <t>24.11.2025 – 25.11.2025</t>
        </is>
      </c>
      <c r="S114" s="242">
        <f>IFERROR(INDEX('CoQ Register'!$D:$D,MATCH("P050222|R2",'CoQ Register'!$S:$S,0)),"")</f>
        <v/>
      </c>
      <c r="T114" s="240" t="inlineStr">
        <is>
          <t>Conforms</t>
        </is>
      </c>
      <c r="U114" s="240" t="inlineStr">
        <is>
          <t>Conforms</t>
        </is>
      </c>
      <c r="V114" s="240" t="inlineStr">
        <is>
          <t>Conforms</t>
        </is>
      </c>
      <c r="W114" s="240" t="inlineStr">
        <is>
          <t>220-3-K-26, (25.08.2026) [FHM-K]</t>
        </is>
      </c>
      <c r="X114" s="240" t="inlineStr">
        <is>
          <t>220-3-K-26, (25.08.2026) [FHM-K]</t>
        </is>
      </c>
      <c r="Y114" s="240" t="inlineStr">
        <is>
          <t>220-3-M-26, (11.09.2026) [FHM-M]</t>
        </is>
      </c>
      <c r="Z114" s="240" t="inlineStr">
        <is>
          <t>#8, #9, #11, #12 from the initial testing</t>
        </is>
      </c>
      <c r="AA114" s="240" t="inlineStr">
        <is>
          <t>P050222|R2</t>
        </is>
      </c>
      <c r="AB114" s="247" t="inlineStr">
        <is>
          <t>registered — retest 2 · Tranche 2 (sampled 12–14.08.2026), tested 12.08.2026, issued 17.08.2026</t>
        </is>
      </c>
    </row>
    <row r="115">
      <c r="A115" s="240" t="n">
        <v>125</v>
      </c>
      <c r="B115" s="241" t="inlineStr">
        <is>
          <t>iCoA-PP_26-125</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CJ082501/1</t>
        </is>
      </c>
      <c r="J115" s="240" t="inlineStr">
        <is>
          <t>P060022</t>
        </is>
      </c>
      <c r="K115" s="240" t="inlineStr">
        <is>
          <t>Cap Junky</t>
        </is>
      </c>
      <c r="L115" s="240" t="inlineStr">
        <is>
          <t>Ident A + Ident B + Foreign matter</t>
        </is>
      </c>
      <c r="M115" s="245" t="inlineStr">
        <is>
          <t>—</t>
        </is>
      </c>
      <c r="N115" s="240">
        <f>IFERROR(INDEX('CoQ Register'!$B:$B,MATCH("P060022|R",'CoQ Register'!$S:$S,0)),"—")</f>
        <v/>
      </c>
      <c r="O115" s="245" t="inlineStr">
        <is>
          <t>—</t>
        </is>
      </c>
      <c r="P115" s="240" t="inlineStr">
        <is>
          <t>16.01.2027</t>
        </is>
      </c>
      <c r="Q115" s="240" t="inlineStr">
        <is>
          <t>09.12.2025 – 10.12.2025</t>
        </is>
      </c>
      <c r="R115" s="240" t="inlineStr">
        <is>
          <t>16.01.2026</t>
        </is>
      </c>
      <c r="S115" s="242">
        <f>IFERROR(INDEX('CoQ Register'!$D:$D,MATCH("P060022|R",'CoQ Register'!$S:$S,0)),"")</f>
        <v/>
      </c>
      <c r="T115" s="240" t="inlineStr">
        <is>
          <t>Conforms</t>
        </is>
      </c>
      <c r="U115" s="240" t="inlineStr">
        <is>
          <t>Conforms</t>
        </is>
      </c>
      <c r="V115" s="240" t="inlineStr">
        <is>
          <t>Conforms</t>
        </is>
      </c>
      <c r="W115" s="240" t="inlineStr">
        <is>
          <t>220-4-K-26, (25.08.2026) [FHM-K]</t>
        </is>
      </c>
      <c r="X115" s="240" t="inlineStr">
        <is>
          <t>220-4-K-26, (25.08.2026) [FHM-K]</t>
        </is>
      </c>
      <c r="Y115" s="240" t="inlineStr">
        <is>
          <t>220-4-M-26, (11.09.2026) [FHM-M]</t>
        </is>
      </c>
      <c r="Z115" s="240" t="inlineStr">
        <is>
          <t>#8, #9, #11, #12 from the initial testing</t>
        </is>
      </c>
      <c r="AA115" s="240" t="inlineStr">
        <is>
          <t>P060022|R</t>
        </is>
      </c>
      <c r="AB115" s="247" t="inlineStr">
        <is>
          <t>registered — retest 1 · Tranche 2 (sampled 12–14.08.2026), tested 12.08.2026, issued 17.08.2026</t>
        </is>
      </c>
    </row>
    <row r="116">
      <c r="A116" s="240" t="n">
        <v>126</v>
      </c>
      <c r="B116" s="241" t="inlineStr">
        <is>
          <t>iCoA-PP_26-126</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CJ092501</t>
        </is>
      </c>
      <c r="J116" s="240" t="inlineStr">
        <is>
          <t>P060072</t>
        </is>
      </c>
      <c r="K116" s="240" t="inlineStr">
        <is>
          <t>Cap Junky</t>
        </is>
      </c>
      <c r="L116" s="240" t="inlineStr">
        <is>
          <t>Ident A + Ident B + Foreign matter</t>
        </is>
      </c>
      <c r="M116" s="245" t="inlineStr">
        <is>
          <t>—</t>
        </is>
      </c>
      <c r="N116" s="240">
        <f>IFERROR(INDEX('CoQ Register'!$B:$B,MATCH("P060072|R",'CoQ Register'!$S:$S,0)),"—")</f>
        <v/>
      </c>
      <c r="O116" s="245" t="inlineStr">
        <is>
          <t>—</t>
        </is>
      </c>
      <c r="P116" s="240" t="inlineStr">
        <is>
          <t>02.02.2027</t>
        </is>
      </c>
      <c r="Q116" s="240" t="inlineStr">
        <is>
          <t>12.12.2025</t>
        </is>
      </c>
      <c r="R116" s="240" t="inlineStr">
        <is>
          <t>02.02.2026</t>
        </is>
      </c>
      <c r="S116" s="242">
        <f>IFERROR(INDEX('CoQ Register'!$D:$D,MATCH("P060072|R",'CoQ Register'!$S:$S,0)),"")</f>
        <v/>
      </c>
      <c r="T116" s="240" t="inlineStr">
        <is>
          <t>Conforms</t>
        </is>
      </c>
      <c r="U116" s="240" t="inlineStr">
        <is>
          <t>Conforms</t>
        </is>
      </c>
      <c r="V116" s="240" t="inlineStr">
        <is>
          <t>Conforms</t>
        </is>
      </c>
      <c r="W116" s="240" t="inlineStr">
        <is>
          <t>220-5-K-26, (25.08.2026) [FHM-K]</t>
        </is>
      </c>
      <c r="X116" s="240" t="inlineStr">
        <is>
          <t>220-5-K-26, (25.08.2026) [FHM-K]</t>
        </is>
      </c>
      <c r="Y116" s="240" t="inlineStr">
        <is>
          <t>220-5-M-26, (11.09.2026) [FHM-M]</t>
        </is>
      </c>
      <c r="Z116" s="240" t="inlineStr">
        <is>
          <t>#8, #9, #11, #12 from the initial testing</t>
        </is>
      </c>
      <c r="AA116" s="240" t="inlineStr">
        <is>
          <t>P060072|R</t>
        </is>
      </c>
      <c r="AB116" s="247" t="inlineStr">
        <is>
          <t>registered — retest 1 · Tranche 2 (sampled 12–14.08.2026), tested 12.08.2026, issued 17.08.2026</t>
        </is>
      </c>
    </row>
    <row r="117">
      <c r="A117" s="240" t="n">
        <v>127</v>
      </c>
      <c r="B117" s="241" t="inlineStr">
        <is>
          <t>iCoA-PP_26-127</t>
        </is>
      </c>
      <c r="C117" s="246" t="inlineStr">
        <is>
          <t>yes</t>
        </is>
      </c>
      <c r="D117" s="242" t="n">
        <v>46176</v>
      </c>
      <c r="E117" s="242" t="n">
        <v>45931</v>
      </c>
      <c r="F117" s="242">
        <f>IFERROR(INDEX('Batch Dates'!$G:$G,MATCH(J117,'Batch Dates'!$C:$C,0)),IFERROR(INDEX('Batch Dates'!$G:$G,MATCH(I117,'Batch Dates'!$B:$B,0)),""))</f>
        <v/>
      </c>
      <c r="G117" s="240" t="inlineStr">
        <is>
          <t>legacy</t>
        </is>
      </c>
      <c r="H117" s="240" t="inlineStr">
        <is>
          <t>initial release</t>
        </is>
      </c>
      <c r="I117" s="241" t="inlineStr">
        <is>
          <t>CJ052501-2</t>
        </is>
      </c>
      <c r="J117" s="240" t="inlineStr">
        <is>
          <t>P050172</t>
        </is>
      </c>
      <c r="K117" s="240" t="inlineStr">
        <is>
          <t>Cap Junky</t>
        </is>
      </c>
      <c r="L117" s="240" t="inlineStr">
        <is>
          <t>Ident A + Ident B + Foreign matter</t>
        </is>
      </c>
      <c r="M117" s="245" t="inlineStr">
        <is>
          <t>—</t>
        </is>
      </c>
      <c r="N117" s="240">
        <f>IFERROR(INDEX('CoQ Register'!$B:$B,MATCH("P050172|I",'CoQ Register'!$S:$S,0)),"—")</f>
        <v/>
      </c>
      <c r="O117" s="245" t="inlineStr">
        <is>
          <t>—</t>
        </is>
      </c>
      <c r="P117" s="240" t="inlineStr">
        <is>
          <t>17.09.2025</t>
        </is>
      </c>
      <c r="Q117" s="240" t="inlineStr">
        <is>
          <t>20.08.2025</t>
        </is>
      </c>
      <c r="R117" s="240" t="inlineStr">
        <is>
          <t>01.10.2025 – 02.10.2025 (the issuance plan's basis: 17.09.2025)</t>
        </is>
      </c>
      <c r="S117" s="242">
        <f>IFERROR(INDEX('CoQ Register'!$D:$D,MATCH("P050172|I",'CoQ Register'!$S:$S,0)),"")</f>
        <v/>
      </c>
      <c r="T117" s="240" t="inlineStr">
        <is>
          <t>Conforms</t>
        </is>
      </c>
      <c r="U117" s="240" t="inlineStr">
        <is>
          <t>Conforms</t>
        </is>
      </c>
      <c r="V117" s="240" t="inlineStr">
        <is>
          <t>Conforms</t>
        </is>
      </c>
      <c r="W117" s="240" t="inlineStr">
        <is>
          <t>ППК25281, (17.09.2025) [CNP]</t>
        </is>
      </c>
      <c r="X117" s="240" t="inlineStr">
        <is>
          <t>—</t>
        </is>
      </c>
      <c r="Y117" s="240" t="inlineStr">
        <is>
          <t>—</t>
        </is>
      </c>
      <c r="Z117" s="240" t="inlineStr">
        <is>
          <t>—</t>
        </is>
      </c>
      <c r="AA117" s="240" t="inlineStr">
        <is>
          <t>P050172|I</t>
        </is>
      </c>
      <c r="AB117" s="247" t="inlineStr">
        <is>
          <t>registered — initial release, issued 03.06.2026</t>
        </is>
      </c>
    </row>
    <row r="118">
      <c r="A118" s="240" t="n">
        <v>128</v>
      </c>
      <c r="B118" s="241" t="inlineStr">
        <is>
          <t>iCoA-PP_26-128</t>
        </is>
      </c>
      <c r="C118" s="246" t="inlineStr">
        <is>
          <t>yes</t>
        </is>
      </c>
      <c r="D118" s="242" t="n">
        <v>46251</v>
      </c>
      <c r="E118" s="242" t="n">
        <v>46246</v>
      </c>
      <c r="F118" s="242">
        <f>IFERROR(INDEX('Batch Dates'!$G:$G,MATCH(J118,'Batch Dates'!$C:$C,0)),IFERROR(INDEX('Batch Dates'!$G:$G,MATCH(I118,'Batch Dates'!$B:$B,0)),""))</f>
        <v/>
      </c>
      <c r="G118" s="240" t="inlineStr">
        <is>
          <t>post-SOP</t>
        </is>
      </c>
      <c r="H118" s="240" t="inlineStr">
        <is>
          <t>retest 1</t>
        </is>
      </c>
      <c r="I118" s="241" t="inlineStr">
        <is>
          <t>FB012601/1</t>
        </is>
      </c>
      <c r="J118" s="240" t="inlineStr">
        <is>
          <t>P060322</t>
        </is>
      </c>
      <c r="K118" s="240" t="inlineStr">
        <is>
          <t>Fat Bastard</t>
        </is>
      </c>
      <c r="L118" s="240" t="inlineStr">
        <is>
          <t>Ident A + Ident B + Foreign matter</t>
        </is>
      </c>
      <c r="M118" s="245" t="inlineStr">
        <is>
          <t>—</t>
        </is>
      </c>
      <c r="N118" s="240">
        <f>IFERROR(INDEX('CoQ Register'!$B:$B,MATCH("P060322|R",'CoQ Register'!$S:$S,0)),"—")</f>
        <v/>
      </c>
      <c r="O118" s="245" t="inlineStr">
        <is>
          <t>—</t>
        </is>
      </c>
      <c r="P118" s="240" t="inlineStr">
        <is>
          <t>22.05.2027</t>
        </is>
      </c>
      <c r="Q118" s="240" t="inlineStr">
        <is>
          <t>27.03.2026</t>
        </is>
      </c>
      <c r="R118" s="240" t="inlineStr">
        <is>
          <t>22.05.2026</t>
        </is>
      </c>
      <c r="S118" s="242">
        <f>IFERROR(INDEX('CoQ Register'!$D:$D,MATCH("P060322|R",'CoQ Register'!$S:$S,0)),"")</f>
        <v/>
      </c>
      <c r="T118" s="240" t="inlineStr">
        <is>
          <t>Conforms</t>
        </is>
      </c>
      <c r="U118" s="240" t="inlineStr">
        <is>
          <t>Conforms</t>
        </is>
      </c>
      <c r="V118" s="240" t="inlineStr">
        <is>
          <t>Conforms</t>
        </is>
      </c>
      <c r="W118" s="240" t="inlineStr">
        <is>
          <t>220-8-K-26, (25.08.2026) [FHM-K]</t>
        </is>
      </c>
      <c r="X118" s="240" t="inlineStr">
        <is>
          <t>220-8-K-26, (25.08.2026) [FHM-K]</t>
        </is>
      </c>
      <c r="Y118" s="240" t="inlineStr">
        <is>
          <t>220-8-M-26, (11.09.2026) [FHM-M]</t>
        </is>
      </c>
      <c r="Z118" s="240" t="inlineStr">
        <is>
          <t>#8, #9, #11, #12 from the initial testing</t>
        </is>
      </c>
      <c r="AA118" s="240" t="inlineStr">
        <is>
          <t>P060322|R</t>
        </is>
      </c>
      <c r="AB118" s="247" t="inlineStr">
        <is>
          <t>registered — retest 1 · Tranche 2 (sampled 12–14.08.2026), tested 12.08.2026, issued 17.08.2026</t>
        </is>
      </c>
    </row>
    <row r="119">
      <c r="A119" s="240" t="n">
        <v>129</v>
      </c>
      <c r="B119" s="241" t="inlineStr">
        <is>
          <t>iCoA-PP_26-129</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GG1024</t>
        </is>
      </c>
      <c r="J119" s="240" t="inlineStr">
        <is>
          <t>GG1024</t>
        </is>
      </c>
      <c r="K119" s="240" t="inlineStr">
        <is>
          <t>Gorilla Glue</t>
        </is>
      </c>
      <c r="L119" s="240" t="inlineStr">
        <is>
          <t>Ident A + Ident B + Foreign matter</t>
        </is>
      </c>
      <c r="M119" s="245" t="inlineStr">
        <is>
          <t>—</t>
        </is>
      </c>
      <c r="N119" s="240">
        <f>IFERROR(INDEX('CoQ Register'!$B:$B,MATCH("GG1024|R",'CoQ Register'!$S:$S,0)),"—")</f>
        <v/>
      </c>
      <c r="O119" s="245" t="inlineStr">
        <is>
          <t>—</t>
        </is>
      </c>
      <c r="P119" s="240" t="inlineStr">
        <is>
          <t>11.03.2026</t>
        </is>
      </c>
      <c r="Q119" s="240" t="inlineStr">
        <is>
          <t>20.01.2025</t>
        </is>
      </c>
      <c r="R119" s="240" t="inlineStr">
        <is>
          <t>11.03.2025</t>
        </is>
      </c>
      <c r="S119" s="242">
        <f>IFERROR(INDEX('CoQ Register'!$D:$D,MATCH("GG1024|R",'CoQ Register'!$S:$S,0)),"")</f>
        <v/>
      </c>
      <c r="T119" s="240" t="inlineStr">
        <is>
          <t>Conforms</t>
        </is>
      </c>
      <c r="U119" s="240" t="inlineStr">
        <is>
          <t>Conforms</t>
        </is>
      </c>
      <c r="V119" s="240" t="inlineStr">
        <is>
          <t>Conforms</t>
        </is>
      </c>
      <c r="W119" s="240" t="inlineStr">
        <is>
          <t>220-9-K-26, (25.08.2026) [FHM-K]</t>
        </is>
      </c>
      <c r="X119" s="240" t="inlineStr">
        <is>
          <t>220-9-K-26, (25.08.2026) [FHM-K]</t>
        </is>
      </c>
      <c r="Y119" s="240" t="inlineStr">
        <is>
          <t>220-9-M-26, (11.09.2026) [FHM-M]</t>
        </is>
      </c>
      <c r="Z119" s="240" t="inlineStr">
        <is>
          <t>#8, #9, #11, #12 from the initial testing</t>
        </is>
      </c>
      <c r="AA119" s="240" t="inlineStr">
        <is>
          <t>GG1024|R</t>
        </is>
      </c>
      <c r="AB119" s="247" t="inlineStr">
        <is>
          <t>registered — retest 1 · Tranche 2 (sampled 12–14.08.2026), tested 12.08.2026, issued 17.08.2026</t>
        </is>
      </c>
    </row>
    <row r="120">
      <c r="A120" s="240" t="n">
        <v>130</v>
      </c>
      <c r="B120" s="241" t="inlineStr">
        <is>
          <t>iCoA-PP_26-130</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GP072501/2</t>
        </is>
      </c>
      <c r="J120" s="240" t="inlineStr">
        <is>
          <t>P050302</t>
        </is>
      </c>
      <c r="K120" s="240" t="inlineStr">
        <is>
          <t>Grape Pie</t>
        </is>
      </c>
      <c r="L120" s="240" t="inlineStr">
        <is>
          <t>Ident A + Ident B + Foreign matter</t>
        </is>
      </c>
      <c r="M120" s="245" t="inlineStr">
        <is>
          <t>—</t>
        </is>
      </c>
      <c r="N120" s="240">
        <f>IFERROR(INDEX('CoQ Register'!$B:$B,MATCH("P050302|R",'CoQ Register'!$S:$S,0)),"—")</f>
        <v/>
      </c>
      <c r="O120" s="245" t="inlineStr">
        <is>
          <t>—</t>
        </is>
      </c>
      <c r="P120" s="240" t="inlineStr">
        <is>
          <t>22.12.2026</t>
        </is>
      </c>
      <c r="Q120" s="240" t="inlineStr">
        <is>
          <t>13.11.2025</t>
        </is>
      </c>
      <c r="R120" s="240" t="inlineStr">
        <is>
          <t>22.12.2025</t>
        </is>
      </c>
      <c r="S120" s="242">
        <f>IFERROR(INDEX('CoQ Register'!$D:$D,MATCH("P050302|R",'CoQ Register'!$S:$S,0)),"")</f>
        <v/>
      </c>
      <c r="T120" s="240" t="inlineStr">
        <is>
          <t>Conforms</t>
        </is>
      </c>
      <c r="U120" s="240" t="inlineStr">
        <is>
          <t>Conforms</t>
        </is>
      </c>
      <c r="V120" s="240" t="inlineStr">
        <is>
          <t>Conforms</t>
        </is>
      </c>
      <c r="W120" s="240" t="inlineStr">
        <is>
          <t>220-10-K-26, (25.08.2026) [FHM-K]</t>
        </is>
      </c>
      <c r="X120" s="240" t="inlineStr">
        <is>
          <t>220-10-K-26, (25.08.2026) [FHM-K]</t>
        </is>
      </c>
      <c r="Y120" s="240" t="inlineStr">
        <is>
          <t>220-10-M-26, (11.09.2026) [FHM-M]</t>
        </is>
      </c>
      <c r="Z120" s="240" t="inlineStr">
        <is>
          <t>#8, #9, #11, #12 from the initial testing</t>
        </is>
      </c>
      <c r="AA120" s="240" t="inlineStr">
        <is>
          <t>P050302|R</t>
        </is>
      </c>
      <c r="AB120" s="247" t="inlineStr">
        <is>
          <t>registered — retest 1 · Tranche 2 (sampled 12–14.08.2026), tested 12.08.2026, issued 17.08.2026</t>
        </is>
      </c>
    </row>
    <row r="121">
      <c r="A121" s="240" t="n">
        <v>131</v>
      </c>
      <c r="B121" s="241" t="inlineStr">
        <is>
          <t>iCoA-PP_26-131</t>
        </is>
      </c>
      <c r="C121" s="246" t="inlineStr">
        <is>
          <t>yes</t>
        </is>
      </c>
      <c r="D121" s="242" t="n">
        <v>46251</v>
      </c>
      <c r="E121" s="242" t="n">
        <v>46246</v>
      </c>
      <c r="F121" s="242">
        <f>IFERROR(INDEX('Batch Dates'!$G:$G,MATCH(J121,'Batch Dates'!$C:$C,0)),IFERROR(INDEX('Batch Dates'!$G:$G,MATCH(I121,'Batch Dates'!$B:$B,0)),""))</f>
        <v/>
      </c>
      <c r="G121" s="240" t="inlineStr">
        <is>
          <t>legacy</t>
        </is>
      </c>
      <c r="H121" s="240" t="inlineStr">
        <is>
          <t>retest 4</t>
        </is>
      </c>
      <c r="I121" s="241" t="inlineStr">
        <is>
          <t>GP0824_03</t>
        </is>
      </c>
      <c r="J121" s="240" t="inlineStr">
        <is>
          <t>P050072</t>
        </is>
      </c>
      <c r="K121" s="240" t="inlineStr">
        <is>
          <t>Grape Pie</t>
        </is>
      </c>
      <c r="L121" s="240" t="inlineStr">
        <is>
          <t>Ident A + Ident B + Foreign matter</t>
        </is>
      </c>
      <c r="M121" s="245" t="inlineStr">
        <is>
          <t>—</t>
        </is>
      </c>
      <c r="N121" s="240">
        <f>IFERROR(INDEX('CoQ Register'!$B:$B,MATCH("P050072|R4",'CoQ Register'!$S:$S,0)),"—")</f>
        <v/>
      </c>
      <c r="O121" s="245" t="inlineStr">
        <is>
          <t>—</t>
        </is>
      </c>
      <c r="P121" s="240" t="inlineStr">
        <is>
          <t>14.07.2026</t>
        </is>
      </c>
      <c r="Q121" s="240" t="inlineStr">
        <is>
          <t>09.06.2025 – 10.06.2025</t>
        </is>
      </c>
      <c r="R121" s="240" t="inlineStr">
        <is>
          <t>14.07.2025 – 17.07.2025</t>
        </is>
      </c>
      <c r="S121" s="242">
        <f>IFERROR(INDEX('CoQ Register'!$D:$D,MATCH("P050072|R4",'CoQ Register'!$S:$S,0)),"")</f>
        <v/>
      </c>
      <c r="T121" s="240" t="inlineStr">
        <is>
          <t>Conforms</t>
        </is>
      </c>
      <c r="U121" s="240" t="inlineStr">
        <is>
          <t>Conforms</t>
        </is>
      </c>
      <c r="V121" s="240" t="inlineStr">
        <is>
          <t>Conforms</t>
        </is>
      </c>
      <c r="W121" s="240" t="inlineStr">
        <is>
          <t>220-11-K-26, (25.08.2026) [FHM-K]</t>
        </is>
      </c>
      <c r="X121" s="240" t="inlineStr">
        <is>
          <t>220-11-K-26, (25.08.2026) [FHM-K]</t>
        </is>
      </c>
      <c r="Y121" s="240" t="inlineStr">
        <is>
          <t>220-11-M-26, (11.09.2026) [FHM-M]</t>
        </is>
      </c>
      <c r="Z121" s="240" t="inlineStr">
        <is>
          <t>#8, #9, #11, #12 from the initial testing</t>
        </is>
      </c>
      <c r="AA121" s="240" t="inlineStr">
        <is>
          <t>P050072|R4</t>
        </is>
      </c>
      <c r="AB121" s="247" t="inlineStr">
        <is>
          <t>registered — retest 4 · Tranche 2 (sampled 12–14.08.2026), tested 12.08.2026, issued 17.08.2026</t>
        </is>
      </c>
    </row>
    <row r="122">
      <c r="A122" s="240" t="n">
        <v>132</v>
      </c>
      <c r="B122" s="241" t="inlineStr">
        <is>
          <t>iCoA-PP_26-132</t>
        </is>
      </c>
      <c r="C122" s="246" t="inlineStr">
        <is>
          <t>yes</t>
        </is>
      </c>
      <c r="D122" s="242" t="n">
        <v>46251</v>
      </c>
      <c r="E122" s="242" t="n">
        <v>46247</v>
      </c>
      <c r="F122" s="242">
        <f>IFERROR(INDEX('Batch Dates'!$G:$G,MATCH(J122,'Batch Dates'!$C:$C,0)),IFERROR(INDEX('Batch Dates'!$G:$G,MATCH(I122,'Batch Dates'!$B:$B,0)),""))</f>
        <v/>
      </c>
      <c r="G122" s="240" t="inlineStr">
        <is>
          <t>legacy</t>
        </is>
      </c>
      <c r="H122" s="240" t="inlineStr">
        <is>
          <t>retest 1</t>
        </is>
      </c>
      <c r="I122" s="241" t="inlineStr">
        <is>
          <t>GP082501/1</t>
        </is>
      </c>
      <c r="J122" s="240" t="inlineStr">
        <is>
          <t>P050312</t>
        </is>
      </c>
      <c r="K122" s="240" t="inlineStr">
        <is>
          <t>Grape Pie</t>
        </is>
      </c>
      <c r="L122" s="240" t="inlineStr">
        <is>
          <t>Ident A + Ident B + Foreign matter</t>
        </is>
      </c>
      <c r="M122" s="245" t="inlineStr">
        <is>
          <t>—</t>
        </is>
      </c>
      <c r="N122" s="240">
        <f>IFERROR(INDEX('CoQ Register'!$B:$B,MATCH("P050312|R",'CoQ Register'!$S:$S,0)),"—")</f>
        <v/>
      </c>
      <c r="O122" s="245" t="inlineStr">
        <is>
          <t>—</t>
        </is>
      </c>
      <c r="P122" s="240" t="inlineStr">
        <is>
          <t>23.12.2026</t>
        </is>
      </c>
      <c r="Q122" s="240" t="inlineStr">
        <is>
          <t>19.11.2025 – 20.11.2025</t>
        </is>
      </c>
      <c r="R122" s="240" t="inlineStr">
        <is>
          <t>23.12.2025 – 26.12.2025</t>
        </is>
      </c>
      <c r="S122" s="242">
        <f>IFERROR(INDEX('CoQ Register'!$D:$D,MATCH("P050312|R",'CoQ Register'!$S:$S,0)),"")</f>
        <v/>
      </c>
      <c r="T122" s="240" t="inlineStr">
        <is>
          <t>Conforms</t>
        </is>
      </c>
      <c r="U122" s="240" t="inlineStr">
        <is>
          <t>Conforms</t>
        </is>
      </c>
      <c r="V122" s="240" t="inlineStr">
        <is>
          <t>Conforms</t>
        </is>
      </c>
      <c r="W122" s="240" t="inlineStr">
        <is>
          <t>220-12-K-26, (25.08.2026) [FHM-K]</t>
        </is>
      </c>
      <c r="X122" s="240" t="inlineStr">
        <is>
          <t>220-12-K-26, (25.08.2026) [FHM-K]</t>
        </is>
      </c>
      <c r="Y122" s="240" t="inlineStr">
        <is>
          <t>220-12-M-26, (11.09.2026) [FHM-M]</t>
        </is>
      </c>
      <c r="Z122" s="240" t="inlineStr">
        <is>
          <t>#8, #9, #11, #12 from the initial testing</t>
        </is>
      </c>
      <c r="AA122" s="240" t="inlineStr">
        <is>
          <t>P050312|R</t>
        </is>
      </c>
      <c r="AB122" s="247" t="inlineStr">
        <is>
          <t>registered — retest 1 · Tranche 2 (sampled 12–14.08.2026), tested 13.08.2026, issued 17.08.2026</t>
        </is>
      </c>
    </row>
    <row r="123">
      <c r="A123" s="240" t="n">
        <v>133</v>
      </c>
      <c r="B123" s="241" t="inlineStr">
        <is>
          <t>iCoA-PP_26-133</t>
        </is>
      </c>
      <c r="C123" s="246" t="inlineStr">
        <is>
          <t>yes</t>
        </is>
      </c>
      <c r="D123" s="242" t="n">
        <v>46251</v>
      </c>
      <c r="E123" s="242" t="n">
        <v>46247</v>
      </c>
      <c r="F123" s="242">
        <f>IFERROR(INDEX('Batch Dates'!$G:$G,MATCH(J123,'Batch Dates'!$C:$C,0)),IFERROR(INDEX('Batch Dates'!$G:$G,MATCH(I123,'Batch Dates'!$B:$B,0)),""))</f>
        <v/>
      </c>
      <c r="G123" s="240" t="inlineStr">
        <is>
          <t>legacy</t>
        </is>
      </c>
      <c r="H123" s="240" t="inlineStr">
        <is>
          <t>retest 1</t>
        </is>
      </c>
      <c r="I123" s="241" t="inlineStr">
        <is>
          <t>GP092501</t>
        </is>
      </c>
      <c r="J123" s="240" t="inlineStr">
        <is>
          <t>P060092</t>
        </is>
      </c>
      <c r="K123" s="240" t="inlineStr">
        <is>
          <t>Grape Pie</t>
        </is>
      </c>
      <c r="L123" s="240" t="inlineStr">
        <is>
          <t>Ident A + Ident B + Foreign matter</t>
        </is>
      </c>
      <c r="M123" s="245" t="inlineStr">
        <is>
          <t>—</t>
        </is>
      </c>
      <c r="N123" s="240">
        <f>IFERROR(INDEX('CoQ Register'!$B:$B,MATCH("P060092|R",'CoQ Register'!$S:$S,0)),"—")</f>
        <v/>
      </c>
      <c r="O123" s="245" t="inlineStr">
        <is>
          <t>—</t>
        </is>
      </c>
      <c r="P123" s="240" t="inlineStr">
        <is>
          <t>03.02.2027</t>
        </is>
      </c>
      <c r="Q123" s="240" t="inlineStr">
        <is>
          <t>16.12.2025 – 17.12.2025</t>
        </is>
      </c>
      <c r="R123" s="240" t="inlineStr">
        <is>
          <t>03.02.2026 – 09.02.2026</t>
        </is>
      </c>
      <c r="S123" s="242">
        <f>IFERROR(INDEX('CoQ Register'!$D:$D,MATCH("P060092|R",'CoQ Register'!$S:$S,0)),"")</f>
        <v/>
      </c>
      <c r="T123" s="240" t="inlineStr">
        <is>
          <t>Conforms</t>
        </is>
      </c>
      <c r="U123" s="240" t="inlineStr">
        <is>
          <t>Conforms</t>
        </is>
      </c>
      <c r="V123" s="240" t="inlineStr">
        <is>
          <t>Conforms</t>
        </is>
      </c>
      <c r="W123" s="240" t="inlineStr">
        <is>
          <t>220-13-K-26, (25.08.2026) [FHM-K]</t>
        </is>
      </c>
      <c r="X123" s="240" t="inlineStr">
        <is>
          <t>220-13-K-26, (25.08.2026) [FHM-K]</t>
        </is>
      </c>
      <c r="Y123" s="240" t="inlineStr">
        <is>
          <t>220-13-M-26, (11.09.2026) [FHM-M]</t>
        </is>
      </c>
      <c r="Z123" s="240" t="inlineStr">
        <is>
          <t>#8, #9, #11, #12 from the initial testing</t>
        </is>
      </c>
      <c r="AA123" s="240" t="inlineStr">
        <is>
          <t>P060092|R</t>
        </is>
      </c>
      <c r="AB123" s="247" t="inlineStr">
        <is>
          <t>registered — retest 1 · Tranche 2 (sampled 12–14.08.2026), tested 13.08.2026, issued 17.08.2026</t>
        </is>
      </c>
    </row>
    <row r="124">
      <c r="A124" s="240" t="n">
        <v>134</v>
      </c>
      <c r="B124" s="241" t="inlineStr">
        <is>
          <t>iCoA-PP_26-134</t>
        </is>
      </c>
      <c r="C124" s="246" t="inlineStr">
        <is>
          <t>yes</t>
        </is>
      </c>
      <c r="D124" s="242" t="n">
        <v>46251</v>
      </c>
      <c r="E124" s="242" t="n">
        <v>46247</v>
      </c>
      <c r="F124" s="242">
        <f>IFERROR(INDEX('Batch Dates'!$G:$G,MATCH(J124,'Batch Dates'!$C:$C,0)),IFERROR(INDEX('Batch Dates'!$G:$G,MATCH(I124,'Batch Dates'!$B:$B,0)),""))</f>
        <v/>
      </c>
      <c r="G124" s="240" t="inlineStr">
        <is>
          <t>legacy</t>
        </is>
      </c>
      <c r="H124" s="240" t="inlineStr">
        <is>
          <t>retest 2</t>
        </is>
      </c>
      <c r="I124" s="241" t="inlineStr">
        <is>
          <t>GRC102501/2</t>
        </is>
      </c>
      <c r="J124" s="240" t="inlineStr">
        <is>
          <t>P060182</t>
        </is>
      </c>
      <c r="K124" s="240" t="inlineStr">
        <is>
          <t>Grapes And Cream</t>
        </is>
      </c>
      <c r="L124" s="240" t="inlineStr">
        <is>
          <t>Ident A + Ident B + Foreign matter</t>
        </is>
      </c>
      <c r="M124" s="245" t="inlineStr">
        <is>
          <t>—</t>
        </is>
      </c>
      <c r="N124" s="240">
        <f>IFERROR(INDEX('CoQ Register'!$B:$B,MATCH("P060182|R2",'CoQ Register'!$S:$S,0)),"—")</f>
        <v/>
      </c>
      <c r="O124" s="245" t="inlineStr">
        <is>
          <t>—</t>
        </is>
      </c>
      <c r="P124" s="240" t="inlineStr">
        <is>
          <t>14.03.2027</t>
        </is>
      </c>
      <c r="Q124" s="240" t="inlineStr">
        <is>
          <t>20.01.2026</t>
        </is>
      </c>
      <c r="R124" s="240" t="inlineStr">
        <is>
          <t>14.03.2026</t>
        </is>
      </c>
      <c r="S124" s="242">
        <f>IFERROR(INDEX('CoQ Register'!$D:$D,MATCH("P060182|R2",'CoQ Register'!$S:$S,0)),"")</f>
        <v/>
      </c>
      <c r="T124" s="240" t="inlineStr">
        <is>
          <t>Conforms</t>
        </is>
      </c>
      <c r="U124" s="240" t="inlineStr">
        <is>
          <t>Conforms</t>
        </is>
      </c>
      <c r="V124" s="240" t="inlineStr">
        <is>
          <t>Conforms</t>
        </is>
      </c>
      <c r="W124" s="240" t="inlineStr">
        <is>
          <t>220-14-K-26, (25.08.2026) [FHM-K]</t>
        </is>
      </c>
      <c r="X124" s="240" t="inlineStr">
        <is>
          <t>220-14-K-26, (25.08.2026) [FHM-K]</t>
        </is>
      </c>
      <c r="Y124" s="240" t="inlineStr">
        <is>
          <t>220-14-M-26, (11.09.2026) [FHM-M]</t>
        </is>
      </c>
      <c r="Z124" s="240" t="inlineStr">
        <is>
          <t>#8, #9, #11, #12 from the initial testing</t>
        </is>
      </c>
      <c r="AA124" s="240" t="inlineStr">
        <is>
          <t>P060182|R2</t>
        </is>
      </c>
      <c r="AB124" s="247" t="inlineStr">
        <is>
          <t>registered — retest 2 · Tranche 2 (sampled 12–14.08.2026), tested 13.08.2026, issued 17.08.2026</t>
        </is>
      </c>
    </row>
    <row r="125">
      <c r="A125" s="240" t="n">
        <v>135</v>
      </c>
      <c r="B125" s="241" t="inlineStr">
        <is>
          <t>iCoA-PP_26-135</t>
        </is>
      </c>
      <c r="C125" s="246" t="inlineStr">
        <is>
          <t>yes</t>
        </is>
      </c>
      <c r="D125" s="242" t="n">
        <v>46251</v>
      </c>
      <c r="E125" s="242" t="n">
        <v>46247</v>
      </c>
      <c r="F125" s="242">
        <f>IFERROR(INDEX('Batch Dates'!$G:$G,MATCH(J125,'Batch Dates'!$C:$C,0)),IFERROR(INDEX('Batch Dates'!$G:$G,MATCH(I125,'Batch Dates'!$B:$B,0)),""))</f>
        <v/>
      </c>
      <c r="G125" s="240" t="inlineStr">
        <is>
          <t>legacy</t>
        </is>
      </c>
      <c r="H125" s="240" t="inlineStr">
        <is>
          <t>retest 1</t>
        </is>
      </c>
      <c r="I125" s="241" t="inlineStr">
        <is>
          <t>HPA052501</t>
        </is>
      </c>
      <c r="J125" s="240" t="inlineStr">
        <is>
          <t>P050182</t>
        </is>
      </c>
      <c r="K125" s="240" t="inlineStr">
        <is>
          <t>High Pro Amnesia</t>
        </is>
      </c>
      <c r="L125" s="240" t="inlineStr">
        <is>
          <t>Ident A + Ident B + Foreign matter</t>
        </is>
      </c>
      <c r="M125" s="245" t="inlineStr">
        <is>
          <t>—</t>
        </is>
      </c>
      <c r="N125" s="240">
        <f>IFERROR(INDEX('CoQ Register'!$B:$B,MATCH("P050182|R",'CoQ Register'!$S:$S,0)),"—")</f>
        <v/>
      </c>
      <c r="O125" s="245" t="inlineStr">
        <is>
          <t>—</t>
        </is>
      </c>
      <c r="P125" s="240" t="inlineStr">
        <is>
          <t>03.10.2026</t>
        </is>
      </c>
      <c r="Q125" s="240" t="inlineStr">
        <is>
          <t>21.08.2025 – 23.08.2025</t>
        </is>
      </c>
      <c r="R125" s="240" t="inlineStr">
        <is>
          <t>03.10.2025 – 09.10.2025</t>
        </is>
      </c>
      <c r="S125" s="242">
        <f>IFERROR(INDEX('CoQ Register'!$D:$D,MATCH("P050182|R",'CoQ Register'!$S:$S,0)),"")</f>
        <v/>
      </c>
      <c r="T125" s="240" t="inlineStr">
        <is>
          <t>Conforms</t>
        </is>
      </c>
      <c r="U125" s="240" t="inlineStr">
        <is>
          <t>Conforms</t>
        </is>
      </c>
      <c r="V125" s="240" t="inlineStr">
        <is>
          <t>Conforms</t>
        </is>
      </c>
      <c r="W125" s="240" t="inlineStr">
        <is>
          <t>220-15-K-26, (25.08.2026) [FHM-K]</t>
        </is>
      </c>
      <c r="X125" s="240" t="inlineStr">
        <is>
          <t>220-15-K-26, (25.08.2026) [FHM-K]</t>
        </is>
      </c>
      <c r="Y125" s="240" t="inlineStr">
        <is>
          <t>220-15-M-26, (11.09.2026) [FHM-M]</t>
        </is>
      </c>
      <c r="Z125" s="240" t="inlineStr">
        <is>
          <t>#8, #9, #11, #12 from the initial testing</t>
        </is>
      </c>
      <c r="AA125" s="240" t="inlineStr">
        <is>
          <t>P050182|R</t>
        </is>
      </c>
      <c r="AB125" s="247" t="inlineStr">
        <is>
          <t>registered — retest 1 · Tranche 2 (sampled 12–14.08.2026), tested 13.08.2026, issued 17.08.2026</t>
        </is>
      </c>
    </row>
    <row r="126">
      <c r="A126" s="240" t="n">
        <v>136</v>
      </c>
      <c r="B126" s="241" t="inlineStr">
        <is>
          <t>iCoA-PP_26-136</t>
        </is>
      </c>
      <c r="C126" s="246" t="inlineStr">
        <is>
          <t>yes</t>
        </is>
      </c>
      <c r="D126" s="242" t="n">
        <v>46258</v>
      </c>
      <c r="E126" s="242" t="n">
        <v>46255</v>
      </c>
      <c r="F126" s="242">
        <f>IFERROR(INDEX('Batch Dates'!$G:$G,MATCH(J126,'Batch Dates'!$C:$C,0)),IFERROR(INDEX('Batch Dates'!$G:$G,MATCH(I126,'Batch Dates'!$B:$B,0)),""))</f>
        <v/>
      </c>
      <c r="G126" s="240" t="inlineStr">
        <is>
          <t>legacy</t>
        </is>
      </c>
      <c r="H126" s="240" t="inlineStr">
        <is>
          <t>retest 2</t>
        </is>
      </c>
      <c r="I126" s="241" t="inlineStr">
        <is>
          <t>AB092501</t>
        </is>
      </c>
      <c r="J126" s="240" t="inlineStr">
        <is>
          <t>P060052</t>
        </is>
      </c>
      <c r="K126" s="240" t="inlineStr">
        <is>
          <t>Apple and Banana</t>
        </is>
      </c>
      <c r="L126" s="240" t="inlineStr">
        <is>
          <t>Ident A + Ident B + Foreign matter</t>
        </is>
      </c>
      <c r="M126" s="245" t="inlineStr">
        <is>
          <t>—</t>
        </is>
      </c>
      <c r="N126" s="240">
        <f>IFERROR(INDEX('CoQ Register'!$B:$B,MATCH("P060052|R2",'CoQ Register'!$S:$S,0)),"—")</f>
        <v/>
      </c>
      <c r="O126" s="245" t="inlineStr">
        <is>
          <t>—</t>
        </is>
      </c>
      <c r="P126" s="240" t="inlineStr">
        <is>
          <t>20.02.2027</t>
        </is>
      </c>
      <c r="Q126" s="240" t="inlineStr">
        <is>
          <t>11.12.2025</t>
        </is>
      </c>
      <c r="R126" s="240" t="inlineStr">
        <is>
          <t>30.01.2026 (the issuance plan's basis: 20.02.2026)</t>
        </is>
      </c>
      <c r="S126" s="242">
        <f>IFERROR(INDEX('CoQ Register'!$D:$D,MATCH("P060052|R2",'CoQ Register'!$S:$S,0)),"")</f>
        <v/>
      </c>
      <c r="T126" s="240" t="inlineStr">
        <is>
          <t>Conforms</t>
        </is>
      </c>
      <c r="U126" s="240" t="inlineStr">
        <is>
          <t>Conforms</t>
        </is>
      </c>
      <c r="V126" s="240" t="inlineStr">
        <is>
          <t>Conforms</t>
        </is>
      </c>
      <c r="W126" s="240" t="inlineStr">
        <is>
          <t>227-30-K-26, (11.09.2026) [FHM-K]</t>
        </is>
      </c>
      <c r="X126" s="240" t="inlineStr">
        <is>
          <t>227-30-K-26, (11.09.2026) [FHM-K]</t>
        </is>
      </c>
      <c r="Y126" s="240" t="inlineStr">
        <is>
          <t>— pending —</t>
        </is>
      </c>
      <c r="Z126" s="240" t="inlineStr">
        <is>
          <t>#8, #9, #11, #12 from the initial testing</t>
        </is>
      </c>
      <c r="AA126" s="240" t="inlineStr">
        <is>
          <t>P060052|R2</t>
        </is>
      </c>
      <c r="AB126" s="247" t="inlineStr">
        <is>
          <t>registered — retest 2 · Tranche 3 (sampled 19–21.08.2026), tested 21.08.2026, issued 24.08.2026</t>
        </is>
      </c>
    </row>
    <row r="127">
      <c r="A127" s="240" t="n">
        <v>137</v>
      </c>
      <c r="B127" s="241" t="inlineStr">
        <is>
          <t>iCoA-PP_26-137</t>
        </is>
      </c>
      <c r="C127" s="246" t="inlineStr">
        <is>
          <t>yes</t>
        </is>
      </c>
      <c r="D127" s="242" t="n">
        <v>46251</v>
      </c>
      <c r="E127" s="242" t="n">
        <v>46247</v>
      </c>
      <c r="F127" s="242">
        <f>IFERROR(INDEX('Batch Dates'!$G:$G,MATCH(J127,'Batch Dates'!$C:$C,0)),IFERROR(INDEX('Batch Dates'!$G:$G,MATCH(I127,'Batch Dates'!$B:$B,0)),""))</f>
        <v/>
      </c>
      <c r="G127" s="240" t="inlineStr">
        <is>
          <t>post-SOP</t>
        </is>
      </c>
      <c r="H127" s="240" t="inlineStr">
        <is>
          <t>retest 1</t>
        </is>
      </c>
      <c r="I127" s="241" t="inlineStr">
        <is>
          <t>JD012603/02V</t>
        </is>
      </c>
      <c r="J127" s="240" t="inlineStr">
        <is>
          <t>P060422</t>
        </is>
      </c>
      <c r="K127" s="240" t="inlineStr">
        <is>
          <t>Jelly Donuts</t>
        </is>
      </c>
      <c r="L127" s="240" t="inlineStr">
        <is>
          <t>Ident A + Ident B + Foreign matter</t>
        </is>
      </c>
      <c r="M127" s="245" t="inlineStr">
        <is>
          <t>—</t>
        </is>
      </c>
      <c r="N127" s="240">
        <f>IFERROR(INDEX('CoQ Register'!$B:$B,MATCH("P060422|R",'CoQ Register'!$S:$S,0)),"—")</f>
        <v/>
      </c>
      <c r="O127" s="245" t="inlineStr">
        <is>
          <t>—</t>
        </is>
      </c>
      <c r="P127" s="240" t="inlineStr">
        <is>
          <t>23.05.2027</t>
        </is>
      </c>
      <c r="Q127" s="240" t="inlineStr">
        <is>
          <t>29.04.2026</t>
        </is>
      </c>
      <c r="R127" s="240" t="inlineStr">
        <is>
          <t>23.05.2026</t>
        </is>
      </c>
      <c r="S127" s="242">
        <f>IFERROR(INDEX('CoQ Register'!$D:$D,MATCH("P060422|R",'CoQ Register'!$S:$S,0)),"")</f>
        <v/>
      </c>
      <c r="T127" s="240" t="inlineStr">
        <is>
          <t>CNP ППК26111</t>
        </is>
      </c>
      <c r="U127" s="240" t="inlineStr">
        <is>
          <t>CNP ППК26111</t>
        </is>
      </c>
      <c r="V127" s="240" t="inlineStr">
        <is>
          <t>Conforms</t>
        </is>
      </c>
      <c r="W127" s="240" t="inlineStr">
        <is>
          <t>220-18-K-26, (26.08.2026) [FHM-K]</t>
        </is>
      </c>
      <c r="X127" s="240" t="inlineStr">
        <is>
          <t>220-18-K-26, (26.08.2026) [FHM-K]</t>
        </is>
      </c>
      <c r="Y127" s="240" t="inlineStr">
        <is>
          <t>220-18-M-26, (11.09.2026) [FHM-M]</t>
        </is>
      </c>
      <c r="Z127" s="240" t="inlineStr">
        <is>
          <t>#8, #9, #11, #12 from the initial testing</t>
        </is>
      </c>
      <c r="AA127" s="240" t="inlineStr">
        <is>
          <t>P060422|R</t>
        </is>
      </c>
      <c r="AB127" s="247" t="inlineStr">
        <is>
          <t>registered — retest 1 · Tranche 2 (sampled 12–14.08.2026), tested 13.08.2026, issued 17.08.2026</t>
        </is>
      </c>
    </row>
    <row r="128">
      <c r="A128" s="240" t="n">
        <v>138</v>
      </c>
      <c r="B128" s="241" t="inlineStr">
        <is>
          <t>iCoA-PP_26-138</t>
        </is>
      </c>
      <c r="C128" s="246" t="inlineStr">
        <is>
          <t>yes</t>
        </is>
      </c>
      <c r="D128" s="242" t="n">
        <v>46251</v>
      </c>
      <c r="E128" s="242" t="n">
        <v>46247</v>
      </c>
      <c r="F128" s="242">
        <f>IFERROR(INDEX('Batch Dates'!$G:$G,MATCH(J128,'Batch Dates'!$C:$C,0)),IFERROR(INDEX('Batch Dates'!$G:$G,MATCH(I128,'Batch Dates'!$B:$B,0)),""))</f>
        <v/>
      </c>
      <c r="G128" s="240" t="inlineStr">
        <is>
          <t>post-SOP</t>
        </is>
      </c>
      <c r="H128" s="240" t="inlineStr">
        <is>
          <t>retest 1</t>
        </is>
      </c>
      <c r="I128" s="241" t="inlineStr">
        <is>
          <t>JD012603/01</t>
        </is>
      </c>
      <c r="J128" s="240" t="inlineStr">
        <is>
          <t>P060362</t>
        </is>
      </c>
      <c r="K128" s="240" t="inlineStr">
        <is>
          <t>Jelly Donuts</t>
        </is>
      </c>
      <c r="L128" s="240" t="inlineStr">
        <is>
          <t>Ident A + Ident B + Foreign matter</t>
        </is>
      </c>
      <c r="M128" s="245" t="inlineStr">
        <is>
          <t>—</t>
        </is>
      </c>
      <c r="N128" s="240">
        <f>IFERROR(INDEX('CoQ Register'!$B:$B,MATCH("P060362|R",'CoQ Register'!$S:$S,0)),"—")</f>
        <v/>
      </c>
      <c r="O128" s="245" t="inlineStr">
        <is>
          <t>—</t>
        </is>
      </c>
      <c r="P128" s="240" t="inlineStr">
        <is>
          <t>23.05.2027</t>
        </is>
      </c>
      <c r="Q128" s="240" t="inlineStr">
        <is>
          <t>22.04.2026</t>
        </is>
      </c>
      <c r="R128" s="240" t="inlineStr">
        <is>
          <t>23.05.2026</t>
        </is>
      </c>
      <c r="S128" s="242">
        <f>IFERROR(INDEX('CoQ Register'!$D:$D,MATCH("P060362|R",'CoQ Register'!$S:$S,0)),"")</f>
        <v/>
      </c>
      <c r="T128" s="240" t="inlineStr">
        <is>
          <t>CNP ППК26111</t>
        </is>
      </c>
      <c r="U128" s="240" t="inlineStr">
        <is>
          <t>CNP ППК26111</t>
        </is>
      </c>
      <c r="V128" s="240" t="inlineStr">
        <is>
          <t>Conforms</t>
        </is>
      </c>
      <c r="W128" s="240" t="inlineStr">
        <is>
          <t>220-16-K-26, (25.08.2026) [FHM-K]</t>
        </is>
      </c>
      <c r="X128" s="240" t="inlineStr">
        <is>
          <t>220-16-K-26, (25.08.2026) [FHM-K]</t>
        </is>
      </c>
      <c r="Y128" s="240" t="inlineStr">
        <is>
          <t>220-16-M-26, (11.09.2026) [FHM-M]</t>
        </is>
      </c>
      <c r="Z128" s="240" t="inlineStr">
        <is>
          <t>#8, #9, #11, #12 from the initial testing</t>
        </is>
      </c>
      <c r="AA128" s="240" t="inlineStr">
        <is>
          <t>P060362|R</t>
        </is>
      </c>
      <c r="AB128" s="247" t="inlineStr">
        <is>
          <t>registered — retest 1 · Tranche 2 (sampled 12–14.08.2026), tested 13.08.2026, issued 17.08.2026</t>
        </is>
      </c>
    </row>
    <row r="129">
      <c r="A129" s="240" t="n">
        <v>139</v>
      </c>
      <c r="B129" s="241" t="inlineStr">
        <is>
          <t>iCoA-PP_26-139</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KC102501</t>
        </is>
      </c>
      <c r="J129" s="240" t="inlineStr">
        <is>
          <t>P060172</t>
        </is>
      </c>
      <c r="K129" s="240" t="inlineStr">
        <is>
          <t>Kush Crasher</t>
        </is>
      </c>
      <c r="L129" s="240" t="inlineStr">
        <is>
          <t>Ident A + Ident B + Foreign matter</t>
        </is>
      </c>
      <c r="M129" s="245" t="inlineStr">
        <is>
          <t>—</t>
        </is>
      </c>
      <c r="N129" s="240">
        <f>IFERROR(INDEX('CoQ Register'!$B:$B,MATCH("P060172|R",'CoQ Register'!$S:$S,0)),"—")</f>
        <v/>
      </c>
      <c r="O129" s="245" t="inlineStr">
        <is>
          <t>—</t>
        </is>
      </c>
      <c r="P129" s="240" t="inlineStr">
        <is>
          <t>12.03.2027</t>
        </is>
      </c>
      <c r="Q129" s="240" t="inlineStr">
        <is>
          <t>20.01.2026 – 21.01.2026</t>
        </is>
      </c>
      <c r="R129" s="240" t="inlineStr">
        <is>
          <t>12.03.2026</t>
        </is>
      </c>
      <c r="S129" s="242">
        <f>IFERROR(INDEX('CoQ Register'!$D:$D,MATCH("P060172|R",'CoQ Register'!$S:$S,0)),"")</f>
        <v/>
      </c>
      <c r="T129" s="240" t="inlineStr">
        <is>
          <t>Conforms</t>
        </is>
      </c>
      <c r="U129" s="240" t="inlineStr">
        <is>
          <t>Conforms</t>
        </is>
      </c>
      <c r="V129" s="240" t="inlineStr">
        <is>
          <t>Conforms</t>
        </is>
      </c>
      <c r="W129" s="240" t="inlineStr">
        <is>
          <t>220-19-K-26, (26.08.2026) [FHM-K]</t>
        </is>
      </c>
      <c r="X129" s="240" t="inlineStr">
        <is>
          <t>220-19-K-26, (26.08.2026) [FHM-K]</t>
        </is>
      </c>
      <c r="Y129" s="240" t="inlineStr">
        <is>
          <t>220-19-M-26, (11.09.2026) [FHM-M]</t>
        </is>
      </c>
      <c r="Z129" s="240" t="inlineStr">
        <is>
          <t>#8, #9, #11, #12 from the initial testing</t>
        </is>
      </c>
      <c r="AA129" s="240" t="inlineStr">
        <is>
          <t>P060172|R</t>
        </is>
      </c>
      <c r="AB129" s="247" t="inlineStr">
        <is>
          <t>registered — retest 1 · Tranche 2 (sampled 12–14.08.2026), tested 13.08.2026, issued 17.08.2026</t>
        </is>
      </c>
    </row>
    <row r="130">
      <c r="A130" s="240" t="n">
        <v>140</v>
      </c>
      <c r="B130" s="241" t="inlineStr">
        <is>
          <t>iCoA-PP_26-140</t>
        </is>
      </c>
      <c r="C130" s="246" t="inlineStr">
        <is>
          <t>yes</t>
        </is>
      </c>
      <c r="D130" s="242" t="n">
        <v>46251</v>
      </c>
      <c r="E130" s="242" t="n">
        <v>46247</v>
      </c>
      <c r="F130" s="242">
        <f>IFERROR(INDEX('Batch Dates'!$G:$G,MATCH(J130,'Batch Dates'!$C:$C,0)),IFERROR(INDEX('Batch Dates'!$G:$G,MATCH(I130,'Batch Dates'!$B:$B,0)),""))</f>
        <v/>
      </c>
      <c r="G130" s="240" t="inlineStr">
        <is>
          <t>legacy</t>
        </is>
      </c>
      <c r="H130" s="240" t="inlineStr">
        <is>
          <t>retest 1</t>
        </is>
      </c>
      <c r="I130" s="241" t="inlineStr">
        <is>
          <t>MB0824_05</t>
        </is>
      </c>
      <c r="J130" s="240" t="inlineStr">
        <is>
          <t>P050112</t>
        </is>
      </c>
      <c r="K130" s="240" t="inlineStr">
        <is>
          <t>Motor Breath</t>
        </is>
      </c>
      <c r="L130" s="240" t="inlineStr">
        <is>
          <t>Ident A + Ident B + Foreign matter</t>
        </is>
      </c>
      <c r="M130" s="245" t="inlineStr">
        <is>
          <t>—</t>
        </is>
      </c>
      <c r="N130" s="240">
        <f>IFERROR(INDEX('CoQ Register'!$B:$B,MATCH("P050112|R",'CoQ Register'!$S:$S,0)),"—")</f>
        <v/>
      </c>
      <c r="O130" s="245" t="inlineStr">
        <is>
          <t>—</t>
        </is>
      </c>
      <c r="P130" s="240" t="inlineStr">
        <is>
          <t>25.08.2026</t>
        </is>
      </c>
      <c r="Q130" s="240" t="inlineStr">
        <is>
          <t>08.07.2025 – 09.07.2025</t>
        </is>
      </c>
      <c r="R130" s="240" t="inlineStr">
        <is>
          <t>25.08.2025 – 31.08.2025</t>
        </is>
      </c>
      <c r="S130" s="242">
        <f>IFERROR(INDEX('CoQ Register'!$D:$D,MATCH("P050112|R",'CoQ Register'!$S:$S,0)),"")</f>
        <v/>
      </c>
      <c r="T130" s="240" t="inlineStr">
        <is>
          <t>Conforms</t>
        </is>
      </c>
      <c r="U130" s="240" t="inlineStr">
        <is>
          <t>Conforms</t>
        </is>
      </c>
      <c r="V130" s="240" t="inlineStr">
        <is>
          <t>Conforms</t>
        </is>
      </c>
      <c r="W130" s="240" t="inlineStr">
        <is>
          <t>220-20-K-26, (26.08.2026) [FHM-K]</t>
        </is>
      </c>
      <c r="X130" s="240" t="inlineStr">
        <is>
          <t>220-20-K-26, (26.08.2026) [FHM-K]</t>
        </is>
      </c>
      <c r="Y130" s="240" t="inlineStr">
        <is>
          <t>220-20-M-26, (11.09.2026) [FHM-M]</t>
        </is>
      </c>
      <c r="Z130" s="240" t="inlineStr">
        <is>
          <t>#8, #9, #11, #12 from the initial testing</t>
        </is>
      </c>
      <c r="AA130" s="240" t="inlineStr">
        <is>
          <t>P050112|R</t>
        </is>
      </c>
      <c r="AB130" s="247" t="inlineStr">
        <is>
          <t>registered — retest 1 · Tranche 2 (sampled 12–14.08.2026), tested 13.08.2026, issued 17.08.2026</t>
        </is>
      </c>
    </row>
    <row r="131">
      <c r="A131" s="240" t="n">
        <v>141</v>
      </c>
      <c r="B131" s="241" t="inlineStr">
        <is>
          <t>iCoA-PP_26-141</t>
        </is>
      </c>
      <c r="C131" s="246" t="inlineStr">
        <is>
          <t>yes</t>
        </is>
      </c>
      <c r="D131" s="242" t="n">
        <v>46258</v>
      </c>
      <c r="E131" s="242" t="n">
        <v>46255</v>
      </c>
      <c r="F131" s="242">
        <f>IFERROR(INDEX('Batch Dates'!$G:$G,MATCH(J131,'Batch Dates'!$C:$C,0)),IFERROR(INDEX('Batch Dates'!$G:$G,MATCH(I131,'Batch Dates'!$B:$B,0)),""))</f>
        <v/>
      </c>
      <c r="G131" s="240" t="inlineStr">
        <is>
          <t>legacy</t>
        </is>
      </c>
      <c r="H131" s="240" t="inlineStr">
        <is>
          <t>retest 2</t>
        </is>
      </c>
      <c r="I131" s="241" t="inlineStr">
        <is>
          <t>CJ072501</t>
        </is>
      </c>
      <c r="J131" s="240" t="inlineStr">
        <is>
          <t>P050252</t>
        </is>
      </c>
      <c r="K131" s="240" t="inlineStr">
        <is>
          <t>Cap Junky</t>
        </is>
      </c>
      <c r="L131" s="240" t="inlineStr">
        <is>
          <t>Ident A + Ident B + Foreign matter</t>
        </is>
      </c>
      <c r="M131" s="245" t="inlineStr">
        <is>
          <t>—</t>
        </is>
      </c>
      <c r="N131" s="240">
        <f>IFERROR(INDEX('CoQ Register'!$B:$B,MATCH("P050252|R2",'CoQ Register'!$S:$S,0)),"—")</f>
        <v/>
      </c>
      <c r="O131" s="245" t="inlineStr">
        <is>
          <t>—</t>
        </is>
      </c>
      <c r="P131" s="240" t="inlineStr">
        <is>
          <t>02.12.2026</t>
        </is>
      </c>
      <c r="Q131" s="240" t="inlineStr">
        <is>
          <t>27.10.2025</t>
        </is>
      </c>
      <c r="R131" s="240" t="inlineStr">
        <is>
          <t>27.11.2025 – 28.11.2025 (the issuance plan's basis: 02.12.2025)</t>
        </is>
      </c>
      <c r="S131" s="242">
        <f>IFERROR(INDEX('CoQ Register'!$D:$D,MATCH("P050252|R2",'CoQ Register'!$S:$S,0)),"")</f>
        <v/>
      </c>
      <c r="T131" s="240" t="inlineStr">
        <is>
          <t>Conforms</t>
        </is>
      </c>
      <c r="U131" s="240" t="inlineStr">
        <is>
          <t>Conforms</t>
        </is>
      </c>
      <c r="V131" s="240" t="inlineStr">
        <is>
          <t>Conforms</t>
        </is>
      </c>
      <c r="W131" s="240" t="inlineStr">
        <is>
          <t>227-27-K-26, (11.09.2026) [FHM-K]</t>
        </is>
      </c>
      <c r="X131" s="240" t="inlineStr">
        <is>
          <t>227-27-K-26, (11.09.2026) [FHM-K]</t>
        </is>
      </c>
      <c r="Y131" s="240" t="inlineStr">
        <is>
          <t>— pending —</t>
        </is>
      </c>
      <c r="Z131" s="240" t="inlineStr">
        <is>
          <t>#8, #9, #11, #12 from the initial testing</t>
        </is>
      </c>
      <c r="AA131" s="240" t="inlineStr">
        <is>
          <t>P050252|R2</t>
        </is>
      </c>
      <c r="AB131" s="247" t="inlineStr">
        <is>
          <t>registered — retest 2 · Tranche 3 (sampled 19–21.08.2026), tested 21.08.2026, issued 24.08.2026</t>
        </is>
      </c>
    </row>
    <row r="132">
      <c r="A132" s="240" t="n">
        <v>142</v>
      </c>
      <c r="B132" s="241" t="inlineStr">
        <is>
          <t>iCoA-PP_26-142</t>
        </is>
      </c>
      <c r="C132" s="246" t="inlineStr">
        <is>
          <t>yes</t>
        </is>
      </c>
      <c r="D132" s="242" t="n">
        <v>46251</v>
      </c>
      <c r="E132" s="242" t="n">
        <v>46247</v>
      </c>
      <c r="F132" s="242">
        <f>IFERROR(INDEX('Batch Dates'!$G:$G,MATCH(J132,'Batch Dates'!$C:$C,0)),IFERROR(INDEX('Batch Dates'!$G:$G,MATCH(I132,'Batch Dates'!$B:$B,0)),""))</f>
        <v/>
      </c>
      <c r="G132" s="240" t="inlineStr">
        <is>
          <t>legacy</t>
        </is>
      </c>
      <c r="H132" s="240" t="inlineStr">
        <is>
          <t>retest 2</t>
        </is>
      </c>
      <c r="I132" s="241" t="inlineStr">
        <is>
          <t>OMP1024_01</t>
        </is>
      </c>
      <c r="J132" s="240" t="inlineStr">
        <is>
          <t>P050042</t>
        </is>
      </c>
      <c r="K132" s="240" t="inlineStr">
        <is>
          <t>Orange Punch Mimosa</t>
        </is>
      </c>
      <c r="L132" s="240" t="inlineStr">
        <is>
          <t>Ident A + Ident B + Foreign matter</t>
        </is>
      </c>
      <c r="M132" s="245" t="inlineStr">
        <is>
          <t>—</t>
        </is>
      </c>
      <c r="N132" s="240">
        <f>IFERROR(INDEX('CoQ Register'!$B:$B,MATCH("P050042|R2",'CoQ Register'!$S:$S,0)),"—")</f>
        <v/>
      </c>
      <c r="O132" s="245" t="inlineStr">
        <is>
          <t>—</t>
        </is>
      </c>
      <c r="P132" s="240" t="inlineStr">
        <is>
          <t>20.06.2026</t>
        </is>
      </c>
      <c r="Q132" s="240" t="inlineStr">
        <is>
          <t>26.03.2025 – 27.03.2025</t>
        </is>
      </c>
      <c r="R132" s="240" t="inlineStr">
        <is>
          <t>20.06.2025</t>
        </is>
      </c>
      <c r="S132" s="242">
        <f>IFERROR(INDEX('CoQ Register'!$D:$D,MATCH("P050042|R2",'CoQ Register'!$S:$S,0)),"")</f>
        <v/>
      </c>
      <c r="T132" s="240" t="inlineStr">
        <is>
          <t>Conforms</t>
        </is>
      </c>
      <c r="U132" s="240" t="inlineStr">
        <is>
          <t>Conforms</t>
        </is>
      </c>
      <c r="V132" s="240" t="inlineStr">
        <is>
          <t>Conforms</t>
        </is>
      </c>
      <c r="W132" s="240" t="inlineStr">
        <is>
          <t>220-21-K-26, (26.08.2026) [FHM-K]</t>
        </is>
      </c>
      <c r="X132" s="240" t="inlineStr">
        <is>
          <t>220-21-K-26, (26.08.2026) [FHM-K]</t>
        </is>
      </c>
      <c r="Y132" s="240" t="inlineStr">
        <is>
          <t>220-21-M-26, (11.09.2026) [FHM-M]</t>
        </is>
      </c>
      <c r="Z132" s="240" t="inlineStr">
        <is>
          <t>#8, #9, #11, #12 from the initial testing</t>
        </is>
      </c>
      <c r="AA132" s="240" t="inlineStr">
        <is>
          <t>P050042|R2</t>
        </is>
      </c>
      <c r="AB132" s="247" t="inlineStr">
        <is>
          <t>registered — retest 2 · Tranche 2 (sampled 12–14.08.2026), tested 13.08.2026, issued 17.08.2026</t>
        </is>
      </c>
    </row>
    <row r="133">
      <c r="A133" s="240" t="n">
        <v>143</v>
      </c>
      <c r="B133" s="241" t="inlineStr">
        <is>
          <t>iCoA-PP_26-143</t>
        </is>
      </c>
      <c r="C133" s="246" t="inlineStr">
        <is>
          <t>yes</t>
        </is>
      </c>
      <c r="D133" s="242" t="n">
        <v>46251</v>
      </c>
      <c r="E133" s="242" t="n">
        <v>46248</v>
      </c>
      <c r="F133" s="242">
        <f>IFERROR(INDEX('Batch Dates'!$G:$G,MATCH(J133,'Batch Dates'!$C:$C,0)),IFERROR(INDEX('Batch Dates'!$G:$G,MATCH(I133,'Batch Dates'!$B:$B,0)),""))</f>
        <v/>
      </c>
      <c r="G133" s="240" t="inlineStr">
        <is>
          <t>post-SOP</t>
        </is>
      </c>
      <c r="H133" s="240" t="inlineStr">
        <is>
          <t>retest 1</t>
        </is>
      </c>
      <c r="I133" s="241" t="inlineStr">
        <is>
          <t>CC012603</t>
        </is>
      </c>
      <c r="J133" s="240" t="inlineStr">
        <is>
          <t>P060372</t>
        </is>
      </c>
      <c r="K133" s="240" t="inlineStr">
        <is>
          <t>Cash Cow</t>
        </is>
      </c>
      <c r="L133" s="240" t="inlineStr">
        <is>
          <t>Ident A + Ident B + Foreign matter</t>
        </is>
      </c>
      <c r="M133" s="245" t="inlineStr">
        <is>
          <t>—</t>
        </is>
      </c>
      <c r="N133" s="240">
        <f>IFERROR(INDEX('CoQ Register'!$B:$B,MATCH("P060372|R",'CoQ Register'!$S:$S,0)),"—")</f>
        <v/>
      </c>
      <c r="O133" s="245" t="inlineStr">
        <is>
          <t>—</t>
        </is>
      </c>
      <c r="P133" s="240" t="inlineStr">
        <is>
          <t>24.05.2027</t>
        </is>
      </c>
      <c r="Q133" s="240" t="inlineStr">
        <is>
          <t>22.04.2026</t>
        </is>
      </c>
      <c r="R133" s="240" t="inlineStr">
        <is>
          <t>24.05.2026</t>
        </is>
      </c>
      <c r="S133" s="242">
        <f>IFERROR(INDEX('CoQ Register'!$D:$D,MATCH("P060372|R",'CoQ Register'!$S:$S,0)),"")</f>
        <v/>
      </c>
      <c r="T133" s="240" t="inlineStr">
        <is>
          <t>Conforms</t>
        </is>
      </c>
      <c r="U133" s="240" t="inlineStr">
        <is>
          <t>Conforms</t>
        </is>
      </c>
      <c r="V133" s="240" t="inlineStr">
        <is>
          <t>Conforms</t>
        </is>
      </c>
      <c r="W133" s="240" t="inlineStr">
        <is>
          <t>220-29-K-26, (26.08.2026) [FHM-K]</t>
        </is>
      </c>
      <c r="X133" s="240" t="inlineStr">
        <is>
          <t>220-29-K-26, (26.08.2026) [FHM-K]</t>
        </is>
      </c>
      <c r="Y133" s="240" t="inlineStr">
        <is>
          <t>220-29-M-26, (11.09.2026) [FHM-M]</t>
        </is>
      </c>
      <c r="Z133" s="240" t="inlineStr">
        <is>
          <t>#8, #9, #11, #12 from the initial testing</t>
        </is>
      </c>
      <c r="AA133" s="240" t="inlineStr">
        <is>
          <t>P060372|R</t>
        </is>
      </c>
      <c r="AB133" s="247" t="inlineStr">
        <is>
          <t>registered — retest 1 · Tranche 2 (sampled 12–14.08.2026), tested 14.08.2026, issued 17.08.2026</t>
        </is>
      </c>
    </row>
    <row r="134">
      <c r="A134" s="240" t="n">
        <v>145</v>
      </c>
      <c r="B134" s="241" t="inlineStr">
        <is>
          <t>iCoA-PP_26-145</t>
        </is>
      </c>
      <c r="C134" s="246" t="inlineStr">
        <is>
          <t>yes</t>
        </is>
      </c>
      <c r="D134" s="242" t="n">
        <v>46258</v>
      </c>
      <c r="E134" s="242" t="n">
        <v>46255</v>
      </c>
      <c r="F134" s="242">
        <f>IFERROR(INDEX('Batch Dates'!$G:$G,MATCH(J134,'Batch Dates'!$C:$C,0)),IFERROR(INDEX('Batch Dates'!$G:$G,MATCH(I134,'Batch Dates'!$B:$B,0)),""))</f>
        <v/>
      </c>
      <c r="G134" s="240" t="inlineStr">
        <is>
          <t>post-SOP</t>
        </is>
      </c>
      <c r="H134" s="240" t="inlineStr">
        <is>
          <t>retest 2</t>
        </is>
      </c>
      <c r="I134" s="241" t="inlineStr">
        <is>
          <t>FB112501</t>
        </is>
      </c>
      <c r="J134" s="240" t="inlineStr">
        <is>
          <t>P060292</t>
        </is>
      </c>
      <c r="K134" s="240" t="inlineStr">
        <is>
          <t>Fat Bastard</t>
        </is>
      </c>
      <c r="L134" s="240" t="inlineStr">
        <is>
          <t>Ident A + Ident B + Foreign matter</t>
        </is>
      </c>
      <c r="M134" s="245" t="inlineStr">
        <is>
          <t>—</t>
        </is>
      </c>
      <c r="N134" s="240">
        <f>IFERROR(INDEX('CoQ Register'!$B:$B,MATCH("P060292|R2",'CoQ Register'!$S:$S,0)),"—")</f>
        <v/>
      </c>
      <c r="O134" s="245" t="inlineStr">
        <is>
          <t>—</t>
        </is>
      </c>
      <c r="P134" s="240" t="inlineStr">
        <is>
          <t>11.05.2027</t>
        </is>
      </c>
      <c r="Q134" s="240" t="inlineStr">
        <is>
          <t>25.03.2026</t>
        </is>
      </c>
      <c r="R134" s="240" t="inlineStr">
        <is>
          <t>19.05.2026 (the issuance plan's basis: 11.05.2026)</t>
        </is>
      </c>
      <c r="S134" s="242">
        <f>IFERROR(INDEX('CoQ Register'!$D:$D,MATCH("P060292|R2",'CoQ Register'!$S:$S,0)),"")</f>
        <v/>
      </c>
      <c r="T134" s="240" t="inlineStr">
        <is>
          <t>Conforms</t>
        </is>
      </c>
      <c r="U134" s="240" t="inlineStr">
        <is>
          <t>Conforms</t>
        </is>
      </c>
      <c r="V134" s="240" t="inlineStr">
        <is>
          <t>Conforms</t>
        </is>
      </c>
      <c r="W134" s="240" t="inlineStr">
        <is>
          <t>227-22-K-26, (11.09.2026) [FHM-K]</t>
        </is>
      </c>
      <c r="X134" s="240" t="inlineStr">
        <is>
          <t>227-22-K-26, (11.09.2026) [FHM-K]</t>
        </is>
      </c>
      <c r="Y134" s="240" t="inlineStr">
        <is>
          <t>— pending —</t>
        </is>
      </c>
      <c r="Z134" s="240" t="inlineStr">
        <is>
          <t>#8, #9, #11, #12 from the initial testing</t>
        </is>
      </c>
      <c r="AA134" s="240" t="inlineStr">
        <is>
          <t>P060292|R2</t>
        </is>
      </c>
      <c r="AB134" s="247" t="inlineStr">
        <is>
          <t>registered — retest 2 · Tranche 3 (sampled 19–21.08.2026), tested 21.08.2026, issued 24.08.2026</t>
        </is>
      </c>
    </row>
    <row r="135">
      <c r="A135" s="240" t="n">
        <v>146</v>
      </c>
      <c r="B135" s="241" t="inlineStr">
        <is>
          <t>iCoA-PP_26-146</t>
        </is>
      </c>
      <c r="C135" s="246" t="inlineStr">
        <is>
          <t>yes</t>
        </is>
      </c>
      <c r="D135" s="242" t="n">
        <v>46258</v>
      </c>
      <c r="E135" s="242" t="n">
        <v>46255</v>
      </c>
      <c r="F135" s="242">
        <f>IFERROR(INDEX('Batch Dates'!$G:$G,MATCH(J135,'Batch Dates'!$C:$C,0)),IFERROR(INDEX('Batch Dates'!$G:$G,MATCH(I135,'Batch Dates'!$B:$B,0)),""))</f>
        <v/>
      </c>
      <c r="G135" s="240" t="inlineStr">
        <is>
          <t>post-SOP</t>
        </is>
      </c>
      <c r="H135" s="240" t="inlineStr">
        <is>
          <t>retest 2</t>
        </is>
      </c>
      <c r="I135" s="241" t="inlineStr">
        <is>
          <t>GG012601</t>
        </is>
      </c>
      <c r="J135" s="240" t="inlineStr">
        <is>
          <t>P060302</t>
        </is>
      </c>
      <c r="K135" s="240" t="inlineStr">
        <is>
          <t>Gorilla Glue</t>
        </is>
      </c>
      <c r="L135" s="240" t="inlineStr">
        <is>
          <t>Ident A + Ident B + Foreign matter</t>
        </is>
      </c>
      <c r="M135" s="245" t="inlineStr">
        <is>
          <t>—</t>
        </is>
      </c>
      <c r="N135" s="240">
        <f>IFERROR(INDEX('CoQ Register'!$B:$B,MATCH("P060302|R2",'CoQ Register'!$S:$S,0)),"—")</f>
        <v/>
      </c>
      <c r="O135" s="245" t="inlineStr">
        <is>
          <t>—</t>
        </is>
      </c>
      <c r="P135" s="240" t="inlineStr">
        <is>
          <t>11.05.2027</t>
        </is>
      </c>
      <c r="Q135" s="240" t="inlineStr">
        <is>
          <t>27.03.2026</t>
        </is>
      </c>
      <c r="R135" s="240" t="inlineStr">
        <is>
          <t>20.05.2026 (the issuance plan's basis: 11.05.2026)</t>
        </is>
      </c>
      <c r="S135" s="242">
        <f>IFERROR(INDEX('CoQ Register'!$D:$D,MATCH("P060302|R2",'CoQ Register'!$S:$S,0)),"")</f>
        <v/>
      </c>
      <c r="T135" s="240" t="inlineStr">
        <is>
          <t>Conforms</t>
        </is>
      </c>
      <c r="U135" s="240" t="inlineStr">
        <is>
          <t>Conforms</t>
        </is>
      </c>
      <c r="V135" s="240" t="inlineStr">
        <is>
          <t>Conforms</t>
        </is>
      </c>
      <c r="W135" s="240" t="inlineStr">
        <is>
          <t>227-21-K-26, (11.09.2026) [FHM-K]</t>
        </is>
      </c>
      <c r="X135" s="240" t="inlineStr">
        <is>
          <t>227-21-K-26, (11.09.2026) [FHM-K]</t>
        </is>
      </c>
      <c r="Y135" s="240" t="inlineStr">
        <is>
          <t>— pending —</t>
        </is>
      </c>
      <c r="Z135" s="240" t="inlineStr">
        <is>
          <t>#8, #9, #11, #12 from the initial testing</t>
        </is>
      </c>
      <c r="AA135" s="240" t="inlineStr">
        <is>
          <t>P060302|R2</t>
        </is>
      </c>
      <c r="AB135" s="247" t="inlineStr">
        <is>
          <t>registered — retest 2 · Tranche 3 (sampled 19–21.08.2026), tested 21.08.2026, issued 24.08.2026</t>
        </is>
      </c>
    </row>
    <row r="136">
      <c r="A136" s="240" t="n">
        <v>147</v>
      </c>
      <c r="B136" s="241" t="inlineStr">
        <is>
          <t>iCoA-PP_26-147</t>
        </is>
      </c>
      <c r="C136" s="246" t="inlineStr">
        <is>
          <t>yes</t>
        </is>
      </c>
      <c r="D136" s="242" t="n">
        <v>46251</v>
      </c>
      <c r="E136" s="242" t="n">
        <v>46248</v>
      </c>
      <c r="F136" s="242">
        <f>IFERROR(INDEX('Batch Dates'!$G:$G,MATCH(J136,'Batch Dates'!$C:$C,0)),IFERROR(INDEX('Batch Dates'!$G:$G,MATCH(I136,'Batch Dates'!$B:$B,0)),""))</f>
        <v/>
      </c>
      <c r="G136" s="240" t="inlineStr">
        <is>
          <t>legacy</t>
        </is>
      </c>
      <c r="H136" s="240" t="inlineStr">
        <is>
          <t>retest 1</t>
        </is>
      </c>
      <c r="I136" s="241" t="inlineStr">
        <is>
          <t>OPM1024_03</t>
        </is>
      </c>
      <c r="J136" s="240" t="inlineStr">
        <is>
          <t>P050082</t>
        </is>
      </c>
      <c r="K136" s="240" t="inlineStr">
        <is>
          <t>Orange Punch Mimosa</t>
        </is>
      </c>
      <c r="L136" s="240" t="inlineStr">
        <is>
          <t>Ident A + Ident B + Foreign matter</t>
        </is>
      </c>
      <c r="M136" s="245" t="inlineStr">
        <is>
          <t>—</t>
        </is>
      </c>
      <c r="N136" s="240">
        <f>IFERROR(INDEX('CoQ Register'!$B:$B,MATCH("P050082|R",'CoQ Register'!$S:$S,0)),"—")</f>
        <v/>
      </c>
      <c r="O136" s="245" t="inlineStr">
        <is>
          <t>—</t>
        </is>
      </c>
      <c r="P136" s="240" t="inlineStr">
        <is>
          <t>22.07.2026</t>
        </is>
      </c>
      <c r="Q136" s="240" t="inlineStr">
        <is>
          <t>01.07.2025 – 02.07.2025</t>
        </is>
      </c>
      <c r="R136" s="240" t="inlineStr">
        <is>
          <t>22.07.2025 – 30.07.2025</t>
        </is>
      </c>
      <c r="S136" s="242">
        <f>IFERROR(INDEX('CoQ Register'!$D:$D,MATCH("P050082|R",'CoQ Register'!$S:$S,0)),"")</f>
        <v/>
      </c>
      <c r="T136" s="240" t="inlineStr">
        <is>
          <t>Conforms</t>
        </is>
      </c>
      <c r="U136" s="240" t="inlineStr">
        <is>
          <t>Conforms</t>
        </is>
      </c>
      <c r="V136" s="240" t="inlineStr">
        <is>
          <t>Conforms</t>
        </is>
      </c>
      <c r="W136" s="240" t="inlineStr">
        <is>
          <t>220-23-K-26, (26.08.2026) [FHM-K]</t>
        </is>
      </c>
      <c r="X136" s="240" t="inlineStr">
        <is>
          <t>220-23-K-26, (26.08.2026) [FHM-K]</t>
        </is>
      </c>
      <c r="Y136" s="240" t="inlineStr">
        <is>
          <t>220-23-M-26, (11.09.2026) [FHM-M]</t>
        </is>
      </c>
      <c r="Z136" s="240" t="inlineStr">
        <is>
          <t>#8, #9, #11, #12 from the initial testing</t>
        </is>
      </c>
      <c r="AA136" s="240" t="inlineStr">
        <is>
          <t>P050082|R</t>
        </is>
      </c>
      <c r="AB136" s="247" t="inlineStr">
        <is>
          <t>registered — retest 1 · Tranche 2 (sampled 12–14.08.2026), tested 14.08.2026, issued 17.08.2026</t>
        </is>
      </c>
    </row>
    <row r="137">
      <c r="A137" s="240" t="n">
        <v>148</v>
      </c>
      <c r="B137" s="241" t="inlineStr">
        <is>
          <t>iCoA-PP_26-148</t>
        </is>
      </c>
      <c r="C137" s="246" t="inlineStr">
        <is>
          <t>yes</t>
        </is>
      </c>
      <c r="D137" s="242" t="n">
        <v>46251</v>
      </c>
      <c r="E137" s="242" t="n">
        <v>46248</v>
      </c>
      <c r="F137" s="242">
        <f>IFERROR(INDEX('Batch Dates'!$G:$G,MATCH(J137,'Batch Dates'!$C:$C,0)),IFERROR(INDEX('Batch Dates'!$G:$G,MATCH(I137,'Batch Dates'!$B:$B,0)),""))</f>
        <v/>
      </c>
      <c r="G137" s="240" t="inlineStr">
        <is>
          <t>legacy</t>
        </is>
      </c>
      <c r="H137" s="240" t="inlineStr">
        <is>
          <t>retest 1</t>
        </is>
      </c>
      <c r="I137" s="241" t="inlineStr">
        <is>
          <t>PM112501</t>
        </is>
      </c>
      <c r="J137" s="240" t="inlineStr">
        <is>
          <t>P060232</t>
        </is>
      </c>
      <c r="K137" s="240" t="inlineStr">
        <is>
          <t>Permanent Marker</t>
        </is>
      </c>
      <c r="L137" s="240" t="inlineStr">
        <is>
          <t>Ident A + Ident B + Foreign matter</t>
        </is>
      </c>
      <c r="M137" s="245" t="inlineStr">
        <is>
          <t>—</t>
        </is>
      </c>
      <c r="N137" s="240">
        <f>IFERROR(INDEX('CoQ Register'!$B:$B,MATCH("P060232|R",'CoQ Register'!$S:$S,0)),"—")</f>
        <v/>
      </c>
      <c r="O137" s="245" t="inlineStr">
        <is>
          <t>—</t>
        </is>
      </c>
      <c r="P137" s="240" t="inlineStr">
        <is>
          <t>27.04.2027</t>
        </is>
      </c>
      <c r="Q137" s="240" t="inlineStr">
        <is>
          <t>05.02.2026</t>
        </is>
      </c>
      <c r="R137" s="240" t="inlineStr">
        <is>
          <t>27.04.2026</t>
        </is>
      </c>
      <c r="S137" s="242">
        <f>IFERROR(INDEX('CoQ Register'!$D:$D,MATCH("P060232|R",'CoQ Register'!$S:$S,0)),"")</f>
        <v/>
      </c>
      <c r="T137" s="240" t="inlineStr">
        <is>
          <t>Conforms</t>
        </is>
      </c>
      <c r="U137" s="240" t="inlineStr">
        <is>
          <t>Conforms</t>
        </is>
      </c>
      <c r="V137" s="240" t="inlineStr">
        <is>
          <t>Conforms</t>
        </is>
      </c>
      <c r="W137" s="240" t="inlineStr">
        <is>
          <t>220-24-K-26, (26.08.2026) [FHM-K]</t>
        </is>
      </c>
      <c r="X137" s="240" t="inlineStr">
        <is>
          <t>220-24-K-26, (26.08.2026) [FHM-K]</t>
        </is>
      </c>
      <c r="Y137" s="240" t="inlineStr">
        <is>
          <t>220-24-M-26, (11.09.2026) [FHM-M]</t>
        </is>
      </c>
      <c r="Z137" s="240" t="inlineStr">
        <is>
          <t>#8, #9, #11, #12 from the initial testing</t>
        </is>
      </c>
      <c r="AA137" s="240" t="inlineStr">
        <is>
          <t>P060232|R</t>
        </is>
      </c>
      <c r="AB137" s="247" t="inlineStr">
        <is>
          <t>registered — retest 1 · Tranche 2 (sampled 12–14.08.2026), tested 14.08.2026, issued 17.08.2026</t>
        </is>
      </c>
    </row>
    <row r="138">
      <c r="A138" s="240" t="n">
        <v>149</v>
      </c>
      <c r="B138" s="241" t="inlineStr">
        <is>
          <t>iCoA-PP_26-149</t>
        </is>
      </c>
      <c r="C138" s="246" t="inlineStr">
        <is>
          <t>yes</t>
        </is>
      </c>
      <c r="D138" s="242" t="n">
        <v>46251</v>
      </c>
      <c r="E138" s="242" t="n">
        <v>46248</v>
      </c>
      <c r="F138" s="242">
        <f>IFERROR(INDEX('Batch Dates'!$G:$G,MATCH(J138,'Batch Dates'!$C:$C,0)),IFERROR(INDEX('Batch Dates'!$G:$G,MATCH(I138,'Batch Dates'!$B:$B,0)),""))</f>
        <v/>
      </c>
      <c r="G138" s="240" t="inlineStr">
        <is>
          <t>legacy</t>
        </is>
      </c>
      <c r="H138" s="240" t="inlineStr">
        <is>
          <t>retest 1</t>
        </is>
      </c>
      <c r="I138" s="241" t="inlineStr">
        <is>
          <t>PUM102501</t>
        </is>
      </c>
      <c r="J138" s="240" t="inlineStr">
        <is>
          <t>P060112</t>
        </is>
      </c>
      <c r="K138" s="240" t="inlineStr">
        <is>
          <t>Pure Michigen</t>
        </is>
      </c>
      <c r="L138" s="240" t="inlineStr">
        <is>
          <t>Ident A + Ident B + Foreign matter</t>
        </is>
      </c>
      <c r="M138" s="245" t="inlineStr">
        <is>
          <t>—</t>
        </is>
      </c>
      <c r="N138" s="240">
        <f>IFERROR(INDEX('CoQ Register'!$B:$B,MATCH("P060112|R",'CoQ Register'!$S:$S,0)),"—")</f>
        <v/>
      </c>
      <c r="O138" s="245" t="inlineStr">
        <is>
          <t>—</t>
        </is>
      </c>
      <c r="P138" s="240" t="inlineStr">
        <is>
          <t>17.02.2027</t>
        </is>
      </c>
      <c r="Q138" s="240" t="inlineStr">
        <is>
          <t>08.01.2026 – 09.01.2026</t>
        </is>
      </c>
      <c r="R138" s="240" t="inlineStr">
        <is>
          <t>17.02.2026</t>
        </is>
      </c>
      <c r="S138" s="242">
        <f>IFERROR(INDEX('CoQ Register'!$D:$D,MATCH("P060112|R",'CoQ Register'!$S:$S,0)),"")</f>
        <v/>
      </c>
      <c r="T138" s="240" t="inlineStr">
        <is>
          <t>Conforms</t>
        </is>
      </c>
      <c r="U138" s="240" t="inlineStr">
        <is>
          <t>Conforms</t>
        </is>
      </c>
      <c r="V138" s="240" t="inlineStr">
        <is>
          <t>Conforms</t>
        </is>
      </c>
      <c r="W138" s="240" t="inlineStr">
        <is>
          <t>220-25-K-26, (26.08.2026) [FHM-K]</t>
        </is>
      </c>
      <c r="X138" s="240" t="inlineStr">
        <is>
          <t>220-25-K-26, (26.08.2026) [FHM-K]</t>
        </is>
      </c>
      <c r="Y138" s="240" t="inlineStr">
        <is>
          <t>220-25-M-26, (11.09.2026) [FHM-M]</t>
        </is>
      </c>
      <c r="Z138" s="240" t="inlineStr">
        <is>
          <t>#8, #9, #11, #12 from the initial testing</t>
        </is>
      </c>
      <c r="AA138" s="240" t="inlineStr">
        <is>
          <t>P060112|R</t>
        </is>
      </c>
      <c r="AB138" s="247" t="inlineStr">
        <is>
          <t>registered — retest 1 · Tranche 2 (sampled 12–14.08.2026), tested 14.08.2026, issued 17.08.2026</t>
        </is>
      </c>
    </row>
    <row r="139">
      <c r="A139" s="240" t="n">
        <v>150</v>
      </c>
      <c r="B139" s="241" t="inlineStr">
        <is>
          <t>iCoA-PP_26-150</t>
        </is>
      </c>
      <c r="C139" s="246" t="inlineStr">
        <is>
          <t>yes</t>
        </is>
      </c>
      <c r="D139" s="242" t="n">
        <v>46251</v>
      </c>
      <c r="E139" s="242" t="n">
        <v>46248</v>
      </c>
      <c r="F139" s="242">
        <f>IFERROR(INDEX('Batch Dates'!$G:$G,MATCH(J139,'Batch Dates'!$C:$C,0)),IFERROR(INDEX('Batch Dates'!$G:$G,MATCH(I139,'Batch Dates'!$B:$B,0)),""))</f>
        <v/>
      </c>
      <c r="G139" s="240" t="inlineStr">
        <is>
          <t>post-SOP</t>
        </is>
      </c>
      <c r="H139" s="240" t="inlineStr">
        <is>
          <t>retest 1</t>
        </is>
      </c>
      <c r="I139" s="241" t="inlineStr">
        <is>
          <t>SCR112501</t>
        </is>
      </c>
      <c r="J139" s="240" t="inlineStr">
        <is>
          <t>P060282</t>
        </is>
      </c>
      <c r="K139" s="240" t="inlineStr">
        <is>
          <t>Scrambler</t>
        </is>
      </c>
      <c r="L139" s="240" t="inlineStr">
        <is>
          <t>Ident A + Ident B + Foreign matter</t>
        </is>
      </c>
      <c r="M139" s="245" t="inlineStr">
        <is>
          <t>—</t>
        </is>
      </c>
      <c r="N139" s="240">
        <f>IFERROR(INDEX('CoQ Register'!$B:$B,MATCH("P060282|R",'CoQ Register'!$S:$S,0)),"—")</f>
        <v/>
      </c>
      <c r="O139" s="245" t="inlineStr">
        <is>
          <t>—</t>
        </is>
      </c>
      <c r="P139" s="240" t="inlineStr">
        <is>
          <t>18.05.2027</t>
        </is>
      </c>
      <c r="Q139" s="240" t="inlineStr">
        <is>
          <t>25.03.2026</t>
        </is>
      </c>
      <c r="R139" s="240" t="inlineStr">
        <is>
          <t>18.05.2026</t>
        </is>
      </c>
      <c r="S139" s="242">
        <f>IFERROR(INDEX('CoQ Register'!$D:$D,MATCH("P060282|R",'CoQ Register'!$S:$S,0)),"")</f>
        <v/>
      </c>
      <c r="T139" s="240" t="inlineStr">
        <is>
          <t>Conforms</t>
        </is>
      </c>
      <c r="U139" s="240" t="inlineStr">
        <is>
          <t>Conforms</t>
        </is>
      </c>
      <c r="V139" s="240" t="inlineStr">
        <is>
          <t>Conforms</t>
        </is>
      </c>
      <c r="W139" s="240" t="inlineStr">
        <is>
          <t>220-26-K-26, (26.08.2026) [FHM-K]</t>
        </is>
      </c>
      <c r="X139" s="240" t="inlineStr">
        <is>
          <t>220-26-K-26, (26.08.2026) [FHM-K]</t>
        </is>
      </c>
      <c r="Y139" s="240" t="inlineStr">
        <is>
          <t>220-26-M-26, (11.09.2026) [FHM-M]</t>
        </is>
      </c>
      <c r="Z139" s="240" t="inlineStr">
        <is>
          <t>#8, #9, #11, #12 from the initial testing</t>
        </is>
      </c>
      <c r="AA139" s="240" t="inlineStr">
        <is>
          <t>P060282|R</t>
        </is>
      </c>
      <c r="AB139" s="247" t="inlineStr">
        <is>
          <t>registered — retest 1 · Tranche 2 (sampled 12–14.08.2026), tested 14.08.2026, issued 17.08.2026</t>
        </is>
      </c>
    </row>
    <row r="140">
      <c r="A140" s="240" t="n">
        <v>151</v>
      </c>
      <c r="B140" s="241" t="inlineStr">
        <is>
          <t>iCoA-PP_26-151</t>
        </is>
      </c>
      <c r="C140" s="246" t="inlineStr">
        <is>
          <t>yes</t>
        </is>
      </c>
      <c r="D140" s="242" t="n">
        <v>46258</v>
      </c>
      <c r="E140" s="242" t="n">
        <v>46253</v>
      </c>
      <c r="F140" s="242">
        <f>IFERROR(INDEX('Batch Dates'!$G:$G,MATCH(J140,'Batch Dates'!$C:$C,0)),IFERROR(INDEX('Batch Dates'!$G:$G,MATCH(I140,'Batch Dates'!$B:$B,0)),""))</f>
        <v/>
      </c>
      <c r="G140" s="240" t="inlineStr">
        <is>
          <t>legacy</t>
        </is>
      </c>
      <c r="H140" s="240" t="inlineStr">
        <is>
          <t>retest 2</t>
        </is>
      </c>
      <c r="I140" s="241" t="inlineStr">
        <is>
          <t>GP0824_01</t>
        </is>
      </c>
      <c r="J140" s="240" t="inlineStr">
        <is>
          <t>P050102</t>
        </is>
      </c>
      <c r="K140" s="240" t="inlineStr">
        <is>
          <t>Grape Pie</t>
        </is>
      </c>
      <c r="L140" s="240" t="inlineStr">
        <is>
          <t>Ident A + Ident B + Foreign matter</t>
        </is>
      </c>
      <c r="M140" s="245" t="inlineStr">
        <is>
          <t>—</t>
        </is>
      </c>
      <c r="N140" s="240">
        <f>IFERROR(INDEX('CoQ Register'!$B:$B,MATCH("P050102|R2",'CoQ Register'!$S:$S,0)),"—")</f>
        <v/>
      </c>
      <c r="O140" s="245" t="inlineStr">
        <is>
          <t>—</t>
        </is>
      </c>
      <c r="P140" s="240" t="inlineStr">
        <is>
          <t>17.04.2026</t>
        </is>
      </c>
      <c r="Q140" s="240" t="inlineStr">
        <is>
          <t>20.03.2025 – 21.03.2025</t>
        </is>
      </c>
      <c r="R140" s="240" t="inlineStr">
        <is>
          <t>05.08.2025 – 07.08.2025 (the issuance plan's basis: 17.04.2025)</t>
        </is>
      </c>
      <c r="S140" s="242">
        <f>IFERROR(INDEX('CoQ Register'!$D:$D,MATCH("P050102|R2",'CoQ Register'!$S:$S,0)),"")</f>
        <v/>
      </c>
      <c r="T140" s="240" t="inlineStr">
        <is>
          <t>Conforms</t>
        </is>
      </c>
      <c r="U140" s="240" t="inlineStr">
        <is>
          <t>Conforms</t>
        </is>
      </c>
      <c r="V140" s="240" t="inlineStr">
        <is>
          <t>Conforms</t>
        </is>
      </c>
      <c r="W140" s="240" t="inlineStr">
        <is>
          <t>227-2-K-26, (11.09.2026) [FHM-K]</t>
        </is>
      </c>
      <c r="X140" s="240" t="inlineStr">
        <is>
          <t>227-2-K-26, (11.09.2026) [FHM-K]</t>
        </is>
      </c>
      <c r="Y140" s="240" t="inlineStr">
        <is>
          <t>— pending —</t>
        </is>
      </c>
      <c r="Z140" s="240" t="inlineStr">
        <is>
          <t>#8, #9, #11, #12 from the initial testing</t>
        </is>
      </c>
      <c r="AA140" s="240" t="inlineStr">
        <is>
          <t>P050102|R2</t>
        </is>
      </c>
      <c r="AB140" s="247" t="inlineStr">
        <is>
          <t>registered — retest 2 · Tranche 3 (sampled 19–21.08.2026), tested 19.08.2026, issued 24.08.2026</t>
        </is>
      </c>
    </row>
    <row r="141">
      <c r="A141" s="240" t="n">
        <v>152</v>
      </c>
      <c r="B141" s="241" t="inlineStr">
        <is>
          <t>iCoA-PP_26-152</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WC082501</t>
        </is>
      </c>
      <c r="J141" s="240" t="inlineStr">
        <is>
          <t>P060012</t>
        </is>
      </c>
      <c r="K141" s="240" t="inlineStr">
        <is>
          <t>Wedding Crusher</t>
        </is>
      </c>
      <c r="L141" s="240" t="inlineStr">
        <is>
          <t>Ident A + Ident B + Foreign matter</t>
        </is>
      </c>
      <c r="M141" s="245" t="inlineStr">
        <is>
          <t>—</t>
        </is>
      </c>
      <c r="N141" s="240">
        <f>IFERROR(INDEX('CoQ Register'!$B:$B,MATCH("P060012|R",'CoQ Register'!$S:$S,0)),"—")</f>
        <v/>
      </c>
      <c r="O141" s="245" t="inlineStr">
        <is>
          <t>—</t>
        </is>
      </c>
      <c r="P141" s="240" t="inlineStr">
        <is>
          <t>13.01.2027</t>
        </is>
      </c>
      <c r="Q141" s="240" t="inlineStr">
        <is>
          <t>09.12.2025</t>
        </is>
      </c>
      <c r="R141" s="240" t="inlineStr">
        <is>
          <t>13.01.2026 – 14.01.2026</t>
        </is>
      </c>
      <c r="S141" s="242">
        <f>IFERROR(INDEX('CoQ Register'!$D:$D,MATCH("P060012|R",'CoQ Register'!$S:$S,0)),"")</f>
        <v/>
      </c>
      <c r="T141" s="240" t="inlineStr">
        <is>
          <t>Conforms</t>
        </is>
      </c>
      <c r="U141" s="240" t="inlineStr">
        <is>
          <t>Conforms</t>
        </is>
      </c>
      <c r="V141" s="240" t="inlineStr">
        <is>
          <t>Conforms</t>
        </is>
      </c>
      <c r="W141" s="240" t="inlineStr">
        <is>
          <t>220-28-K-26, (26.08.2026) [FHM-K]</t>
        </is>
      </c>
      <c r="X141" s="240" t="inlineStr">
        <is>
          <t>220-28-K-26, (26.08.2026) [FHM-K]</t>
        </is>
      </c>
      <c r="Y141" s="240" t="inlineStr">
        <is>
          <t>220-28-M-26, (11.09.2026) [FHM-M]</t>
        </is>
      </c>
      <c r="Z141" s="240" t="inlineStr">
        <is>
          <t>#8, #9, #11, #12 from the initial testing</t>
        </is>
      </c>
      <c r="AA141" s="240" t="inlineStr">
        <is>
          <t>P060012|R</t>
        </is>
      </c>
      <c r="AB141" s="247" t="inlineStr">
        <is>
          <t>registered — retest 1 · Tranche 2 (sampled 12–14.08.2026), tested 14.08.2026, issued 17.08.2026</t>
        </is>
      </c>
    </row>
    <row r="142">
      <c r="A142" s="240" t="n">
        <v>153</v>
      </c>
      <c r="B142" s="241" t="inlineStr">
        <is>
          <t>iCoA-PP_26-153</t>
        </is>
      </c>
      <c r="C142" s="246" t="inlineStr">
        <is>
          <t>yes</t>
        </is>
      </c>
      <c r="D142" s="242" t="n">
        <v>46258</v>
      </c>
      <c r="E142" s="242" t="n">
        <v>46254</v>
      </c>
      <c r="F142" s="242">
        <f>IFERROR(INDEX('Batch Dates'!$G:$G,MATCH(J142,'Batch Dates'!$C:$C,0)),IFERROR(INDEX('Batch Dates'!$G:$G,MATCH(I142,'Batch Dates'!$B:$B,0)),""))</f>
        <v/>
      </c>
      <c r="G142" s="240" t="inlineStr">
        <is>
          <t>legacy</t>
        </is>
      </c>
      <c r="H142" s="240" t="inlineStr">
        <is>
          <t>retest 2</t>
        </is>
      </c>
      <c r="I142" s="241" t="inlineStr">
        <is>
          <t>J31112501</t>
        </is>
      </c>
      <c r="J142" s="240" t="inlineStr">
        <is>
          <t>P060202</t>
        </is>
      </c>
      <c r="K142" s="240" t="inlineStr">
        <is>
          <t>Jokerz 31</t>
        </is>
      </c>
      <c r="L142" s="240" t="inlineStr">
        <is>
          <t>Ident A + Ident B + Foreign matter</t>
        </is>
      </c>
      <c r="M142" s="245" t="inlineStr">
        <is>
          <t>—</t>
        </is>
      </c>
      <c r="N142" s="240">
        <f>IFERROR(INDEX('CoQ Register'!$B:$B,MATCH("P060202|R2",'CoQ Register'!$S:$S,0)),"—")</f>
        <v/>
      </c>
      <c r="O142" s="245" t="inlineStr">
        <is>
          <t>—</t>
        </is>
      </c>
      <c r="P142" s="240" t="inlineStr">
        <is>
          <t>09.04.2027</t>
        </is>
      </c>
      <c r="Q142" s="240" t="inlineStr">
        <is>
          <t>26.01.2026</t>
        </is>
      </c>
      <c r="R142" s="240" t="inlineStr">
        <is>
          <t>17.04.2026 (the issuance plan's basis: 09.04.2026)</t>
        </is>
      </c>
      <c r="S142" s="242">
        <f>IFERROR(INDEX('CoQ Register'!$D:$D,MATCH("P060202|R2",'CoQ Register'!$S:$S,0)),"")</f>
        <v/>
      </c>
      <c r="T142" s="240" t="inlineStr">
        <is>
          <t>Conforms</t>
        </is>
      </c>
      <c r="U142" s="240" t="inlineStr">
        <is>
          <t>Conforms</t>
        </is>
      </c>
      <c r="V142" s="240" t="inlineStr">
        <is>
          <t>Conforms</t>
        </is>
      </c>
      <c r="W142" s="240" t="inlineStr">
        <is>
          <t>227-14-K-26, (11.09.2026) [FHM-K]</t>
        </is>
      </c>
      <c r="X142" s="240" t="inlineStr">
        <is>
          <t>227-14-K-26, (11.09.2026) [FHM-K]</t>
        </is>
      </c>
      <c r="Y142" s="240" t="inlineStr">
        <is>
          <t>— pending —</t>
        </is>
      </c>
      <c r="Z142" s="240" t="inlineStr">
        <is>
          <t>#8, #9, #11, #12 from the initial testing</t>
        </is>
      </c>
      <c r="AA142" s="240" t="inlineStr">
        <is>
          <t>P060202|R2</t>
        </is>
      </c>
      <c r="AB142" s="247" t="inlineStr">
        <is>
          <t>registered — retest 2 · Tranche 3 (sampled 19–21.08.2026), tested 20.08.2026, issued 24.08.2026</t>
        </is>
      </c>
    </row>
    <row r="143">
      <c r="A143" s="240" t="n">
        <v>154</v>
      </c>
      <c r="B143" s="241" t="inlineStr">
        <is>
          <t>iCoA-PP_26-154</t>
        </is>
      </c>
      <c r="C143" s="246" t="inlineStr">
        <is>
          <t>yes</t>
        </is>
      </c>
      <c r="D143" s="242" t="n">
        <v>46258</v>
      </c>
      <c r="E143" s="242" t="n">
        <v>46254</v>
      </c>
      <c r="F143" s="242">
        <f>IFERROR(INDEX('Batch Dates'!$G:$G,MATCH(J143,'Batch Dates'!$C:$C,0)),IFERROR(INDEX('Batch Dates'!$G:$G,MATCH(I143,'Batch Dates'!$B:$B,0)),""))</f>
        <v/>
      </c>
      <c r="G143" s="240" t="inlineStr">
        <is>
          <t>post-SOP</t>
        </is>
      </c>
      <c r="H143" s="240" t="inlineStr">
        <is>
          <t>retest 2</t>
        </is>
      </c>
      <c r="I143" s="241" t="inlineStr">
        <is>
          <t>J31122501</t>
        </is>
      </c>
      <c r="J143" s="240" t="inlineStr">
        <is>
          <t>P060262</t>
        </is>
      </c>
      <c r="K143" s="240" t="inlineStr">
        <is>
          <t>Jokerz 31</t>
        </is>
      </c>
      <c r="L143" s="240" t="inlineStr">
        <is>
          <t>Ident A + Ident B + Foreign matter</t>
        </is>
      </c>
      <c r="M143" s="245" t="inlineStr">
        <is>
          <t>—</t>
        </is>
      </c>
      <c r="N143" s="240">
        <f>IFERROR(INDEX('CoQ Register'!$B:$B,MATCH("P060262|R2",'CoQ Register'!$S:$S,0)),"—")</f>
        <v/>
      </c>
      <c r="O143" s="245" t="inlineStr">
        <is>
          <t>—</t>
        </is>
      </c>
      <c r="P143" s="240" t="inlineStr">
        <is>
          <t>23.04.2027</t>
        </is>
      </c>
      <c r="Q143" s="240" t="inlineStr">
        <is>
          <t>04.03.2026</t>
        </is>
      </c>
      <c r="R143" s="240" t="inlineStr">
        <is>
          <t>14.05.2026 (the issuance plan's basis: 23.04.2026)</t>
        </is>
      </c>
      <c r="S143" s="242">
        <f>IFERROR(INDEX('CoQ Register'!$D:$D,MATCH("P060262|R2",'CoQ Register'!$S:$S,0)),"")</f>
        <v/>
      </c>
      <c r="T143" s="240" t="inlineStr">
        <is>
          <t>Conforms</t>
        </is>
      </c>
      <c r="U143" s="240" t="inlineStr">
        <is>
          <t>Conforms</t>
        </is>
      </c>
      <c r="V143" s="240" t="inlineStr">
        <is>
          <t>Conforms</t>
        </is>
      </c>
      <c r="W143" s="240" t="inlineStr">
        <is>
          <t>— retest assay not yet on file —</t>
        </is>
      </c>
      <c r="X143" s="240" t="inlineStr">
        <is>
          <t>— pending —</t>
        </is>
      </c>
      <c r="Y143" s="240" t="inlineStr">
        <is>
          <t>— pending —</t>
        </is>
      </c>
      <c r="Z143" s="240" t="inlineStr">
        <is>
          <t>#8, #9, #11, #12 from the initial testing</t>
        </is>
      </c>
      <c r="AA143" s="240" t="inlineStr">
        <is>
          <t>P060262|R2</t>
        </is>
      </c>
      <c r="AB143" s="247" t="inlineStr">
        <is>
          <t>registered — retest 2 · Tranche 3 (sampled 19–21.08.2026), tested 20.08.2026, issued 24.08.2026</t>
        </is>
      </c>
    </row>
    <row r="144">
      <c r="A144" s="240" t="n">
        <v>155</v>
      </c>
      <c r="B144" s="241" t="inlineStr">
        <is>
          <t>iCoA-PP_26-155</t>
        </is>
      </c>
      <c r="C144" s="246" t="inlineStr">
        <is>
          <t>yes</t>
        </is>
      </c>
      <c r="D144" s="242" t="n">
        <v>46258</v>
      </c>
      <c r="E144" s="242" t="n">
        <v>46254</v>
      </c>
      <c r="F144" s="242">
        <f>IFERROR(INDEX('Batch Dates'!$G:$G,MATCH(J144,'Batch Dates'!$C:$C,0)),IFERROR(INDEX('Batch Dates'!$G:$G,MATCH(I144,'Batch Dates'!$B:$B,0)),""))</f>
        <v/>
      </c>
      <c r="G144" s="240" t="inlineStr">
        <is>
          <t>post-SOP</t>
        </is>
      </c>
      <c r="H144" s="240" t="inlineStr">
        <is>
          <t>retest 2</t>
        </is>
      </c>
      <c r="I144" s="241" t="inlineStr">
        <is>
          <t>JD012601</t>
        </is>
      </c>
      <c r="J144" s="240" t="inlineStr">
        <is>
          <t>P060312</t>
        </is>
      </c>
      <c r="K144" s="240" t="inlineStr">
        <is>
          <t>Jelly Donuts</t>
        </is>
      </c>
      <c r="L144" s="240" t="inlineStr">
        <is>
          <t>Ident A + Ident B + Foreign matter</t>
        </is>
      </c>
      <c r="M144" s="245" t="inlineStr">
        <is>
          <t>—</t>
        </is>
      </c>
      <c r="N144" s="240">
        <f>IFERROR(INDEX('CoQ Register'!$B:$B,MATCH("P060312|R2",'CoQ Register'!$S:$S,0)),"—")</f>
        <v/>
      </c>
      <c r="O144" s="245" t="inlineStr">
        <is>
          <t>—</t>
        </is>
      </c>
      <c r="P144" s="240" t="inlineStr">
        <is>
          <t>11.05.2027</t>
        </is>
      </c>
      <c r="Q144" s="240" t="inlineStr">
        <is>
          <t>27.03.2026</t>
        </is>
      </c>
      <c r="R144" s="240" t="inlineStr">
        <is>
          <t>21.05.2026 (the issuance plan's basis: 11.05.2026)</t>
        </is>
      </c>
      <c r="S144" s="242">
        <f>IFERROR(INDEX('CoQ Register'!$D:$D,MATCH("P060312|R2",'CoQ Register'!$S:$S,0)),"")</f>
        <v/>
      </c>
      <c r="T144" s="240" t="inlineStr">
        <is>
          <t>Conforms</t>
        </is>
      </c>
      <c r="U144" s="240" t="inlineStr">
        <is>
          <t>Conforms</t>
        </is>
      </c>
      <c r="V144" s="240" t="inlineStr">
        <is>
          <t>Conforms</t>
        </is>
      </c>
      <c r="W144" s="240" t="inlineStr">
        <is>
          <t>227-15-K-26, (11.09.2026) [FHM-K]</t>
        </is>
      </c>
      <c r="X144" s="240" t="inlineStr">
        <is>
          <t>227-15-K-26, (11.09.2026) [FHM-K]</t>
        </is>
      </c>
      <c r="Y144" s="240" t="inlineStr">
        <is>
          <t>— pending —</t>
        </is>
      </c>
      <c r="Z144" s="240" t="inlineStr">
        <is>
          <t>#8, #9, #11, #12 from the initial testing</t>
        </is>
      </c>
      <c r="AA144" s="240" t="inlineStr">
        <is>
          <t>P060312|R2</t>
        </is>
      </c>
      <c r="AB144" s="247" t="inlineStr">
        <is>
          <t>registered — retest 2 · Tranche 3 (sampled 19–21.08.2026), tested 20.08.2026, issued 24.08.2026</t>
        </is>
      </c>
    </row>
    <row r="145">
      <c r="A145" s="240" t="n">
        <v>156</v>
      </c>
      <c r="B145" s="241" t="inlineStr">
        <is>
          <t>iCoA-PP_26-156</t>
        </is>
      </c>
      <c r="C145" s="246" t="inlineStr">
        <is>
          <t>yes</t>
        </is>
      </c>
      <c r="D145" s="242" t="n">
        <v>46258</v>
      </c>
      <c r="E145" s="242" t="n">
        <v>46254</v>
      </c>
      <c r="F145" s="242">
        <f>IFERROR(INDEX('Batch Dates'!$G:$G,MATCH(J145,'Batch Dates'!$C:$C,0)),IFERROR(INDEX('Batch Dates'!$G:$G,MATCH(I145,'Batch Dates'!$B:$B,0)),""))</f>
        <v/>
      </c>
      <c r="G145" s="240" t="inlineStr">
        <is>
          <t>legacy</t>
        </is>
      </c>
      <c r="H145" s="240" t="inlineStr">
        <is>
          <t>retest 2</t>
        </is>
      </c>
      <c r="I145" s="241" t="inlineStr">
        <is>
          <t>MB0824_04</t>
        </is>
      </c>
      <c r="J145" s="240" t="inlineStr">
        <is>
          <t>P050032</t>
        </is>
      </c>
      <c r="K145" s="240" t="inlineStr">
        <is>
          <t>Motor Breath</t>
        </is>
      </c>
      <c r="L145" s="240" t="inlineStr">
        <is>
          <t>Ident A + Ident B + Foreign matter</t>
        </is>
      </c>
      <c r="M145" s="245" t="inlineStr">
        <is>
          <t>—</t>
        </is>
      </c>
      <c r="N145" s="240">
        <f>IFERROR(INDEX('CoQ Register'!$B:$B,MATCH("P050032|R2",'CoQ Register'!$S:$S,0)),"—")</f>
        <v/>
      </c>
      <c r="O145" s="245" t="inlineStr">
        <is>
          <t>—</t>
        </is>
      </c>
      <c r="P145" s="240" t="inlineStr">
        <is>
          <t>07.05.2026</t>
        </is>
      </c>
      <c r="Q145" s="240" t="inlineStr">
        <is>
          <t>02.04.2025 – 03.04.2025</t>
        </is>
      </c>
      <c r="R145" s="240" t="inlineStr">
        <is>
          <t>16.06.2025 – 19.06.2025 (the issuance plan's basis: 07.05.2025)</t>
        </is>
      </c>
      <c r="S145" s="242">
        <f>IFERROR(INDEX('CoQ Register'!$D:$D,MATCH("P050032|R2",'CoQ Register'!$S:$S,0)),"")</f>
        <v/>
      </c>
      <c r="T145" s="240" t="inlineStr">
        <is>
          <t>Conforms</t>
        </is>
      </c>
      <c r="U145" s="240" t="inlineStr">
        <is>
          <t>Conforms</t>
        </is>
      </c>
      <c r="V145" s="240" t="inlineStr">
        <is>
          <t>Conforms</t>
        </is>
      </c>
      <c r="W145" s="240" t="inlineStr">
        <is>
          <t>227-12-K-26, (11.09.2026) [FHM-K]</t>
        </is>
      </c>
      <c r="X145" s="240" t="inlineStr">
        <is>
          <t>227-12-K-26, (11.09.2026) [FHM-K]</t>
        </is>
      </c>
      <c r="Y145" s="240" t="inlineStr">
        <is>
          <t>— pending —</t>
        </is>
      </c>
      <c r="Z145" s="240" t="inlineStr">
        <is>
          <t>#8, #9, #11, #12 from the initial testing</t>
        </is>
      </c>
      <c r="AA145" s="240" t="inlineStr">
        <is>
          <t>P050032|R2</t>
        </is>
      </c>
      <c r="AB145" s="247" t="inlineStr">
        <is>
          <t>registered — retest 2 · Tranche 3 (sampled 19–21.08.2026), tested 20.08.2026, issued 24.08.2026</t>
        </is>
      </c>
    </row>
    <row r="146">
      <c r="A146" s="240" t="n">
        <v>157</v>
      </c>
      <c r="B146" s="241" t="inlineStr">
        <is>
          <t>iCoA-PP_26-157</t>
        </is>
      </c>
      <c r="C146" s="246" t="inlineStr">
        <is>
          <t>yes</t>
        </is>
      </c>
      <c r="D146" s="242" t="n">
        <v>46258</v>
      </c>
      <c r="E146" s="242" t="n">
        <v>46254</v>
      </c>
      <c r="F146" s="242">
        <f>IFERROR(INDEX('Batch Dates'!$G:$G,MATCH(J146,'Batch Dates'!$C:$C,0)),IFERROR(INDEX('Batch Dates'!$G:$G,MATCH(I146,'Batch Dates'!$B:$B,0)),""))</f>
        <v/>
      </c>
      <c r="G146" s="240" t="inlineStr">
        <is>
          <t>legacy</t>
        </is>
      </c>
      <c r="H146" s="240" t="inlineStr">
        <is>
          <t>retest 2</t>
        </is>
      </c>
      <c r="I146" s="241" t="inlineStr">
        <is>
          <t>OPM052501</t>
        </is>
      </c>
      <c r="J146" s="240" t="inlineStr">
        <is>
          <t>P050132</t>
        </is>
      </c>
      <c r="K146" s="240" t="inlineStr">
        <is>
          <t>Orange Punch Mimosa</t>
        </is>
      </c>
      <c r="L146" s="240" t="inlineStr">
        <is>
          <t>Ident A + Ident B + Foreign matter</t>
        </is>
      </c>
      <c r="M146" s="245" t="inlineStr">
        <is>
          <t>—</t>
        </is>
      </c>
      <c r="N146" s="240">
        <f>IFERROR(INDEX('CoQ Register'!$B:$B,MATCH("P050132|R2",'CoQ Register'!$S:$S,0)),"—")</f>
        <v/>
      </c>
      <c r="O146" s="245" t="inlineStr">
        <is>
          <t>—</t>
        </is>
      </c>
      <c r="P146" s="240" t="inlineStr">
        <is>
          <t>05.09.2026</t>
        </is>
      </c>
      <c r="Q146" s="240" t="inlineStr">
        <is>
          <t>11.08.2025 – 13.08.2025</t>
        </is>
      </c>
      <c r="R146" s="240" t="inlineStr">
        <is>
          <t>09.09.2025 – 15.09.2025 (the issuance plan's basis: 05.09.2025)</t>
        </is>
      </c>
      <c r="S146" s="242">
        <f>IFERROR(INDEX('CoQ Register'!$D:$D,MATCH("P050132|R2",'CoQ Register'!$S:$S,0)),"")</f>
        <v/>
      </c>
      <c r="T146" s="240" t="inlineStr">
        <is>
          <t>Conforms</t>
        </is>
      </c>
      <c r="U146" s="240" t="inlineStr">
        <is>
          <t>Conforms</t>
        </is>
      </c>
      <c r="V146" s="240" t="inlineStr">
        <is>
          <t>Conforms</t>
        </is>
      </c>
      <c r="W146" s="240" t="inlineStr">
        <is>
          <t>227-11-K-26, (11.09.2026) [FHM-K]</t>
        </is>
      </c>
      <c r="X146" s="240" t="inlineStr">
        <is>
          <t>227-11-K-26, (11.09.2026) [FHM-K]</t>
        </is>
      </c>
      <c r="Y146" s="240" t="inlineStr">
        <is>
          <t>— pending —</t>
        </is>
      </c>
      <c r="Z146" s="240" t="inlineStr">
        <is>
          <t>#8, #9, #11, #12 from the initial testing</t>
        </is>
      </c>
      <c r="AA146" s="240" t="inlineStr">
        <is>
          <t>P050132|R2</t>
        </is>
      </c>
      <c r="AB146" s="247" t="inlineStr">
        <is>
          <t>registered — retest 2 · Tranche 3 (sampled 19–21.08.2026), tested 20.08.2026, issued 24.08.2026</t>
        </is>
      </c>
    </row>
    <row r="147">
      <c r="A147" s="240" t="n">
        <v>158</v>
      </c>
      <c r="B147" s="241" t="inlineStr">
        <is>
          <t>iCoA-PP_26-158</t>
        </is>
      </c>
      <c r="C147" s="246" t="inlineStr">
        <is>
          <t>yes</t>
        </is>
      </c>
      <c r="D147" s="242" t="n">
        <v>46258</v>
      </c>
      <c r="E147" s="242" t="n">
        <v>46253</v>
      </c>
      <c r="F147" s="242">
        <f>IFERROR(INDEX('Batch Dates'!$G:$G,MATCH(J147,'Batch Dates'!$C:$C,0)),IFERROR(INDEX('Batch Dates'!$G:$G,MATCH(I147,'Batch Dates'!$B:$B,0)),""))</f>
        <v/>
      </c>
      <c r="G147" s="240" t="inlineStr">
        <is>
          <t>legacy</t>
        </is>
      </c>
      <c r="H147" s="240" t="inlineStr">
        <is>
          <t>retest 2</t>
        </is>
      </c>
      <c r="I147" s="241" t="inlineStr">
        <is>
          <t>OPM112501</t>
        </is>
      </c>
      <c r="J147" s="240" t="inlineStr">
        <is>
          <t>P060222</t>
        </is>
      </c>
      <c r="K147" s="240" t="inlineStr">
        <is>
          <t>Orange Punch Mimosa</t>
        </is>
      </c>
      <c r="L147" s="240" t="inlineStr">
        <is>
          <t>Ident A + Ident B + Foreign matter</t>
        </is>
      </c>
      <c r="M147" s="245" t="inlineStr">
        <is>
          <t>—</t>
        </is>
      </c>
      <c r="N147" s="240">
        <f>IFERROR(INDEX('CoQ Register'!$B:$B,MATCH("P060222|R2",'CoQ Register'!$S:$S,0)),"—")</f>
        <v/>
      </c>
      <c r="O147" s="245" t="inlineStr">
        <is>
          <t>—</t>
        </is>
      </c>
      <c r="P147" s="240" t="inlineStr">
        <is>
          <t>05.03.2027</t>
        </is>
      </c>
      <c r="Q147" s="240" t="inlineStr">
        <is>
          <t>05.02.2026</t>
        </is>
      </c>
      <c r="R147" s="240" t="inlineStr">
        <is>
          <t>24.04.2026 (the issuance plan's basis: 05.03.2026)</t>
        </is>
      </c>
      <c r="S147" s="242">
        <f>IFERROR(INDEX('CoQ Register'!$D:$D,MATCH("P060222|R2",'CoQ Register'!$S:$S,0)),"")</f>
        <v/>
      </c>
      <c r="T147" s="240" t="inlineStr">
        <is>
          <t>Conforms</t>
        </is>
      </c>
      <c r="U147" s="240" t="inlineStr">
        <is>
          <t>Conforms</t>
        </is>
      </c>
      <c r="V147" s="240" t="inlineStr">
        <is>
          <t>Conforms</t>
        </is>
      </c>
      <c r="W147" s="240" t="inlineStr">
        <is>
          <t>227-10-K-26, (11.09.2026) [FHM-K]</t>
        </is>
      </c>
      <c r="X147" s="240" t="inlineStr">
        <is>
          <t>227-10-K-26, (11.09.2026) [FHM-K]</t>
        </is>
      </c>
      <c r="Y147" s="240" t="inlineStr">
        <is>
          <t>— pending —</t>
        </is>
      </c>
      <c r="Z147" s="240" t="inlineStr">
        <is>
          <t>#8, #9, #11, #12 from the initial testing</t>
        </is>
      </c>
      <c r="AA147" s="240" t="inlineStr">
        <is>
          <t>P060222|R2</t>
        </is>
      </c>
      <c r="AB147" s="247" t="inlineStr">
        <is>
          <t>registered — retest 2 · Tranche 3 (sampled 19–21.08.2026), tested 19.08.2026, issued 24.08.2026</t>
        </is>
      </c>
    </row>
    <row r="148">
      <c r="A148" s="240" t="n">
        <v>159</v>
      </c>
      <c r="B148" s="241" t="inlineStr">
        <is>
          <t>iCoA-PP_26-159</t>
        </is>
      </c>
      <c r="C148" s="246" t="inlineStr">
        <is>
          <t>yes</t>
        </is>
      </c>
      <c r="D148" s="242" t="n">
        <v>46258</v>
      </c>
      <c r="E148" s="242" t="n">
        <v>46253</v>
      </c>
      <c r="F148" s="242">
        <f>IFERROR(INDEX('Batch Dates'!$G:$G,MATCH(J148,'Batch Dates'!$C:$C,0)),IFERROR(INDEX('Batch Dates'!$G:$G,MATCH(I148,'Batch Dates'!$B:$B,0)),""))</f>
        <v/>
      </c>
      <c r="G148" s="240" t="inlineStr">
        <is>
          <t>legacy</t>
        </is>
      </c>
      <c r="H148" s="240" t="inlineStr">
        <is>
          <t>retest 2</t>
        </is>
      </c>
      <c r="I148" s="241" t="inlineStr">
        <is>
          <t>PM072501</t>
        </is>
      </c>
      <c r="J148" s="240" t="inlineStr">
        <is>
          <t>P050272</t>
        </is>
      </c>
      <c r="K148" s="240" t="inlineStr">
        <is>
          <t>Permanent Marker</t>
        </is>
      </c>
      <c r="L148" s="240" t="inlineStr">
        <is>
          <t>Ident A + Ident B + Foreign matter</t>
        </is>
      </c>
      <c r="M148" s="245" t="inlineStr">
        <is>
          <t>—</t>
        </is>
      </c>
      <c r="N148" s="240">
        <f>IFERROR(INDEX('CoQ Register'!$B:$B,MATCH("P050272|R2",'CoQ Register'!$S:$S,0)),"—")</f>
        <v/>
      </c>
      <c r="O148" s="245" t="inlineStr">
        <is>
          <t>—</t>
        </is>
      </c>
      <c r="P148" s="240" t="inlineStr">
        <is>
          <t>21.01.2027</t>
        </is>
      </c>
      <c r="Q148" s="240" t="inlineStr">
        <is>
          <t>27.10.2025</t>
        </is>
      </c>
      <c r="R148" s="240" t="inlineStr">
        <is>
          <t>02.12.2025 – 03.12.2025 (the issuance plan's basis: 21.01.2026)</t>
        </is>
      </c>
      <c r="S148" s="242">
        <f>IFERROR(INDEX('CoQ Register'!$D:$D,MATCH("P050272|R2",'CoQ Register'!$S:$S,0)),"")</f>
        <v/>
      </c>
      <c r="T148" s="240" t="inlineStr">
        <is>
          <t>Conforms</t>
        </is>
      </c>
      <c r="U148" s="240" t="inlineStr">
        <is>
          <t>Conforms</t>
        </is>
      </c>
      <c r="V148" s="240" t="inlineStr">
        <is>
          <t>Conforms</t>
        </is>
      </c>
      <c r="W148" s="240" t="inlineStr">
        <is>
          <t>227-9-K-26, (11.09.2026) [FHM-K]</t>
        </is>
      </c>
      <c r="X148" s="240" t="inlineStr">
        <is>
          <t>227-9-K-26, (11.09.2026) [FHM-K]</t>
        </is>
      </c>
      <c r="Y148" s="240" t="inlineStr">
        <is>
          <t>— pending —</t>
        </is>
      </c>
      <c r="Z148" s="240" t="inlineStr">
        <is>
          <t>#8, #9, #11, #12 from the initial testing</t>
        </is>
      </c>
      <c r="AA148" s="240" t="inlineStr">
        <is>
          <t>P050272|R2</t>
        </is>
      </c>
      <c r="AB148" s="247" t="inlineStr">
        <is>
          <t>registered — retest 2 · Tranche 3 (sampled 19–21.08.2026), tested 19.08.2026, issued 24.08.2026</t>
        </is>
      </c>
    </row>
    <row r="149">
      <c r="A149" s="240" t="n">
        <v>160</v>
      </c>
      <c r="B149" s="241" t="inlineStr">
        <is>
          <t>iCoA-PP_26-160</t>
        </is>
      </c>
      <c r="C149" s="246" t="inlineStr">
        <is>
          <t>yes</t>
        </is>
      </c>
      <c r="D149" s="242" t="n">
        <v>46258</v>
      </c>
      <c r="E149" s="242" t="n">
        <v>46253</v>
      </c>
      <c r="F149" s="242">
        <f>IFERROR(INDEX('Batch Dates'!$G:$G,MATCH(J149,'Batch Dates'!$C:$C,0)),IFERROR(INDEX('Batch Dates'!$G:$G,MATCH(I149,'Batch Dates'!$B:$B,0)),""))</f>
        <v/>
      </c>
      <c r="G149" s="240" t="inlineStr">
        <is>
          <t>post-SOP</t>
        </is>
      </c>
      <c r="H149" s="240" t="inlineStr">
        <is>
          <t>retest 2</t>
        </is>
      </c>
      <c r="I149" s="241" t="inlineStr">
        <is>
          <t>SCR012601</t>
        </is>
      </c>
      <c r="J149" s="240" t="inlineStr">
        <is>
          <t>P060342</t>
        </is>
      </c>
      <c r="K149" s="240" t="inlineStr">
        <is>
          <t>Scrambler</t>
        </is>
      </c>
      <c r="L149" s="240" t="inlineStr">
        <is>
          <t>Ident A + Ident B + Foreign matter</t>
        </is>
      </c>
      <c r="M149" s="245" t="inlineStr">
        <is>
          <t>—</t>
        </is>
      </c>
      <c r="N149" s="240">
        <f>IFERROR(INDEX('CoQ Register'!$B:$B,MATCH("P060342|R2",'CoQ Register'!$S:$S,0)),"—")</f>
        <v/>
      </c>
      <c r="O149" s="245" t="inlineStr">
        <is>
          <t>—</t>
        </is>
      </c>
      <c r="P149" s="240" t="inlineStr">
        <is>
          <t>25.05.2027</t>
        </is>
      </c>
      <c r="Q149" s="240" t="inlineStr">
        <is>
          <t>16.04.2026</t>
        </is>
      </c>
      <c r="R149" s="240" t="inlineStr">
        <is>
          <t>25.05.2026</t>
        </is>
      </c>
      <c r="S149" s="242">
        <f>IFERROR(INDEX('CoQ Register'!$D:$D,MATCH("P060342|R2",'CoQ Register'!$S:$S,0)),"")</f>
        <v/>
      </c>
      <c r="T149" s="240" t="inlineStr">
        <is>
          <t>Conforms</t>
        </is>
      </c>
      <c r="U149" s="240" t="inlineStr">
        <is>
          <t>Conforms</t>
        </is>
      </c>
      <c r="V149" s="240" t="inlineStr">
        <is>
          <t>Conforms</t>
        </is>
      </c>
      <c r="W149" s="240" t="inlineStr">
        <is>
          <t>227-8-K-26, (11.09.2026) [FHM-K]</t>
        </is>
      </c>
      <c r="X149" s="240" t="inlineStr">
        <is>
          <t>227-8-K-26, (11.09.2026) [FHM-K]</t>
        </is>
      </c>
      <c r="Y149" s="240" t="inlineStr">
        <is>
          <t>— pending —</t>
        </is>
      </c>
      <c r="Z149" s="240" t="inlineStr">
        <is>
          <t>#8, #9, #11, #12 from the initial testing</t>
        </is>
      </c>
      <c r="AA149" s="240" t="inlineStr">
        <is>
          <t>P060342|R2</t>
        </is>
      </c>
      <c r="AB149" s="247" t="inlineStr">
        <is>
          <t>registered — retest 2 · Tranche 3 (sampled 19–21.08.2026), tested 19.08.2026, issued 24.08.2026</t>
        </is>
      </c>
    </row>
    <row r="150">
      <c r="A150" s="240" t="n">
        <v>162</v>
      </c>
      <c r="B150" s="241" t="inlineStr">
        <is>
          <t>iCoA-PP_26-162</t>
        </is>
      </c>
      <c r="C150" s="246" t="inlineStr">
        <is>
          <t>yes</t>
        </is>
      </c>
      <c r="D150" s="242" t="n">
        <v>46258</v>
      </c>
      <c r="E150" s="242" t="n">
        <v>46253</v>
      </c>
      <c r="F150" s="242">
        <f>IFERROR(INDEX('Batch Dates'!$G:$G,MATCH(J150,'Batch Dates'!$C:$C,0)),IFERROR(INDEX('Batch Dates'!$G:$G,MATCH(I150,'Batch Dates'!$B:$B,0)),""))</f>
        <v/>
      </c>
      <c r="G150" s="240" t="inlineStr">
        <is>
          <t>legacy</t>
        </is>
      </c>
      <c r="H150" s="240" t="inlineStr">
        <is>
          <t>retest 2</t>
        </is>
      </c>
      <c r="I150" s="241" t="inlineStr">
        <is>
          <t>SJ102501</t>
        </is>
      </c>
      <c r="J150" s="240" t="inlineStr">
        <is>
          <t>P060162</t>
        </is>
      </c>
      <c r="K150" s="240" t="inlineStr">
        <is>
          <t>Sleepy Joe</t>
        </is>
      </c>
      <c r="L150" s="240" t="inlineStr">
        <is>
          <t>Ident A + Ident B + Foreign matter</t>
        </is>
      </c>
      <c r="M150" s="245" t="inlineStr">
        <is>
          <t>—</t>
        </is>
      </c>
      <c r="N150" s="240">
        <f>IFERROR(INDEX('CoQ Register'!$B:$B,MATCH("P060162|R2",'CoQ Register'!$S:$S,0)),"—")</f>
        <v/>
      </c>
      <c r="O150" s="245" t="inlineStr">
        <is>
          <t>—</t>
        </is>
      </c>
      <c r="P150" s="240" t="inlineStr">
        <is>
          <t>04.03.2027</t>
        </is>
      </c>
      <c r="Q150" s="240" t="inlineStr">
        <is>
          <t>20.01.2026</t>
        </is>
      </c>
      <c r="R150" s="240" t="inlineStr">
        <is>
          <t>09.03.2026 (the issuance plan's basis: 04.03.2026)</t>
        </is>
      </c>
      <c r="S150" s="242">
        <f>IFERROR(INDEX('CoQ Register'!$D:$D,MATCH("P060162|R2",'CoQ Register'!$S:$S,0)),"")</f>
        <v/>
      </c>
      <c r="T150" s="240" t="inlineStr">
        <is>
          <t>Conforms</t>
        </is>
      </c>
      <c r="U150" s="240" t="inlineStr">
        <is>
          <t>Conforms</t>
        </is>
      </c>
      <c r="V150" s="240" t="inlineStr">
        <is>
          <t>Conforms</t>
        </is>
      </c>
      <c r="W150" s="240" t="inlineStr">
        <is>
          <t>227-6-K-26, (11.09.2026) [FHM-K]</t>
        </is>
      </c>
      <c r="X150" s="240" t="inlineStr">
        <is>
          <t>227-6-K-26, (11.09.2026) [FHM-K]</t>
        </is>
      </c>
      <c r="Y150" s="240" t="inlineStr">
        <is>
          <t>— pending —</t>
        </is>
      </c>
      <c r="Z150" s="240" t="inlineStr">
        <is>
          <t>#8, #9, #11, #12 from the initial testing</t>
        </is>
      </c>
      <c r="AA150" s="240" t="inlineStr">
        <is>
          <t>P060162|R2</t>
        </is>
      </c>
      <c r="AB150" s="247" t="inlineStr">
        <is>
          <t>registered — retest 2 · Tranche 3 (sampled 19–21.08.2026), tested 19.08.2026, issued 24.08.2026</t>
        </is>
      </c>
    </row>
    <row r="151">
      <c r="A151" s="240" t="n">
        <v>163</v>
      </c>
      <c r="B151" s="241" t="inlineStr">
        <is>
          <t>iCoA-PP_26-163</t>
        </is>
      </c>
      <c r="C151" s="246" t="inlineStr">
        <is>
          <t>yes</t>
        </is>
      </c>
      <c r="D151" s="242" t="n">
        <v>46258</v>
      </c>
      <c r="E151" s="242" t="n">
        <v>46253</v>
      </c>
      <c r="F151" s="242">
        <f>IFERROR(INDEX('Batch Dates'!$G:$G,MATCH(J151,'Batch Dates'!$C:$C,0)),IFERROR(INDEX('Batch Dates'!$G:$G,MATCH(I151,'Batch Dates'!$B:$B,0)),""))</f>
        <v/>
      </c>
      <c r="G151" s="240" t="inlineStr">
        <is>
          <t>legacy</t>
        </is>
      </c>
      <c r="H151" s="240" t="inlineStr">
        <is>
          <t>retest 1</t>
        </is>
      </c>
      <c r="I151" s="241" t="inlineStr">
        <is>
          <t>SJ112501</t>
        </is>
      </c>
      <c r="J151" s="240" t="inlineStr">
        <is>
          <t>P060192</t>
        </is>
      </c>
      <c r="K151" s="240" t="inlineStr">
        <is>
          <t>Sleepy Joe</t>
        </is>
      </c>
      <c r="L151" s="240" t="inlineStr">
        <is>
          <t>Ident A + Ident B + Foreign matter</t>
        </is>
      </c>
      <c r="M151" s="245" t="inlineStr">
        <is>
          <t>—</t>
        </is>
      </c>
      <c r="N151" s="240">
        <f>IFERROR(INDEX('CoQ Register'!$B:$B,MATCH("P060192|R",'CoQ Register'!$S:$S,0)),"—")</f>
        <v/>
      </c>
      <c r="O151" s="245" t="inlineStr">
        <is>
          <t>—</t>
        </is>
      </c>
      <c r="P151" s="240" t="inlineStr">
        <is>
          <t>04.03.2027</t>
        </is>
      </c>
      <c r="Q151" s="240" t="inlineStr">
        <is>
          <t>26.01.2026 – 27.01.2026</t>
        </is>
      </c>
      <c r="R151" s="240" t="inlineStr">
        <is>
          <t>31.03.2026 (the issuance plan's basis: 04.03.2026)</t>
        </is>
      </c>
      <c r="S151" s="242">
        <f>IFERROR(INDEX('CoQ Register'!$D:$D,MATCH("P060192|R",'CoQ Register'!$S:$S,0)),"")</f>
        <v/>
      </c>
      <c r="T151" s="240" t="inlineStr">
        <is>
          <t>Conforms</t>
        </is>
      </c>
      <c r="U151" s="240" t="inlineStr">
        <is>
          <t>Conforms</t>
        </is>
      </c>
      <c r="V151" s="240" t="inlineStr">
        <is>
          <t>Conforms</t>
        </is>
      </c>
      <c r="W151" s="240" t="inlineStr">
        <is>
          <t>227-5-K-26, (11.09.2026) [FHM-K]</t>
        </is>
      </c>
      <c r="X151" s="240" t="inlineStr">
        <is>
          <t>227-5-K-26, (11.09.2026) [FHM-K]</t>
        </is>
      </c>
      <c r="Y151" s="240" t="inlineStr">
        <is>
          <t>— pending —</t>
        </is>
      </c>
      <c r="Z151" s="240" t="inlineStr">
        <is>
          <t>#8, #9, #11, #12 from the initial testing</t>
        </is>
      </c>
      <c r="AA151" s="240" t="inlineStr">
        <is>
          <t>P060192|R</t>
        </is>
      </c>
      <c r="AB151" s="247" t="inlineStr">
        <is>
          <t>registered — retest 1 · Tranche 3 (sampled 19–21.08.2026), tested 19.08.2026, issued 24.08.2026</t>
        </is>
      </c>
    </row>
    <row r="152">
      <c r="A152" s="240" t="n">
        <v>164</v>
      </c>
      <c r="B152" s="241" t="inlineStr">
        <is>
          <t>iCoA-PP_26-164</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WC072501</t>
        </is>
      </c>
      <c r="J152" s="240" t="inlineStr">
        <is>
          <t>P050262</t>
        </is>
      </c>
      <c r="K152" s="240" t="inlineStr">
        <is>
          <t>Wedding Crusher</t>
        </is>
      </c>
      <c r="L152" s="240" t="inlineStr">
        <is>
          <t>Ident A + Ident B + Foreign matter</t>
        </is>
      </c>
      <c r="M152" s="245" t="inlineStr">
        <is>
          <t>—</t>
        </is>
      </c>
      <c r="N152" s="240">
        <f>IFERROR(INDEX('CoQ Register'!$B:$B,MATCH("P050262|R2",'CoQ Register'!$S:$S,0)),"—")</f>
        <v/>
      </c>
      <c r="O152" s="245" t="inlineStr">
        <is>
          <t>—</t>
        </is>
      </c>
      <c r="P152" s="240" t="inlineStr">
        <is>
          <t>02.12.2026</t>
        </is>
      </c>
      <c r="Q152" s="240" t="inlineStr">
        <is>
          <t>27.10.2025 – 28.10.2025</t>
        </is>
      </c>
      <c r="R152" s="240" t="inlineStr">
        <is>
          <t>01.12.2025 (the issuance plan's basis: 02.12.2025)</t>
        </is>
      </c>
      <c r="S152" s="242">
        <f>IFERROR(INDEX('CoQ Register'!$D:$D,MATCH("P050262|R2",'CoQ Register'!$S:$S,0)),"")</f>
        <v/>
      </c>
      <c r="T152" s="240" t="inlineStr">
        <is>
          <t>Conforms</t>
        </is>
      </c>
      <c r="U152" s="240" t="inlineStr">
        <is>
          <t>Conforms</t>
        </is>
      </c>
      <c r="V152" s="240" t="inlineStr">
        <is>
          <t>Conforms</t>
        </is>
      </c>
      <c r="W152" s="240" t="inlineStr">
        <is>
          <t>227-3-K-26, (11.09.2026) [FHM-K]</t>
        </is>
      </c>
      <c r="X152" s="240" t="inlineStr">
        <is>
          <t>227-3-K-26, (11.09.2026) [FHM-K]</t>
        </is>
      </c>
      <c r="Y152" s="240" t="inlineStr">
        <is>
          <t>— pending —</t>
        </is>
      </c>
      <c r="Z152" s="240" t="inlineStr">
        <is>
          <t>#8, #9, #11, #12 from the initial testing</t>
        </is>
      </c>
      <c r="AA152" s="240" t="inlineStr">
        <is>
          <t>P050262|R2</t>
        </is>
      </c>
      <c r="AB152" s="247" t="inlineStr">
        <is>
          <t>registered — retest 2 · Tranche 3 (sampled 19–21.08.2026), tested 19.08.2026, issued 24.08.2026</t>
        </is>
      </c>
    </row>
    <row r="153">
      <c r="A153" s="240" t="n">
        <v>165</v>
      </c>
      <c r="B153" s="241" t="inlineStr">
        <is>
          <t>iCoA-PP_26-165</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WED102501</t>
        </is>
      </c>
      <c r="J153" s="240" t="inlineStr">
        <is>
          <t>P060102</t>
        </is>
      </c>
      <c r="K153" s="240" t="inlineStr">
        <is>
          <t>Wedding Cake</t>
        </is>
      </c>
      <c r="L153" s="240" t="inlineStr">
        <is>
          <t>Ident A + Ident B + Foreign matter</t>
        </is>
      </c>
      <c r="M153" s="245" t="inlineStr">
        <is>
          <t>—</t>
        </is>
      </c>
      <c r="N153" s="240">
        <f>IFERROR(INDEX('CoQ Register'!$B:$B,MATCH("P060102|R2",'CoQ Register'!$S:$S,0)),"—")</f>
        <v/>
      </c>
      <c r="O153" s="245" t="inlineStr">
        <is>
          <t>—</t>
        </is>
      </c>
      <c r="P153" s="240" t="inlineStr">
        <is>
          <t>16.02.2027</t>
        </is>
      </c>
      <c r="Q153" s="240" t="inlineStr">
        <is>
          <t>08.01.2026</t>
        </is>
      </c>
      <c r="R153" s="240" t="inlineStr">
        <is>
          <t>16.02.2026</t>
        </is>
      </c>
      <c r="S153" s="242">
        <f>IFERROR(INDEX('CoQ Register'!$D:$D,MATCH("P060102|R2",'CoQ Register'!$S:$S,0)),"")</f>
        <v/>
      </c>
      <c r="T153" s="240" t="inlineStr">
        <is>
          <t>Conforms</t>
        </is>
      </c>
      <c r="U153" s="240" t="inlineStr">
        <is>
          <t>Conforms</t>
        </is>
      </c>
      <c r="V153" s="240" t="inlineStr">
        <is>
          <t>Conforms</t>
        </is>
      </c>
      <c r="W153" s="240" t="inlineStr">
        <is>
          <t>227-4-K-26, (11.09.2026) [FHM-K]</t>
        </is>
      </c>
      <c r="X153" s="240" t="inlineStr">
        <is>
          <t>227-4-K-26, (11.09.2026) [FHM-K]</t>
        </is>
      </c>
      <c r="Y153" s="240" t="inlineStr">
        <is>
          <t>— pending —</t>
        </is>
      </c>
      <c r="Z153" s="240" t="inlineStr">
        <is>
          <t>#8, #9, #11, #12 from the initial testing</t>
        </is>
      </c>
      <c r="AA153" s="240" t="inlineStr">
        <is>
          <t>P060102|R2</t>
        </is>
      </c>
      <c r="AB153" s="247" t="inlineStr">
        <is>
          <t>registered — retest 2 · Tranche 3 (sampled 19–21.08.2026), tested 19.08.2026, issued 24.08.2026</t>
        </is>
      </c>
    </row>
    <row r="154">
      <c r="A154" s="240" t="n">
        <v>166</v>
      </c>
      <c r="B154" s="241" t="inlineStr">
        <is>
          <t>iCoA-PP_26-166</t>
        </is>
      </c>
      <c r="C154" s="246" t="inlineStr">
        <is>
          <t>yes</t>
        </is>
      </c>
      <c r="D154" s="242" t="n">
        <v>46176</v>
      </c>
      <c r="E154" s="242" t="inlineStr">
        <is>
          <t>— not on record —</t>
        </is>
      </c>
      <c r="F154" s="242">
        <f>IFERROR(INDEX('Batch Dates'!$G:$G,MATCH(J154,'Batch Dates'!$C:$C,0)),IFERROR(INDEX('Batch Dates'!$G:$G,MATCH(I154,'Batch Dates'!$B:$B,0)),""))</f>
        <v/>
      </c>
      <c r="G154" s="240" t="inlineStr">
        <is>
          <t>—</t>
        </is>
      </c>
      <c r="H154" s="240" t="inlineStr">
        <is>
          <t>initial release</t>
        </is>
      </c>
      <c r="I154" s="241" t="inlineStr">
        <is>
          <t>CC042601</t>
        </is>
      </c>
      <c r="J154" s="240" t="inlineStr">
        <is>
          <t>N/A — no P batch assigned</t>
        </is>
      </c>
      <c r="K154" s="240" t="inlineStr">
        <is>
          <t>Cash Cow</t>
        </is>
      </c>
      <c r="L154" s="240" t="inlineStr">
        <is>
          <t>Ident A + Ident B + Foreign matter</t>
        </is>
      </c>
      <c r="M154" s="245" t="inlineStr">
        <is>
          <t>—</t>
        </is>
      </c>
      <c r="N154" s="240">
        <f>IFERROR(INDEX('CoQ Register'!$B:$B,MATCH("CC042601|I",'CoQ Register'!$S:$S,0)),"—")</f>
        <v/>
      </c>
      <c r="O154" s="245" t="inlineStr">
        <is>
          <t>—</t>
        </is>
      </c>
      <c r="P154" s="240" t="inlineStr">
        <is>
          <t>—</t>
        </is>
      </c>
      <c r="Q154" s="240" t="inlineStr">
        <is>
          <t>— not on the list —</t>
        </is>
      </c>
      <c r="R154" s="240" t="inlineStr">
        <is>
          <t>— not on the list —</t>
        </is>
      </c>
      <c r="S154" s="242">
        <f>IFERROR(INDEX('CoQ Register'!$D:$D,MATCH("CC042601|I",'CoQ Register'!$S:$S,0)),"")</f>
        <v/>
      </c>
      <c r="T154" s="240" t="inlineStr">
        <is>
          <t>Conforms</t>
        </is>
      </c>
      <c r="U154" s="240" t="inlineStr">
        <is>
          <t>Conforms</t>
        </is>
      </c>
      <c r="V154" s="240" t="inlineStr">
        <is>
          <t>Conforms</t>
        </is>
      </c>
      <c r="W154" s="240" t="inlineStr">
        <is>
          <t>— no cannabinoid certificate from the initial testing —</t>
        </is>
      </c>
      <c r="X154" s="240" t="inlineStr">
        <is>
          <t>—</t>
        </is>
      </c>
      <c r="Y154" s="240" t="inlineStr">
        <is>
          <t>—</t>
        </is>
      </c>
      <c r="Z154" s="240" t="inlineStr">
        <is>
          <t>—</t>
        </is>
      </c>
      <c r="AA154" s="240" t="inlineStr">
        <is>
          <t>CC042601|I</t>
        </is>
      </c>
      <c r="AB154" s="247" t="inlineStr">
        <is>
          <t>registered — initial release, issued 03.06.2026 · no packaging date on file — testing date not stated (owner, 15.09.2026: certified all the same)</t>
        </is>
      </c>
    </row>
    <row r="155">
      <c r="A155" s="240" t="n">
        <v>167</v>
      </c>
      <c r="B155" s="241" t="inlineStr">
        <is>
          <t>iCoA-PP_26-167</t>
        </is>
      </c>
      <c r="C155" s="246" t="inlineStr">
        <is>
          <t>yes</t>
        </is>
      </c>
      <c r="D155" s="242" t="n">
        <v>46176</v>
      </c>
      <c r="E155" s="242" t="inlineStr">
        <is>
          <t>— not on record —</t>
        </is>
      </c>
      <c r="F155" s="242">
        <f>IFERROR(INDEX('Batch Dates'!$G:$G,MATCH(J155,'Batch Dates'!$C:$C,0)),IFERROR(INDEX('Batch Dates'!$G:$G,MATCH(I155,'Batch Dates'!$B:$B,0)),""))</f>
        <v/>
      </c>
      <c r="G155" s="240" t="inlineStr">
        <is>
          <t>—</t>
        </is>
      </c>
      <c r="H155" s="240" t="inlineStr">
        <is>
          <t>initial release</t>
        </is>
      </c>
      <c r="I155" s="241" t="inlineStr">
        <is>
          <t>FB042601</t>
        </is>
      </c>
      <c r="J155" s="240" t="inlineStr">
        <is>
          <t>N/A — no P batch assigned</t>
        </is>
      </c>
      <c r="K155" s="240" t="inlineStr">
        <is>
          <t>Fat Bastard</t>
        </is>
      </c>
      <c r="L155" s="240" t="inlineStr">
        <is>
          <t>Ident A + Ident B + Foreign matter</t>
        </is>
      </c>
      <c r="M155" s="245" t="inlineStr">
        <is>
          <t>—</t>
        </is>
      </c>
      <c r="N155" s="240">
        <f>IFERROR(INDEX('CoQ Register'!$B:$B,MATCH("FB042601|I",'CoQ Register'!$S:$S,0)),"—")</f>
        <v/>
      </c>
      <c r="O155" s="245" t="inlineStr">
        <is>
          <t>—</t>
        </is>
      </c>
      <c r="P155" s="240" t="inlineStr">
        <is>
          <t>—</t>
        </is>
      </c>
      <c r="Q155" s="240" t="inlineStr">
        <is>
          <t>— not on the list —</t>
        </is>
      </c>
      <c r="R155" s="240" t="inlineStr">
        <is>
          <t>— not on the list —</t>
        </is>
      </c>
      <c r="S155" s="242">
        <f>IFERROR(INDEX('CoQ Register'!$D:$D,MATCH("FB042601|I",'CoQ Register'!$S:$S,0)),"")</f>
        <v/>
      </c>
      <c r="T155" s="240" t="inlineStr">
        <is>
          <t>Conforms</t>
        </is>
      </c>
      <c r="U155" s="240" t="inlineStr">
        <is>
          <t>Conforms</t>
        </is>
      </c>
      <c r="V155" s="240" t="inlineStr">
        <is>
          <t>Conforms</t>
        </is>
      </c>
      <c r="W155" s="240" t="inlineStr">
        <is>
          <t>— no cannabinoid certificate from the initial testing —</t>
        </is>
      </c>
      <c r="X155" s="240" t="inlineStr">
        <is>
          <t>—</t>
        </is>
      </c>
      <c r="Y155" s="240" t="inlineStr">
        <is>
          <t>—</t>
        </is>
      </c>
      <c r="Z155" s="240" t="inlineStr">
        <is>
          <t>—</t>
        </is>
      </c>
      <c r="AA155" s="240" t="inlineStr">
        <is>
          <t>FB042601|I</t>
        </is>
      </c>
      <c r="AB155" s="247" t="inlineStr">
        <is>
          <t>registered — initial release, issued 03.06.2026 · no packaging date on file — testing date not stated (owner, 15.09.2026: certified all the same)</t>
        </is>
      </c>
    </row>
    <row r="156">
      <c r="A156" s="240" t="inlineStr"/>
      <c r="B156" s="241" t="inlineStr">
        <is>
          <t>— not issued —</t>
        </is>
      </c>
      <c r="C156" s="246" t="inlineStr">
        <is>
          <t>no</t>
        </is>
      </c>
      <c r="D156" s="242" t="inlineStr"/>
      <c r="E156" s="242">
        <f>IFERROR(INDEX('Batch Dates'!$F:$F,MATCH(J156,'Batch Dates'!$C:$C,0)),IFERROR(INDEX('Batch Dates'!$F:$F,MATCH(I156,'Batch Dates'!$B:$B,0)),""))</f>
        <v/>
      </c>
      <c r="F156" s="242">
        <f>IFERROR(INDEX('Batch Dates'!$G:$G,MATCH(J156,'Batch Dates'!$C:$C,0)),IFERROR(INDEX('Batch Dates'!$G:$G,MATCH(I156,'Batch Dates'!$B:$B,0)),""))</f>
        <v/>
      </c>
      <c r="G156" s="240" t="inlineStr">
        <is>
          <t>post-SOP</t>
        </is>
      </c>
      <c r="H156" s="240" t="inlineStr">
        <is>
          <t>initial release</t>
        </is>
      </c>
      <c r="I156" s="241" t="inlineStr">
        <is>
          <t>FB012603V</t>
        </is>
      </c>
      <c r="J156" s="240" t="inlineStr">
        <is>
          <t>P060392</t>
        </is>
      </c>
      <c r="K156" s="240" t="inlineStr">
        <is>
          <t>Fat Bastard</t>
        </is>
      </c>
      <c r="L156" s="240" t="inlineStr">
        <is>
          <t>Ident A + Ident B + Foreign matter</t>
        </is>
      </c>
      <c r="M156" s="240" t="inlineStr">
        <is>
          <t>A: ППК26110 / B: ППК26110 / FM: ППК26110</t>
        </is>
      </c>
      <c r="N156" s="240">
        <f>IFERROR(INDEX('CoQ Register'!$B:$B,MATCH("P060392|I",'CoQ Register'!$S:$S,0)),"—")</f>
        <v/>
      </c>
      <c r="O156" s="245" t="inlineStr">
        <is>
          <t>—</t>
        </is>
      </c>
      <c r="P156" s="240" t="inlineStr">
        <is>
          <t>30.06.2026</t>
        </is>
      </c>
      <c r="Q156" s="240" t="inlineStr">
        <is>
          <t>29.04.2026</t>
        </is>
      </c>
      <c r="R156" s="240" t="inlineStr">
        <is>
          <t>23.05.2026 (the issuance plan's basis: 30.06.2026)</t>
        </is>
      </c>
      <c r="S156" s="242">
        <f>IFERROR(INDEX('CoQ Register'!$D:$D,MATCH("P060392|I",'CoQ Register'!$S:$S,0)),"")</f>
        <v/>
      </c>
      <c r="T156" s="240" t="inlineStr">
        <is>
          <t>CNP ППК26110</t>
        </is>
      </c>
      <c r="U156" s="240" t="inlineStr">
        <is>
          <t>CNP ППК26110</t>
        </is>
      </c>
      <c r="V156" s="240" t="inlineStr">
        <is>
          <t>CNP ППК26110</t>
        </is>
      </c>
      <c r="W156" s="240" t="inlineStr">
        <is>
          <t>ППК26110, (30.06.2026) [CNP]</t>
        </is>
      </c>
      <c r="X156" s="240" t="inlineStr">
        <is>
          <t>—</t>
        </is>
      </c>
      <c r="Y156" s="240" t="inlineStr">
        <is>
          <t>—</t>
        </is>
      </c>
      <c r="Z156" s="240" t="inlineStr">
        <is>
          <t>—</t>
        </is>
      </c>
      <c r="AA156" s="240" t="inlineStr">
        <is>
          <t>P060392|I</t>
        </is>
      </c>
      <c r="AB156" s="247" t="inlineStr">
        <is>
          <t>registered — initial release, issued 03.06.2026</t>
        </is>
      </c>
    </row>
    <row r="157">
      <c r="A157" s="240" t="inlineStr"/>
      <c r="B157" s="241" t="inlineStr">
        <is>
          <t>— not issued —</t>
        </is>
      </c>
      <c r="C157" s="246" t="inlineStr">
        <is>
          <t>no</t>
        </is>
      </c>
      <c r="D157" s="242" t="inlineStr"/>
      <c r="E157" s="242">
        <f>IFERROR(INDEX('Batch Dates'!$F:$F,MATCH(J157,'Batch Dates'!$C:$C,0)),IFERROR(INDEX('Batch Dates'!$F:$F,MATCH(I157,'Batch Dates'!$B:$B,0)),""))</f>
        <v/>
      </c>
      <c r="F157" s="242">
        <f>IFERROR(INDEX('Batch Dates'!$G:$G,MATCH(J157,'Batch Dates'!$C:$C,0)),IFERROR(INDEX('Batch Dates'!$G:$G,MATCH(I157,'Batch Dates'!$B:$B,0)),""))</f>
        <v/>
      </c>
      <c r="G157" s="240" t="inlineStr">
        <is>
          <t>post-SOP</t>
        </is>
      </c>
      <c r="H157" s="240" t="inlineStr">
        <is>
          <t>initial release</t>
        </is>
      </c>
      <c r="I157" s="241" t="inlineStr">
        <is>
          <t>FB012603</t>
        </is>
      </c>
      <c r="J157" s="240" t="inlineStr">
        <is>
          <t>P060432</t>
        </is>
      </c>
      <c r="K157" s="240" t="inlineStr">
        <is>
          <t>Fat Bastard</t>
        </is>
      </c>
      <c r="L157" s="240" t="inlineStr">
        <is>
          <t>Ident A + Ident B + Foreign matter</t>
        </is>
      </c>
      <c r="M157" s="240" t="inlineStr">
        <is>
          <t>A: ППК26112 / B: ППК26112 / FM: ППК26112</t>
        </is>
      </c>
      <c r="N157" s="240">
        <f>IFERROR(INDEX('CoQ Register'!$B:$B,MATCH("P060432|I",'CoQ Register'!$S:$S,0)),"—")</f>
        <v/>
      </c>
      <c r="O157" s="245" t="inlineStr">
        <is>
          <t>—</t>
        </is>
      </c>
      <c r="P157" s="240" t="inlineStr">
        <is>
          <t>30.06.2026</t>
        </is>
      </c>
      <c r="Q157" s="240" t="inlineStr">
        <is>
          <t>04.05.2026</t>
        </is>
      </c>
      <c r="R157" s="240" t="inlineStr">
        <is>
          <t>15.06.2026 (the issuance plan's basis: 30.06.2026)</t>
        </is>
      </c>
      <c r="S157" s="242">
        <f>IFERROR(INDEX('CoQ Register'!$D:$D,MATCH("P060432|I",'CoQ Register'!$S:$S,0)),"")</f>
        <v/>
      </c>
      <c r="T157" s="240" t="inlineStr">
        <is>
          <t>CNP ППК26112</t>
        </is>
      </c>
      <c r="U157" s="240" t="inlineStr">
        <is>
          <t>CNP ППК26112</t>
        </is>
      </c>
      <c r="V157" s="240" t="inlineStr">
        <is>
          <t>CNP ППК26112</t>
        </is>
      </c>
      <c r="W157" s="240" t="inlineStr">
        <is>
          <t>ППК26112, (30.06.2026) [CNP]</t>
        </is>
      </c>
      <c r="X157" s="240" t="inlineStr">
        <is>
          <t>—</t>
        </is>
      </c>
      <c r="Y157" s="240" t="inlineStr">
        <is>
          <t>—</t>
        </is>
      </c>
      <c r="Z157" s="240" t="inlineStr">
        <is>
          <t>—</t>
        </is>
      </c>
      <c r="AA157" s="240" t="inlineStr">
        <is>
          <t>P060432|I</t>
        </is>
      </c>
      <c r="AB157" s="247" t="inlineStr">
        <is>
          <t>registered — initial release, issued 15.06.2026</t>
        </is>
      </c>
    </row>
    <row r="158">
      <c r="A158" s="240" t="inlineStr"/>
      <c r="B158" s="241" t="inlineStr">
        <is>
          <t>— not issued —</t>
        </is>
      </c>
      <c r="C158" s="246" t="inlineStr">
        <is>
          <t>no</t>
        </is>
      </c>
      <c r="D158" s="242" t="inlineStr"/>
      <c r="E158" s="242">
        <f>IFERROR(INDEX('Batch Dates'!$F:$F,MATCH(J158,'Batch Dates'!$C:$C,0)),IFERROR(INDEX('Batch Dates'!$F:$F,MATCH(I158,'Batch Dates'!$B:$B,0)),""))</f>
        <v/>
      </c>
      <c r="F158" s="242">
        <f>IFERROR(INDEX('Batch Dates'!$G:$G,MATCH(J158,'Batch Dates'!$C:$C,0)),IFERROR(INDEX('Batch Dates'!$G:$G,MATCH(I158,'Batch Dates'!$B:$B,0)),""))</f>
        <v/>
      </c>
      <c r="G158" s="240" t="inlineStr">
        <is>
          <t>post-SOP</t>
        </is>
      </c>
      <c r="H158" s="240" t="inlineStr">
        <is>
          <t>initial release</t>
        </is>
      </c>
      <c r="I158" s="241" t="inlineStr">
        <is>
          <t>SCR022601</t>
        </is>
      </c>
      <c r="J158" s="240" t="inlineStr">
        <is>
          <t>P060442</t>
        </is>
      </c>
      <c r="K158" s="240" t="inlineStr">
        <is>
          <t>Scrambler</t>
        </is>
      </c>
      <c r="L158" s="240" t="inlineStr">
        <is>
          <t>Ident A + Ident B + Foreign matter</t>
        </is>
      </c>
      <c r="M158" s="240" t="inlineStr">
        <is>
          <t>A: ППК26116 / B: ППК26116 / FM: ППК26116</t>
        </is>
      </c>
      <c r="N158" s="240">
        <f>IFERROR(INDEX('CoQ Register'!$B:$B,MATCH("P060442|I",'CoQ Register'!$S:$S,0)),"—")</f>
        <v/>
      </c>
      <c r="O158" s="245" t="inlineStr">
        <is>
          <t>—</t>
        </is>
      </c>
      <c r="P158" s="240" t="inlineStr">
        <is>
          <t>06.07.2026</t>
        </is>
      </c>
      <c r="Q158" s="240" t="inlineStr">
        <is>
          <t>13.05.2026</t>
        </is>
      </c>
      <c r="R158" s="240" t="inlineStr">
        <is>
          <t>18.06.2026 (the issuance plan's basis: 06.07.2026)</t>
        </is>
      </c>
      <c r="S158" s="242">
        <f>IFERROR(INDEX('CoQ Register'!$D:$D,MATCH("P060442|I",'CoQ Register'!$S:$S,0)),"")</f>
        <v/>
      </c>
      <c r="T158" s="240" t="inlineStr">
        <is>
          <t>CNP ППК26116</t>
        </is>
      </c>
      <c r="U158" s="240" t="inlineStr">
        <is>
          <t>CNP ППК26116</t>
        </is>
      </c>
      <c r="V158" s="240" t="inlineStr">
        <is>
          <t>CNP ППК26116</t>
        </is>
      </c>
      <c r="W158" s="240" t="inlineStr">
        <is>
          <t>ППК26116, (06.07.2026) [CNP]</t>
        </is>
      </c>
      <c r="X158" s="240" t="inlineStr">
        <is>
          <t>—</t>
        </is>
      </c>
      <c r="Y158" s="240" t="inlineStr">
        <is>
          <t>—</t>
        </is>
      </c>
      <c r="Z158" s="240" t="inlineStr">
        <is>
          <t>—</t>
        </is>
      </c>
      <c r="AA158" s="240" t="inlineStr">
        <is>
          <t>P060442|I</t>
        </is>
      </c>
      <c r="AB158" s="247" t="inlineStr">
        <is>
          <t>registered — initial release, issued 18.06.2026</t>
        </is>
      </c>
    </row>
    <row r="159">
      <c r="A159" s="240" t="inlineStr"/>
      <c r="B159" s="241" t="inlineStr">
        <is>
          <t>— not issued —</t>
        </is>
      </c>
      <c r="C159" s="246" t="inlineStr">
        <is>
          <t>no</t>
        </is>
      </c>
      <c r="D159" s="242" t="inlineStr"/>
      <c r="E159" s="242">
        <f>IFERROR(INDEX('Batch Dates'!$F:$F,MATCH(J159,'Batch Dates'!$C:$C,0)),IFERROR(INDEX('Batch Dates'!$F:$F,MATCH(I159,'Batch Dates'!$B:$B,0)),""))</f>
        <v/>
      </c>
      <c r="F159" s="242">
        <f>IFERROR(INDEX('Batch Dates'!$G:$G,MATCH(J159,'Batch Dates'!$C:$C,0)),IFERROR(INDEX('Batch Dates'!$G:$G,MATCH(I159,'Batch Dates'!$B:$B,0)),""))</f>
        <v/>
      </c>
      <c r="G159" s="240" t="inlineStr">
        <is>
          <t>post-SOP</t>
        </is>
      </c>
      <c r="H159" s="240" t="inlineStr">
        <is>
          <t>initial release</t>
        </is>
      </c>
      <c r="I159" s="241" t="inlineStr">
        <is>
          <t>FB032601</t>
        </is>
      </c>
      <c r="J159" s="240" t="inlineStr">
        <is>
          <t>P060452</t>
        </is>
      </c>
      <c r="K159" s="240" t="inlineStr">
        <is>
          <t>Fat Bastard</t>
        </is>
      </c>
      <c r="L159" s="240" t="inlineStr">
        <is>
          <t>Ident A + Ident B + Foreign matter</t>
        </is>
      </c>
      <c r="M159" s="240" t="inlineStr">
        <is>
          <t>A: ППК26127 / B: ППК26127 / FM: ППК26127</t>
        </is>
      </c>
      <c r="N159" s="240">
        <f>IFERROR(INDEX('CoQ Register'!$B:$B,MATCH("P060452|I",'CoQ Register'!$S:$S,0)),"—")</f>
        <v/>
      </c>
      <c r="O159" s="245" t="inlineStr">
        <is>
          <t>—</t>
        </is>
      </c>
      <c r="P159" s="240" t="inlineStr">
        <is>
          <t>21.07.2026</t>
        </is>
      </c>
      <c r="Q159" s="240" t="inlineStr">
        <is>
          <t>02.06.2026</t>
        </is>
      </c>
      <c r="R159" s="240" t="inlineStr">
        <is>
          <t>29.06.2026 (the issuance plan's basis: 21.07.2026)</t>
        </is>
      </c>
      <c r="S159" s="242">
        <f>IFERROR(INDEX('CoQ Register'!$D:$D,MATCH("P060452|I",'CoQ Register'!$S:$S,0)),"")</f>
        <v/>
      </c>
      <c r="T159" s="240" t="inlineStr">
        <is>
          <t>CNP ППК26127</t>
        </is>
      </c>
      <c r="U159" s="240" t="inlineStr">
        <is>
          <t>CNP ППК26127</t>
        </is>
      </c>
      <c r="V159" s="240" t="inlineStr">
        <is>
          <t>CNP ППК26127</t>
        </is>
      </c>
      <c r="W159" s="240" t="inlineStr">
        <is>
          <t>ППК26127, (21.07.2026) [CNP]</t>
        </is>
      </c>
      <c r="X159" s="240" t="inlineStr">
        <is>
          <t>—</t>
        </is>
      </c>
      <c r="Y159" s="240" t="inlineStr">
        <is>
          <t>—</t>
        </is>
      </c>
      <c r="Z159" s="240" t="inlineStr">
        <is>
          <t>—</t>
        </is>
      </c>
      <c r="AA159" s="240" t="inlineStr">
        <is>
          <t>P060452|I</t>
        </is>
      </c>
      <c r="AB159" s="247" t="inlineStr">
        <is>
          <t>registered — initial release, issued 29.06.2026</t>
        </is>
      </c>
    </row>
    <row r="160">
      <c r="A160" s="240" t="inlineStr"/>
      <c r="B160" s="241" t="inlineStr">
        <is>
          <t>— not issued —</t>
        </is>
      </c>
      <c r="C160" s="246" t="inlineStr">
        <is>
          <t>no</t>
        </is>
      </c>
      <c r="D160" s="242" t="inlineStr"/>
      <c r="E160" s="242" t="inlineStr">
        <is>
          <t>— not stated —</t>
        </is>
      </c>
      <c r="F160" s="242">
        <f>IFERROR(INDEX('Batch Dates'!$G:$G,MATCH(J160,'Batch Dates'!$C:$C,0)),IFERROR(INDEX('Batch Dates'!$G:$G,MATCH(I160,'Batch Dates'!$B:$B,0)),""))</f>
        <v/>
      </c>
      <c r="G160" s="240" t="inlineStr">
        <is>
          <t>—</t>
        </is>
      </c>
      <c r="H160" s="240" t="inlineStr">
        <is>
          <t>initial release</t>
        </is>
      </c>
      <c r="I160" s="241" t="inlineStr">
        <is>
          <t>— not recorded — (P160012)</t>
        </is>
      </c>
      <c r="J160" s="240" t="inlineStr">
        <is>
          <t>P160012</t>
        </is>
      </c>
      <c r="K160" s="240" t="inlineStr">
        <is>
          <t>Grape Pie</t>
        </is>
      </c>
      <c r="L160" s="240" t="inlineStr">
        <is>
          <t>Ident A + Ident B + Foreign matter</t>
        </is>
      </c>
      <c r="M160" s="240" t="inlineStr">
        <is>
          <t>A: ППК26117 / B: ППК26117 / FM: ППК26117</t>
        </is>
      </c>
      <c r="N160" s="240">
        <f>IFERROR(INDEX('CoQ Register'!$B:$B,MATCH("P160012|I",'CoQ Register'!$S:$S,0)),"—")</f>
        <v/>
      </c>
      <c r="O160" s="245" t="inlineStr">
        <is>
          <t>—</t>
        </is>
      </c>
      <c r="P160" s="240" t="inlineStr">
        <is>
          <t>06.07.2026</t>
        </is>
      </c>
      <c r="Q160" s="240" t="inlineStr">
        <is>
          <t>— not on the list —</t>
        </is>
      </c>
      <c r="R160" s="240" t="inlineStr">
        <is>
          <t>— not on the list —</t>
        </is>
      </c>
      <c r="S160" s="242">
        <f>IFERROR(INDEX('CoQ Register'!$D:$D,MATCH("P160012|I",'CoQ Register'!$S:$S,0)),"")</f>
        <v/>
      </c>
      <c r="T160" s="240" t="inlineStr">
        <is>
          <t>CNP ППК26117</t>
        </is>
      </c>
      <c r="U160" s="240" t="inlineStr">
        <is>
          <t>CNP ППК26117</t>
        </is>
      </c>
      <c r="V160" s="240" t="inlineStr">
        <is>
          <t>CNP ППК26117</t>
        </is>
      </c>
      <c r="W160" s="240" t="inlineStr">
        <is>
          <t>ППК26117, (06.07.2026) [CNP]</t>
        </is>
      </c>
      <c r="X160" s="240" t="inlineStr">
        <is>
          <t>—</t>
        </is>
      </c>
      <c r="Y160" s="240" t="inlineStr">
        <is>
          <t>—</t>
        </is>
      </c>
      <c r="Z160" s="240" t="inlineStr">
        <is>
          <t>—</t>
        </is>
      </c>
      <c r="AA160" s="240" t="inlineStr">
        <is>
          <t>P160012|I</t>
        </is>
      </c>
      <c r="AB160" s="247" t="inlineStr">
        <is>
          <t>registered — initial release, issued 06.07.2026 · no packaging date on file — testing date not stated (owner, 15.09.2026: certified all the same)</t>
        </is>
      </c>
    </row>
    <row r="161">
      <c r="A161" s="240" t="inlineStr"/>
      <c r="B161" s="241" t="inlineStr">
        <is>
          <t>— not issued —</t>
        </is>
      </c>
      <c r="C161" s="246" t="inlineStr">
        <is>
          <t>no</t>
        </is>
      </c>
      <c r="D161" s="242" t="inlineStr"/>
      <c r="E161" s="242" t="inlineStr">
        <is>
          <t>— not stated —</t>
        </is>
      </c>
      <c r="F161" s="242">
        <f>IFERROR(INDEX('Batch Dates'!$G:$G,MATCH(J161,'Batch Dates'!$C:$C,0)),IFERROR(INDEX('Batch Dates'!$G:$G,MATCH(I161,'Batch Dates'!$B:$B,0)),""))</f>
        <v/>
      </c>
      <c r="G161" s="240" t="inlineStr">
        <is>
          <t>—</t>
        </is>
      </c>
      <c r="H161" s="240" t="inlineStr">
        <is>
          <t>initial release</t>
        </is>
      </c>
      <c r="I161" s="241" t="inlineStr">
        <is>
          <t>— not recorded — (P160022)</t>
        </is>
      </c>
      <c r="J161" s="240" t="inlineStr">
        <is>
          <t>P160022</t>
        </is>
      </c>
      <c r="K161" s="240" t="inlineStr">
        <is>
          <t>Grape Pie</t>
        </is>
      </c>
      <c r="L161" s="240" t="inlineStr">
        <is>
          <t>Ident A + Ident B + Foreign matter</t>
        </is>
      </c>
      <c r="M161" s="240" t="inlineStr">
        <is>
          <t>A: ППК26118 / B: ППК26118 / FM: ППК26118</t>
        </is>
      </c>
      <c r="N161" s="240">
        <f>IFERROR(INDEX('CoQ Register'!$B:$B,MATCH("P160022|I",'CoQ Register'!$S:$S,0)),"—")</f>
        <v/>
      </c>
      <c r="O161" s="245" t="inlineStr">
        <is>
          <t>—</t>
        </is>
      </c>
      <c r="P161" s="240" t="inlineStr">
        <is>
          <t>06.07.2026</t>
        </is>
      </c>
      <c r="Q161" s="240" t="inlineStr">
        <is>
          <t>— not on the list —</t>
        </is>
      </c>
      <c r="R161" s="240" t="inlineStr">
        <is>
          <t>— not on the list —</t>
        </is>
      </c>
      <c r="S161" s="242">
        <f>IFERROR(INDEX('CoQ Register'!$D:$D,MATCH("P160022|I",'CoQ Register'!$S:$S,0)),"")</f>
        <v/>
      </c>
      <c r="T161" s="240" t="inlineStr">
        <is>
          <t>CNP ППК26118</t>
        </is>
      </c>
      <c r="U161" s="240" t="inlineStr">
        <is>
          <t>CNP ППК26118</t>
        </is>
      </c>
      <c r="V161" s="240" t="inlineStr">
        <is>
          <t>CNP ППК26118</t>
        </is>
      </c>
      <c r="W161" s="240" t="inlineStr">
        <is>
          <t>ППК26118, (06.07.2026) [CNP]</t>
        </is>
      </c>
      <c r="X161" s="240" t="inlineStr">
        <is>
          <t>—</t>
        </is>
      </c>
      <c r="Y161" s="240" t="inlineStr">
        <is>
          <t>—</t>
        </is>
      </c>
      <c r="Z161" s="240" t="inlineStr">
        <is>
          <t>—</t>
        </is>
      </c>
      <c r="AA161" s="240" t="inlineStr">
        <is>
          <t>P160022|I</t>
        </is>
      </c>
      <c r="AB161" s="247" t="inlineStr">
        <is>
          <t>registered — initial release, issued 06.07.2026 · no packaging date on file — testing date not stated (owner, 15.09.2026: certified all the same)</t>
        </is>
      </c>
    </row>
    <row r="162">
      <c r="A162" s="240" t="inlineStr"/>
      <c r="B162" s="241" t="inlineStr">
        <is>
          <t>— not issued —</t>
        </is>
      </c>
      <c r="C162" s="246" t="inlineStr">
        <is>
          <t>no</t>
        </is>
      </c>
      <c r="D162" s="242" t="inlineStr"/>
      <c r="E162" s="242" t="inlineStr">
        <is>
          <t>— not stated —</t>
        </is>
      </c>
      <c r="F162" s="242">
        <f>IFERROR(INDEX('Batch Dates'!$G:$G,MATCH(J162,'Batch Dates'!$C:$C,0)),IFERROR(INDEX('Batch Dates'!$G:$G,MATCH(I162,'Batch Dates'!$B:$B,0)),""))</f>
        <v/>
      </c>
      <c r="G162" s="240" t="inlineStr">
        <is>
          <t>—</t>
        </is>
      </c>
      <c r="H162" s="240" t="inlineStr">
        <is>
          <t>initial release</t>
        </is>
      </c>
      <c r="I162" s="241" t="inlineStr">
        <is>
          <t>— not recorded — (P160032)</t>
        </is>
      </c>
      <c r="J162" s="240" t="inlineStr">
        <is>
          <t>P160032</t>
        </is>
      </c>
      <c r="K162" s="240" t="inlineStr">
        <is>
          <t>Grape Pie</t>
        </is>
      </c>
      <c r="L162" s="240" t="inlineStr">
        <is>
          <t>Ident A + Ident B + Foreign matter</t>
        </is>
      </c>
      <c r="M162" s="240" t="inlineStr">
        <is>
          <t>A: ППК26119 / B: ППК26119 / FM: ППК26119</t>
        </is>
      </c>
      <c r="N162" s="240">
        <f>IFERROR(INDEX('CoQ Register'!$B:$B,MATCH("P160032|I",'CoQ Register'!$S:$S,0)),"—")</f>
        <v/>
      </c>
      <c r="O162" s="245" t="inlineStr">
        <is>
          <t>—</t>
        </is>
      </c>
      <c r="P162" s="240" t="inlineStr">
        <is>
          <t>06.07.2026</t>
        </is>
      </c>
      <c r="Q162" s="240" t="inlineStr">
        <is>
          <t>— not on the list —</t>
        </is>
      </c>
      <c r="R162" s="240" t="inlineStr">
        <is>
          <t>— not on the list —</t>
        </is>
      </c>
      <c r="S162" s="242">
        <f>IFERROR(INDEX('CoQ Register'!$D:$D,MATCH("P160032|I",'CoQ Register'!$S:$S,0)),"")</f>
        <v/>
      </c>
      <c r="T162" s="240" t="inlineStr">
        <is>
          <t>CNP ППК26119</t>
        </is>
      </c>
      <c r="U162" s="240" t="inlineStr">
        <is>
          <t>CNP ППК26119</t>
        </is>
      </c>
      <c r="V162" s="240" t="inlineStr">
        <is>
          <t>CNP ППК26119</t>
        </is>
      </c>
      <c r="W162" s="240" t="inlineStr">
        <is>
          <t>ППК26119, (06.07.2026) [CNP]</t>
        </is>
      </c>
      <c r="X162" s="240" t="inlineStr">
        <is>
          <t>—</t>
        </is>
      </c>
      <c r="Y162" s="240" t="inlineStr">
        <is>
          <t>—</t>
        </is>
      </c>
      <c r="Z162" s="240" t="inlineStr">
        <is>
          <t>—</t>
        </is>
      </c>
      <c r="AA162" s="240" t="inlineStr">
        <is>
          <t>P160032|I</t>
        </is>
      </c>
      <c r="AB162" s="247" t="inlineStr">
        <is>
          <t>registered — initial release, issued 06.07.2026 · no packaging date on file — testing date not stated (owner, 15.09.2026: certified all the same)</t>
        </is>
      </c>
    </row>
    <row r="163">
      <c r="A163" s="240" t="inlineStr"/>
      <c r="B163" s="241" t="inlineStr">
        <is>
          <t>— not issued —</t>
        </is>
      </c>
      <c r="C163" s="246" t="inlineStr">
        <is>
          <t>no</t>
        </is>
      </c>
      <c r="D163" s="242" t="inlineStr"/>
      <c r="E163" s="242">
        <f>IFERROR(INDEX('Batch Dates'!$F:$F,MATCH(J163,'Batch Dates'!$C:$C,0)),IFERROR(INDEX('Batch Dates'!$F:$F,MATCH(I163,'Batch Dates'!$B:$B,0)),""))</f>
        <v/>
      </c>
      <c r="F163" s="242">
        <f>IFERROR(INDEX('Batch Dates'!$G:$G,MATCH(J163,'Batch Dates'!$C:$C,0)),IFERROR(INDEX('Batch Dates'!$G:$G,MATCH(I163,'Batch Dates'!$B:$B,0)),""))</f>
        <v/>
      </c>
      <c r="G163" s="240" t="inlineStr">
        <is>
          <t>post-SOP</t>
        </is>
      </c>
      <c r="H163" s="240" t="inlineStr">
        <is>
          <t>initial release</t>
        </is>
      </c>
      <c r="I163" s="241" t="inlineStr">
        <is>
          <t>GG032601</t>
        </is>
      </c>
      <c r="J163" s="240" t="inlineStr">
        <is>
          <t>P060462</t>
        </is>
      </c>
      <c r="K163" s="240" t="inlineStr">
        <is>
          <t>Gorilla Glue</t>
        </is>
      </c>
      <c r="L163" s="240" t="inlineStr">
        <is>
          <t>Ident A + Ident B + Foreign matter</t>
        </is>
      </c>
      <c r="M163" s="240" t="inlineStr">
        <is>
          <t>A: ППК26128 / B: ППК26128 / FM: ППК26128</t>
        </is>
      </c>
      <c r="N163" s="240">
        <f>IFERROR(INDEX('CoQ Register'!$B:$B,MATCH("P060462|I",'CoQ Register'!$S:$S,0)),"—")</f>
        <v/>
      </c>
      <c r="O163" s="245" t="inlineStr">
        <is>
          <t>—</t>
        </is>
      </c>
      <c r="P163" s="240" t="inlineStr">
        <is>
          <t>21.07.2026</t>
        </is>
      </c>
      <c r="Q163" s="240" t="inlineStr">
        <is>
          <t>16.06.2026</t>
        </is>
      </c>
      <c r="R163" s="240" t="inlineStr">
        <is>
          <t>16.07.2026 (the issuance plan's basis: 21.07.2026)</t>
        </is>
      </c>
      <c r="S163" s="242">
        <f>IFERROR(INDEX('CoQ Register'!$D:$D,MATCH("P060462|I",'CoQ Register'!$S:$S,0)),"")</f>
        <v/>
      </c>
      <c r="T163" s="240" t="inlineStr">
        <is>
          <t>CNP ППК26128</t>
        </is>
      </c>
      <c r="U163" s="240" t="inlineStr">
        <is>
          <t>CNP ППК26128</t>
        </is>
      </c>
      <c r="V163" s="240" t="inlineStr">
        <is>
          <t>CNP ППК26128</t>
        </is>
      </c>
      <c r="W163" s="240" t="inlineStr">
        <is>
          <t>ППК26128, (21.07.2026) [CNP]</t>
        </is>
      </c>
      <c r="X163" s="240" t="inlineStr">
        <is>
          <t>—</t>
        </is>
      </c>
      <c r="Y163" s="240" t="inlineStr">
        <is>
          <t>—</t>
        </is>
      </c>
      <c r="Z163" s="240" t="inlineStr">
        <is>
          <t>—</t>
        </is>
      </c>
      <c r="AA163" s="240" t="inlineStr">
        <is>
          <t>P060462|I</t>
        </is>
      </c>
      <c r="AB163" s="247" t="inlineStr">
        <is>
          <t>registered — initial release, issued 16.07.2026</t>
        </is>
      </c>
    </row>
    <row r="164">
      <c r="A164" s="240" t="inlineStr"/>
      <c r="B164" s="241" t="inlineStr">
        <is>
          <t>— not issued —</t>
        </is>
      </c>
      <c r="C164" s="246" t="inlineStr">
        <is>
          <t>no</t>
        </is>
      </c>
      <c r="D164" s="242" t="inlineStr"/>
      <c r="E164" s="242" t="n">
        <v>46224</v>
      </c>
      <c r="F164" s="242">
        <f>IFERROR(INDEX('Batch Dates'!$G:$G,MATCH(J164,'Batch Dates'!$C:$C,0)),IFERROR(INDEX('Batch Dates'!$G:$G,MATCH(I164,'Batch Dates'!$B:$B,0)),""))</f>
        <v/>
      </c>
      <c r="G164" s="240" t="inlineStr">
        <is>
          <t>post-SOP</t>
        </is>
      </c>
      <c r="H164" s="240" t="inlineStr">
        <is>
          <t>retest 1</t>
        </is>
      </c>
      <c r="I164" s="241" t="inlineStr">
        <is>
          <t>CC012601/1</t>
        </is>
      </c>
      <c r="J164" s="240" t="inlineStr">
        <is>
          <t>P060332</t>
        </is>
      </c>
      <c r="K164" s="240" t="inlineStr">
        <is>
          <t>Cash Cow</t>
        </is>
      </c>
      <c r="L164" s="240" t="inlineStr">
        <is>
          <t>Ident A + Ident B + Foreign matter</t>
        </is>
      </c>
      <c r="M164" s="245" t="inlineStr">
        <is>
          <t>—</t>
        </is>
      </c>
      <c r="N164" s="240">
        <f>IFERROR(INDEX('CoQ Register'!$B:$B,MATCH("P060332|R",'CoQ Register'!$S:$S,0)),"—")</f>
        <v/>
      </c>
      <c r="O164" s="245" t="inlineStr">
        <is>
          <t>—</t>
        </is>
      </c>
      <c r="P164" s="240" t="inlineStr">
        <is>
          <t>10.08.2027</t>
        </is>
      </c>
      <c r="Q164" s="240" t="inlineStr">
        <is>
          <t>16.04.2026</t>
        </is>
      </c>
      <c r="R164" s="240" t="inlineStr">
        <is>
          <t>22.05.2026 (the issuance plan's basis: 10.08.2026)</t>
        </is>
      </c>
      <c r="S164" s="242">
        <f>IFERROR(INDEX('CoQ Register'!$D:$D,MATCH("P060332|R",'CoQ Register'!$S:$S,0)),"")</f>
        <v/>
      </c>
      <c r="T164" s="240" t="inlineStr">
        <is>
          <t>Conforms</t>
        </is>
      </c>
      <c r="U164" s="240" t="inlineStr">
        <is>
          <t>Conforms</t>
        </is>
      </c>
      <c r="V164" s="240" t="inlineStr">
        <is>
          <t>Conforms</t>
        </is>
      </c>
      <c r="W164" s="240" t="inlineStr">
        <is>
          <t>197-6-K-26, (07.08.2026) [FHM-K]</t>
        </is>
      </c>
      <c r="X164" s="240" t="inlineStr">
        <is>
          <t>197-6-K-26, (07.08.2026) [FHM-K]</t>
        </is>
      </c>
      <c r="Y164" s="240" t="inlineStr">
        <is>
          <t>197-6-M-26, (10.08.2026) [FHM-M]</t>
        </is>
      </c>
      <c r="Z164" s="240" t="inlineStr">
        <is>
          <t>#8, #9, #11, #12 from the initial testing</t>
        </is>
      </c>
      <c r="AA164" s="240" t="inlineStr">
        <is>
          <t>P060332|R</t>
        </is>
      </c>
      <c r="AB164" s="247" t="inlineStr">
        <is>
          <t>withdrawn — number free, no certificate (Head of QC, 26–27.09.2026)</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JD022601</t>
        </is>
      </c>
      <c r="J165" s="240" t="inlineStr">
        <is>
          <t>P060482</t>
        </is>
      </c>
      <c r="K165" s="240" t="inlineStr">
        <is>
          <t>Jelly Donuts</t>
        </is>
      </c>
      <c r="L165" s="240" t="inlineStr">
        <is>
          <t>Ident A + Ident B + Foreign matter</t>
        </is>
      </c>
      <c r="M165" s="240" t="inlineStr">
        <is>
          <t>A: ППК26115 / B: ППК26115 / FM: ППК26115</t>
        </is>
      </c>
      <c r="N165" s="240">
        <f>IFERROR(INDEX('CoQ Register'!$B:$B,MATCH("P060482|I",'CoQ Register'!$S:$S,0)),"—")</f>
        <v/>
      </c>
      <c r="O165" s="245" t="inlineStr">
        <is>
          <t>—</t>
        </is>
      </c>
      <c r="P165" s="240" t="inlineStr">
        <is>
          <t>30.06.2026</t>
        </is>
      </c>
      <c r="Q165" s="240" t="inlineStr">
        <is>
          <t>18.05.2026</t>
        </is>
      </c>
      <c r="R165" s="240" t="inlineStr">
        <is>
          <t>05.08.2026 (the issuance plan's basis: 30.06.2026)</t>
        </is>
      </c>
      <c r="S165" s="242">
        <f>IFERROR(INDEX('CoQ Register'!$D:$D,MATCH("P060482|I",'CoQ Register'!$S:$S,0)),"")</f>
        <v/>
      </c>
      <c r="T165" s="240" t="inlineStr">
        <is>
          <t>CNP ППК26115</t>
        </is>
      </c>
      <c r="U165" s="240" t="inlineStr">
        <is>
          <t>CNP ППК26115</t>
        </is>
      </c>
      <c r="V165" s="240" t="inlineStr">
        <is>
          <t>CNP ППК26115</t>
        </is>
      </c>
      <c r="W165" s="240" t="inlineStr">
        <is>
          <t>ППК26115, (30.06.2026) [CNP]</t>
        </is>
      </c>
      <c r="X165" s="240" t="inlineStr">
        <is>
          <t>—</t>
        </is>
      </c>
      <c r="Y165" s="240" t="inlineStr">
        <is>
          <t>—</t>
        </is>
      </c>
      <c r="Z165" s="240" t="inlineStr">
        <is>
          <t>—</t>
        </is>
      </c>
      <c r="AA165" s="240" t="inlineStr">
        <is>
          <t>P060482|I</t>
        </is>
      </c>
      <c r="AB165" s="247" t="inlineStr">
        <is>
          <t>registered — initial release, issued 05.08.2026</t>
        </is>
      </c>
    </row>
    <row r="166">
      <c r="A166" s="240" t="inlineStr"/>
      <c r="B166" s="241" t="inlineStr">
        <is>
          <t>— not issued —</t>
        </is>
      </c>
      <c r="C166" s="246" t="inlineStr">
        <is>
          <t>no</t>
        </is>
      </c>
      <c r="D166" s="242" t="inlineStr"/>
      <c r="E166" s="242" t="n">
        <v>46247</v>
      </c>
      <c r="F166" s="242">
        <f>IFERROR(INDEX('Batch Dates'!$G:$G,MATCH(J166,'Batch Dates'!$C:$C,0)),IFERROR(INDEX('Batch Dates'!$G:$G,MATCH(I166,'Batch Dates'!$B:$B,0)),""))</f>
        <v/>
      </c>
      <c r="G166" s="240" t="inlineStr">
        <is>
          <t>post-SOP</t>
        </is>
      </c>
      <c r="H166" s="240" t="inlineStr">
        <is>
          <t>retest 1</t>
        </is>
      </c>
      <c r="I166" s="241" t="inlineStr">
        <is>
          <t>JD012603</t>
        </is>
      </c>
      <c r="J166" s="240" t="inlineStr">
        <is>
          <t>P060412</t>
        </is>
      </c>
      <c r="K166" s="240" t="inlineStr">
        <is>
          <t>Jelly Donuts</t>
        </is>
      </c>
      <c r="L166" s="240" t="inlineStr">
        <is>
          <t>Ident A + Ident B + Foreign matter</t>
        </is>
      </c>
      <c r="M166" s="245" t="inlineStr">
        <is>
          <t>—</t>
        </is>
      </c>
      <c r="N166" s="240">
        <f>IFERROR(INDEX('CoQ Register'!$B:$B,MATCH("P060412|R",'CoQ Register'!$S:$S,0)),"—")</f>
        <v/>
      </c>
      <c r="O166" s="245" t="inlineStr">
        <is>
          <t>—</t>
        </is>
      </c>
      <c r="P166" s="240" t="inlineStr">
        <is>
          <t>24.05.2027</t>
        </is>
      </c>
      <c r="Q166" s="240" t="inlineStr">
        <is>
          <t>04.05.2026</t>
        </is>
      </c>
      <c r="R166" s="240" t="inlineStr">
        <is>
          <t>24.05.2026</t>
        </is>
      </c>
      <c r="S166" s="242">
        <f>IFERROR(INDEX('CoQ Register'!$D:$D,MATCH("P060412|R",'CoQ Register'!$S:$S,0)),"")</f>
        <v/>
      </c>
      <c r="T166" s="240" t="inlineStr">
        <is>
          <t>CNP ППК26111</t>
        </is>
      </c>
      <c r="U166" s="240" t="inlineStr">
        <is>
          <t>CNP ППК26111</t>
        </is>
      </c>
      <c r="V166" s="240" t="inlineStr">
        <is>
          <t>Conforms</t>
        </is>
      </c>
      <c r="W166" s="240" t="inlineStr">
        <is>
          <t>220-17-K-26, (26.08.2026) [FHM-K]</t>
        </is>
      </c>
      <c r="X166" s="240" t="inlineStr">
        <is>
          <t>220-17-K-26, (26.08.2026) [FHM-K]</t>
        </is>
      </c>
      <c r="Y166" s="240" t="inlineStr">
        <is>
          <t>220-17-M-26, (11.09.2026) [FHM-M]</t>
        </is>
      </c>
      <c r="Z166" s="240" t="inlineStr">
        <is>
          <t>#8, #9, #11, #12 from the initial testing</t>
        </is>
      </c>
      <c r="AA166" s="240" t="inlineStr">
        <is>
          <t>P060412|R</t>
        </is>
      </c>
      <c r="AB166" s="247" t="inlineStr">
        <is>
          <t>registered — retest 1 · Tranche 2 (sampled 12–14.08.2026), tested 13.08.2026, issued 17.08.2026</t>
        </is>
      </c>
    </row>
    <row r="167">
      <c r="A167" s="240" t="inlineStr"/>
      <c r="B167" s="241" t="inlineStr">
        <is>
          <t>— not issued —</t>
        </is>
      </c>
      <c r="C167" s="246" t="inlineStr">
        <is>
          <t>no</t>
        </is>
      </c>
      <c r="D167" s="242" t="inlineStr"/>
      <c r="E167" s="242" t="n">
        <v>46248</v>
      </c>
      <c r="F167" s="242">
        <f>IFERROR(INDEX('Batch Dates'!$G:$G,MATCH(J167,'Batch Dates'!$C:$C,0)),IFERROR(INDEX('Batch Dates'!$G:$G,MATCH(I167,'Batch Dates'!$B:$B,0)),""))</f>
        <v/>
      </c>
      <c r="G167" s="240" t="inlineStr">
        <is>
          <t>—</t>
        </is>
      </c>
      <c r="H167" s="240" t="inlineStr">
        <is>
          <t>retest 1</t>
        </is>
      </c>
      <c r="I167" s="241" t="inlineStr">
        <is>
          <t>CC042601</t>
        </is>
      </c>
      <c r="J167" s="240" t="inlineStr">
        <is>
          <t>N/A — no P batch assigned</t>
        </is>
      </c>
      <c r="K167" s="240" t="inlineStr">
        <is>
          <t>Cash Cow</t>
        </is>
      </c>
      <c r="L167" s="240" t="inlineStr">
        <is>
          <t>Ident A + Ident B + Foreign matter</t>
        </is>
      </c>
      <c r="M167" s="245" t="inlineStr">
        <is>
          <t>—</t>
        </is>
      </c>
      <c r="N167" s="240">
        <f>IFERROR(INDEX('CoQ Register'!$B:$B,MATCH("CC042601|R",'CoQ Register'!$S:$S,0)),"—")</f>
        <v/>
      </c>
      <c r="O167" s="245" t="inlineStr">
        <is>
          <t>—</t>
        </is>
      </c>
      <c r="P167" s="240" t="inlineStr">
        <is>
          <t>—</t>
        </is>
      </c>
      <c r="Q167" s="240" t="inlineStr">
        <is>
          <t>— not on the list —</t>
        </is>
      </c>
      <c r="R167" s="240" t="inlineStr">
        <is>
          <t>— not on the list —</t>
        </is>
      </c>
      <c r="S167" s="242">
        <f>IFERROR(INDEX('CoQ Register'!$D:$D,MATCH("CC042601|R",'CoQ Register'!$S:$S,0)),"")</f>
        <v/>
      </c>
      <c r="T167" s="240" t="inlineStr">
        <is>
          <t>Conforms</t>
        </is>
      </c>
      <c r="U167" s="240" t="inlineStr">
        <is>
          <t>Conforms</t>
        </is>
      </c>
      <c r="V167" s="240" t="inlineStr">
        <is>
          <t>Conforms</t>
        </is>
      </c>
      <c r="W167" s="240" t="inlineStr">
        <is>
          <t>220-32-K-26, (26.08.2026) [FHM-K]</t>
        </is>
      </c>
      <c r="X167" s="240" t="inlineStr">
        <is>
          <t>220-32-K-26, (26.08.2026) [FHM-K]</t>
        </is>
      </c>
      <c r="Y167" s="240" t="inlineStr">
        <is>
          <t>220-32-M-26, (11.09.2026) [FHM-M]</t>
        </is>
      </c>
      <c r="Z167" s="240" t="inlineStr">
        <is>
          <t>#8, #9, #11, #12 from the initial testing</t>
        </is>
      </c>
      <c r="AA167" s="240" t="inlineStr">
        <is>
          <t>CC042601|R</t>
        </is>
      </c>
      <c r="AB167" s="247" t="inlineStr">
        <is>
          <t>withdrawn — number free, no certificate (Head of QC, 26–27.09.2026)</t>
        </is>
      </c>
    </row>
    <row r="168">
      <c r="A168" s="240" t="inlineStr"/>
      <c r="B168" s="241" t="inlineStr">
        <is>
          <t>— not issued —</t>
        </is>
      </c>
      <c r="C168" s="246" t="inlineStr">
        <is>
          <t>no</t>
        </is>
      </c>
      <c r="D168" s="242" t="inlineStr"/>
      <c r="E168" s="242" t="n">
        <v>46248</v>
      </c>
      <c r="F168" s="242">
        <f>IFERROR(INDEX('Batch Dates'!$G:$G,MATCH(J168,'Batch Dates'!$C:$C,0)),IFERROR(INDEX('Batch Dates'!$G:$G,MATCH(I168,'Batch Dates'!$B:$B,0)),""))</f>
        <v/>
      </c>
      <c r="G168" s="240" t="inlineStr">
        <is>
          <t>—</t>
        </is>
      </c>
      <c r="H168" s="240" t="inlineStr">
        <is>
          <t>retest 1</t>
        </is>
      </c>
      <c r="I168" s="241" t="inlineStr">
        <is>
          <t>FB042601</t>
        </is>
      </c>
      <c r="J168" s="240" t="inlineStr">
        <is>
          <t>N/A — no P batch assigned</t>
        </is>
      </c>
      <c r="K168" s="240" t="inlineStr">
        <is>
          <t>Fat Bastard</t>
        </is>
      </c>
      <c r="L168" s="240" t="inlineStr">
        <is>
          <t>Ident A + Ident B + Foreign matter</t>
        </is>
      </c>
      <c r="M168" s="245" t="inlineStr">
        <is>
          <t>—</t>
        </is>
      </c>
      <c r="N168" s="240">
        <f>IFERROR(INDEX('CoQ Register'!$B:$B,MATCH("FB042601|R",'CoQ Register'!$S:$S,0)),"—")</f>
        <v/>
      </c>
      <c r="O168" s="245" t="inlineStr">
        <is>
          <t>—</t>
        </is>
      </c>
      <c r="P168" s="240" t="inlineStr">
        <is>
          <t>—</t>
        </is>
      </c>
      <c r="Q168" s="240" t="inlineStr">
        <is>
          <t>— not on the list —</t>
        </is>
      </c>
      <c r="R168" s="240" t="inlineStr">
        <is>
          <t>— not on the list —</t>
        </is>
      </c>
      <c r="S168" s="242">
        <f>IFERROR(INDEX('CoQ Register'!$D:$D,MATCH("FB042601|R",'CoQ Register'!$S:$S,0)),"")</f>
        <v/>
      </c>
      <c r="T168" s="240" t="inlineStr">
        <is>
          <t>Conforms</t>
        </is>
      </c>
      <c r="U168" s="240" t="inlineStr">
        <is>
          <t>Conforms</t>
        </is>
      </c>
      <c r="V168" s="240" t="inlineStr">
        <is>
          <t>Conforms</t>
        </is>
      </c>
      <c r="W168" s="240" t="inlineStr">
        <is>
          <t>220-31-K-26, (26.08.2026) [FHM-K]</t>
        </is>
      </c>
      <c r="X168" s="240" t="inlineStr">
        <is>
          <t>220-31-K-26, (26.08.2026) [FHM-K]</t>
        </is>
      </c>
      <c r="Y168" s="240" t="inlineStr">
        <is>
          <t>220-31-M-26, (11.09.2026) [FHM-M]</t>
        </is>
      </c>
      <c r="Z168" s="240" t="inlineStr">
        <is>
          <t>#8, #9, #11, #12 from the initial testing</t>
        </is>
      </c>
      <c r="AA168" s="240" t="inlineStr">
        <is>
          <t>FB042601|R</t>
        </is>
      </c>
      <c r="AB168" s="247" t="inlineStr">
        <is>
          <t>withdrawn — number free, no certificate (Head of QC, 26–27.09.2026)</t>
        </is>
      </c>
    </row>
    <row r="169">
      <c r="A169" s="240" t="inlineStr"/>
      <c r="B169" s="241" t="inlineStr">
        <is>
          <t>— not issued —</t>
        </is>
      </c>
      <c r="C169" s="246" t="inlineStr">
        <is>
          <t>no</t>
        </is>
      </c>
      <c r="D169" s="242" t="inlineStr"/>
      <c r="E169" s="242" t="n">
        <v>46248</v>
      </c>
      <c r="F169" s="242">
        <f>IFERROR(INDEX('Batch Dates'!$G:$G,MATCH(J169,'Batch Dates'!$C:$C,0)),IFERROR(INDEX('Batch Dates'!$G:$G,MATCH(I169,'Batch Dates'!$B:$B,0)),""))</f>
        <v/>
      </c>
      <c r="G169" s="240" t="inlineStr">
        <is>
          <t>post-SOP</t>
        </is>
      </c>
      <c r="H169" s="240" t="inlineStr">
        <is>
          <t>retest 1</t>
        </is>
      </c>
      <c r="I169" s="241" t="inlineStr">
        <is>
          <t>JD042601</t>
        </is>
      </c>
      <c r="J169" s="240" t="inlineStr">
        <is>
          <t>P060492</t>
        </is>
      </c>
      <c r="K169" s="240" t="inlineStr">
        <is>
          <t>Jelly Donuts</t>
        </is>
      </c>
      <c r="L169" s="240" t="inlineStr">
        <is>
          <t>Ident A + Ident B + Foreign matter</t>
        </is>
      </c>
      <c r="M169" s="245" t="inlineStr">
        <is>
          <t>—</t>
        </is>
      </c>
      <c r="N169" s="240">
        <f>IFERROR(INDEX('CoQ Register'!$B:$B,MATCH("P060492|R",'CoQ Register'!$S:$S,0)),"—")</f>
        <v/>
      </c>
      <c r="O169" s="245" t="inlineStr">
        <is>
          <t>—</t>
        </is>
      </c>
      <c r="P169" s="240" t="inlineStr">
        <is>
          <t>13.08.2027</t>
        </is>
      </c>
      <c r="Q169" s="240" t="inlineStr">
        <is>
          <t>21.07.2026</t>
        </is>
      </c>
      <c r="R169" s="240" t="inlineStr">
        <is>
          <t>13.08.2026</t>
        </is>
      </c>
      <c r="S169" s="242">
        <f>IFERROR(INDEX('CoQ Register'!$D:$D,MATCH("P060492|R",'CoQ Register'!$S:$S,0)),"")</f>
        <v/>
      </c>
      <c r="T169" s="240" t="inlineStr">
        <is>
          <t>Conforms</t>
        </is>
      </c>
      <c r="U169" s="240" t="inlineStr">
        <is>
          <t>Conforms</t>
        </is>
      </c>
      <c r="V169" s="240" t="inlineStr">
        <is>
          <t>Conforms</t>
        </is>
      </c>
      <c r="W169" s="240" t="inlineStr">
        <is>
          <t>220-30-K-26, (26.08.2026) [FHM-K]</t>
        </is>
      </c>
      <c r="X169" s="240" t="inlineStr">
        <is>
          <t>220-30-K-26, (26.08.2026) [FHM-K]</t>
        </is>
      </c>
      <c r="Y169" s="240" t="inlineStr">
        <is>
          <t>220-30-M-26, (11.09.2026) [FHM-M]</t>
        </is>
      </c>
      <c r="Z169" s="240" t="inlineStr">
        <is>
          <t>#8, #9, #11, #12 from the initial testing</t>
        </is>
      </c>
      <c r="AA169" s="240" t="inlineStr">
        <is>
          <t>P060492|R</t>
        </is>
      </c>
      <c r="AB169" s="247" t="inlineStr">
        <is>
          <t>withdrawn — number free, no certificate (Head of QC, 26–27.09.2026)</t>
        </is>
      </c>
    </row>
    <row r="170">
      <c r="A170" s="240" t="inlineStr"/>
      <c r="B170" s="241" t="inlineStr">
        <is>
          <t>— not issued —</t>
        </is>
      </c>
      <c r="C170" s="246" t="inlineStr">
        <is>
          <t>no</t>
        </is>
      </c>
      <c r="D170" s="242" t="inlineStr"/>
      <c r="E170" s="242" t="n">
        <v>46253</v>
      </c>
      <c r="F170" s="242">
        <f>IFERROR(INDEX('Batch Dates'!$G:$G,MATCH(J170,'Batch Dates'!$C:$C,0)),IFERROR(INDEX('Batch Dates'!$G:$G,MATCH(I170,'Batch Dates'!$B:$B,0)),""))</f>
        <v/>
      </c>
      <c r="G170" s="240" t="inlineStr">
        <is>
          <t>legacy</t>
        </is>
      </c>
      <c r="H170" s="240" t="inlineStr">
        <is>
          <t>retest 2</t>
        </is>
      </c>
      <c r="I170" s="241" t="inlineStr">
        <is>
          <t>BSS1024_01/2</t>
        </is>
      </c>
      <c r="J170" s="240" t="inlineStr">
        <is>
          <t>P050142</t>
        </is>
      </c>
      <c r="K170" s="240" t="inlineStr">
        <is>
          <t>Blue Sunset Sherbet</t>
        </is>
      </c>
      <c r="L170" s="240" t="inlineStr">
        <is>
          <t>Ident A + Ident B + Foreign matter</t>
        </is>
      </c>
      <c r="M170" s="245" t="inlineStr">
        <is>
          <t>—</t>
        </is>
      </c>
      <c r="N170" s="240">
        <f>IFERROR(INDEX('CoQ Register'!$B:$B,MATCH("P050142|R2",'CoQ Register'!$S:$S,0)),"—")</f>
        <v/>
      </c>
      <c r="O170" s="245" t="inlineStr">
        <is>
          <t>—</t>
        </is>
      </c>
      <c r="P170" s="240" t="inlineStr">
        <is>
          <t>30.09.2026</t>
        </is>
      </c>
      <c r="Q170" s="240" t="inlineStr">
        <is>
          <t>— not given —</t>
        </is>
      </c>
      <c r="R170" s="240" t="inlineStr">
        <is>
          <t>30.09.2025</t>
        </is>
      </c>
      <c r="S170" s="242">
        <f>IFERROR(INDEX('CoQ Register'!$D:$D,MATCH("P050142|R2",'CoQ Register'!$S:$S,0)),"")</f>
        <v/>
      </c>
      <c r="T170" s="240" t="inlineStr">
        <is>
          <t>Conforms</t>
        </is>
      </c>
      <c r="U170" s="240" t="inlineStr">
        <is>
          <t>Conforms</t>
        </is>
      </c>
      <c r="V170" s="240" t="inlineStr">
        <is>
          <t>Conforms</t>
        </is>
      </c>
      <c r="W170" s="240" t="inlineStr">
        <is>
          <t>227-1-K-26, (11.09.2026) [FHM-K]</t>
        </is>
      </c>
      <c r="X170" s="240" t="inlineStr">
        <is>
          <t>227-1-K-26, (11.09.2026) [FHM-K]</t>
        </is>
      </c>
      <c r="Y170" s="240" t="inlineStr">
        <is>
          <t>— pending —</t>
        </is>
      </c>
      <c r="Z170" s="240" t="inlineStr">
        <is>
          <t>#8, #9, #11, #12 from the initial testing</t>
        </is>
      </c>
      <c r="AA170" s="240" t="inlineStr">
        <is>
          <t>P050142|R2</t>
        </is>
      </c>
      <c r="AB170" s="247" t="inlineStr">
        <is>
          <t>registered — retest 2 · Tranche 3 (sampled 19–21.08.2026), tested 19.08.2026, issued 24.08.2026</t>
        </is>
      </c>
    </row>
    <row r="171">
      <c r="A171" s="240" t="inlineStr"/>
      <c r="B171" s="241" t="inlineStr">
        <is>
          <t>— not issued —</t>
        </is>
      </c>
      <c r="C171" s="246" t="inlineStr">
        <is>
          <t>no</t>
        </is>
      </c>
      <c r="D171" s="242" t="inlineStr"/>
      <c r="E171" s="242" t="n">
        <v>46253</v>
      </c>
      <c r="F171" s="242">
        <f>IFERROR(INDEX('Batch Dates'!$G:$G,MATCH(J171,'Batch Dates'!$C:$C,0)),IFERROR(INDEX('Batch Dates'!$G:$G,MATCH(I171,'Batch Dates'!$B:$B,0)),""))</f>
        <v/>
      </c>
      <c r="G171" s="240" t="inlineStr">
        <is>
          <t>post-SOP</t>
        </is>
      </c>
      <c r="H171" s="240" t="inlineStr">
        <is>
          <t>retest 2</t>
        </is>
      </c>
      <c r="I171" s="241" t="inlineStr">
        <is>
          <t>SCR022601</t>
        </is>
      </c>
      <c r="J171" s="240" t="inlineStr">
        <is>
          <t>P060442</t>
        </is>
      </c>
      <c r="K171" s="240" t="inlineStr">
        <is>
          <t>Scrambler</t>
        </is>
      </c>
      <c r="L171" s="240" t="inlineStr">
        <is>
          <t>Ident A + Ident B + Foreign matter</t>
        </is>
      </c>
      <c r="M171" s="245" t="inlineStr">
        <is>
          <t>—</t>
        </is>
      </c>
      <c r="N171" s="240">
        <f>IFERROR(INDEX('CoQ Register'!$B:$B,MATCH("P060442|R2",'CoQ Register'!$S:$S,0)),"—")</f>
        <v/>
      </c>
      <c r="O171" s="245" t="inlineStr">
        <is>
          <t>—</t>
        </is>
      </c>
      <c r="P171" s="240" t="inlineStr">
        <is>
          <t>06.07.2027</t>
        </is>
      </c>
      <c r="Q171" s="240" t="inlineStr">
        <is>
          <t>13.05.2026</t>
        </is>
      </c>
      <c r="R171" s="240" t="inlineStr">
        <is>
          <t>18.06.2026 (the issuance plan's basis: 06.07.2026)</t>
        </is>
      </c>
      <c r="S171" s="242">
        <f>IFERROR(INDEX('CoQ Register'!$D:$D,MATCH("P060442|R2",'CoQ Register'!$S:$S,0)),"")</f>
        <v/>
      </c>
      <c r="T171" s="240" t="inlineStr">
        <is>
          <t>CNP ППК26116</t>
        </is>
      </c>
      <c r="U171" s="240" t="inlineStr">
        <is>
          <t>CNP ППК26116</t>
        </is>
      </c>
      <c r="V171" s="240" t="inlineStr">
        <is>
          <t>Conforms</t>
        </is>
      </c>
      <c r="W171" s="240" t="inlineStr">
        <is>
          <t>227-7-K-26, (11.09.2026) [FHM-K]</t>
        </is>
      </c>
      <c r="X171" s="240" t="inlineStr">
        <is>
          <t>227-7-K-26, (11.09.2026) [FHM-K]</t>
        </is>
      </c>
      <c r="Y171" s="240" t="inlineStr">
        <is>
          <t>— pending —</t>
        </is>
      </c>
      <c r="Z171" s="240" t="inlineStr">
        <is>
          <t>#8, #9, #11, #12 from the initial testing</t>
        </is>
      </c>
      <c r="AA171" s="240" t="inlineStr">
        <is>
          <t>P060442|R2</t>
        </is>
      </c>
      <c r="AB171" s="247" t="inlineStr">
        <is>
          <t>registered — retest 2 · Tranche 3 (sampled 19–21.08.2026), tested 19.08.2026, issued 24.08.2026</t>
        </is>
      </c>
    </row>
    <row r="172">
      <c r="A172" s="240" t="inlineStr"/>
      <c r="B172" s="241" t="inlineStr">
        <is>
          <t>— not issued —</t>
        </is>
      </c>
      <c r="C172" s="246" t="inlineStr">
        <is>
          <t>no</t>
        </is>
      </c>
      <c r="D172" s="242" t="inlineStr"/>
      <c r="E172" s="242" t="n">
        <v>46255</v>
      </c>
      <c r="F172" s="242">
        <f>IFERROR(INDEX('Batch Dates'!$G:$G,MATCH(J172,'Batch Dates'!$C:$C,0)),IFERROR(INDEX('Batch Dates'!$G:$G,MATCH(I172,'Batch Dates'!$B:$B,0)),""))</f>
        <v/>
      </c>
      <c r="G172" s="240" t="inlineStr">
        <is>
          <t>post-SOP</t>
        </is>
      </c>
      <c r="H172" s="240" t="inlineStr">
        <is>
          <t>retest 2</t>
        </is>
      </c>
      <c r="I172" s="241" t="inlineStr">
        <is>
          <t>FB012603</t>
        </is>
      </c>
      <c r="J172" s="240" t="inlineStr">
        <is>
          <t>P060432</t>
        </is>
      </c>
      <c r="K172" s="240" t="inlineStr">
        <is>
          <t>Fat Bastard</t>
        </is>
      </c>
      <c r="L172" s="240" t="inlineStr">
        <is>
          <t>Ident A + Ident B + Foreign matter</t>
        </is>
      </c>
      <c r="M172" s="245" t="inlineStr">
        <is>
          <t>—</t>
        </is>
      </c>
      <c r="N172" s="240">
        <f>IFERROR(INDEX('CoQ Register'!$B:$B,MATCH("P060432|R2",'CoQ Register'!$S:$S,0)),"—")</f>
        <v/>
      </c>
      <c r="O172" s="245" t="inlineStr">
        <is>
          <t>—</t>
        </is>
      </c>
      <c r="P172" s="240" t="inlineStr">
        <is>
          <t>30.06.2027</t>
        </is>
      </c>
      <c r="Q172" s="240" t="inlineStr">
        <is>
          <t>04.05.2026</t>
        </is>
      </c>
      <c r="R172" s="240" t="inlineStr">
        <is>
          <t>15.06.2026 (the issuance plan's basis: 30.06.2026)</t>
        </is>
      </c>
      <c r="S172" s="242">
        <f>IFERROR(INDEX('CoQ Register'!$D:$D,MATCH("P060432|R2",'CoQ Register'!$S:$S,0)),"")</f>
        <v/>
      </c>
      <c r="T172" s="240" t="inlineStr">
        <is>
          <t>CNP ППК26112</t>
        </is>
      </c>
      <c r="U172" s="240" t="inlineStr">
        <is>
          <t>CNP ППК26112</t>
        </is>
      </c>
      <c r="V172" s="240" t="inlineStr">
        <is>
          <t>Conforms</t>
        </is>
      </c>
      <c r="W172" s="240" t="inlineStr">
        <is>
          <t>227-24-K-26, (11.09.2026) [FHM-K]</t>
        </is>
      </c>
      <c r="X172" s="240" t="inlineStr">
        <is>
          <t>227-24-K-26, (11.09.2026) [FHM-K]</t>
        </is>
      </c>
      <c r="Y172" s="240" t="inlineStr">
        <is>
          <t>— pending —</t>
        </is>
      </c>
      <c r="Z172" s="240" t="inlineStr">
        <is>
          <t>#8, #9, #11, #12 from the initial testing</t>
        </is>
      </c>
      <c r="AA172" s="240" t="inlineStr">
        <is>
          <t>P060432|R2</t>
        </is>
      </c>
      <c r="AB172" s="247" t="inlineStr">
        <is>
          <t>registered — retest 2 · Tranche 3 (sampled 19–21.08.2026), tested 21.08.2026, issued 24.08.2026</t>
        </is>
      </c>
    </row>
    <row r="173">
      <c r="A173" s="240" t="inlineStr"/>
      <c r="B173" s="241" t="inlineStr">
        <is>
          <t>— not issued —</t>
        </is>
      </c>
      <c r="C173" s="246" t="inlineStr">
        <is>
          <t>no</t>
        </is>
      </c>
      <c r="D173" s="242" t="inlineStr"/>
      <c r="E173" s="242" t="n">
        <v>46255</v>
      </c>
      <c r="F173" s="242">
        <f>IFERROR(INDEX('Batch Dates'!$G:$G,MATCH(J173,'Batch Dates'!$C:$C,0)),IFERROR(INDEX('Batch Dates'!$G:$G,MATCH(I173,'Batch Dates'!$B:$B,0)),""))</f>
        <v/>
      </c>
      <c r="G173" s="240" t="inlineStr">
        <is>
          <t>post-SOP</t>
        </is>
      </c>
      <c r="H173" s="240" t="inlineStr">
        <is>
          <t>retest 2</t>
        </is>
      </c>
      <c r="I173" s="241" t="inlineStr">
        <is>
          <t>FB012603V</t>
        </is>
      </c>
      <c r="J173" s="240" t="inlineStr">
        <is>
          <t>P060392</t>
        </is>
      </c>
      <c r="K173" s="240" t="inlineStr">
        <is>
          <t>Fat Bastard</t>
        </is>
      </c>
      <c r="L173" s="240" t="inlineStr">
        <is>
          <t>Ident A + Ident B + Foreign matter</t>
        </is>
      </c>
      <c r="M173" s="245" t="inlineStr">
        <is>
          <t>—</t>
        </is>
      </c>
      <c r="N173" s="240">
        <f>IFERROR(INDEX('CoQ Register'!$B:$B,MATCH("P060392|R2",'CoQ Register'!$S:$S,0)),"—")</f>
        <v/>
      </c>
      <c r="O173" s="245" t="inlineStr">
        <is>
          <t>—</t>
        </is>
      </c>
      <c r="P173" s="240" t="inlineStr">
        <is>
          <t>30.06.2027</t>
        </is>
      </c>
      <c r="Q173" s="240" t="inlineStr">
        <is>
          <t>29.04.2026</t>
        </is>
      </c>
      <c r="R173" s="240" t="inlineStr">
        <is>
          <t>23.05.2026 (the issuance plan's basis: 30.06.2026)</t>
        </is>
      </c>
      <c r="S173" s="242">
        <f>IFERROR(INDEX('CoQ Register'!$D:$D,MATCH("P060392|R2",'CoQ Register'!$S:$S,0)),"")</f>
        <v/>
      </c>
      <c r="T173" s="240" t="inlineStr">
        <is>
          <t>CNP ППК26110</t>
        </is>
      </c>
      <c r="U173" s="240" t="inlineStr">
        <is>
          <t>CNP ППК26110</t>
        </is>
      </c>
      <c r="V173" s="240" t="inlineStr">
        <is>
          <t>Conforms</t>
        </is>
      </c>
      <c r="W173" s="240" t="inlineStr">
        <is>
          <t>227-23-K-26, (11.09.2026) [FHM-K]</t>
        </is>
      </c>
      <c r="X173" s="240" t="inlineStr">
        <is>
          <t>227-23-K-26, (11.09.2026) [FHM-K]</t>
        </is>
      </c>
      <c r="Y173" s="240" t="inlineStr">
        <is>
          <t>— pending —</t>
        </is>
      </c>
      <c r="Z173" s="240" t="inlineStr">
        <is>
          <t>#8, #9, #11, #12 from the initial testing</t>
        </is>
      </c>
      <c r="AA173" s="240" t="inlineStr">
        <is>
          <t>P060392|R2</t>
        </is>
      </c>
      <c r="AB173" s="247" t="inlineStr">
        <is>
          <t>registered — retest 2 · Tranche 3 (sampled 19–21.08.2026), tested 21.08.2026,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22.89</t>
        </is>
      </c>
      <c r="W27" s="240" t="inlineStr">
        <is>
          <t>ППК25312</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46185</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registered — provisional date: no initial certificate on file yet — the date follows the latest eCoA once located · initial certificate to locate: #3 (CNP), #4 (CNP), #5 (CNP), #6 (CNP), #8 (CNP), #9 (IJZ), #10 (CNP), #11 (CNP), #12 (CNP)</t>
        </is>
      </c>
      <c r="U74" s="240" t="inlineStr">
        <is>
          <t>n/a — initial certificate</t>
        </is>
      </c>
      <c r="V74" s="240" t="inlineStr">
        <is>
          <t>16.99</t>
        </is>
      </c>
      <c r="W74" s="240" t="inlineStr">
        <is>
          <t>ППК26093</t>
        </is>
      </c>
      <c r="X74" s="240" t="inlineStr">
        <is>
          <t>18.00 ± 1.80 (II)</t>
        </is>
      </c>
      <c r="Y74" s="240" t="inlineStr">
        <is>
          <t>16.20 – 19.79 %</t>
        </is>
      </c>
      <c r="Z74" s="240" t="inlineStr">
        <is>
          <t>SCR_THC18 : CBD1</t>
        </is>
      </c>
      <c r="AA74" s="240" t="inlineStr">
        <is>
          <t>QCSP_001_SCR-II_v.01</t>
        </is>
      </c>
      <c r="AB74" s="243" t="inlineStr">
        <is>
          <t>for review — replaces the issued QCSP_001_SCR-II_v.01 (was SCR_THC18 : CBD1, 16.20 – 19.80 %); now SCR_THC18 : CBD1 16.20 – 19.79 %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 none: CNP tested 1, 2, 7 —</t>
        </is>
      </c>
      <c r="I82" s="242" t="inlineStr"/>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 none: CNP tested 1, 2, 7 —</t>
        </is>
      </c>
      <c r="I83" s="242" t="inlineStr"/>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 none: CNP tested 1, 2, 7 —</t>
        </is>
      </c>
      <c r="I84" s="242" t="inlineStr"/>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 none: CNP tested 1, 2, 7 —</t>
        </is>
      </c>
      <c r="I141" s="242" t="inlineStr"/>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 none: CNP tested 1, 2, 7 —</t>
        </is>
      </c>
      <c r="I142" s="242" t="inlineStr"/>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12.06.2026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 none: CNP tested 1, 2, 7 —</t>
        </is>
      </c>
      <c r="I159" s="242" t="inlineStr"/>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 none: CNP tested 1, 2, 7 —</t>
        </is>
      </c>
      <c r="I166" s="242" t="inlineStr"/>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 none: CNP tested 1, 2, 7 —</t>
        </is>
      </c>
      <c r="I167" s="242" t="inlineStr"/>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 none: CNP tested 1, 2, 7 —</t>
        </is>
      </c>
      <c r="I168" s="242" t="inlineStr"/>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ППК25312 —; 1009/1813/25 02.10.25; 4762/2025 01.10.25</t>
        </is>
      </c>
      <c r="G27" s="253" t="inlineStr">
        <is>
          <t>iCoA-PP_26-026 03.06.26 PP</t>
        </is>
      </c>
      <c r="H27" s="253" t="inlineStr">
        <is>
          <t>iCoA-PP_26-026 03.06.26 PP</t>
        </is>
      </c>
      <c r="I27" s="253" t="inlineStr">
        <is>
          <t>ППК25312 13.10.25 CNP; also NGP/QCG/SOP-024 F3 28.11.2025</t>
        </is>
      </c>
      <c r="J27" s="253" t="inlineStr">
        <is>
          <t>ППК25312 13.10.25 CNP; also NGP/QCG/SOP-024 F3 28.11.2025</t>
        </is>
      </c>
      <c r="K27" s="253" t="inlineStr">
        <is>
          <t>ППК25312 13.10.25 CNP; also NGP/QCG/SOP-024 F3 28.11.2025</t>
        </is>
      </c>
      <c r="L27" s="253" t="inlineStr">
        <is>
          <t xml:space="preserve">ППК25312 13.10.25 CNP; also — </t>
        </is>
      </c>
      <c r="M27" s="253" t="inlineStr">
        <is>
          <t>iCoA-PP_26-026 03.06.26 PP</t>
        </is>
      </c>
      <c r="N27" s="253" t="inlineStr">
        <is>
          <t>ППК25312 13.10.25 CNP; also iCoA-PP_26-026</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1065/2026 11.03.26 IJZ; n/t 10.1,10.3</t>
        </is>
      </c>
      <c r="Q53" s="253" t="inlineStr">
        <is>
          <t>1065/2026 11.03.26 IJZ</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12.06.26</t>
        </is>
      </c>
      <c r="E74" s="253" t="inlineStr">
        <is>
          <t>25.05.26</t>
        </is>
      </c>
      <c r="F74" s="253" t="inlineStr">
        <is>
          <t>ППК26093 —; 362/0692/26 —; 3160/2026 —</t>
        </is>
      </c>
      <c r="G74" s="253" t="inlineStr">
        <is>
          <t>iCoA-PP_26-073 03.06.26 PP</t>
        </is>
      </c>
      <c r="H74" s="253" t="inlineStr">
        <is>
          <t>iCoA-PP_26-073 03.06.26 PP</t>
        </is>
      </c>
      <c r="I74" s="253" t="inlineStr">
        <is>
          <t>ППК26093 05.06.26 CNP; also 227-8-К/26 11.09.2026</t>
        </is>
      </c>
      <c r="J74" s="253" t="inlineStr">
        <is>
          <t>ППК26093 05.06.26 CNP; also 227-8-К/26 11.09.2026</t>
        </is>
      </c>
      <c r="K74" s="253" t="inlineStr">
        <is>
          <t>ППК26093 05.06.26 CNP; also 227-8-К/26 11.09.2026</t>
        </is>
      </c>
      <c r="L74" s="253" t="inlineStr">
        <is>
          <t>ППК26093 05.06.26 CNP; also 227-8-К/26 11.09.2026</t>
        </is>
      </c>
      <c r="M74" s="253" t="inlineStr">
        <is>
          <t>iCoA-PP_26-073 03.06.26 PP</t>
        </is>
      </c>
      <c r="N74" s="253" t="inlineStr">
        <is>
          <t>ППК26093 05.06.26 CNP</t>
        </is>
      </c>
      <c r="O74" s="253" t="inlineStr">
        <is>
          <t>362/0692/26 01.06.26 IJZ; 362/0692/26 01.06.26 IJZ undetermined</t>
        </is>
      </c>
      <c r="P74" s="254" t="inlineStr">
        <is>
          <t>3160/2026 01.06.26 IJZ; n/t 10.1,10.3</t>
        </is>
      </c>
      <c r="Q74" s="253" t="inlineStr">
        <is>
          <t>3160/2026 01.06.26 IJZ</t>
        </is>
      </c>
      <c r="R74" s="253" t="inlineStr">
        <is>
          <t>3160/2026 01.06.26 IJZ</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ППК26127 21.07.26 CNP</t>
        </is>
      </c>
      <c r="H82" s="253" t="inlineStr">
        <is>
          <t>ППК26127 21.07.26 CNP</t>
        </is>
      </c>
      <c r="I82" s="253" t="inlineStr">
        <is>
          <t>ППК26127 21.07.26 CNP</t>
        </is>
      </c>
      <c r="J82" s="253" t="inlineStr">
        <is>
          <t>ППК26127 21.07.26 CNP</t>
        </is>
      </c>
      <c r="K82" s="253" t="inlineStr">
        <is>
          <t>ППК26127 21.07.26 CNP</t>
        </is>
      </c>
      <c r="L82" s="253" t="inlineStr">
        <is>
          <t>ППК26127 21.07.26 CNP</t>
        </is>
      </c>
      <c r="M82" s="253" t="inlineStr">
        <is>
          <t>ППК26127 21.07.26 CNP</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ППК26128 21.07.26 CNP</t>
        </is>
      </c>
      <c r="H83" s="253" t="inlineStr">
        <is>
          <t>ППК26128 21.07.26 CNP</t>
        </is>
      </c>
      <c r="I83" s="253" t="inlineStr">
        <is>
          <t>ППК26128 21.07.26 CNP</t>
        </is>
      </c>
      <c r="J83" s="253" t="inlineStr">
        <is>
          <t>ППК26128 21.07.26 CNP</t>
        </is>
      </c>
      <c r="K83" s="253" t="inlineStr">
        <is>
          <t>ППК26128 21.07.26 CNP</t>
        </is>
      </c>
      <c r="L83" s="253" t="inlineStr">
        <is>
          <t>ППК26128 21.07.26 CNP</t>
        </is>
      </c>
      <c r="M83" s="253" t="inlineStr">
        <is>
          <t>ППК26128 21.07.26 CNP</t>
        </is>
      </c>
      <c r="N83" s="253" t="inlineStr">
        <is>
          <t>ППК26128 21.07.26 CNP</t>
        </is>
      </c>
      <c r="O83" s="254" t="inlineStr">
        <is>
          <t>n/t</t>
        </is>
      </c>
      <c r="P83" s="254" t="inlineStr">
        <is>
          <t>3925/2026 20.07.26 IJZ; n/t 10.1,10.3</t>
        </is>
      </c>
      <c r="Q83" s="253" t="inlineStr">
        <is>
          <t>awaiting the complete scan of IPH 3925/2</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ППК26115 30.06.26 CNP</t>
        </is>
      </c>
      <c r="H84" s="253" t="inlineStr">
        <is>
          <t>ППК26115 30.06.26 CNP</t>
        </is>
      </c>
      <c r="I84" s="253" t="inlineStr">
        <is>
          <t>ППК26115 30.06.26 CNP</t>
        </is>
      </c>
      <c r="J84" s="253" t="inlineStr">
        <is>
          <t>ППК26115 30.06.26 CNP</t>
        </is>
      </c>
      <c r="K84" s="253" t="inlineStr">
        <is>
          <t>ППК26115 30.06.26 CNP</t>
        </is>
      </c>
      <c r="L84" s="253" t="inlineStr">
        <is>
          <t>ППК26115 30.06.26 CNP</t>
        </is>
      </c>
      <c r="M84" s="253" t="inlineStr">
        <is>
          <t>ППК26115 30.06.26 CNP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ППК26112 17.06.26; 227-24-К/26 24.08.26; 537/1068/26 25.08.26; 227-24-М/26 —; 3661/2026 —</t>
        </is>
      </c>
      <c r="G141" s="253" t="inlineStr">
        <is>
          <t>ППК26112 30.06.26 CNP (initial)</t>
        </is>
      </c>
      <c r="H141" s="253" t="inlineStr">
        <is>
          <t>ППК26112 30.06.26 CNP (initial)</t>
        </is>
      </c>
      <c r="I141" s="253" t="inlineStr">
        <is>
          <t>227-24-К/26 11.09.26 FHM-K</t>
        </is>
      </c>
      <c r="J141" s="253" t="inlineStr">
        <is>
          <t>227-24-К/26 11.09.26 FHM-K</t>
        </is>
      </c>
      <c r="K141" s="253" t="inlineStr">
        <is>
          <t>227-24-К/26 11.09.26 FHM-K</t>
        </is>
      </c>
      <c r="L141" s="253" t="inlineStr">
        <is>
          <t>227-24-К/26 11.09.26 FHM-K</t>
        </is>
      </c>
      <c r="M141" s="253" t="inlineStr">
        <is>
          <t>ППК26112 30.06.26 CNP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ППК26110 17.06.26; 227-23-К/26 24.08.26; 538/1069/26 25.08.26; 227-23-М/26 —; 3663/2026 —</t>
        </is>
      </c>
      <c r="G142" s="253" t="inlineStr">
        <is>
          <t>ППК26110 30.06.26 CNP (initial)</t>
        </is>
      </c>
      <c r="H142" s="253" t="inlineStr">
        <is>
          <t>ППК26110 30.06.26 CNP (initial)</t>
        </is>
      </c>
      <c r="I142" s="253" t="inlineStr">
        <is>
          <t>227-23-К/26 11.09.26 FHM-K</t>
        </is>
      </c>
      <c r="J142" s="253" t="inlineStr">
        <is>
          <t>227-23-К/26 11.09.26 FHM-K</t>
        </is>
      </c>
      <c r="K142" s="253" t="inlineStr">
        <is>
          <t>227-23-К/26 11.09.26 FHM-K</t>
        </is>
      </c>
      <c r="L142" s="253" t="inlineStr">
        <is>
          <t>227-23-К/26 11.09.26 FHM-K</t>
        </is>
      </c>
      <c r="M142" s="253" t="inlineStr">
        <is>
          <t>ППК26110 30.06.26 CNP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ППК25312 —;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ППК25312 13.10.25 CNP (initial)</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100-1-ГС/26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100-1-ГС/26 09.04.26 FHM-K; also 100-3-ГС/26, trimmed</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ППК26093 —; 539/1070/26 25.08.26; 227-8-М/26 —; 3160/2026 —</t>
        </is>
      </c>
      <c r="G158" s="253" t="inlineStr">
        <is>
          <t>iCoA-PP_26-160 24.08.26 PP</t>
        </is>
      </c>
      <c r="H158" s="253" t="inlineStr">
        <is>
          <t>iCoA-PP_26-160 24.08.26 PP</t>
        </is>
      </c>
      <c r="I158" s="253" t="inlineStr">
        <is>
          <t>227-8-К/26 11.09.26 FHM-K</t>
        </is>
      </c>
      <c r="J158" s="253" t="inlineStr">
        <is>
          <t>227-8-К/26 11.09.26 FHM-K</t>
        </is>
      </c>
      <c r="K158" s="253" t="inlineStr">
        <is>
          <t>227-8-К/26 11.09.26 FHM-K</t>
        </is>
      </c>
      <c r="L158" s="253" t="inlineStr">
        <is>
          <t>227-8-К/26 11.09.26 FHM-K</t>
        </is>
      </c>
      <c r="M158" s="253" t="inlineStr">
        <is>
          <t>iCoA-PP_26-160 24.08.26 PP</t>
        </is>
      </c>
      <c r="N158" s="253" t="inlineStr">
        <is>
          <t>ППК26093 05.06.26 CNP (initial)</t>
        </is>
      </c>
      <c r="O158" s="253" t="inlineStr">
        <is>
          <t>539/1070/26 31.08.26 IJZ-MB</t>
        </is>
      </c>
      <c r="P158" s="253" t="inlineStr">
        <is>
          <t>227-8-М/26 16.09.26 FHM-M</t>
        </is>
      </c>
      <c r="Q158" s="253" t="inlineStr">
        <is>
          <t>3160/2026 01.06.26 IJZ (initial)</t>
        </is>
      </c>
      <c r="R158" s="253" t="inlineStr">
        <is>
          <t>3160/2026 01.06.26 IJZ (initial)</t>
        </is>
      </c>
    </row>
    <row r="159">
      <c r="A159" s="253" t="inlineStr">
        <is>
          <t>CoQ-PP_26-161</t>
        </is>
      </c>
      <c r="B159" s="253" t="inlineStr">
        <is>
          <t>P060442 (SCR022601)</t>
        </is>
      </c>
      <c r="C159" s="253" t="inlineStr">
        <is>
          <t>retest (predicted)</t>
        </is>
      </c>
      <c r="D159" s="253" t="inlineStr">
        <is>
          <t>21.09.26</t>
        </is>
      </c>
      <c r="E159" s="253" t="inlineStr">
        <is>
          <t>19.08.26</t>
        </is>
      </c>
      <c r="F159" s="253" t="inlineStr">
        <is>
          <t>ППК26116 17.06.26; 227-7-К/26 24.08.26; 536/1067/26 25.08.26; 227-7-М/26 —; 3657/2026 —</t>
        </is>
      </c>
      <c r="G159" s="253" t="inlineStr">
        <is>
          <t>ППК26116 06.07.26 CNP (initial)</t>
        </is>
      </c>
      <c r="H159" s="253" t="inlineStr">
        <is>
          <t>ППК26116 06.07.26 CNP (initial)</t>
        </is>
      </c>
      <c r="I159" s="253" t="inlineStr">
        <is>
          <t>227-7-К/26 11.09.26 FHM-K</t>
        </is>
      </c>
      <c r="J159" s="253" t="inlineStr">
        <is>
          <t>227-7-К/26 11.09.26 FHM-K</t>
        </is>
      </c>
      <c r="K159" s="253" t="inlineStr">
        <is>
          <t>227-7-К/26 11.09.26 FHM-K</t>
        </is>
      </c>
      <c r="L159" s="253" t="inlineStr">
        <is>
          <t>227-7-К/26 11.09.26 FHM-K</t>
        </is>
      </c>
      <c r="M159" s="253" t="inlineStr">
        <is>
          <t>ППК26116 06.07.26 CNP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1065/2026 11.03.26 IJZ (initial)</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548/1079/26 25.08.26;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548/1079/26 31.08.26 IJZ-MB</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ППК26117 06.07.26 CNP</t>
        </is>
      </c>
      <c r="H166" s="253" t="inlineStr">
        <is>
          <t>ППК26117 06.07.26 CNP</t>
        </is>
      </c>
      <c r="I166" s="253" t="inlineStr">
        <is>
          <t>ППК26117 06.07.26 CNP</t>
        </is>
      </c>
      <c r="J166" s="253" t="inlineStr">
        <is>
          <t>ППК26117 06.07.26 CNP</t>
        </is>
      </c>
      <c r="K166" s="253" t="inlineStr">
        <is>
          <t>ППК26117 06.07.26 CNP</t>
        </is>
      </c>
      <c r="L166" s="253" t="inlineStr">
        <is>
          <t>ППК26117 06.07.26 CNP</t>
        </is>
      </c>
      <c r="M166" s="253" t="inlineStr">
        <is>
          <t>ППК26117 06.07.26 CNP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ППК26118 06.07.26 CNP</t>
        </is>
      </c>
      <c r="H167" s="253" t="inlineStr">
        <is>
          <t>ППК26118 06.07.26 CNP</t>
        </is>
      </c>
      <c r="I167" s="253" t="inlineStr">
        <is>
          <t>ППК26118 06.07.26 CNP</t>
        </is>
      </c>
      <c r="J167" s="253" t="inlineStr">
        <is>
          <t>ППК26118 06.07.26 CNP</t>
        </is>
      </c>
      <c r="K167" s="253" t="inlineStr">
        <is>
          <t>ППК26118 06.07.26 CNP</t>
        </is>
      </c>
      <c r="L167" s="253" t="inlineStr">
        <is>
          <t>ППК26118 06.07.26 CNP</t>
        </is>
      </c>
      <c r="M167" s="253" t="inlineStr">
        <is>
          <t>ППК26118 06.07.26 CNP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ППК26119 06.07.26 CNP</t>
        </is>
      </c>
      <c r="H168" s="253" t="inlineStr">
        <is>
          <t>ППК26119 06.07.26 CNP</t>
        </is>
      </c>
      <c r="I168" s="253" t="inlineStr">
        <is>
          <t>ППК26119 06.07.26 CNP</t>
        </is>
      </c>
      <c r="J168" s="253" t="inlineStr">
        <is>
          <t>ППК26119 06.07.26 CNP</t>
        </is>
      </c>
      <c r="K168" s="253" t="inlineStr">
        <is>
          <t>ППК26119 06.07.26 CNP</t>
        </is>
      </c>
      <c r="L168" s="253" t="inlineStr">
        <is>
          <t>ППК26119 06.07.26 CNP</t>
        </is>
      </c>
      <c r="M168" s="253" t="inlineStr">
        <is>
          <t>ППК26119 06.07.26 CNP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22.89</t>
        </is>
      </c>
      <c r="S27" s="253" t="inlineStr">
        <is>
          <t>ППК25312</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13.10.2025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ППК25312</t>
        </is>
      </c>
      <c r="AO27" s="253" t="inlineStr">
        <is>
          <t>13.10.2025</t>
        </is>
      </c>
      <c r="AP27" s="253" t="inlineStr">
        <is>
          <t>UKIM Faculty of Pharmacy — Center for Natural Products</t>
        </is>
      </c>
      <c r="AQ27" s="253" t="inlineStr">
        <is>
          <t>22.89</t>
        </is>
      </c>
      <c r="AR27" s="253" t="inlineStr">
        <is>
          <t>ППК25312</t>
        </is>
      </c>
      <c r="AS27" s="253" t="inlineStr">
        <is>
          <t>13.10.2025</t>
        </is>
      </c>
      <c r="AT27" s="253" t="inlineStr">
        <is>
          <t>UKIM Faculty of Pharmacy — Center for Natural Products</t>
        </is>
      </c>
      <c r="AU27" s="253" t="inlineStr">
        <is>
          <t>0.05</t>
        </is>
      </c>
      <c r="AV27" s="253" t="inlineStr">
        <is>
          <t>ППК25312</t>
        </is>
      </c>
      <c r="AW27" s="253" t="inlineStr">
        <is>
          <t>13.10.2025</t>
        </is>
      </c>
      <c r="AX27" s="253" t="inlineStr">
        <is>
          <t>UKIM Faculty of Pharmacy — Center for Natural Products</t>
        </is>
      </c>
      <c r="AY27" s="253" t="inlineStr">
        <is>
          <t>0.03</t>
        </is>
      </c>
      <c r="AZ27" s="253" t="inlineStr">
        <is>
          <t>ППК25312</t>
        </is>
      </c>
      <c r="BA27" s="253" t="inlineStr">
        <is>
          <t>13.10.2025</t>
        </is>
      </c>
      <c r="BB27" s="253" t="inlineStr">
        <is>
          <t>UKIM Faculty of Pharmacy — Center for Natural Products</t>
        </is>
      </c>
      <c r="BC27" s="253" t="inlineStr">
        <is>
          <t>Conforms | Одговара</t>
        </is>
      </c>
      <c r="BD27" s="253" t="inlineStr">
        <is>
          <t>iCoA-PP_26-026</t>
        </is>
      </c>
      <c r="BE27" s="253" t="inlineStr">
        <is>
          <t>03.06.2026</t>
        </is>
      </c>
      <c r="BF27" s="253" t="inlineStr">
        <is>
          <t>Purely Plant GmbH (in-house)</t>
        </is>
      </c>
      <c r="BG27" s="253" t="inlineStr">
        <is>
          <t>6.21</t>
        </is>
      </c>
      <c r="BH27" s="253" t="inlineStr">
        <is>
          <t>ППК25312</t>
        </is>
      </c>
      <c r="BI27" s="253" t="inlineStr">
        <is>
          <t>13.10.2025</t>
        </is>
      </c>
      <c r="BJ27" s="253" t="inlineStr">
        <is>
          <t>UKIM Faculty of Pharmacy — Center for Natural Products</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11.03.2026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3" t="inlineStr">
        <is>
          <t>2.6</t>
        </is>
      </c>
      <c r="CR53" s="253" t="inlineStr">
        <is>
          <t>1065/2026</t>
        </is>
      </c>
      <c r="CS53" s="253" t="inlineStr">
        <is>
          <t>11.03.2026</t>
        </is>
      </c>
      <c r="CT53" s="253" t="inlineStr">
        <is>
          <t>IPH — Institute of Public Health</t>
        </is>
      </c>
      <c r="CU53" s="257" t="inlineStr">
        <is>
          <t>not tested</t>
        </is>
      </c>
      <c r="CV53" s="253" t="inlineStr">
        <is>
          <t>—</t>
        </is>
      </c>
      <c r="CW53" s="253" t="inlineStr">
        <is>
          <t>—</t>
        </is>
      </c>
      <c r="CX53" s="253" t="inlineStr">
        <is>
          <t>—</t>
        </is>
      </c>
      <c r="CY53" s="253" t="inlineStr">
        <is>
          <t>ND</t>
        </is>
      </c>
      <c r="CZ53" s="253" t="inlineStr">
        <is>
          <t>1065/2026</t>
        </is>
      </c>
      <c r="DA53" s="253" t="inlineStr">
        <is>
          <t>11.03.2026</t>
        </is>
      </c>
      <c r="DB53" s="253" t="inlineStr">
        <is>
          <t>IPH — Institute of Public Health</t>
        </is>
      </c>
      <c r="DC53" s="253" t="inlineStr">
        <is>
          <t>ND</t>
        </is>
      </c>
      <c r="DD53" s="253" t="inlineStr">
        <is>
          <t>1065/2026</t>
        </is>
      </c>
      <c r="DE53" s="253" t="inlineStr">
        <is>
          <t>11.03.2026</t>
        </is>
      </c>
      <c r="DF53" s="253" t="inlineStr">
        <is>
          <t>IPH — Institute of Public Health</t>
        </is>
      </c>
      <c r="DG53" s="253" t="inlineStr">
        <is>
          <t>ND</t>
        </is>
      </c>
      <c r="DH53" s="253" t="inlineStr">
        <is>
          <t>1065/2026</t>
        </is>
      </c>
      <c r="DI53" s="253" t="inlineStr">
        <is>
          <t>11.03.2026</t>
        </is>
      </c>
      <c r="DJ53" s="253" t="inlineStr">
        <is>
          <t>IPH — Institute of Public Health</t>
        </is>
      </c>
      <c r="DK53" s="253" t="inlineStr">
        <is>
          <t>ND</t>
        </is>
      </c>
      <c r="DL53" s="253" t="inlineStr">
        <is>
          <t>1065/2026</t>
        </is>
      </c>
      <c r="DM53" s="253" t="inlineStr">
        <is>
          <t>11.03.2026</t>
        </is>
      </c>
      <c r="DN53" s="253" t="inlineStr">
        <is>
          <t>IPH — Institute of Public Health</t>
        </is>
      </c>
      <c r="DO53" s="253" t="inlineStr">
        <is>
          <t>ND mg/kg — all 29 residues</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12.06.2026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16.99</t>
        </is>
      </c>
      <c r="S74" s="253" t="inlineStr">
        <is>
          <t>ППК26093</t>
        </is>
      </c>
      <c r="T74" s="253" t="inlineStr">
        <is>
          <t>II</t>
        </is>
      </c>
      <c r="U74" s="253" t="inlineStr">
        <is>
          <t>16.20 – 19.79 %</t>
        </is>
      </c>
      <c r="V74" s="253" t="inlineStr">
        <is>
          <t>SCR_THC18 : CBD1</t>
        </is>
      </c>
      <c r="W74" s="253" t="inlineStr">
        <is>
          <t>QCSP_001_SCR-II_v.01</t>
        </is>
      </c>
      <c r="X74" s="253" t="inlineStr">
        <is>
          <t>for review — replaces the issued QCSP_001_SCR-II_v.01 (was SCR_THC18 : CBD1, 16.20 – 19.80 %); now SCR_THC18 : CBD1 16.20 – 19.79 %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05.06.2026</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ППК26093</t>
        </is>
      </c>
      <c r="AO74" s="253" t="inlineStr">
        <is>
          <t>05.06.2026</t>
        </is>
      </c>
      <c r="AP74" s="253" t="inlineStr">
        <is>
          <t>UKIM Faculty of Pharmacy — Center for Natural Products</t>
        </is>
      </c>
      <c r="AQ74" s="253" t="inlineStr">
        <is>
          <t>16.99</t>
        </is>
      </c>
      <c r="AR74" s="253" t="inlineStr">
        <is>
          <t>ППК26093</t>
        </is>
      </c>
      <c r="AS74" s="253" t="inlineStr">
        <is>
          <t>05.06.2026</t>
        </is>
      </c>
      <c r="AT74" s="253" t="inlineStr">
        <is>
          <t>UKIM Faculty of Pharmacy — Center for Natural Products</t>
        </is>
      </c>
      <c r="AU74" s="253" t="inlineStr">
        <is>
          <t>0.05</t>
        </is>
      </c>
      <c r="AV74" s="253" t="inlineStr">
        <is>
          <t>ППК26093</t>
        </is>
      </c>
      <c r="AW74" s="253" t="inlineStr">
        <is>
          <t>05.06.2026</t>
        </is>
      </c>
      <c r="AX74" s="253" t="inlineStr">
        <is>
          <t>UKIM Faculty of Pharmacy — Center for Natural Products</t>
        </is>
      </c>
      <c r="AY74" s="253" t="inlineStr">
        <is>
          <t>&lt; LOQ</t>
        </is>
      </c>
      <c r="AZ74" s="253" t="inlineStr">
        <is>
          <t>ППК26093</t>
        </is>
      </c>
      <c r="BA74" s="253" t="inlineStr">
        <is>
          <t>05.06.2026</t>
        </is>
      </c>
      <c r="BB74" s="253" t="inlineStr">
        <is>
          <t>UKIM Faculty of Pharmacy — Center for Natural Products</t>
        </is>
      </c>
      <c r="BC74" s="253" t="inlineStr">
        <is>
          <t>Conforms | Одговара</t>
        </is>
      </c>
      <c r="BD74" s="253" t="inlineStr">
        <is>
          <t>iCoA-PP_26-073</t>
        </is>
      </c>
      <c r="BE74" s="253" t="inlineStr">
        <is>
          <t>03.06.2026</t>
        </is>
      </c>
      <c r="BF74" s="253" t="inlineStr">
        <is>
          <t>Purely Plant GmbH (in-house)</t>
        </is>
      </c>
      <c r="BG74" s="253" t="inlineStr">
        <is>
          <t>6.61</t>
        </is>
      </c>
      <c r="BH74" s="253" t="inlineStr">
        <is>
          <t>ППК26093</t>
        </is>
      </c>
      <c r="BI74" s="253" t="inlineStr">
        <is>
          <t>05.06.2026</t>
        </is>
      </c>
      <c r="BJ74" s="253" t="inlineStr">
        <is>
          <t>UKIM Faculty of Pharmacy — Center for Natural Products</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7" t="inlineStr">
        <is>
          <t>not tested</t>
        </is>
      </c>
      <c r="CN74" s="253" t="inlineStr">
        <is>
          <t>—</t>
        </is>
      </c>
      <c r="CO74" s="253" t="inlineStr">
        <is>
          <t>—</t>
        </is>
      </c>
      <c r="CP74" s="253" t="inlineStr">
        <is>
          <t>—</t>
        </is>
      </c>
      <c r="CQ74" s="253" t="inlineStr">
        <is>
          <t>&lt; 2</t>
        </is>
      </c>
      <c r="CR74" s="253" t="inlineStr">
        <is>
          <t>3160/2026</t>
        </is>
      </c>
      <c r="CS74" s="253" t="inlineStr">
        <is>
          <t>01.06.2026</t>
        </is>
      </c>
      <c r="CT74" s="253" t="inlineStr">
        <is>
          <t>IPH — Institute of Public Health</t>
        </is>
      </c>
      <c r="CU74" s="257" t="inlineStr">
        <is>
          <t>not tested</t>
        </is>
      </c>
      <c r="CV74" s="253" t="inlineStr">
        <is>
          <t>—</t>
        </is>
      </c>
      <c r="CW74" s="253" t="inlineStr">
        <is>
          <t>—</t>
        </is>
      </c>
      <c r="CX74" s="253" t="inlineStr">
        <is>
          <t>—</t>
        </is>
      </c>
      <c r="CY74" s="253" t="inlineStr">
        <is>
          <t>0.006</t>
        </is>
      </c>
      <c r="CZ74" s="253" t="inlineStr">
        <is>
          <t>3160/2026</t>
        </is>
      </c>
      <c r="DA74" s="253" t="inlineStr">
        <is>
          <t>01.06.2026</t>
        </is>
      </c>
      <c r="DB74" s="253" t="inlineStr">
        <is>
          <t>IPH — Institute of Public Health</t>
        </is>
      </c>
      <c r="DC74" s="253" t="inlineStr">
        <is>
          <t>0.007</t>
        </is>
      </c>
      <c r="DD74" s="253" t="inlineStr">
        <is>
          <t>3160/2026</t>
        </is>
      </c>
      <c r="DE74" s="253" t="inlineStr">
        <is>
          <t>01.06.2026</t>
        </is>
      </c>
      <c r="DF74" s="253" t="inlineStr">
        <is>
          <t>IPH — Institute of Public Health</t>
        </is>
      </c>
      <c r="DG74" s="253" t="inlineStr">
        <is>
          <t>0.006</t>
        </is>
      </c>
      <c r="DH74" s="253" t="inlineStr">
        <is>
          <t>3160/2026</t>
        </is>
      </c>
      <c r="DI74" s="253" t="inlineStr">
        <is>
          <t>01.06.2026</t>
        </is>
      </c>
      <c r="DJ74" s="253" t="inlineStr">
        <is>
          <t>IPH — Institute of Public Health</t>
        </is>
      </c>
      <c r="DK74" s="253" t="inlineStr">
        <is>
          <t>0.001</t>
        </is>
      </c>
      <c r="DL74" s="253" t="inlineStr">
        <is>
          <t>3160/2026</t>
        </is>
      </c>
      <c r="DM74" s="253" t="inlineStr">
        <is>
          <t>01.06.2026</t>
        </is>
      </c>
      <c r="DN74" s="253" t="inlineStr">
        <is>
          <t>IPH — Institute of Public Health</t>
        </is>
      </c>
      <c r="DO74" s="253" t="inlineStr">
        <is>
          <t>0 mg/kg — all 29 residues</t>
        </is>
      </c>
      <c r="DP74" s="253" t="inlineStr">
        <is>
          <t>3160/2026</t>
        </is>
      </c>
      <c r="DQ74" s="253" t="inlineStr">
        <is>
          <t>01.06.2026</t>
        </is>
      </c>
      <c r="DR74" s="253" t="inlineStr">
        <is>
          <t>IPH — Institute of Public Health</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ППК26127</t>
        </is>
      </c>
      <c r="AG82" s="253" t="inlineStr">
        <is>
          <t>21.07.2026</t>
        </is>
      </c>
      <c r="AH82" s="253" t="inlineStr">
        <is>
          <t>UKIM Faculty of Pharmacy — Center for Natural Products</t>
        </is>
      </c>
      <c r="AI82" s="253" t="inlineStr">
        <is>
          <t>Conforms | Одговара</t>
        </is>
      </c>
      <c r="AJ82" s="253" t="inlineStr">
        <is>
          <t>ППК26127</t>
        </is>
      </c>
      <c r="AK82" s="253" t="inlineStr">
        <is>
          <t>21.07.2026</t>
        </is>
      </c>
      <c r="AL82" s="253" t="inlineStr">
        <is>
          <t>UKIM Faculty of Pharmacy — Center for Natural Products</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7" t="inlineStr">
        <is>
          <t>awaiting the Head of QC's ruling on the lot — ППК26127…</t>
        </is>
      </c>
      <c r="BD82" s="253" t="inlineStr">
        <is>
          <t>ППК26127</t>
        </is>
      </c>
      <c r="BE82" s="253" t="inlineStr">
        <is>
          <t>21.07.2026</t>
        </is>
      </c>
      <c r="BF82" s="253" t="inlineStr">
        <is>
          <t>UKIM Faculty of Pharmacy — Center for Natural Products</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ППК26128</t>
        </is>
      </c>
      <c r="AG83" s="253" t="inlineStr">
        <is>
          <t>21.07.2026</t>
        </is>
      </c>
      <c r="AH83" s="253" t="inlineStr">
        <is>
          <t>UKIM Faculty of Pharmacy — Center for Natural Products</t>
        </is>
      </c>
      <c r="AI83" s="253" t="inlineStr">
        <is>
          <t>Conforms | Одговара</t>
        </is>
      </c>
      <c r="AJ83" s="253" t="inlineStr">
        <is>
          <t>ППК26128</t>
        </is>
      </c>
      <c r="AK83" s="253" t="inlineStr">
        <is>
          <t>21.07.2026</t>
        </is>
      </c>
      <c r="AL83" s="253" t="inlineStr">
        <is>
          <t>UKIM Faculty of Pharmacy — Center for Natural Products</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ППК26128</t>
        </is>
      </c>
      <c r="BE83" s="253" t="inlineStr">
        <is>
          <t>21.07.2026</t>
        </is>
      </c>
      <c r="BF83" s="253" t="inlineStr">
        <is>
          <t>UKIM Faculty of Pharmacy — Center for Natural Products</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awaiting the complete scan of IPH 3925/2026 — the archive…</t>
        </is>
      </c>
      <c r="CZ83" s="253" t="inlineStr">
        <is>
          <t>—</t>
        </is>
      </c>
      <c r="DA83" s="253" t="inlineStr">
        <is>
          <t>—</t>
        </is>
      </c>
      <c r="DB83" s="253" t="inlineStr">
        <is>
          <t>—</t>
        </is>
      </c>
      <c r="DC83" s="257" t="inlineStr">
        <is>
          <t>awaiting the complete scan of IPH 3925/2026 — the archive…</t>
        </is>
      </c>
      <c r="DD83" s="253" t="inlineStr">
        <is>
          <t>—</t>
        </is>
      </c>
      <c r="DE83" s="253" t="inlineStr">
        <is>
          <t>—</t>
        </is>
      </c>
      <c r="DF83" s="253" t="inlineStr">
        <is>
          <t>—</t>
        </is>
      </c>
      <c r="DG83" s="257" t="inlineStr">
        <is>
          <t>awaiting the complete scan of IPH 3925/2026 — the archive…</t>
        </is>
      </c>
      <c r="DH83" s="253" t="inlineStr">
        <is>
          <t>—</t>
        </is>
      </c>
      <c r="DI83" s="253" t="inlineStr">
        <is>
          <t>—</t>
        </is>
      </c>
      <c r="DJ83" s="253" t="inlineStr">
        <is>
          <t>—</t>
        </is>
      </c>
      <c r="DK83" s="257" t="inlineStr">
        <is>
          <t>awaiting the complete scan of IPH 3925/2026 — the archive…</t>
        </is>
      </c>
      <c r="DL83" s="253" t="inlineStr">
        <is>
          <t>—</t>
        </is>
      </c>
      <c r="DM83" s="253" t="inlineStr">
        <is>
          <t>—</t>
        </is>
      </c>
      <c r="DN83" s="253" t="inlineStr">
        <is>
          <t>—</t>
        </is>
      </c>
      <c r="DO83" s="257" t="inlineStr">
        <is>
          <t>awaiting the complete scan of IPH 3925/2026 — the archive…</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ППК26115</t>
        </is>
      </c>
      <c r="AG84" s="253" t="inlineStr">
        <is>
          <t>30.06.2026</t>
        </is>
      </c>
      <c r="AH84" s="253" t="inlineStr">
        <is>
          <t>UKIM Faculty of Pharmacy — Center for Natural Products</t>
        </is>
      </c>
      <c r="AI84" s="253" t="inlineStr">
        <is>
          <t>Conforms | Одговара</t>
        </is>
      </c>
      <c r="AJ84" s="253" t="inlineStr">
        <is>
          <t>ППК26115</t>
        </is>
      </c>
      <c r="AK84" s="253" t="inlineStr">
        <is>
          <t>30.06.2026</t>
        </is>
      </c>
      <c r="AL84" s="253" t="inlineStr">
        <is>
          <t>UKIM Faculty of Pharmacy — Center for Natural Products</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ППК26115</t>
        </is>
      </c>
      <c r="BE84" s="253" t="inlineStr">
        <is>
          <t>30.06.2026</t>
        </is>
      </c>
      <c r="BF84" s="253" t="inlineStr">
        <is>
          <t>UKIM Faculty of Pharmacy — Center for Natural Products</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ППК26112</t>
        </is>
      </c>
      <c r="AG141" s="253" t="inlineStr">
        <is>
          <t>30.06.2026</t>
        </is>
      </c>
      <c r="AH141" s="253" t="inlineStr">
        <is>
          <t>UKIM Faculty of Pharmacy — Center for Natural Products</t>
        </is>
      </c>
      <c r="AI141" s="253" t="inlineStr">
        <is>
          <t>Conforms | Одговара</t>
        </is>
      </c>
      <c r="AJ141" s="253" t="inlineStr">
        <is>
          <t>ППК26112</t>
        </is>
      </c>
      <c r="AK141" s="253" t="inlineStr">
        <is>
          <t>30.06.2026</t>
        </is>
      </c>
      <c r="AL141" s="253" t="inlineStr">
        <is>
          <t>UKIM Faculty of Pharmacy — Center for Natural Products</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ППК26112</t>
        </is>
      </c>
      <c r="BE141" s="253" t="inlineStr">
        <is>
          <t>30.06.2026</t>
        </is>
      </c>
      <c r="BF141" s="253" t="inlineStr">
        <is>
          <t>UKIM Faculty of Pharmacy — Center for Natural Products</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ППК26110</t>
        </is>
      </c>
      <c r="AG142" s="253" t="inlineStr">
        <is>
          <t>30.06.2026</t>
        </is>
      </c>
      <c r="AH142" s="253" t="inlineStr">
        <is>
          <t>UKIM Faculty of Pharmacy — Center for Natural Products</t>
        </is>
      </c>
      <c r="AI142" s="253" t="inlineStr">
        <is>
          <t>Conforms | Одговара</t>
        </is>
      </c>
      <c r="AJ142" s="253" t="inlineStr">
        <is>
          <t>ППК26110</t>
        </is>
      </c>
      <c r="AK142" s="253" t="inlineStr">
        <is>
          <t>30.06.2026</t>
        </is>
      </c>
      <c r="AL142" s="253" t="inlineStr">
        <is>
          <t>UKIM Faculty of Pharmacy — Center for Natural Products</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ППК26110</t>
        </is>
      </c>
      <c r="BE142" s="253" t="inlineStr">
        <is>
          <t>30.06.2026</t>
        </is>
      </c>
      <c r="BF142" s="253" t="inlineStr">
        <is>
          <t>UKIM Faculty of Pharmacy — Center for Natural Products</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6.21</t>
        </is>
      </c>
      <c r="BH147" s="253" t="inlineStr">
        <is>
          <t>ППК25312</t>
        </is>
      </c>
      <c r="BI147" s="253" t="inlineStr">
        <is>
          <t>13.10.2025</t>
        </is>
      </c>
      <c r="BJ147" s="253" t="inlineStr">
        <is>
          <t>UKIM Faculty of Pharmacy — Center for Natural Products</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7.6</t>
        </is>
      </c>
      <c r="BH151" s="253" t="inlineStr">
        <is>
          <t>100-1-ГС/26</t>
        </is>
      </c>
      <c r="BI151" s="253" t="inlineStr">
        <is>
          <t>09.04.2026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12.06.2026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3" t="inlineStr">
        <is>
          <t>6.61</t>
        </is>
      </c>
      <c r="BH158" s="253" t="inlineStr">
        <is>
          <t>ППК26093</t>
        </is>
      </c>
      <c r="BI158" s="253" t="inlineStr">
        <is>
          <t>05.06.2026</t>
        </is>
      </c>
      <c r="BJ158" s="253" t="inlineStr">
        <is>
          <t>UKIM Faculty of Pharmacy — Center for Natural Products</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3" t="inlineStr">
        <is>
          <t>0.006</t>
        </is>
      </c>
      <c r="CZ158" s="253" t="inlineStr">
        <is>
          <t>3160/2026</t>
        </is>
      </c>
      <c r="DA158" s="253" t="inlineStr">
        <is>
          <t>01.06.2026</t>
        </is>
      </c>
      <c r="DB158" s="253" t="inlineStr">
        <is>
          <t>IPH — Institute of Public Health</t>
        </is>
      </c>
      <c r="DC158" s="253" t="inlineStr">
        <is>
          <t>0.007</t>
        </is>
      </c>
      <c r="DD158" s="253" t="inlineStr">
        <is>
          <t>3160/2026</t>
        </is>
      </c>
      <c r="DE158" s="253" t="inlineStr">
        <is>
          <t>01.06.2026</t>
        </is>
      </c>
      <c r="DF158" s="253" t="inlineStr">
        <is>
          <t>IPH — Institute of Public Health</t>
        </is>
      </c>
      <c r="DG158" s="253" t="inlineStr">
        <is>
          <t>0.006</t>
        </is>
      </c>
      <c r="DH158" s="253" t="inlineStr">
        <is>
          <t>3160/2026</t>
        </is>
      </c>
      <c r="DI158" s="253" t="inlineStr">
        <is>
          <t>01.06.2026</t>
        </is>
      </c>
      <c r="DJ158" s="253" t="inlineStr">
        <is>
          <t>IPH — Institute of Public Health</t>
        </is>
      </c>
      <c r="DK158" s="253" t="inlineStr">
        <is>
          <t>0.001</t>
        </is>
      </c>
      <c r="DL158" s="253" t="inlineStr">
        <is>
          <t>3160/2026</t>
        </is>
      </c>
      <c r="DM158" s="253" t="inlineStr">
        <is>
          <t>01.06.2026</t>
        </is>
      </c>
      <c r="DN158" s="253" t="inlineStr">
        <is>
          <t>IPH — Institute of Public Health</t>
        </is>
      </c>
      <c r="DO158" s="253" t="inlineStr">
        <is>
          <t>0 mg/kg — all 29 residues</t>
        </is>
      </c>
      <c r="DP158" s="253" t="inlineStr">
        <is>
          <t>3160/2026</t>
        </is>
      </c>
      <c r="DQ158" s="253" t="inlineStr">
        <is>
          <t>01.06.2026</t>
        </is>
      </c>
      <c r="DR158" s="253" t="inlineStr">
        <is>
          <t>IPH — Institute of Public Health</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ППК26116</t>
        </is>
      </c>
      <c r="AG159" s="253" t="inlineStr">
        <is>
          <t>06.07.2026</t>
        </is>
      </c>
      <c r="AH159" s="253" t="inlineStr">
        <is>
          <t>UKIM Faculty of Pharmacy — Center for Natural Products</t>
        </is>
      </c>
      <c r="AI159" s="253" t="inlineStr">
        <is>
          <t>Conforms | Одговара</t>
        </is>
      </c>
      <c r="AJ159" s="253" t="inlineStr">
        <is>
          <t>ППК26116</t>
        </is>
      </c>
      <c r="AK159" s="253" t="inlineStr">
        <is>
          <t>06.07.2026</t>
        </is>
      </c>
      <c r="AL159" s="253" t="inlineStr">
        <is>
          <t>UKIM Faculty of Pharmacy — Center for Natural Products</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ППК26116</t>
        </is>
      </c>
      <c r="BE159" s="253" t="inlineStr">
        <is>
          <t>06.07.2026</t>
        </is>
      </c>
      <c r="BF159" s="253" t="inlineStr">
        <is>
          <t>UKIM Faculty of Pharmacy — Center for Natural Products</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3" t="inlineStr">
        <is>
          <t>ND</t>
        </is>
      </c>
      <c r="CZ160" s="253" t="inlineStr">
        <is>
          <t>1065/2026</t>
        </is>
      </c>
      <c r="DA160" s="253" t="inlineStr">
        <is>
          <t>11.03.2026</t>
        </is>
      </c>
      <c r="DB160" s="253" t="inlineStr">
        <is>
          <t>IPH — Institute of Public Health</t>
        </is>
      </c>
      <c r="DC160" s="253" t="inlineStr">
        <is>
          <t>ND</t>
        </is>
      </c>
      <c r="DD160" s="253" t="inlineStr">
        <is>
          <t>1065/2026</t>
        </is>
      </c>
      <c r="DE160" s="253" t="inlineStr">
        <is>
          <t>11.03.2026</t>
        </is>
      </c>
      <c r="DF160" s="253" t="inlineStr">
        <is>
          <t>IPH — Institute of Public Health</t>
        </is>
      </c>
      <c r="DG160" s="253" t="inlineStr">
        <is>
          <t>ND</t>
        </is>
      </c>
      <c r="DH160" s="253" t="inlineStr">
        <is>
          <t>1065/2026</t>
        </is>
      </c>
      <c r="DI160" s="253" t="inlineStr">
        <is>
          <t>11.03.2026</t>
        </is>
      </c>
      <c r="DJ160" s="253" t="inlineStr">
        <is>
          <t>IPH — Institute of Public Health</t>
        </is>
      </c>
      <c r="DK160" s="253" t="inlineStr">
        <is>
          <t>ND</t>
        </is>
      </c>
      <c r="DL160" s="253" t="inlineStr">
        <is>
          <t>1065/2026</t>
        </is>
      </c>
      <c r="DM160" s="253" t="inlineStr">
        <is>
          <t>11.03.2026</t>
        </is>
      </c>
      <c r="DN160" s="253" t="inlineStr">
        <is>
          <t>IPH — Institute of Public Health</t>
        </is>
      </c>
      <c r="DO160" s="253" t="inlineStr">
        <is>
          <t>ND mg/kg — all 29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5,4 × 10²</t>
        </is>
      </c>
      <c r="BL161" s="253" t="inlineStr">
        <is>
          <t>548/1079/26</t>
        </is>
      </c>
      <c r="BM161" s="253" t="inlineStr">
        <is>
          <t>31.08.2026</t>
        </is>
      </c>
      <c r="BN161" s="253" t="inlineStr">
        <is>
          <t>IPH — Institute of Public Health</t>
        </is>
      </c>
      <c r="BO161" s="253" t="inlineStr">
        <is>
          <t>3,7 × 10²</t>
        </is>
      </c>
      <c r="BP161" s="253" t="inlineStr">
        <is>
          <t>548/1079/26</t>
        </is>
      </c>
      <c r="BQ161" s="253" t="inlineStr">
        <is>
          <t>31.08.2026</t>
        </is>
      </c>
      <c r="BR161" s="253" t="inlineStr">
        <is>
          <t>IPH — Institute of Public Health</t>
        </is>
      </c>
      <c r="BS161" s="253" t="inlineStr">
        <is>
          <t>&lt; 10</t>
        </is>
      </c>
      <c r="BT161" s="253" t="inlineStr">
        <is>
          <t>548/1079/26</t>
        </is>
      </c>
      <c r="BU161" s="253" t="inlineStr">
        <is>
          <t>31.08.2026</t>
        </is>
      </c>
      <c r="BV161" s="253" t="inlineStr">
        <is>
          <t>IPH — Institute of Public Health</t>
        </is>
      </c>
      <c r="BW161" s="253" t="inlineStr">
        <is>
          <t>Absent | Отсутна</t>
        </is>
      </c>
      <c r="BX161" s="253" t="inlineStr">
        <is>
          <t>548/1079/26</t>
        </is>
      </c>
      <c r="BY161" s="253" t="inlineStr">
        <is>
          <t>31.08.2026</t>
        </is>
      </c>
      <c r="BZ161" s="253" t="inlineStr">
        <is>
          <t>IPH — Institute of Public Health</t>
        </is>
      </c>
      <c r="CA161" s="253" t="inlineStr">
        <is>
          <t>Absent | Отсутна</t>
        </is>
      </c>
      <c r="CB161" s="253" t="inlineStr">
        <is>
          <t>548/1079/26</t>
        </is>
      </c>
      <c r="CC161" s="253" t="inlineStr">
        <is>
          <t>31.08.2026</t>
        </is>
      </c>
      <c r="CD161" s="253" t="inlineStr">
        <is>
          <t>IPH — Institute of Public Health</t>
        </is>
      </c>
      <c r="CE161" s="253" t="inlineStr">
        <is>
          <t>Absent | Отсутна</t>
        </is>
      </c>
      <c r="CF161" s="253" t="inlineStr">
        <is>
          <t>548/1079/26</t>
        </is>
      </c>
      <c r="CG161" s="253" t="inlineStr">
        <is>
          <t>31.08.2026</t>
        </is>
      </c>
      <c r="CH161" s="253" t="inlineStr">
        <is>
          <t>IPH — Institute of Public Health</t>
        </is>
      </c>
      <c r="CI161" s="253" t="inlineStr">
        <is>
          <t>Absent | Отсутна</t>
        </is>
      </c>
      <c r="CJ161" s="253" t="inlineStr">
        <is>
          <t>548/1079/26</t>
        </is>
      </c>
      <c r="CK161" s="253" t="inlineStr">
        <is>
          <t>31.08.2026</t>
        </is>
      </c>
      <c r="CL161" s="253" t="inlineStr">
        <is>
          <t>IPH — Institute of Public Health</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ППК26117</t>
        </is>
      </c>
      <c r="AG166" s="253" t="inlineStr">
        <is>
          <t>06.07.2026</t>
        </is>
      </c>
      <c r="AH166" s="253" t="inlineStr">
        <is>
          <t>UKIM Faculty of Pharmacy — Center for Natural Products</t>
        </is>
      </c>
      <c r="AI166" s="253" t="inlineStr">
        <is>
          <t>Conforms | Одговара</t>
        </is>
      </c>
      <c r="AJ166" s="253" t="inlineStr">
        <is>
          <t>ППК26117</t>
        </is>
      </c>
      <c r="AK166" s="253" t="inlineStr">
        <is>
          <t>06.07.2026</t>
        </is>
      </c>
      <c r="AL166" s="253" t="inlineStr">
        <is>
          <t>UKIM Faculty of Pharmacy — Center for Natural Products</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ППК26117</t>
        </is>
      </c>
      <c r="BE166" s="253" t="inlineStr">
        <is>
          <t>06.07.2026</t>
        </is>
      </c>
      <c r="BF166" s="253" t="inlineStr">
        <is>
          <t>UKIM Faculty of Pharmacy — Center for Natural Products</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ППК26118</t>
        </is>
      </c>
      <c r="AG167" s="253" t="inlineStr">
        <is>
          <t>06.07.2026</t>
        </is>
      </c>
      <c r="AH167" s="253" t="inlineStr">
        <is>
          <t>UKIM Faculty of Pharmacy — Center for Natural Products</t>
        </is>
      </c>
      <c r="AI167" s="253" t="inlineStr">
        <is>
          <t>Conforms | Одговара</t>
        </is>
      </c>
      <c r="AJ167" s="253" t="inlineStr">
        <is>
          <t>ППК26118</t>
        </is>
      </c>
      <c r="AK167" s="253" t="inlineStr">
        <is>
          <t>06.07.2026</t>
        </is>
      </c>
      <c r="AL167" s="253" t="inlineStr">
        <is>
          <t>UKIM Faculty of Pharmacy — Center for Natural Products</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ППК26118</t>
        </is>
      </c>
      <c r="BE167" s="253" t="inlineStr">
        <is>
          <t>06.07.2026</t>
        </is>
      </c>
      <c r="BF167" s="253" t="inlineStr">
        <is>
          <t>UKIM Faculty of Pharmacy — Center for Natural Products</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ППК26119</t>
        </is>
      </c>
      <c r="AG168" s="253" t="inlineStr">
        <is>
          <t>06.07.2026</t>
        </is>
      </c>
      <c r="AH168" s="253" t="inlineStr">
        <is>
          <t>UKIM Faculty of Pharmacy — Center for Natural Products</t>
        </is>
      </c>
      <c r="AI168" s="253" t="inlineStr">
        <is>
          <t>Conforms | Одговара</t>
        </is>
      </c>
      <c r="AJ168" s="253" t="inlineStr">
        <is>
          <t>ППК26119</t>
        </is>
      </c>
      <c r="AK168" s="253" t="inlineStr">
        <is>
          <t>06.07.2026</t>
        </is>
      </c>
      <c r="AL168" s="253" t="inlineStr">
        <is>
          <t>UKIM Faculty of Pharmacy — Center for Natural Products</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ППК26119</t>
        </is>
      </c>
      <c r="BE168" s="253" t="inlineStr">
        <is>
          <t>06.07.2026</t>
        </is>
      </c>
      <c r="BF168" s="253" t="inlineStr">
        <is>
          <t>UKIM Faculty of Pharmacy — Center for Natural Products</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ППК25312</t>
        </is>
      </c>
      <c r="M579" s="253" t="inlineStr">
        <is>
          <t>13.10.2025</t>
        </is>
      </c>
      <c r="N579" s="253" t="inlineStr">
        <is>
          <t>UKIM Faculty of Pharmacy — Center for Natural Products</t>
        </is>
      </c>
      <c r="O579" s="253" t="inlineStr">
        <is>
          <t>—</t>
        </is>
      </c>
      <c r="P579" s="253" t="inlineStr">
        <is>
          <t>covered — CNP ППК25312 is the release testing of the cannabinoids (Head of QC, 22.10.2026)</t>
        </is>
      </c>
      <c r="Q579" s="253" t="inlineStr"/>
      <c r="R579" s="253" t="inlineStr">
        <is>
          <t>replaces Conforms | Одговара (NGP/QCG/SOP-024 F3 28.11.2025)</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22.89</t>
        </is>
      </c>
      <c r="L580" s="253" t="inlineStr">
        <is>
          <t>ППК25312</t>
        </is>
      </c>
      <c r="M580" s="253" t="inlineStr">
        <is>
          <t>13.10.2025</t>
        </is>
      </c>
      <c r="N580" s="253" t="inlineStr">
        <is>
          <t>UKIM Faculty of Pharmacy — Center for Natural Products</t>
        </is>
      </c>
      <c r="O580" s="253" t="inlineStr">
        <is>
          <t>—</t>
        </is>
      </c>
      <c r="P580" s="253" t="inlineStr">
        <is>
          <t>covered — CNP ППК25312 is the release testing of the cannabinoids (Head of QC, 22.10.2026)</t>
        </is>
      </c>
      <c r="Q580" s="253" t="inlineStr"/>
      <c r="R580" s="253" t="inlineStr">
        <is>
          <t>replaces 24.89 (NGP/QCG/SOP-024 F3 28.11.2025)</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0.05</t>
        </is>
      </c>
      <c r="L581" s="253" t="inlineStr">
        <is>
          <t>ППК25312</t>
        </is>
      </c>
      <c r="M581" s="253" t="inlineStr">
        <is>
          <t>13.10.2025</t>
        </is>
      </c>
      <c r="N581" s="253" t="inlineStr">
        <is>
          <t>UKIM Faculty of Pharmacy — Center for Natural Products</t>
        </is>
      </c>
      <c r="O581" s="253" t="inlineStr">
        <is>
          <t>—</t>
        </is>
      </c>
      <c r="P581" s="253" t="inlineStr">
        <is>
          <t>covered — CNP ППК25312 is the release testing of the cannabinoids (Head of QC, 22.10.2026)</t>
        </is>
      </c>
      <c r="Q581" s="253" t="inlineStr"/>
      <c r="R581" s="253" t="inlineStr">
        <is>
          <t>replaces 0.17 (NGP/QCG/SOP-024 F3 28.11.2025)</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3" t="inlineStr">
        <is>
          <t>0.03</t>
        </is>
      </c>
      <c r="L582" s="253" t="inlineStr">
        <is>
          <t>ППК25312</t>
        </is>
      </c>
      <c r="M582" s="253" t="inlineStr">
        <is>
          <t>13.10.2025</t>
        </is>
      </c>
      <c r="N582" s="253" t="inlineStr">
        <is>
          <t>UKIM Faculty of Pharmacy — Center for Natural Products</t>
        </is>
      </c>
      <c r="O582" s="253" t="inlineStr">
        <is>
          <t>—</t>
        </is>
      </c>
      <c r="P582" s="253" t="inlineStr">
        <is>
          <t>covered — CNP ППК25312 is the release testing of the cannabinoids (Head of QC, 22.10.2026)</t>
        </is>
      </c>
      <c r="Q582" s="253" t="inlineStr"/>
      <c r="R582" s="253" t="inlineStr">
        <is>
          <t>replaces — (— )</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6.21</t>
        </is>
      </c>
      <c r="L584" s="253" t="inlineStr">
        <is>
          <t>ППК25312</t>
        </is>
      </c>
      <c r="M584" s="253" t="inlineStr">
        <is>
          <t>13.10.2025</t>
        </is>
      </c>
      <c r="N584" s="253" t="inlineStr">
        <is>
          <t>UKIM Faculty of Pharmacy — Center for Natural Products</t>
        </is>
      </c>
      <c r="O584" s="253" t="inlineStr">
        <is>
          <t>—</t>
        </is>
      </c>
      <c r="P584" s="253" t="inlineStr">
        <is>
          <t>covered — CNP ППК25312, filed 14.10.2026, two reads (Head of QC, 16.10.2026)</t>
        </is>
      </c>
      <c r="Q584" s="253" t="inlineStr"/>
      <c r="R584" s="253" t="inlineStr">
        <is>
          <t>replaces 8.19 (avg of 4 weighings 51-1,51-2,52-1,52-2) (iCoA-PP_26-026)</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3" t="inlineStr">
        <is>
          <t>2.6</t>
        </is>
      </c>
      <c r="L1191" s="253" t="inlineStr">
        <is>
          <t>1065/2026</t>
        </is>
      </c>
      <c r="M1191" s="253" t="inlineStr">
        <is>
          <t>11.03.2026</t>
        </is>
      </c>
      <c r="N1191" s="253" t="inlineStr">
        <is>
          <t>IPH — Institute of Public Health</t>
        </is>
      </c>
      <c r="O1191" s="253" t="inlineStr">
        <is>
          <t>—</t>
        </is>
      </c>
      <c r="P1191" s="253" t="inlineStr">
        <is>
          <t>covered — IPH 1065/2026 complete (page 3 of 4 received 08.10.2026)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3" t="inlineStr">
        <is>
          <t>ND</t>
        </is>
      </c>
      <c r="L1193" s="253" t="inlineStr">
        <is>
          <t>1065/2026</t>
        </is>
      </c>
      <c r="M1193" s="253" t="inlineStr">
        <is>
          <t>11.03.2026</t>
        </is>
      </c>
      <c r="N1193" s="253" t="inlineStr">
        <is>
          <t>IPH — Institute of Public Health</t>
        </is>
      </c>
      <c r="O1193" s="253" t="inlineStr">
        <is>
          <t>—</t>
        </is>
      </c>
      <c r="P1193" s="253" t="inlineStr">
        <is>
          <t>covered — IPH 1065/2026 complete (page 3 of 4 received 08.10.2026)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3" t="inlineStr">
        <is>
          <t>ND</t>
        </is>
      </c>
      <c r="L1194" s="253" t="inlineStr">
        <is>
          <t>1065/2026</t>
        </is>
      </c>
      <c r="M1194" s="253" t="inlineStr">
        <is>
          <t>11.03.2026</t>
        </is>
      </c>
      <c r="N1194" s="253" t="inlineStr">
        <is>
          <t>IPH — Institute of Public Health</t>
        </is>
      </c>
      <c r="O1194" s="253" t="inlineStr">
        <is>
          <t>—</t>
        </is>
      </c>
      <c r="P1194" s="253" t="inlineStr">
        <is>
          <t>covered — IPH 1065/2026 complete (page 3 of 4 received 08.10.2026)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3" t="inlineStr">
        <is>
          <t>ND</t>
        </is>
      </c>
      <c r="L1195" s="253" t="inlineStr">
        <is>
          <t>1065/2026</t>
        </is>
      </c>
      <c r="M1195" s="253" t="inlineStr">
        <is>
          <t>11.03.2026</t>
        </is>
      </c>
      <c r="N1195" s="253" t="inlineStr">
        <is>
          <t>IPH — Institute of Public Health</t>
        </is>
      </c>
      <c r="O1195" s="253" t="inlineStr">
        <is>
          <t>—</t>
        </is>
      </c>
      <c r="P1195" s="253" t="inlineStr">
        <is>
          <t>covered — IPH 1065/2026 complete (page 3 of 4 received 08.10.2026)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3" t="inlineStr">
        <is>
          <t>ND</t>
        </is>
      </c>
      <c r="L1196" s="253" t="inlineStr">
        <is>
          <t>1065/2026</t>
        </is>
      </c>
      <c r="M1196" s="253" t="inlineStr">
        <is>
          <t>11.03.2026</t>
        </is>
      </c>
      <c r="N1196" s="253" t="inlineStr">
        <is>
          <t>IPH — Institute of Public Health</t>
        </is>
      </c>
      <c r="O1196" s="253" t="inlineStr">
        <is>
          <t>—</t>
        </is>
      </c>
      <c r="P1196" s="253" t="inlineStr">
        <is>
          <t>covered — IPH 1065/2026 complete (page 3 of 4 received 08.10.2026)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3" t="inlineStr">
        <is>
          <t>ND mg/kg — all 29 residues</t>
        </is>
      </c>
      <c r="L1197" s="253" t="inlineStr">
        <is>
          <t>1065/2026</t>
        </is>
      </c>
      <c r="M1197" s="253" t="inlineStr">
        <is>
          <t>11.03.2026</t>
        </is>
      </c>
      <c r="N1197" s="253" t="inlineStr">
        <is>
          <t>IPH — Institute of Public Health</t>
        </is>
      </c>
      <c r="O1197" s="253" t="inlineStr">
        <is>
          <t>—</t>
        </is>
      </c>
      <c r="P1197" s="253" t="inlineStr">
        <is>
          <t>covered — IPH 1065/2026 complete (page 3 of 4 received 08.10.2026)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12.06.2026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12.06.2026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12.06.2026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ППК26093</t>
        </is>
      </c>
      <c r="M1660" s="253" t="inlineStr">
        <is>
          <t>05.06.2026</t>
        </is>
      </c>
      <c r="N1660" s="253" t="inlineStr">
        <is>
          <t>UKIM Faculty of Pharmacy — Center for Natural Products</t>
        </is>
      </c>
      <c r="O1660" s="253" t="inlineStr">
        <is>
          <t>—</t>
        </is>
      </c>
      <c r="P1660" s="253" t="inlineStr">
        <is>
          <t>covered — CNP ППК26093 is the release testing of the cannabinoids (Head of QC, 22.10.2026)</t>
        </is>
      </c>
      <c r="Q1660" s="253" t="inlineStr"/>
      <c r="R1660" s="253" t="inlineStr">
        <is>
          <t>replaces Conforms | Одговара (227-8-К/26 11.09.2026)</t>
        </is>
      </c>
    </row>
    <row r="1661">
      <c r="A1661" s="253" t="inlineStr">
        <is>
          <t>CoQ-PP_26-073</t>
        </is>
      </c>
      <c r="B1661" s="253" t="inlineStr">
        <is>
          <t>release</t>
        </is>
      </c>
      <c r="C1661" s="253" t="inlineStr">
        <is>
          <t>SCR012601</t>
        </is>
      </c>
      <c r="D1661" s="253" t="inlineStr">
        <is>
          <t>P060342</t>
        </is>
      </c>
      <c r="E1661" s="253" t="inlineStr">
        <is>
          <t>Scrambler</t>
        </is>
      </c>
      <c r="F1661" s="253" t="inlineStr">
        <is>
          <t>12.06.2026</t>
        </is>
      </c>
      <c r="G1661" s="253" t="inlineStr">
        <is>
          <t>4</t>
        </is>
      </c>
      <c r="H1661" s="253" t="inlineStr">
        <is>
          <t>Assay — Total Δ⁹-THC</t>
        </is>
      </c>
      <c r="I1661" s="253" t="inlineStr">
        <is>
          <t>Ph. Eur. 2.2.29 (HPLC)</t>
        </is>
      </c>
      <c r="J1661" s="253" t="inlineStr">
        <is>
          <t>16.20 – 19.79 %  (grade II, nominal 18.00 ± 1.80)</t>
        </is>
      </c>
      <c r="K1661" s="253" t="inlineStr">
        <is>
          <t>16.99</t>
        </is>
      </c>
      <c r="L1661" s="253" t="inlineStr">
        <is>
          <t>ППК26093</t>
        </is>
      </c>
      <c r="M1661" s="253" t="inlineStr">
        <is>
          <t>05.06.2026</t>
        </is>
      </c>
      <c r="N1661" s="253" t="inlineStr">
        <is>
          <t>UKIM Faculty of Pharmacy — Center for Natural Products</t>
        </is>
      </c>
      <c r="O1661" s="253" t="inlineStr">
        <is>
          <t>—</t>
        </is>
      </c>
      <c r="P1661" s="253" t="inlineStr">
        <is>
          <t>covered — CNP ППК26093 is the release testing of the cannabinoids (Head of QC, 22.10.2026)</t>
        </is>
      </c>
      <c r="Q1661" s="253" t="inlineStr"/>
      <c r="R1661" s="253" t="inlineStr">
        <is>
          <t>replaces 22.40 (227-8-К/26 11.09.2026)</t>
        </is>
      </c>
    </row>
    <row r="1662">
      <c r="A1662" s="253" t="inlineStr">
        <is>
          <t>CoQ-PP_26-073</t>
        </is>
      </c>
      <c r="B1662" s="253" t="inlineStr">
        <is>
          <t>release</t>
        </is>
      </c>
      <c r="C1662" s="253" t="inlineStr">
        <is>
          <t>SCR012601</t>
        </is>
      </c>
      <c r="D1662" s="253" t="inlineStr">
        <is>
          <t>P060342</t>
        </is>
      </c>
      <c r="E1662" s="253" t="inlineStr">
        <is>
          <t>Scrambler</t>
        </is>
      </c>
      <c r="F1662" s="253" t="inlineStr">
        <is>
          <t>12.06.2026</t>
        </is>
      </c>
      <c r="G1662" s="253" t="inlineStr">
        <is>
          <t>5</t>
        </is>
      </c>
      <c r="H1662" s="253" t="inlineStr">
        <is>
          <t>Assay — Total CBD</t>
        </is>
      </c>
      <c r="I1662" s="253" t="inlineStr">
        <is>
          <t>Ph. Eur. 2.2.29 (HPLC) · CBD + CBDA x 0.877</t>
        </is>
      </c>
      <c r="J1662" s="253" t="inlineStr">
        <is>
          <t>≤ 1.0%, w/w</t>
        </is>
      </c>
      <c r="K1662" s="253" t="inlineStr">
        <is>
          <t>0.05</t>
        </is>
      </c>
      <c r="L1662" s="253" t="inlineStr">
        <is>
          <t>ППК26093</t>
        </is>
      </c>
      <c r="M1662" s="253" t="inlineStr">
        <is>
          <t>05.06.2026</t>
        </is>
      </c>
      <c r="N1662" s="253" t="inlineStr">
        <is>
          <t>UKIM Faculty of Pharmacy — Center for Natural Products</t>
        </is>
      </c>
      <c r="O1662" s="253" t="inlineStr">
        <is>
          <t>—</t>
        </is>
      </c>
      <c r="P1662" s="253" t="inlineStr">
        <is>
          <t>covered — CNP ППК26093 is the release testing of the cannabinoids (Head of QC, 22.10.2026)</t>
        </is>
      </c>
      <c r="Q1662" s="253" t="inlineStr"/>
      <c r="R1662" s="253" t="inlineStr">
        <is>
          <t>replaces &lt; LOQ (227-8-К/26 11.09.2026)</t>
        </is>
      </c>
    </row>
    <row r="1663">
      <c r="A1663" s="253" t="inlineStr">
        <is>
          <t>CoQ-PP_26-073</t>
        </is>
      </c>
      <c r="B1663" s="253" t="inlineStr">
        <is>
          <t>release</t>
        </is>
      </c>
      <c r="C1663" s="253" t="inlineStr">
        <is>
          <t>SCR012601</t>
        </is>
      </c>
      <c r="D1663" s="253" t="inlineStr">
        <is>
          <t>P060342</t>
        </is>
      </c>
      <c r="E1663" s="253" t="inlineStr">
        <is>
          <t>Scrambler</t>
        </is>
      </c>
      <c r="F1663" s="253" t="inlineStr">
        <is>
          <t>12.06.2026</t>
        </is>
      </c>
      <c r="G1663" s="253" t="inlineStr">
        <is>
          <t>6</t>
        </is>
      </c>
      <c r="H1663" s="253" t="inlineStr">
        <is>
          <t>Total CBN</t>
        </is>
      </c>
      <c r="I1663" s="253" t="inlineStr">
        <is>
          <t>Ph. Eur. 2.2.29 (HPLC) · CBN + CBNA x 0.876</t>
        </is>
      </c>
      <c r="J1663" s="253" t="inlineStr">
        <is>
          <t>≤ 1.0%, w/w</t>
        </is>
      </c>
      <c r="K1663" s="253" t="inlineStr">
        <is>
          <t>&lt; LOQ</t>
        </is>
      </c>
      <c r="L1663" s="253" t="inlineStr">
        <is>
          <t>ППК26093</t>
        </is>
      </c>
      <c r="M1663" s="253" t="inlineStr">
        <is>
          <t>05.06.2026</t>
        </is>
      </c>
      <c r="N1663" s="253" t="inlineStr">
        <is>
          <t>UKIM Faculty of Pharmacy — Center for Natural Products</t>
        </is>
      </c>
      <c r="O1663" s="253" t="inlineStr">
        <is>
          <t>—</t>
        </is>
      </c>
      <c r="P1663" s="253" t="inlineStr">
        <is>
          <t>covered — CNP ППК26093 is the release testing of the cannabinoids (Head of QC, 22.10.2026)</t>
        </is>
      </c>
      <c r="Q1663" s="253" t="inlineStr"/>
      <c r="R1663" s="253" t="inlineStr">
        <is>
          <t>replaces &lt; LOQ (227-8-К/26 11.09.2026)</t>
        </is>
      </c>
    </row>
    <row r="1664">
      <c r="A1664" s="253" t="inlineStr">
        <is>
          <t>CoQ-PP_26-073</t>
        </is>
      </c>
      <c r="B1664" s="253" t="inlineStr">
        <is>
          <t>release</t>
        </is>
      </c>
      <c r="C1664" s="253" t="inlineStr">
        <is>
          <t>SCR012601</t>
        </is>
      </c>
      <c r="D1664" s="253" t="inlineStr">
        <is>
          <t>P060342</t>
        </is>
      </c>
      <c r="E1664" s="253" t="inlineStr">
        <is>
          <t>Scrambler</t>
        </is>
      </c>
      <c r="F1664" s="253" t="inlineStr">
        <is>
          <t>12.06.2026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12.06.2026</t>
        </is>
      </c>
      <c r="G1665" s="253" t="inlineStr">
        <is>
          <t>8</t>
        </is>
      </c>
      <c r="H1665" s="253" t="inlineStr">
        <is>
          <t>Loss on Drying</t>
        </is>
      </c>
      <c r="I1665" s="253" t="inlineStr">
        <is>
          <t>Ph. Eur. 2.2.32 (3028) · at 40 °C, 24 h, 15–25 mbar</t>
        </is>
      </c>
      <c r="J1665" s="253" t="inlineStr">
        <is>
          <t>≤ 12.0%</t>
        </is>
      </c>
      <c r="K1665" s="253" t="inlineStr">
        <is>
          <t>6.61</t>
        </is>
      </c>
      <c r="L1665" s="253" t="inlineStr">
        <is>
          <t>ППК26093</t>
        </is>
      </c>
      <c r="M1665" s="253" t="inlineStr">
        <is>
          <t>05.06.2026</t>
        </is>
      </c>
      <c r="N1665" s="253" t="inlineStr">
        <is>
          <t>UKIM Faculty of Pharmacy — Center for Natural Products</t>
        </is>
      </c>
      <c r="O1665" s="253" t="inlineStr">
        <is>
          <t>—</t>
        </is>
      </c>
      <c r="P1665" s="253" t="inlineStr">
        <is>
          <t>covered — CNP ППК26093, filed 14.10.2026, two reads (Head of QC, 16.10.2026)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12.06.2026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12.06.2026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12.06.2026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12.06.2026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12.06.2026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12.06.2026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12.06.2026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12.06.2026</t>
        </is>
      </c>
      <c r="G1673" s="253" t="inlineStr">
        <is>
          <t>10.1</t>
        </is>
      </c>
      <c r="H1673" s="253" t="inlineStr">
        <is>
          <t>Aflatoxin B₁</t>
        </is>
      </c>
      <c r="I1673" s="253" t="inlineStr">
        <is>
          <t>Ph. Eur. 2.8.18 (HPLC-FLD)</t>
        </is>
      </c>
      <c r="J1673" s="253" t="inlineStr">
        <is>
          <t>≤ 2 µg/kg</t>
        </is>
      </c>
      <c r="K1673" s="257" t="inlineStr">
        <is>
          <t>not tested</t>
        </is>
      </c>
      <c r="L1673" s="253" t="inlineStr">
        <is>
          <t>—</t>
        </is>
      </c>
      <c r="M1673" s="253" t="inlineStr">
        <is>
          <t>—</t>
        </is>
      </c>
      <c r="N1673" s="253" t="inlineStr">
        <is>
          <t>—</t>
        </is>
      </c>
      <c r="O1673" s="253" t="inlineStr">
        <is>
          <t>—</t>
        </is>
      </c>
      <c r="P1673" s="253" t="inlineStr">
        <is>
          <t>not tested at release — the IPH certificate reports total aflatoxins only; aflatoxin B1 and ochratoxin A are tested in the retest round, by Farmahem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12.06.2026</t>
        </is>
      </c>
      <c r="G1674" s="253" t="inlineStr">
        <is>
          <t>10.2</t>
        </is>
      </c>
      <c r="H1674" s="253" t="inlineStr">
        <is>
          <t>Aflatoxins ∑</t>
        </is>
      </c>
      <c r="I1674" s="253" t="inlineStr">
        <is>
          <t>Ph. Eur. 2.8.18 (HPLC-FLD)</t>
        </is>
      </c>
      <c r="J1674" s="253" t="inlineStr">
        <is>
          <t>≤ 4 µg/kg</t>
        </is>
      </c>
      <c r="K1674" s="253" t="inlineStr">
        <is>
          <t>&lt; 2</t>
        </is>
      </c>
      <c r="L1674" s="253" t="inlineStr">
        <is>
          <t>3160/2026</t>
        </is>
      </c>
      <c r="M1674" s="253" t="inlineStr">
        <is>
          <t>01.06.2026</t>
        </is>
      </c>
      <c r="N1674" s="253" t="inlineStr">
        <is>
          <t>IPH — Institute of Public Health</t>
        </is>
      </c>
      <c r="O1674" s="253" t="inlineStr">
        <is>
          <t>—</t>
        </is>
      </c>
      <c r="P1674" s="253" t="inlineStr">
        <is>
          <t>covered — IPH 3160/2026, the lot's release testing (received 08.10.2026)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12.06.2026</t>
        </is>
      </c>
      <c r="G1675" s="253" t="inlineStr">
        <is>
          <t>10.3</t>
        </is>
      </c>
      <c r="H1675" s="253" t="inlineStr">
        <is>
          <t>Ochratoxin A</t>
        </is>
      </c>
      <c r="I1675" s="253" t="inlineStr">
        <is>
          <t>Ph. Eur. 2.8.22 (HPLC-FLD)</t>
        </is>
      </c>
      <c r="J1675" s="253" t="inlineStr">
        <is>
          <t>≤ 20 µg/kg</t>
        </is>
      </c>
      <c r="K1675" s="257" t="inlineStr">
        <is>
          <t>not tested</t>
        </is>
      </c>
      <c r="L1675" s="253" t="inlineStr">
        <is>
          <t>—</t>
        </is>
      </c>
      <c r="M1675" s="253" t="inlineStr">
        <is>
          <t>—</t>
        </is>
      </c>
      <c r="N1675" s="253" t="inlineStr">
        <is>
          <t>—</t>
        </is>
      </c>
      <c r="O1675" s="253" t="inlineStr">
        <is>
          <t>—</t>
        </is>
      </c>
      <c r="P1675" s="253" t="inlineStr">
        <is>
          <t>not tested at release — the IPH certificate reports total aflatoxins only; aflatoxin B1 and ochratoxin A are tested in the retest round, by Farmahem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12.06.2026</t>
        </is>
      </c>
      <c r="G1676" s="253" t="inlineStr">
        <is>
          <t>11.1</t>
        </is>
      </c>
      <c r="H1676" s="253" t="inlineStr">
        <is>
          <t>Lead (Pb)</t>
        </is>
      </c>
      <c r="I1676" s="253" t="inlineStr">
        <is>
          <t>Ph. Eur. 2.4.27 (ICP-MS)</t>
        </is>
      </c>
      <c r="J1676" s="253" t="inlineStr">
        <is>
          <t>≤ 0.5 mg/kg</t>
        </is>
      </c>
      <c r="K1676" s="253" t="inlineStr">
        <is>
          <t>0.006</t>
        </is>
      </c>
      <c r="L1676" s="253" t="inlineStr">
        <is>
          <t>3160/2026</t>
        </is>
      </c>
      <c r="M1676" s="253" t="inlineStr">
        <is>
          <t>01.06.2026</t>
        </is>
      </c>
      <c r="N1676" s="253" t="inlineStr">
        <is>
          <t>IPH — Institute of Public Health</t>
        </is>
      </c>
      <c r="O1676" s="253" t="inlineStr">
        <is>
          <t>—</t>
        </is>
      </c>
      <c r="P1676" s="253" t="inlineStr">
        <is>
          <t>covered — IPH 3160/2026, the lot's release testing (received 08.10.2026)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12.06.2026</t>
        </is>
      </c>
      <c r="G1677" s="253" t="inlineStr">
        <is>
          <t>11.2</t>
        </is>
      </c>
      <c r="H1677" s="253" t="inlineStr">
        <is>
          <t>Cadmium (Cd)</t>
        </is>
      </c>
      <c r="I1677" s="253" t="inlineStr">
        <is>
          <t>Ph. Eur. 2.4.27 (ICP-MS)</t>
        </is>
      </c>
      <c r="J1677" s="253" t="inlineStr">
        <is>
          <t>≤ 0.3 mg/kg</t>
        </is>
      </c>
      <c r="K1677" s="253" t="inlineStr">
        <is>
          <t>0.007</t>
        </is>
      </c>
      <c r="L1677" s="253" t="inlineStr">
        <is>
          <t>3160/2026</t>
        </is>
      </c>
      <c r="M1677" s="253" t="inlineStr">
        <is>
          <t>01.06.2026</t>
        </is>
      </c>
      <c r="N1677" s="253" t="inlineStr">
        <is>
          <t>IPH — Institute of Public Health</t>
        </is>
      </c>
      <c r="O1677" s="253" t="inlineStr">
        <is>
          <t>—</t>
        </is>
      </c>
      <c r="P1677" s="253" t="inlineStr">
        <is>
          <t>covered — IPH 3160/2026, the lot's release testing (received 08.10.2026)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12.06.2026</t>
        </is>
      </c>
      <c r="G1678" s="253" t="inlineStr">
        <is>
          <t>11.3</t>
        </is>
      </c>
      <c r="H1678" s="253" t="inlineStr">
        <is>
          <t>Arsenic (As)</t>
        </is>
      </c>
      <c r="I1678" s="253" t="inlineStr">
        <is>
          <t>Ph. Eur. 2.4.27 (ICP-MS)</t>
        </is>
      </c>
      <c r="J1678" s="253" t="inlineStr">
        <is>
          <t>≤ 0.2 mg/kg</t>
        </is>
      </c>
      <c r="K1678" s="253" t="inlineStr">
        <is>
          <t>0.006</t>
        </is>
      </c>
      <c r="L1678" s="253" t="inlineStr">
        <is>
          <t>3160/2026</t>
        </is>
      </c>
      <c r="M1678" s="253" t="inlineStr">
        <is>
          <t>01.06.2026</t>
        </is>
      </c>
      <c r="N1678" s="253" t="inlineStr">
        <is>
          <t>IPH — Institute of Public Health</t>
        </is>
      </c>
      <c r="O1678" s="253" t="inlineStr">
        <is>
          <t>—</t>
        </is>
      </c>
      <c r="P1678" s="253" t="inlineStr">
        <is>
          <t>covered — IPH 3160/2026, the lot's release testing (received 08.10.2026)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12.06.2026</t>
        </is>
      </c>
      <c r="G1679" s="253" t="inlineStr">
        <is>
          <t>11.4</t>
        </is>
      </c>
      <c r="H1679" s="253" t="inlineStr">
        <is>
          <t>Mercury (Hg)</t>
        </is>
      </c>
      <c r="I1679" s="253" t="inlineStr">
        <is>
          <t>Ph. Eur. 2.4.27 (ICP-MS)</t>
        </is>
      </c>
      <c r="J1679" s="253" t="inlineStr">
        <is>
          <t>≤ 0.1 mg/kg</t>
        </is>
      </c>
      <c r="K1679" s="253" t="inlineStr">
        <is>
          <t>0.001</t>
        </is>
      </c>
      <c r="L1679" s="253" t="inlineStr">
        <is>
          <t>3160/2026</t>
        </is>
      </c>
      <c r="M1679" s="253" t="inlineStr">
        <is>
          <t>01.06.2026</t>
        </is>
      </c>
      <c r="N1679" s="253" t="inlineStr">
        <is>
          <t>IPH — Institute of Public Health</t>
        </is>
      </c>
      <c r="O1679" s="253" t="inlineStr">
        <is>
          <t>—</t>
        </is>
      </c>
      <c r="P1679" s="253" t="inlineStr">
        <is>
          <t>covered — IPH 3160/2026, the lot's release testing (received 08.10.2026)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12.06.2026</t>
        </is>
      </c>
      <c r="G1680" s="253" t="inlineStr">
        <is>
          <t>12</t>
        </is>
      </c>
      <c r="H1680" s="253" t="inlineStr">
        <is>
          <t>Pesticide Residues</t>
        </is>
      </c>
      <c r="I1680" s="253" t="inlineStr">
        <is>
          <t>Ph. Eur. 2.8.13 (LC-MS/MS) · CUMCS Equivalency</t>
        </is>
      </c>
      <c r="J1680" s="253" t="inlineStr">
        <is>
          <t>≤ LOQ as per Ph. Eur. 2.8.13 · ≤ LOQ as per CUMCS Equivalency</t>
        </is>
      </c>
      <c r="K1680" s="253" t="inlineStr">
        <is>
          <t>0 mg/kg — all 29 residues</t>
        </is>
      </c>
      <c r="L1680" s="253" t="inlineStr">
        <is>
          <t>3160/2026</t>
        </is>
      </c>
      <c r="M1680" s="253" t="inlineStr">
        <is>
          <t>01.06.2026</t>
        </is>
      </c>
      <c r="N1680" s="253" t="inlineStr">
        <is>
          <t>IPH — Institute of Public Health</t>
        </is>
      </c>
      <c r="O1680" s="253" t="inlineStr">
        <is>
          <t>—</t>
        </is>
      </c>
      <c r="P1680" s="253" t="inlineStr">
        <is>
          <t>covered — IPH 3160/2026, the lot's release testing (received 08.10.2026)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ППК26127</t>
        </is>
      </c>
      <c r="M1842" s="253" t="inlineStr">
        <is>
          <t>21.07.2026</t>
        </is>
      </c>
      <c r="N1842" s="253" t="inlineStr">
        <is>
          <t>UKIM Faculty of Pharmacy — Center for Natural Products</t>
        </is>
      </c>
      <c r="O1842" s="253" t="inlineStr">
        <is>
          <t>02.07.2026</t>
        </is>
      </c>
      <c r="P1842" s="253" t="inlineStr">
        <is>
          <t>covered — tested explicitly by CNP, ППК26127 (ruling 6 of 26.09.2026; 16.10.2026)</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ППК26127</t>
        </is>
      </c>
      <c r="M1843" s="253" t="inlineStr">
        <is>
          <t>21.07.2026</t>
        </is>
      </c>
      <c r="N1843" s="253" t="inlineStr">
        <is>
          <t>UKIM Faculty of Pharmacy — Center for Natural Products</t>
        </is>
      </c>
      <c r="O1843" s="253" t="inlineStr">
        <is>
          <t>02.07.2026</t>
        </is>
      </c>
      <c r="P1843" s="253" t="inlineStr">
        <is>
          <t>covered — tested explicitly by CNP, ППК26127 (ruling 6 of 26.09.2026; 16.10.2026)</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7" t="inlineStr">
        <is>
          <t>awaiting the Head of QC's ruling on the lot — ППК26127…</t>
        </is>
      </c>
      <c r="L1848" s="253" t="inlineStr">
        <is>
          <t>ППК26127</t>
        </is>
      </c>
      <c r="M1848" s="253" t="inlineStr">
        <is>
          <t>21.07.2026</t>
        </is>
      </c>
      <c r="N1848" s="253" t="inlineStr">
        <is>
          <t>UKIM Faculty of Pharmacy — Center for Natural Products</t>
        </is>
      </c>
      <c r="O1848" s="253" t="inlineStr">
        <is>
          <t>02.07.2026</t>
        </is>
      </c>
      <c r="P1848" s="253" t="inlineStr">
        <is>
          <t>awaiting the Head of QC's ruling on the lot — ППК26127 reports foreign matter 0.08 % as NOT conforming (cannabis seeds present), OI-16 (16.10.2026)</t>
        </is>
      </c>
      <c r="Q1848" s="253" t="inlineStr"/>
      <c r="R1848" s="253" t="inlineStr">
        <is>
          <t>0.08 % — Не одговара (cannabis seeds present), ППК26127; in-house iCoA-PP_26-081: Conforms</t>
        </is>
      </c>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ППК26128</t>
        </is>
      </c>
      <c r="M1865" s="253" t="inlineStr">
        <is>
          <t>21.07.2026</t>
        </is>
      </c>
      <c r="N1865" s="253" t="inlineStr">
        <is>
          <t>UKIM Faculty of Pharmacy — Center for Natural Products</t>
        </is>
      </c>
      <c r="O1865" s="253" t="inlineStr">
        <is>
          <t>02.07.2026</t>
        </is>
      </c>
      <c r="P1865" s="253" t="inlineStr">
        <is>
          <t>covered — tested explicitly by CNP, ППК26128 (ruling 6 of 26.09.2026; 16.10.2026)</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ППК26128</t>
        </is>
      </c>
      <c r="M1866" s="253" t="inlineStr">
        <is>
          <t>21.07.2026</t>
        </is>
      </c>
      <c r="N1866" s="253" t="inlineStr">
        <is>
          <t>UKIM Faculty of Pharmacy — Center for Natural Products</t>
        </is>
      </c>
      <c r="O1866" s="253" t="inlineStr">
        <is>
          <t>02.07.2026</t>
        </is>
      </c>
      <c r="P1866" s="253" t="inlineStr">
        <is>
          <t>covered — tested explicitly by CNP, ППК26128 (ruling 6 of 26.09.2026; 16.10.2026)</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ППК26128</t>
        </is>
      </c>
      <c r="M1871" s="253" t="inlineStr">
        <is>
          <t>21.07.2026</t>
        </is>
      </c>
      <c r="N1871" s="253" t="inlineStr">
        <is>
          <t>UKIM Faculty of Pharmacy — Center for Natural Products</t>
        </is>
      </c>
      <c r="O1871" s="253" t="inlineStr">
        <is>
          <t>02.07.2026</t>
        </is>
      </c>
      <c r="P1871" s="253" t="inlineStr">
        <is>
          <t>covered — tested explicitly by CNP, ППК26128 (ruling 6 of 26.09.2026; 16.10.2026)</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awaiting the complete scan of IPH 3925/2026 — the archive…</t>
        </is>
      </c>
      <c r="L1883" s="253" t="inlineStr">
        <is>
          <t>—</t>
        </is>
      </c>
      <c r="M1883" s="253" t="inlineStr">
        <is>
          <t>—</t>
        </is>
      </c>
      <c r="N1883" s="253" t="inlineStr">
        <is>
          <t>—</t>
        </is>
      </c>
      <c r="O1883" s="253" t="inlineStr">
        <is>
          <t>—</t>
        </is>
      </c>
      <c r="P1883" s="253" t="inlineStr">
        <is>
          <t>awaiting the complete scan of IPH 3925/2026 — the archive holds pages 1, 2 and 4 of 4; page 3 (heavy metals, the last three pesticide residues) is missing, OI-59 (16.10.2026)</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awaiting the complete scan of IPH 3925/2026 — the archive…</t>
        </is>
      </c>
      <c r="L1884" s="253" t="inlineStr">
        <is>
          <t>—</t>
        </is>
      </c>
      <c r="M1884" s="253" t="inlineStr">
        <is>
          <t>—</t>
        </is>
      </c>
      <c r="N1884" s="253" t="inlineStr">
        <is>
          <t>—</t>
        </is>
      </c>
      <c r="O1884" s="253" t="inlineStr">
        <is>
          <t>—</t>
        </is>
      </c>
      <c r="P1884" s="253" t="inlineStr">
        <is>
          <t>awaiting the complete scan of IPH 3925/2026 — the archive holds pages 1, 2 and 4 of 4; page 3 (heavy metals, the last three pesticide residues) is missing, OI-59 (16.10.2026)</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awaiting the complete scan of IPH 3925/2026 — the archive…</t>
        </is>
      </c>
      <c r="L1885" s="253" t="inlineStr">
        <is>
          <t>—</t>
        </is>
      </c>
      <c r="M1885" s="253" t="inlineStr">
        <is>
          <t>—</t>
        </is>
      </c>
      <c r="N1885" s="253" t="inlineStr">
        <is>
          <t>—</t>
        </is>
      </c>
      <c r="O1885" s="253" t="inlineStr">
        <is>
          <t>—</t>
        </is>
      </c>
      <c r="P1885" s="253" t="inlineStr">
        <is>
          <t>awaiting the complete scan of IPH 3925/2026 — the archive holds pages 1, 2 and 4 of 4; page 3 (heavy metals, the last three pesticide residues) is missing, OI-59 (16.10.2026)</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awaiting the complete scan of IPH 3925/2026 — the archive…</t>
        </is>
      </c>
      <c r="L1886" s="253" t="inlineStr">
        <is>
          <t>—</t>
        </is>
      </c>
      <c r="M1886" s="253" t="inlineStr">
        <is>
          <t>—</t>
        </is>
      </c>
      <c r="N1886" s="253" t="inlineStr">
        <is>
          <t>—</t>
        </is>
      </c>
      <c r="O1886" s="253" t="inlineStr">
        <is>
          <t>—</t>
        </is>
      </c>
      <c r="P1886" s="253" t="inlineStr">
        <is>
          <t>awaiting the complete scan of IPH 3925/2026 — the archive holds pages 1, 2 and 4 of 4; page 3 (heavy metals, the last three pesticide residues) is missing, OI-59 (16.10.2026)</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7" t="inlineStr">
        <is>
          <t>awaiting the complete scan of IPH 3925/2026 — the archive…</t>
        </is>
      </c>
      <c r="L1887" s="253" t="inlineStr">
        <is>
          <t>3925/2026</t>
        </is>
      </c>
      <c r="M1887" s="253" t="inlineStr">
        <is>
          <t>20.07.2026</t>
        </is>
      </c>
      <c r="N1887" s="253" t="inlineStr">
        <is>
          <t>IPH — Institute of Public Health</t>
        </is>
      </c>
      <c r="O1887" s="253" t="inlineStr">
        <is>
          <t>—</t>
        </is>
      </c>
      <c r="P1887" s="253" t="inlineStr">
        <is>
          <t>awaiting the complete scan of IPH 3925/2026 — the archive holds pages 1, 2 and 4 of 4; page 3 (heavy metals, the last three pesticide residues) is missing, OI-59 (16.10.2026)</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ППК26115</t>
        </is>
      </c>
      <c r="M1888" s="253" t="inlineStr">
        <is>
          <t>30.06.2026</t>
        </is>
      </c>
      <c r="N1888" s="253" t="inlineStr">
        <is>
          <t>UKIM Faculty of Pharmacy — Center for Natural Products</t>
        </is>
      </c>
      <c r="O1888" s="253" t="inlineStr">
        <is>
          <t>17.06.2026</t>
        </is>
      </c>
      <c r="P1888" s="253" t="inlineStr">
        <is>
          <t>covered — tested explicitly by CNP, ППК26115 (ruling 6 of 26.09.2026; 16.10.2026)</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ППК26115</t>
        </is>
      </c>
      <c r="M1889" s="253" t="inlineStr">
        <is>
          <t>30.06.2026</t>
        </is>
      </c>
      <c r="N1889" s="253" t="inlineStr">
        <is>
          <t>UKIM Faculty of Pharmacy — Center for Natural Products</t>
        </is>
      </c>
      <c r="O1889" s="253" t="inlineStr">
        <is>
          <t>17.06.2026</t>
        </is>
      </c>
      <c r="P1889" s="253" t="inlineStr">
        <is>
          <t>covered — tested explicitly by CNP, ППК26115 (ruling 6 of 26.09.2026; 16.10.2026)</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ППК26115</t>
        </is>
      </c>
      <c r="M1894" s="253" t="inlineStr">
        <is>
          <t>30.06.2026</t>
        </is>
      </c>
      <c r="N1894" s="253" t="inlineStr">
        <is>
          <t>UKIM Faculty of Pharmacy — Center for Natural Products</t>
        </is>
      </c>
      <c r="O1894" s="253" t="inlineStr">
        <is>
          <t>17.06.2026</t>
        </is>
      </c>
      <c r="P1894" s="253" t="inlineStr">
        <is>
          <t>covered — tested explicitly by CNP, ППК26115 (ruling 6 of 26.09.2026; 16.10.2026)</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ППК26112</t>
        </is>
      </c>
      <c r="M3199" s="253" t="inlineStr">
        <is>
          <t>30.06.2026</t>
        </is>
      </c>
      <c r="N3199" s="253" t="inlineStr">
        <is>
          <t>UKIM Faculty of Pharmacy — Center for Natural Products</t>
        </is>
      </c>
      <c r="O3199" s="253" t="inlineStr">
        <is>
          <t>17.06.2026</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ППК26112</t>
        </is>
      </c>
      <c r="M3200" s="253" t="inlineStr">
        <is>
          <t>30.06.2026</t>
        </is>
      </c>
      <c r="N3200" s="253" t="inlineStr">
        <is>
          <t>UKIM Faculty of Pharmacy — Center for Natural Products</t>
        </is>
      </c>
      <c r="O3200" s="253" t="inlineStr">
        <is>
          <t>17.06.2026</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ППК26112</t>
        </is>
      </c>
      <c r="M3205" s="253" t="inlineStr">
        <is>
          <t>30.06.2026</t>
        </is>
      </c>
      <c r="N3205" s="253" t="inlineStr">
        <is>
          <t>UKIM Faculty of Pharmacy — Center for Natural Products</t>
        </is>
      </c>
      <c r="O3205" s="253" t="inlineStr">
        <is>
          <t>17.06.2026</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ППК26110</t>
        </is>
      </c>
      <c r="M3222" s="253" t="inlineStr">
        <is>
          <t>30.06.2026</t>
        </is>
      </c>
      <c r="N3222" s="253" t="inlineStr">
        <is>
          <t>UKIM Faculty of Pharmacy — Center for Natural Products</t>
        </is>
      </c>
      <c r="O3222" s="253" t="inlineStr">
        <is>
          <t>17.06.2026</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ППК26110</t>
        </is>
      </c>
      <c r="M3223" s="253" t="inlineStr">
        <is>
          <t>30.06.2026</t>
        </is>
      </c>
      <c r="N3223" s="253" t="inlineStr">
        <is>
          <t>UKIM Faculty of Pharmacy — Center for Natural Products</t>
        </is>
      </c>
      <c r="O3223" s="253" t="inlineStr">
        <is>
          <t>17.06.2026</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ППК26110</t>
        </is>
      </c>
      <c r="M3228" s="253" t="inlineStr">
        <is>
          <t>30.06.2026</t>
        </is>
      </c>
      <c r="N3228" s="253" t="inlineStr">
        <is>
          <t>UKIM Faculty of Pharmacy — Center for Natural Products</t>
        </is>
      </c>
      <c r="O3228" s="253" t="inlineStr">
        <is>
          <t>17.06.2026</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6.21</t>
        </is>
      </c>
      <c r="L3344" s="253" t="inlineStr">
        <is>
          <t>ППК25312</t>
        </is>
      </c>
      <c r="M3344" s="253" t="inlineStr">
        <is>
          <t>13.10.2025</t>
        </is>
      </c>
      <c r="N3344" s="253" t="inlineStr">
        <is>
          <t>UKIM Faculty of Pharmacy — Center for Natural Products</t>
        </is>
      </c>
      <c r="O3344" s="253" t="inlineStr">
        <is>
          <t>—</t>
        </is>
      </c>
      <c r="P3344" s="253" t="inlineStr">
        <is>
          <t>carried from the initial testing (CoQ-PP_26-026) — covered</t>
        </is>
      </c>
      <c r="Q3344" s="253" t="inlineStr"/>
      <c r="R3344" s="253" t="inlineStr"/>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7.6</t>
        </is>
      </c>
      <c r="L3436" s="253" t="inlineStr">
        <is>
          <t>100-1-ГС/26</t>
        </is>
      </c>
      <c r="M3436" s="253" t="inlineStr">
        <is>
          <t>09.04.2026</t>
        </is>
      </c>
      <c r="N3436" s="253" t="inlineStr">
        <is>
          <t>Farmahem</t>
        </is>
      </c>
      <c r="O3436" s="253" t="inlineStr">
        <is>
          <t>—</t>
        </is>
      </c>
      <c r="P3436" s="253" t="inlineStr">
        <is>
          <t>covered — Farmahem reanalysis 100-1-ГС/26 of 09.04.2026 (Head of QC, 14.10.2026)</t>
        </is>
      </c>
      <c r="Q3436" s="253" t="inlineStr"/>
      <c r="R3436" s="253" t="inlineStr">
        <is>
          <t>8.4 (051-5-ГС/26, the release result on CoQ-PP_26-056); 10.3 (100-2-ГС/26, hand-trimmed); 10.3 (100-3-ГС/26, trimmed)</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covered — Farmahem retest 227-8-К/26 (Head of QC, 22.10.2026)</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covered — Farmahem retest 227-8-К/26 (Head of QC, 22.10.2026)</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covered — Farmahem retest 227-8-К/26 (Head of QC, 22.10.2026)</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covered — Farmahem retest 227-8-К/26 (Head of QC, 22.10.2026)</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3" t="inlineStr">
        <is>
          <t>6.61</t>
        </is>
      </c>
      <c r="L3597" s="253" t="inlineStr">
        <is>
          <t>ППК26093</t>
        </is>
      </c>
      <c r="M3597" s="253" t="inlineStr">
        <is>
          <t>05.06.2026</t>
        </is>
      </c>
      <c r="N3597" s="253" t="inlineStr">
        <is>
          <t>UKIM Faculty of Pharmacy — Center for Natural Products</t>
        </is>
      </c>
      <c r="O3597" s="253" t="inlineStr">
        <is>
          <t>—</t>
        </is>
      </c>
      <c r="P3597" s="253" t="inlineStr">
        <is>
          <t>carried from the initial testing (CoQ-PP_26-073) — covered</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covered — measured in the retest campaign</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covered — measured in the retest campaign</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covered — measured in the retest campaign</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3" t="inlineStr">
        <is>
          <t>0.006</t>
        </is>
      </c>
      <c r="L3608" s="253" t="inlineStr">
        <is>
          <t>3160/2026</t>
        </is>
      </c>
      <c r="M3608" s="253" t="inlineStr">
        <is>
          <t>01.06.2026</t>
        </is>
      </c>
      <c r="N3608" s="253" t="inlineStr">
        <is>
          <t>IPH — Institute of Public Health</t>
        </is>
      </c>
      <c r="O3608" s="253" t="inlineStr">
        <is>
          <t>—</t>
        </is>
      </c>
      <c r="P3608" s="253" t="inlineStr">
        <is>
          <t>carried from the initial testing (CoQ-PP_26-073) — covered</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3" t="inlineStr">
        <is>
          <t>0.007</t>
        </is>
      </c>
      <c r="L3609" s="253" t="inlineStr">
        <is>
          <t>3160/2026</t>
        </is>
      </c>
      <c r="M3609" s="253" t="inlineStr">
        <is>
          <t>01.06.2026</t>
        </is>
      </c>
      <c r="N3609" s="253" t="inlineStr">
        <is>
          <t>IPH — Institute of Public Health</t>
        </is>
      </c>
      <c r="O3609" s="253" t="inlineStr">
        <is>
          <t>—</t>
        </is>
      </c>
      <c r="P3609" s="253" t="inlineStr">
        <is>
          <t>carried from the initial testing (CoQ-PP_26-073) — covered</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3" t="inlineStr">
        <is>
          <t>0.006</t>
        </is>
      </c>
      <c r="L3610" s="253" t="inlineStr">
        <is>
          <t>3160/2026</t>
        </is>
      </c>
      <c r="M3610" s="253" t="inlineStr">
        <is>
          <t>01.06.2026</t>
        </is>
      </c>
      <c r="N3610" s="253" t="inlineStr">
        <is>
          <t>IPH — Institute of Public Health</t>
        </is>
      </c>
      <c r="O3610" s="253" t="inlineStr">
        <is>
          <t>—</t>
        </is>
      </c>
      <c r="P3610" s="253" t="inlineStr">
        <is>
          <t>carried from the initial testing (CoQ-PP_26-073) — covered</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3" t="inlineStr">
        <is>
          <t>0.001</t>
        </is>
      </c>
      <c r="L3611" s="253" t="inlineStr">
        <is>
          <t>3160/2026</t>
        </is>
      </c>
      <c r="M3611" s="253" t="inlineStr">
        <is>
          <t>01.06.2026</t>
        </is>
      </c>
      <c r="N3611" s="253" t="inlineStr">
        <is>
          <t>IPH — Institute of Public Health</t>
        </is>
      </c>
      <c r="O3611" s="253" t="inlineStr">
        <is>
          <t>—</t>
        </is>
      </c>
      <c r="P3611" s="253" t="inlineStr">
        <is>
          <t>carried from the initial testing (CoQ-PP_26-073) — covered</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3" t="inlineStr">
        <is>
          <t>0 mg/kg — all 29 residues</t>
        </is>
      </c>
      <c r="L3612" s="253" t="inlineStr">
        <is>
          <t>3160/2026</t>
        </is>
      </c>
      <c r="M3612" s="253" t="inlineStr">
        <is>
          <t>01.06.2026</t>
        </is>
      </c>
      <c r="N3612" s="253" t="inlineStr">
        <is>
          <t>IPH — Institute of Public Health</t>
        </is>
      </c>
      <c r="O3612" s="253" t="inlineStr">
        <is>
          <t>—</t>
        </is>
      </c>
      <c r="P3612" s="253" t="inlineStr">
        <is>
          <t>carried from the initial testing (CoQ-PP_26-073) — covered</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ППК26116</t>
        </is>
      </c>
      <c r="M3613" s="253" t="inlineStr">
        <is>
          <t>06.07.2026</t>
        </is>
      </c>
      <c r="N3613" s="253" t="inlineStr">
        <is>
          <t>UKIM Faculty of Pharmacy — Center for Natural Products</t>
        </is>
      </c>
      <c r="O3613" s="253" t="inlineStr">
        <is>
          <t>17.06.2026</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ППК26116</t>
        </is>
      </c>
      <c r="M3614" s="253" t="inlineStr">
        <is>
          <t>06.07.2026</t>
        </is>
      </c>
      <c r="N3614" s="253" t="inlineStr">
        <is>
          <t>UKIM Faculty of Pharmacy — Center for Natural Products</t>
        </is>
      </c>
      <c r="O3614" s="253" t="inlineStr">
        <is>
          <t>17.06.2026</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ППК26116</t>
        </is>
      </c>
      <c r="M3619" s="253" t="inlineStr">
        <is>
          <t>06.07.2026</t>
        </is>
      </c>
      <c r="N3619" s="253" t="inlineStr">
        <is>
          <t>UKIM Faculty of Pharmacy — Center for Natural Products</t>
        </is>
      </c>
      <c r="O3619" s="253" t="inlineStr">
        <is>
          <t>17.06.2026</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3" t="inlineStr">
        <is>
          <t>ND</t>
        </is>
      </c>
      <c r="L3654" s="253" t="inlineStr">
        <is>
          <t>1065/2026</t>
        </is>
      </c>
      <c r="M3654" s="253" t="inlineStr">
        <is>
          <t>11.03.2026</t>
        </is>
      </c>
      <c r="N3654" s="253" t="inlineStr">
        <is>
          <t>IPH — Institute of Public Health</t>
        </is>
      </c>
      <c r="O3654" s="253" t="inlineStr">
        <is>
          <t>—</t>
        </is>
      </c>
      <c r="P3654" s="253" t="inlineStr">
        <is>
          <t>carried from the initial testing (CoQ-PP_26-052) — covered</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3" t="inlineStr">
        <is>
          <t>ND</t>
        </is>
      </c>
      <c r="L3655" s="253" t="inlineStr">
        <is>
          <t>1065/2026</t>
        </is>
      </c>
      <c r="M3655" s="253" t="inlineStr">
        <is>
          <t>11.03.2026</t>
        </is>
      </c>
      <c r="N3655" s="253" t="inlineStr">
        <is>
          <t>IPH — Institute of Public Health</t>
        </is>
      </c>
      <c r="O3655" s="253" t="inlineStr">
        <is>
          <t>—</t>
        </is>
      </c>
      <c r="P3655" s="253" t="inlineStr">
        <is>
          <t>carried from the initial testing (CoQ-PP_26-052) — covered</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3" t="inlineStr">
        <is>
          <t>ND</t>
        </is>
      </c>
      <c r="L3656" s="253" t="inlineStr">
        <is>
          <t>1065/2026</t>
        </is>
      </c>
      <c r="M3656" s="253" t="inlineStr">
        <is>
          <t>11.03.2026</t>
        </is>
      </c>
      <c r="N3656" s="253" t="inlineStr">
        <is>
          <t>IPH — Institute of Public Health</t>
        </is>
      </c>
      <c r="O3656" s="253" t="inlineStr">
        <is>
          <t>—</t>
        </is>
      </c>
      <c r="P3656" s="253" t="inlineStr">
        <is>
          <t>carried from the initial testing (CoQ-PP_26-052) — covered</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3" t="inlineStr">
        <is>
          <t>ND</t>
        </is>
      </c>
      <c r="L3657" s="253" t="inlineStr">
        <is>
          <t>1065/2026</t>
        </is>
      </c>
      <c r="M3657" s="253" t="inlineStr">
        <is>
          <t>11.03.2026</t>
        </is>
      </c>
      <c r="N3657" s="253" t="inlineStr">
        <is>
          <t>IPH — Institute of Public Health</t>
        </is>
      </c>
      <c r="O3657" s="253" t="inlineStr">
        <is>
          <t>—</t>
        </is>
      </c>
      <c r="P3657" s="253" t="inlineStr">
        <is>
          <t>carried from the initial testing (CoQ-PP_26-052) — covered</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29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5,4 × 10²</t>
        </is>
      </c>
      <c r="L3667" s="253" t="inlineStr">
        <is>
          <t>548/1079/26</t>
        </is>
      </c>
      <c r="M3667" s="253" t="inlineStr">
        <is>
          <t>31.08.2026</t>
        </is>
      </c>
      <c r="N3667" s="253" t="inlineStr">
        <is>
          <t>IPH — Institute of Public Health</t>
        </is>
      </c>
      <c r="O3667" s="253" t="inlineStr">
        <is>
          <t>25.08.2026</t>
        </is>
      </c>
      <c r="P3667" s="253" t="inlineStr">
        <is>
          <t>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3,7 × 10²</t>
        </is>
      </c>
      <c r="L3668" s="253" t="inlineStr">
        <is>
          <t>548/1079/26</t>
        </is>
      </c>
      <c r="M3668" s="253" t="inlineStr">
        <is>
          <t>31.08.2026</t>
        </is>
      </c>
      <c r="N3668" s="253" t="inlineStr">
        <is>
          <t>IPH — Institute of Public Health</t>
        </is>
      </c>
      <c r="O3668" s="253" t="inlineStr">
        <is>
          <t>25.08.2026</t>
        </is>
      </c>
      <c r="P3668" s="253" t="inlineStr">
        <is>
          <t>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t>
        </is>
      </c>
      <c r="L3669" s="253" t="inlineStr">
        <is>
          <t>548/1079/26</t>
        </is>
      </c>
      <c r="M3669" s="253" t="inlineStr">
        <is>
          <t>31.08.2026</t>
        </is>
      </c>
      <c r="N3669" s="253" t="inlineStr">
        <is>
          <t>IPH — Institute of Public Health</t>
        </is>
      </c>
      <c r="O3669" s="253" t="inlineStr">
        <is>
          <t>25.08.2026</t>
        </is>
      </c>
      <c r="P3669" s="253" t="inlineStr">
        <is>
          <t>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 | Отсутна</t>
        </is>
      </c>
      <c r="L3670" s="253" t="inlineStr">
        <is>
          <t>548/1079/26</t>
        </is>
      </c>
      <c r="M3670" s="253" t="inlineStr">
        <is>
          <t>31.08.2026</t>
        </is>
      </c>
      <c r="N3670" s="253" t="inlineStr">
        <is>
          <t>IPH — Institute of Public Health</t>
        </is>
      </c>
      <c r="O3670" s="253" t="inlineStr">
        <is>
          <t>25.08.2026</t>
        </is>
      </c>
      <c r="P3670" s="253" t="inlineStr">
        <is>
          <t>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 | Отсутна</t>
        </is>
      </c>
      <c r="L3671" s="253" t="inlineStr">
        <is>
          <t>548/1079/26</t>
        </is>
      </c>
      <c r="M3671" s="253" t="inlineStr">
        <is>
          <t>31.08.2026</t>
        </is>
      </c>
      <c r="N3671" s="253" t="inlineStr">
        <is>
          <t>IPH — Institute of Public Health</t>
        </is>
      </c>
      <c r="O3671" s="253" t="inlineStr">
        <is>
          <t>25.08.2026</t>
        </is>
      </c>
      <c r="P3671" s="253" t="inlineStr">
        <is>
          <t>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3" t="inlineStr">
        <is>
          <t>Absent | Отсутна</t>
        </is>
      </c>
      <c r="L3672" s="253" t="inlineStr">
        <is>
          <t>548/1079/26</t>
        </is>
      </c>
      <c r="M3672" s="253" t="inlineStr">
        <is>
          <t>31.08.2026</t>
        </is>
      </c>
      <c r="N3672" s="253" t="inlineStr">
        <is>
          <t>IPH — Institute of Public Health</t>
        </is>
      </c>
      <c r="O3672" s="253" t="inlineStr">
        <is>
          <t>25.08.2026</t>
        </is>
      </c>
      <c r="P3672" s="253" t="inlineStr">
        <is>
          <t>covered</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3" t="inlineStr">
        <is>
          <t>Absent | Отсутна</t>
        </is>
      </c>
      <c r="L3673" s="253" t="inlineStr">
        <is>
          <t>548/1079/26</t>
        </is>
      </c>
      <c r="M3673" s="253" t="inlineStr">
        <is>
          <t>31.08.2026</t>
        </is>
      </c>
      <c r="N3673" s="253" t="inlineStr">
        <is>
          <t>IPH — Institute of Public Health</t>
        </is>
      </c>
      <c r="O3673" s="253" t="inlineStr">
        <is>
          <t>25.08.2026</t>
        </is>
      </c>
      <c r="P3673" s="253" t="inlineStr">
        <is>
          <t>covered</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ППК26117</t>
        </is>
      </c>
      <c r="M3774" s="253" t="inlineStr">
        <is>
          <t>06.07.2026</t>
        </is>
      </c>
      <c r="N3774" s="253" t="inlineStr">
        <is>
          <t>UKIM Faculty of Pharmacy — Center for Natural Products</t>
        </is>
      </c>
      <c r="O3774" s="253" t="inlineStr">
        <is>
          <t>17.06.2026</t>
        </is>
      </c>
      <c r="P3774" s="253" t="inlineStr">
        <is>
          <t>covered — tested explicitly by CNP, ППК26117 (ruling 6 of 26.09.2026; 16.10.2026)</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ППК26117</t>
        </is>
      </c>
      <c r="M3775" s="253" t="inlineStr">
        <is>
          <t>06.07.2026</t>
        </is>
      </c>
      <c r="N3775" s="253" t="inlineStr">
        <is>
          <t>UKIM Faculty of Pharmacy — Center for Natural Products</t>
        </is>
      </c>
      <c r="O3775" s="253" t="inlineStr">
        <is>
          <t>17.06.2026</t>
        </is>
      </c>
      <c r="P3775" s="253" t="inlineStr">
        <is>
          <t>covered — tested explicitly by CNP, ППК26117 (ruling 6 of 26.09.2026; 16.10.2026)</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ППК26117</t>
        </is>
      </c>
      <c r="M3780" s="253" t="inlineStr">
        <is>
          <t>06.07.2026</t>
        </is>
      </c>
      <c r="N3780" s="253" t="inlineStr">
        <is>
          <t>UKIM Faculty of Pharmacy — Center for Natural Products</t>
        </is>
      </c>
      <c r="O3780" s="253" t="inlineStr">
        <is>
          <t>17.06.2026</t>
        </is>
      </c>
      <c r="P3780" s="253" t="inlineStr">
        <is>
          <t>covered — tested explicitly by CNP, ППК26117 (ruling 6 of 26.09.2026; 16.10.2026)</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ППК26118</t>
        </is>
      </c>
      <c r="M3797" s="253" t="inlineStr">
        <is>
          <t>06.07.2026</t>
        </is>
      </c>
      <c r="N3797" s="253" t="inlineStr">
        <is>
          <t>UKIM Faculty of Pharmacy — Center for Natural Products</t>
        </is>
      </c>
      <c r="O3797" s="253" t="inlineStr">
        <is>
          <t>17.06.2026</t>
        </is>
      </c>
      <c r="P3797" s="253" t="inlineStr">
        <is>
          <t>covered — tested explicitly by CNP, ППК26118 (ruling 6 of 26.09.2026; 16.10.2026)</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ППК26118</t>
        </is>
      </c>
      <c r="M3798" s="253" t="inlineStr">
        <is>
          <t>06.07.2026</t>
        </is>
      </c>
      <c r="N3798" s="253" t="inlineStr">
        <is>
          <t>UKIM Faculty of Pharmacy — Center for Natural Products</t>
        </is>
      </c>
      <c r="O3798" s="253" t="inlineStr">
        <is>
          <t>17.06.2026</t>
        </is>
      </c>
      <c r="P3798" s="253" t="inlineStr">
        <is>
          <t>covered — tested explicitly by CNP, ППК26118 (ruling 6 of 26.09.2026; 16.10.2026)</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ППК26118</t>
        </is>
      </c>
      <c r="M3803" s="253" t="inlineStr">
        <is>
          <t>06.07.2026</t>
        </is>
      </c>
      <c r="N3803" s="253" t="inlineStr">
        <is>
          <t>UKIM Faculty of Pharmacy — Center for Natural Products</t>
        </is>
      </c>
      <c r="O3803" s="253" t="inlineStr">
        <is>
          <t>17.06.2026</t>
        </is>
      </c>
      <c r="P3803" s="253" t="inlineStr">
        <is>
          <t>covered — tested explicitly by CNP, ППК26118 (ruling 6 of 26.09.2026; 16.10.2026)</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ППК26119</t>
        </is>
      </c>
      <c r="M3820" s="253" t="inlineStr">
        <is>
          <t>06.07.2026</t>
        </is>
      </c>
      <c r="N3820" s="253" t="inlineStr">
        <is>
          <t>UKIM Faculty of Pharmacy — Center for Natural Products</t>
        </is>
      </c>
      <c r="O3820" s="253" t="inlineStr">
        <is>
          <t>17.06.2026</t>
        </is>
      </c>
      <c r="P3820" s="253" t="inlineStr">
        <is>
          <t>covered — tested explicitly by CNP, ППК26119 (ruling 6 of 26.09.2026; 16.10.2026)</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ППК26119</t>
        </is>
      </c>
      <c r="M3821" s="253" t="inlineStr">
        <is>
          <t>06.07.2026</t>
        </is>
      </c>
      <c r="N3821" s="253" t="inlineStr">
        <is>
          <t>UKIM Faculty of Pharmacy — Center for Natural Products</t>
        </is>
      </c>
      <c r="O3821" s="253" t="inlineStr">
        <is>
          <t>17.06.2026</t>
        </is>
      </c>
      <c r="P3821" s="253" t="inlineStr">
        <is>
          <t>covered — tested explicitly by CNP, ППК26119 (ruling 6 of 26.09.2026; 16.10.2026)</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ППК26119</t>
        </is>
      </c>
      <c r="M3826" s="253" t="inlineStr">
        <is>
          <t>06.07.2026</t>
        </is>
      </c>
      <c r="N3826" s="253" t="inlineStr">
        <is>
          <t>UKIM Faculty of Pharmacy — Center for Natural Products</t>
        </is>
      </c>
      <c r="O3826" s="253" t="inlineStr">
        <is>
          <t>17.06.2026</t>
        </is>
      </c>
      <c r="P3826" s="253" t="inlineStr">
        <is>
          <t>covered — tested explicitly by CNP, ППК26119 (ruling 6 of 26.09.2026; 16.10.2026)</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GP062501</t>
        </is>
      </c>
      <c r="C3" s="253" t="inlineStr">
        <is>
          <t>P050202</t>
        </is>
      </c>
      <c r="D3" s="253" t="inlineStr">
        <is>
          <t>CoQ-PP_26-026</t>
        </is>
      </c>
      <c r="E3" s="253" t="inlineStr">
        <is>
          <t>initial release — predicted</t>
        </is>
      </c>
      <c r="F3" s="253" t="inlineStr">
        <is>
          <t>06.06.2026</t>
        </is>
      </c>
      <c r="G3" s="253" t="inlineStr">
        <is>
          <t>8</t>
        </is>
      </c>
      <c r="H3" s="253" t="inlineStr">
        <is>
          <t>Loss on drying</t>
        </is>
      </c>
      <c r="I3" s="253" t="inlineStr">
        <is>
          <t>6.21</t>
        </is>
      </c>
      <c r="J3" s="253" t="inlineStr">
        <is>
          <t>ППК25312</t>
        </is>
      </c>
      <c r="K3" s="253" t="inlineStr">
        <is>
          <t>13.10.2025</t>
        </is>
      </c>
      <c r="L3" s="253" t="inlineStr">
        <is>
          <t>8.19 (avg of 4 weighings 51-1,51-2,52-1,52-2)</t>
        </is>
      </c>
      <c r="M3" s="253" t="inlineStr">
        <is>
          <t>In-house HPLC cross-check NPCCC/SCP-02, NGP/QCG/SOP-024</t>
        </is>
      </c>
      <c r="N3" s="253" t="inlineStr">
        <is>
          <t>28.11.2025</t>
        </is>
      </c>
      <c r="O3" s="253" t="inlineStr">
        <is>
          <t>Purely Plant GmbH (in-house)</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GP0824_02</t>
        </is>
      </c>
      <c r="C4" s="253" t="inlineStr">
        <is>
          <t>P050022</t>
        </is>
      </c>
      <c r="D4" s="253" t="inlineStr">
        <is>
          <t>CoQ-PP_26-007</t>
        </is>
      </c>
      <c r="E4" s="253" t="inlineStr">
        <is>
          <t>initial release</t>
        </is>
      </c>
      <c r="F4" s="253" t="inlineStr">
        <is>
          <t>06.06.2026</t>
        </is>
      </c>
      <c r="G4" s="253" t="inlineStr">
        <is>
          <t>8</t>
        </is>
      </c>
      <c r="H4" s="253" t="inlineStr">
        <is>
          <t>Loss on drying</t>
        </is>
      </c>
      <c r="I4" s="253" t="inlineStr">
        <is>
          <t>7.21</t>
        </is>
      </c>
      <c r="J4" s="253" t="inlineStr">
        <is>
          <t>ППК25139</t>
        </is>
      </c>
      <c r="K4" s="253" t="inlineStr">
        <is>
          <t>22.05.2025</t>
        </is>
      </c>
      <c r="L4" s="253" t="inlineStr">
        <is>
          <t>6.51</t>
        </is>
      </c>
      <c r="M4" s="253" t="inlineStr">
        <is>
          <t>ППК25174</t>
        </is>
      </c>
      <c r="N4" s="253" t="inlineStr">
        <is>
          <t>10.07.2025</t>
        </is>
      </c>
      <c r="O4" s="253" t="inlineStr">
        <is>
          <t>UKIM Faculty of Pharmacy — Center for Natural Products</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J31112501</t>
        </is>
      </c>
      <c r="C5" s="253" t="inlineStr">
        <is>
          <t>P060202</t>
        </is>
      </c>
      <c r="D5" s="253" t="inlineStr">
        <is>
          <t>CoQ-PP_26-056</t>
        </is>
      </c>
      <c r="E5" s="253" t="inlineStr">
        <is>
          <t>initial release — predicted</t>
        </is>
      </c>
      <c r="F5" s="253" t="inlineStr">
        <is>
          <t>06.06.2026</t>
        </is>
      </c>
      <c r="G5" s="253" t="inlineStr">
        <is>
          <t>8</t>
        </is>
      </c>
      <c r="H5" s="253" t="inlineStr">
        <is>
          <t>Loss on drying</t>
        </is>
      </c>
      <c r="I5" s="253" t="inlineStr">
        <is>
          <t>8.4</t>
        </is>
      </c>
      <c r="J5" s="253" t="inlineStr">
        <is>
          <t>051-5-ГС/26</t>
        </is>
      </c>
      <c r="K5" s="253" t="inlineStr">
        <is>
          <t>02.03.2026</t>
        </is>
      </c>
      <c r="L5" s="253" t="inlineStr">
        <is>
          <t>7.6</t>
        </is>
      </c>
      <c r="M5" s="253" t="inlineStr">
        <is>
          <t>100-1-ГС/26</t>
        </is>
      </c>
      <c r="N5" s="253" t="inlineStr">
        <is>
          <t>09.04.2026</t>
        </is>
      </c>
      <c r="O5" s="253" t="inlineStr">
        <is>
          <t>Farmahem</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GP062501</t>
        </is>
      </c>
      <c r="C6" s="253" t="inlineStr">
        <is>
          <t>P050202</t>
        </is>
      </c>
      <c r="D6" s="253" t="inlineStr">
        <is>
          <t>CoQ-PP_26-026</t>
        </is>
      </c>
      <c r="E6" s="253" t="inlineStr">
        <is>
          <t>initial release — predicted</t>
        </is>
      </c>
      <c r="F6" s="253" t="inlineStr">
        <is>
          <t>06.06.2026</t>
        </is>
      </c>
      <c r="G6" s="253" t="inlineStr">
        <is>
          <t>9.1</t>
        </is>
      </c>
      <c r="H6" s="253" t="inlineStr">
        <is>
          <t>TAMC</t>
        </is>
      </c>
      <c r="I6" s="253" t="inlineStr">
        <is>
          <t>1.3 × 10⁴</t>
        </is>
      </c>
      <c r="J6" s="253" t="inlineStr">
        <is>
          <t>1009/1813/25</t>
        </is>
      </c>
      <c r="K6" s="253" t="inlineStr">
        <is>
          <t>08.10.2025</t>
        </is>
      </c>
      <c r="L6" s="253" t="inlineStr">
        <is>
          <t>600</t>
        </is>
      </c>
      <c r="M6" s="253" t="inlineStr">
        <is>
          <t>1155/2056/25</t>
        </is>
      </c>
      <c r="N6" s="253" t="inlineStr">
        <is>
          <t>24.11.2025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GP0824_02</t>
        </is>
      </c>
      <c r="C7" s="253" t="inlineStr">
        <is>
          <t>P050022</t>
        </is>
      </c>
      <c r="D7" s="253" t="inlineStr">
        <is>
          <t>CoQ-PP_26-007</t>
        </is>
      </c>
      <c r="E7" s="253" t="inlineStr">
        <is>
          <t>initial release</t>
        </is>
      </c>
      <c r="F7" s="253" t="inlineStr">
        <is>
          <t>06.06.2026</t>
        </is>
      </c>
      <c r="G7" s="253" t="inlineStr">
        <is>
          <t>9.1</t>
        </is>
      </c>
      <c r="H7" s="253" t="inlineStr">
        <is>
          <t>TAMC</t>
        </is>
      </c>
      <c r="I7" s="253" t="inlineStr">
        <is>
          <t>700</t>
        </is>
      </c>
      <c r="J7" s="253" t="inlineStr">
        <is>
          <t>471-0862-25</t>
        </is>
      </c>
      <c r="K7" s="253" t="inlineStr">
        <is>
          <t>22.05.2025</t>
        </is>
      </c>
      <c r="L7" s="253" t="inlineStr">
        <is>
          <t>&lt;10</t>
        </is>
      </c>
      <c r="M7" s="253" t="inlineStr">
        <is>
          <t>627/1128/25</t>
        </is>
      </c>
      <c r="N7" s="253" t="inlineStr">
        <is>
          <t>02.07.2025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OMP1024_01</t>
        </is>
      </c>
      <c r="C8" s="253" t="inlineStr">
        <is>
          <t>P050042</t>
        </is>
      </c>
      <c r="D8" s="253" t="inlineStr">
        <is>
          <t>CoQ-PP_26-010</t>
        </is>
      </c>
      <c r="E8" s="253" t="inlineStr">
        <is>
          <t>initial release</t>
        </is>
      </c>
      <c r="F8" s="253" t="inlineStr">
        <is>
          <t>06.06.2026</t>
        </is>
      </c>
      <c r="G8" s="253" t="inlineStr">
        <is>
          <t>9.1</t>
        </is>
      </c>
      <c r="H8" s="253" t="inlineStr">
        <is>
          <t>TAMC</t>
        </is>
      </c>
      <c r="I8" s="253" t="inlineStr">
        <is>
          <t>10</t>
        </is>
      </c>
      <c r="J8" s="253" t="inlineStr">
        <is>
          <t>407-0745-25</t>
        </is>
      </c>
      <c r="K8" s="253" t="inlineStr">
        <is>
          <t>05.05.2025</t>
        </is>
      </c>
      <c r="L8" s="253" t="inlineStr">
        <is>
          <t>&lt;10</t>
        </is>
      </c>
      <c r="M8" s="253" t="inlineStr">
        <is>
          <t>2156/2025</t>
        </is>
      </c>
      <c r="N8" s="253" t="inlineStr">
        <is>
          <t>07.05.2025</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GP062501</t>
        </is>
      </c>
      <c r="C10" s="253" t="inlineStr">
        <is>
          <t>P050202</t>
        </is>
      </c>
      <c r="D10" s="253" t="inlineStr">
        <is>
          <t>CoQ-PP_26-026</t>
        </is>
      </c>
      <c r="E10" s="253" t="inlineStr">
        <is>
          <t>initial release — predicted</t>
        </is>
      </c>
      <c r="F10" s="253" t="inlineStr">
        <is>
          <t>06.06.2026</t>
        </is>
      </c>
      <c r="G10" s="253" t="inlineStr">
        <is>
          <t>9.3</t>
        </is>
      </c>
      <c r="H10" s="253" t="inlineStr">
        <is>
          <t>Bile-tolerant GNB</t>
        </is>
      </c>
      <c r="I10" s="253" t="inlineStr">
        <is>
          <t>&lt; 10³ and &gt; 10²</t>
        </is>
      </c>
      <c r="J10" s="253" t="inlineStr">
        <is>
          <t>1009/1813/25</t>
        </is>
      </c>
      <c r="K10" s="253" t="inlineStr">
        <is>
          <t>08.10.2025</t>
        </is>
      </c>
      <c r="L10" s="253" t="inlineStr">
        <is>
          <t>&lt; 10</t>
        </is>
      </c>
      <c r="M10" s="253" t="inlineStr">
        <is>
          <t>1155/2056/25</t>
        </is>
      </c>
      <c r="N10" s="253" t="inlineStr">
        <is>
          <t>24.11.2025</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GP0824_02</t>
        </is>
      </c>
      <c r="C11" s="253" t="inlineStr">
        <is>
          <t>P050022</t>
        </is>
      </c>
      <c r="D11" s="253" t="inlineStr">
        <is>
          <t>CoQ-PP_26-007</t>
        </is>
      </c>
      <c r="E11" s="253" t="inlineStr">
        <is>
          <t>initial release</t>
        </is>
      </c>
      <c r="F11" s="253" t="inlineStr">
        <is>
          <t>06.06.2026</t>
        </is>
      </c>
      <c r="G11" s="253" t="inlineStr">
        <is>
          <t>9.3</t>
        </is>
      </c>
      <c r="H11" s="253" t="inlineStr">
        <is>
          <t>Bile-tolerant GNB</t>
        </is>
      </c>
      <c r="I11" s="253" t="inlineStr">
        <is>
          <t>&lt; 10² and &gt; 10</t>
        </is>
      </c>
      <c r="J11" s="253" t="inlineStr">
        <is>
          <t>471-0862-25</t>
        </is>
      </c>
      <c r="K11" s="253" t="inlineStr">
        <is>
          <t>22.05.2025</t>
        </is>
      </c>
      <c r="L11" s="253" t="inlineStr">
        <is>
          <t>&lt;10</t>
        </is>
      </c>
      <c r="M11" s="253" t="inlineStr">
        <is>
          <t>627/1128/25</t>
        </is>
      </c>
      <c r="N11" s="253" t="inlineStr">
        <is>
          <t>02.07.2025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GP062501</t>
        </is>
      </c>
      <c r="C12" s="253" t="inlineStr">
        <is>
          <t>P050202</t>
        </is>
      </c>
      <c r="D12" s="253" t="inlineStr">
        <is>
          <t>CoQ-PP_26-026</t>
        </is>
      </c>
      <c r="E12" s="253" t="inlineStr">
        <is>
          <t>initial release — predicted</t>
        </is>
      </c>
      <c r="F12" s="253" t="inlineStr">
        <is>
          <t>06.06.2026</t>
        </is>
      </c>
      <c r="G12" s="253" t="inlineStr">
        <is>
          <t>4</t>
        </is>
      </c>
      <c r="H12" s="253" t="inlineStr">
        <is>
          <t>Total Δ9-THC</t>
        </is>
      </c>
      <c r="I12" s="253" t="inlineStr">
        <is>
          <t>22.89</t>
        </is>
      </c>
      <c r="J12" s="253" t="inlineStr">
        <is>
          <t>ППК25312</t>
        </is>
      </c>
      <c r="K12" s="253" t="inlineStr">
        <is>
          <t>13.10.2025</t>
        </is>
      </c>
      <c r="L12" s="253" t="inlineStr">
        <is>
          <t>24.89</t>
        </is>
      </c>
      <c r="M12" s="253" t="inlineStr">
        <is>
          <t>In-house HPLC cross-check NPCCC/SCP-02, NGP/QCG/SOP-024</t>
        </is>
      </c>
      <c r="N12" s="253" t="inlineStr">
        <is>
          <t>28.11.2025</t>
        </is>
      </c>
      <c r="O12" s="253" t="inlineStr">
        <is>
          <t>Purely Plant GmbH (in-house)</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4</t>
        </is>
      </c>
      <c r="H13" s="253" t="inlineStr">
        <is>
          <t>Total Δ9-THC</t>
        </is>
      </c>
      <c r="I13" s="253" t="inlineStr">
        <is>
          <t>23.79</t>
        </is>
      </c>
      <c r="J13" s="253" t="inlineStr">
        <is>
          <t>ППК25139</t>
        </is>
      </c>
      <c r="K13" s="253" t="inlineStr">
        <is>
          <t>22.05.2025</t>
        </is>
      </c>
      <c r="L13" s="253" t="inlineStr">
        <is>
          <t>23.19</t>
        </is>
      </c>
      <c r="M13" s="253" t="inlineStr">
        <is>
          <t>ППК25174</t>
        </is>
      </c>
      <c r="N13" s="253" t="inlineStr">
        <is>
          <t>10.07.2025</t>
        </is>
      </c>
      <c r="O13" s="253" t="inlineStr">
        <is>
          <t>UKIM Faculty of Pharmacy — Center for Natural Products</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J31112501</t>
        </is>
      </c>
      <c r="C14" s="253" t="inlineStr">
        <is>
          <t>P060202</t>
        </is>
      </c>
      <c r="D14" s="253" t="inlineStr">
        <is>
          <t>CoQ-PP_26-056</t>
        </is>
      </c>
      <c r="E14" s="253" t="inlineStr">
        <is>
          <t>initial release — predicted</t>
        </is>
      </c>
      <c r="F14" s="253" t="inlineStr">
        <is>
          <t>06.06.2026</t>
        </is>
      </c>
      <c r="G14" s="253" t="inlineStr">
        <is>
          <t>4</t>
        </is>
      </c>
      <c r="H14" s="253" t="inlineStr">
        <is>
          <t>Total Δ9-THC</t>
        </is>
      </c>
      <c r="I14" s="253" t="inlineStr">
        <is>
          <t>25.27</t>
        </is>
      </c>
      <c r="J14" s="253" t="inlineStr">
        <is>
          <t>051-5-К/26</t>
        </is>
      </c>
      <c r="K14" s="253" t="inlineStr">
        <is>
          <t>04.03.2026</t>
        </is>
      </c>
      <c r="L14" s="253" t="inlineStr">
        <is>
          <t>20.21</t>
        </is>
      </c>
      <c r="M14" s="253" t="inlineStr">
        <is>
          <t>100-1-К/26</t>
        </is>
      </c>
      <c r="N14" s="253" t="inlineStr">
        <is>
          <t>09.04.2026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GP062501</t>
        </is>
      </c>
      <c r="C15" s="253" t="inlineStr">
        <is>
          <t>P050202</t>
        </is>
      </c>
      <c r="D15" s="253" t="inlineStr">
        <is>
          <t>CoQ-PP_26-026</t>
        </is>
      </c>
      <c r="E15" s="253" t="inlineStr">
        <is>
          <t>initial release — predicted</t>
        </is>
      </c>
      <c r="F15" s="253" t="inlineStr">
        <is>
          <t>06.06.2026</t>
        </is>
      </c>
      <c r="G15" s="253" t="inlineStr">
        <is>
          <t>5</t>
        </is>
      </c>
      <c r="H15" s="253" t="inlineStr">
        <is>
          <t>Total CBD</t>
        </is>
      </c>
      <c r="I15" s="253" t="inlineStr">
        <is>
          <t>0.05</t>
        </is>
      </c>
      <c r="J15" s="253" t="inlineStr">
        <is>
          <t>ППК25312</t>
        </is>
      </c>
      <c r="K15" s="253" t="inlineStr">
        <is>
          <t>13.10.2025</t>
        </is>
      </c>
      <c r="L15" s="253" t="inlineStr">
        <is>
          <t>0.17</t>
        </is>
      </c>
      <c r="M15" s="253" t="inlineStr">
        <is>
          <t>In-house HPLC cross-check NPCCC/SCP-02, NGP/QCG/SOP-024</t>
        </is>
      </c>
      <c r="N15" s="253" t="inlineStr">
        <is>
          <t>28.11.2025</t>
        </is>
      </c>
      <c r="O15" s="253" t="inlineStr">
        <is>
          <t>Purely Plant GmbH (in-house)</t>
        </is>
      </c>
      <c r="P15" s="258" t="inlineStr">
        <is>
          <t>Correct as it stands. The certificate cites the release result, and the owner's ruling of 10.09.2026 makes the earliest result for a parameter the release result — the later one belongs to a retest certificate.</t>
        </is>
      </c>
    </row>
    <row r="16">
      <c r="A16" s="258" t="inlineStr">
        <is>
          <t>cited as covering</t>
        </is>
      </c>
      <c r="B16" s="253" t="inlineStr">
        <is>
          <t>GP0824_02</t>
        </is>
      </c>
      <c r="C16" s="253" t="inlineStr">
        <is>
          <t>P050022</t>
        </is>
      </c>
      <c r="D16" s="253" t="inlineStr">
        <is>
          <t>CoQ-PP_26-007</t>
        </is>
      </c>
      <c r="E16" s="253" t="inlineStr">
        <is>
          <t>initial release</t>
        </is>
      </c>
      <c r="F16" s="253" t="inlineStr">
        <is>
          <t>06.06.2026</t>
        </is>
      </c>
      <c r="G16" s="253" t="inlineStr">
        <is>
          <t>5</t>
        </is>
      </c>
      <c r="H16" s="253" t="inlineStr">
        <is>
          <t>Total CBD</t>
        </is>
      </c>
      <c r="I16" s="253" t="inlineStr">
        <is>
          <t>0.10</t>
        </is>
      </c>
      <c r="J16" s="253" t="inlineStr">
        <is>
          <t>ППК25139</t>
        </is>
      </c>
      <c r="K16" s="253" t="inlineStr">
        <is>
          <t>22.05.2025</t>
        </is>
      </c>
      <c r="L16" s="253" t="inlineStr">
        <is>
          <t>0.07</t>
        </is>
      </c>
      <c r="M16" s="253" t="inlineStr">
        <is>
          <t>ППК25174</t>
        </is>
      </c>
      <c r="N16" s="253" t="inlineStr">
        <is>
          <t>10.07.2025</t>
        </is>
      </c>
      <c r="O16" s="253" t="inlineStr">
        <is>
          <t>UKIM Faculty of Pharmacy — Center for Natural Products</t>
        </is>
      </c>
      <c r="P16" s="258" t="inlineStr">
        <is>
          <t>Correct as it stands. The certificate cites the release result, and the owner's ruling of 10.09.2026 makes the earliest result for a parameter the release result — the later one belongs to a retest certificate.</t>
        </is>
      </c>
    </row>
    <row r="17">
      <c r="A17" s="259" t="inlineStr">
        <is>
          <t>carried forward</t>
        </is>
      </c>
      <c r="B17" s="253" t="inlineStr">
        <is>
          <t>GP062501</t>
        </is>
      </c>
      <c r="C17" s="253" t="inlineStr">
        <is>
          <t>P050202</t>
        </is>
      </c>
      <c r="D17" s="253" t="inlineStr">
        <is>
          <t>CoQ-PP_26-149</t>
        </is>
      </c>
      <c r="E17" s="253" t="inlineStr">
        <is>
          <t>retest — predicted</t>
        </is>
      </c>
      <c r="F17" s="253" t="inlineStr">
        <is>
          <t>21.09.2026</t>
        </is>
      </c>
      <c r="G17" s="253" t="inlineStr">
        <is>
          <t>8</t>
        </is>
      </c>
      <c r="H17" s="253" t="inlineStr">
        <is>
          <t>Loss on drying</t>
        </is>
      </c>
      <c r="I17" s="253" t="inlineStr">
        <is>
          <t>6.21</t>
        </is>
      </c>
      <c r="J17" s="253" t="inlineStr">
        <is>
          <t>ППК25312</t>
        </is>
      </c>
      <c r="K17" s="253" t="inlineStr">
        <is>
          <t>13.10.2025</t>
        </is>
      </c>
      <c r="L17" s="253" t="inlineStr">
        <is>
          <t>8.19 (avg of 4 weighings 51-1,51-2,52-1,52-2)</t>
        </is>
      </c>
      <c r="M17" s="253" t="inlineStr">
        <is>
          <t>In-house HPLC cross-check NPCCC/SCP-02, NGP/QCG/SOP-024</t>
        </is>
      </c>
      <c r="N17" s="253" t="inlineStr">
        <is>
          <t>28.11.2025</t>
        </is>
      </c>
      <c r="O17" s="253" t="inlineStr">
        <is>
          <t>Purely Plant GmbH (in-house)</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59" t="inlineStr">
        <is>
          <t>carried forward</t>
        </is>
      </c>
      <c r="B18" s="253" t="inlineStr">
        <is>
          <t>GP0824_02</t>
        </is>
      </c>
      <c r="C18" s="253" t="inlineStr">
        <is>
          <t>P050022</t>
        </is>
      </c>
      <c r="D18" s="253" t="inlineStr">
        <is>
          <t>CoQ-PP_26-095</t>
        </is>
      </c>
      <c r="E18" s="253" t="inlineStr">
        <is>
          <t>retest</t>
        </is>
      </c>
      <c r="F18" s="253" t="inlineStr">
        <is>
          <t>17.08.2026</t>
        </is>
      </c>
      <c r="G18" s="253" t="inlineStr">
        <is>
          <t>8</t>
        </is>
      </c>
      <c r="H18" s="253" t="inlineStr">
        <is>
          <t>Loss on drying</t>
        </is>
      </c>
      <c r="I18" s="253" t="inlineStr">
        <is>
          <t>7.21</t>
        </is>
      </c>
      <c r="J18" s="253" t="inlineStr">
        <is>
          <t>ППК25139</t>
        </is>
      </c>
      <c r="K18" s="253" t="inlineStr">
        <is>
          <t>22.05.2025</t>
        </is>
      </c>
      <c r="L18" s="253" t="inlineStr">
        <is>
          <t>6.51</t>
        </is>
      </c>
      <c r="M18" s="253" t="inlineStr">
        <is>
          <t>ППК25174</t>
        </is>
      </c>
      <c r="N18" s="253" t="inlineStr">
        <is>
          <t>10.07.2025</t>
        </is>
      </c>
      <c r="O18" s="253" t="inlineStr">
        <is>
          <t>UKIM Faculty of Pharmacy — Center for Natural Products</t>
        </is>
      </c>
      <c r="P18" s="259" t="inlineStr">
        <is>
          <t>Open — OI-38. The reissue carries this determination forward from the initial testing because its campaign did not retest it (ruling of 15.09.2026). Whether 'forward' means the initial result or the latest on file is the owner's to settle.</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9.1</t>
        </is>
      </c>
      <c r="H19" s="253" t="inlineStr">
        <is>
          <t>TAMC</t>
        </is>
      </c>
      <c r="I19" s="253" t="inlineStr">
        <is>
          <t>850</t>
        </is>
      </c>
      <c r="J19" s="253" t="inlineStr">
        <is>
          <t>231/0394/26 (Racno trimiran cvet)</t>
        </is>
      </c>
      <c r="K19" s="253" t="inlineStr">
        <is>
          <t>2026-04-07</t>
        </is>
      </c>
      <c r="L19" s="253" t="inlineStr">
        <is>
          <t>1900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9.2</t>
        </is>
      </c>
      <c r="H20" s="253" t="inlineStr">
        <is>
          <t>TYMC</t>
        </is>
      </c>
      <c r="I20" s="253" t="inlineStr">
        <is>
          <t>370</t>
        </is>
      </c>
      <c r="J20" s="253" t="inlineStr">
        <is>
          <t>231/0394/26 (Racno trimiran cvet)</t>
        </is>
      </c>
      <c r="K20" s="253" t="inlineStr">
        <is>
          <t>2026-04-07</t>
        </is>
      </c>
      <c r="L20" s="253" t="inlineStr">
        <is>
          <t>840</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IPH microbiology</t>
        </is>
      </c>
      <c r="F21" s="253" t="inlineStr">
        <is>
          <t>2026-04-07</t>
        </is>
      </c>
      <c r="G21" s="253" t="inlineStr">
        <is>
          <t>9.3</t>
        </is>
      </c>
      <c r="H21" s="253" t="inlineStr">
        <is>
          <t>Bile-tolerant GNB</t>
        </is>
      </c>
      <c r="I21" s="253" t="inlineStr">
        <is>
          <t>&lt; 10^2 and &gt; 10</t>
        </is>
      </c>
      <c r="J21" s="253" t="inlineStr">
        <is>
          <t>231/0394/26 (Racno trimiran cvet)</t>
        </is>
      </c>
      <c r="K21" s="253" t="inlineStr">
        <is>
          <t>2026-04-07</t>
        </is>
      </c>
      <c r="L21" s="253" t="inlineStr">
        <is>
          <t>&lt; 10^3 and &gt; 10^2</t>
        </is>
      </c>
      <c r="M21" s="253" t="inlineStr">
        <is>
          <t>230/0393/26 (Trimiran cvet)</t>
        </is>
      </c>
      <c r="N21" s="253" t="inlineStr">
        <is>
          <t>2026-04-07</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Farmahem — cannabinoids</t>
        </is>
      </c>
      <c r="F22" s="253" t="inlineStr">
        <is>
          <t>2026-04-09</t>
        </is>
      </c>
      <c r="G22" s="253" t="inlineStr">
        <is>
          <t>4</t>
        </is>
      </c>
      <c r="H22" s="253" t="inlineStr">
        <is>
          <t>Total Δ9-THC</t>
        </is>
      </c>
      <c r="I22" s="253" t="inlineStr">
        <is>
          <t>19.84</t>
        </is>
      </c>
      <c r="J22" s="253" t="inlineStr">
        <is>
          <t>100-2-К/26</t>
        </is>
      </c>
      <c r="K22" s="253" t="inlineStr">
        <is>
          <t>2026-04-09</t>
        </is>
      </c>
      <c r="L22" s="253" t="inlineStr">
        <is>
          <t>21.84</t>
        </is>
      </c>
      <c r="M22" s="253" t="inlineStr">
        <is>
          <t>100-3-К/26</t>
        </is>
      </c>
      <c r="N22" s="253" t="inlineStr">
        <is>
          <t>2026-04-09</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60" t="inlineStr">
        <is>
          <t>two sublots in one block</t>
        </is>
      </c>
      <c r="B23" s="253" t="inlineStr">
        <is>
          <t>J31122501</t>
        </is>
      </c>
      <c r="C23" s="253" t="inlineStr"/>
      <c r="D23" s="253" t="inlineStr"/>
      <c r="E23" s="253" t="inlineStr">
        <is>
          <t>IPH mycotoxins, metals, pesticides</t>
        </is>
      </c>
      <c r="F23" s="253" t="inlineStr">
        <is>
          <t>2026-04-23</t>
        </is>
      </c>
      <c r="G23" s="253" t="inlineStr">
        <is>
          <t>10.2</t>
        </is>
      </c>
      <c r="H23" s="253" t="inlineStr">
        <is>
          <t>Aflatoxins Σ</t>
        </is>
      </c>
      <c r="I23" s="253" t="inlineStr">
        <is>
          <t>2.5</t>
        </is>
      </c>
      <c r="J23" s="253" t="inlineStr">
        <is>
          <t>1628/2026</t>
        </is>
      </c>
      <c r="K23" s="253" t="inlineStr">
        <is>
          <t>2026-04-23</t>
        </is>
      </c>
      <c r="L23" s="253" t="inlineStr">
        <is>
          <t>COMPLIES (numeric value not present in captured source excerpt for report 1625/2026 — see Bundle cross-reference)</t>
        </is>
      </c>
      <c r="M23" s="253" t="inlineStr">
        <is>
          <t>1625/2026</t>
        </is>
      </c>
      <c r="N23" s="253" t="inlineStr">
        <is>
          <t>2026-04-23</t>
        </is>
      </c>
      <c r="O23" s="253" t="inlineStr"/>
      <c r="P23" s="260" t="inlineStr">
        <is>
          <t>Open — OI-39. Two certificates of the same testing on the same day report different results in one register block: the block carries two sublots. The certificate of quality prints one of them and does not say which.</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4</t>
        </is>
      </c>
      <c r="H24" s="253" t="inlineStr">
        <is>
          <t>Total Δ9-THC</t>
        </is>
      </c>
      <c r="I24" s="253" t="inlineStr"/>
      <c r="J24" s="253" t="inlineStr"/>
      <c r="K24" s="253" t="inlineStr"/>
      <c r="L24" s="253" t="inlineStr">
        <is>
          <t>16.93</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5</t>
        </is>
      </c>
      <c r="H25" s="253" t="inlineStr">
        <is>
          <t>Total CBD</t>
        </is>
      </c>
      <c r="I25" s="253" t="inlineStr"/>
      <c r="J25" s="253" t="inlineStr"/>
      <c r="K25" s="253" t="inlineStr"/>
      <c r="L25" s="253" t="inlineStr">
        <is>
          <t>0.07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AB092501</t>
        </is>
      </c>
      <c r="C26" s="253" t="inlineStr">
        <is>
          <t>P060052</t>
        </is>
      </c>
      <c r="D26" s="253" t="inlineStr"/>
      <c r="E26" s="253" t="inlineStr">
        <is>
          <t>UKIM CNP potency</t>
        </is>
      </c>
      <c r="F26" s="253" t="inlineStr"/>
      <c r="G26" s="253" t="inlineStr">
        <is>
          <t>8</t>
        </is>
      </c>
      <c r="H26" s="253" t="inlineStr">
        <is>
          <t>Loss on drying</t>
        </is>
      </c>
      <c r="I26" s="253" t="inlineStr"/>
      <c r="J26" s="253" t="inlineStr"/>
      <c r="K26" s="253" t="inlineStr"/>
      <c r="L26" s="253" t="inlineStr">
        <is>
          <t>6.77</t>
        </is>
      </c>
      <c r="M26" s="253" t="inlineStr">
        <is>
          <t>PP CoA #037 / ППК26005</t>
        </is>
      </c>
      <c r="N26" s="253" t="inlineStr">
        <is>
          <t>21.01.2026</t>
        </is>
      </c>
      <c r="O26" s="253" t="inlineStr">
        <is>
          <t>UKIM Faculty of Pharmacy — Center for Natural Products</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4</t>
        </is>
      </c>
      <c r="H27" s="253" t="inlineStr">
        <is>
          <t>Total Δ9-THC</t>
        </is>
      </c>
      <c r="I27" s="253" t="inlineStr"/>
      <c r="J27" s="253" t="inlineStr"/>
      <c r="K27" s="253" t="inlineStr"/>
      <c r="L27" s="253" t="inlineStr">
        <is>
          <t>20.39</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5</t>
        </is>
      </c>
      <c r="H28" s="253" t="inlineStr">
        <is>
          <t>Total CBD</t>
        </is>
      </c>
      <c r="I28" s="253" t="inlineStr"/>
      <c r="J28" s="253" t="inlineStr"/>
      <c r="K28" s="253" t="inlineStr"/>
      <c r="L28" s="253" t="inlineStr">
        <is>
          <t>0.11</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BSS052501</t>
        </is>
      </c>
      <c r="C29" s="253" t="inlineStr">
        <is>
          <t>P050192</t>
        </is>
      </c>
      <c r="D29" s="253" t="inlineStr"/>
      <c r="E29" s="253" t="inlineStr">
        <is>
          <t>Purely Plant in-house</t>
        </is>
      </c>
      <c r="F29" s="253" t="inlineStr"/>
      <c r="G29" s="253" t="inlineStr">
        <is>
          <t>8</t>
        </is>
      </c>
      <c r="H29" s="253" t="inlineStr">
        <is>
          <t>Loss on drying</t>
        </is>
      </c>
      <c r="I29" s="253" t="inlineStr"/>
      <c r="J29" s="253" t="inlineStr"/>
      <c r="K29" s="253" t="inlineStr"/>
      <c r="L29" s="253" t="inlineStr">
        <is>
          <t>8.60</t>
        </is>
      </c>
      <c r="M29" s="253" t="inlineStr">
        <is>
          <t>In-house GC cross-check NGP/QCG/SOP-024</t>
        </is>
      </c>
      <c r="N29" s="253" t="inlineStr">
        <is>
          <t>28.11.2025</t>
        </is>
      </c>
      <c r="O29" s="253" t="inlineStr">
        <is>
          <t>Purely Plant GmbH (in-house)</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4</t>
        </is>
      </c>
      <c r="H30" s="253" t="inlineStr">
        <is>
          <t>Total Δ9-THC</t>
        </is>
      </c>
      <c r="I30" s="253" t="inlineStr"/>
      <c r="J30" s="253" t="inlineStr"/>
      <c r="K30" s="253" t="inlineStr"/>
      <c r="L30" s="253" t="inlineStr">
        <is>
          <t>8.02</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5</t>
        </is>
      </c>
      <c r="H31" s="253" t="inlineStr">
        <is>
          <t>Total CBD</t>
        </is>
      </c>
      <c r="I31" s="253" t="inlineStr"/>
      <c r="J31" s="253" t="inlineStr"/>
      <c r="K31" s="253" t="inlineStr"/>
      <c r="L31" s="253" t="inlineStr">
        <is>
          <t>0.04</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CLE072501</t>
        </is>
      </c>
      <c r="C32" s="253" t="inlineStr">
        <is>
          <t>P050282</t>
        </is>
      </c>
      <c r="D32" s="253" t="inlineStr"/>
      <c r="E32" s="253" t="inlineStr">
        <is>
          <t>UKIM CNP potency</t>
        </is>
      </c>
      <c r="F32" s="253" t="inlineStr"/>
      <c r="G32" s="253" t="inlineStr">
        <is>
          <t>8</t>
        </is>
      </c>
      <c r="H32" s="253" t="inlineStr">
        <is>
          <t>Loss on drying</t>
        </is>
      </c>
      <c r="I32" s="253" t="inlineStr"/>
      <c r="J32" s="253" t="inlineStr"/>
      <c r="K32" s="253" t="inlineStr"/>
      <c r="L32" s="253" t="inlineStr">
        <is>
          <t>9.68</t>
        </is>
      </c>
      <c r="M32" s="253" t="inlineStr">
        <is>
          <t>PP CoA #027 / ППК25370</t>
        </is>
      </c>
      <c r="N32" s="253" t="inlineStr">
        <is>
          <t>21.01.2026</t>
        </is>
      </c>
      <c r="O32" s="253" t="inlineStr">
        <is>
          <t>UKIM Faculty of Pharmacy — Center for Natural Products</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9.1</t>
        </is>
      </c>
      <c r="H33" s="253" t="inlineStr">
        <is>
          <t>TAMC</t>
        </is>
      </c>
      <c r="I33" s="253" t="inlineStr"/>
      <c r="J33" s="253" t="inlineStr"/>
      <c r="K33" s="253" t="inlineStr"/>
      <c r="L33" s="253" t="inlineStr">
        <is>
          <t>600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9.2</t>
        </is>
      </c>
      <c r="H34" s="253" t="inlineStr">
        <is>
          <t>TYMC</t>
        </is>
      </c>
      <c r="I34" s="253" t="inlineStr"/>
      <c r="J34" s="253" t="inlineStr"/>
      <c r="K34" s="253" t="inlineStr"/>
      <c r="L34" s="253" t="inlineStr">
        <is>
          <t>400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9.3</t>
        </is>
      </c>
      <c r="H35" s="253" t="inlineStr">
        <is>
          <t>Bile-tolerant GNB</t>
        </is>
      </c>
      <c r="I35" s="253" t="inlineStr"/>
      <c r="J35" s="253" t="inlineStr"/>
      <c r="K35" s="253" t="inlineStr"/>
      <c r="L35" s="253" t="inlineStr">
        <is>
          <t>&lt; 10</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9.4</t>
        </is>
      </c>
      <c r="H36" s="253" t="inlineStr">
        <is>
          <t>Salmonella</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IPH microbiology</t>
        </is>
      </c>
      <c r="F37" s="253" t="inlineStr"/>
      <c r="G37" s="253" t="inlineStr">
        <is>
          <t>9.5</t>
        </is>
      </c>
      <c r="H37" s="253" t="inlineStr">
        <is>
          <t>E. coli</t>
        </is>
      </c>
      <c r="I37" s="253" t="inlineStr"/>
      <c r="J37" s="253" t="inlineStr"/>
      <c r="K37" s="253" t="inlineStr"/>
      <c r="L37" s="253" t="inlineStr">
        <is>
          <t>Odgovara (Absent)</t>
        </is>
      </c>
      <c r="M37" s="253" t="inlineStr">
        <is>
          <t>1155/2056/25</t>
        </is>
      </c>
      <c r="N37" s="253" t="inlineStr">
        <is>
          <t>24.11.2025</t>
        </is>
      </c>
      <c r="O37" s="253" t="inlineStr">
        <is>
          <t>IPH — Institute of Public Health</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4</t>
        </is>
      </c>
      <c r="H38" s="253" t="inlineStr">
        <is>
          <t>Total Δ9-THC</t>
        </is>
      </c>
      <c r="I38" s="253" t="inlineStr"/>
      <c r="J38" s="253" t="inlineStr"/>
      <c r="K38" s="253" t="inlineStr"/>
      <c r="L38" s="253" t="inlineStr">
        <is>
          <t>24.89</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5</t>
        </is>
      </c>
      <c r="H39" s="253" t="inlineStr">
        <is>
          <t>Total CBD</t>
        </is>
      </c>
      <c r="I39" s="253" t="inlineStr"/>
      <c r="J39" s="253" t="inlineStr"/>
      <c r="K39" s="253" t="inlineStr"/>
      <c r="L39" s="253" t="inlineStr">
        <is>
          <t>0.17</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GP062501</t>
        </is>
      </c>
      <c r="C40" s="253" t="inlineStr">
        <is>
          <t>P050202</t>
        </is>
      </c>
      <c r="D40" s="253" t="inlineStr"/>
      <c r="E40" s="253" t="inlineStr">
        <is>
          <t>Purely Plant in-house</t>
        </is>
      </c>
      <c r="F40" s="253" t="inlineStr"/>
      <c r="G40" s="253" t="inlineStr">
        <is>
          <t>8</t>
        </is>
      </c>
      <c r="H40" s="253" t="inlineStr">
        <is>
          <t>Loss on drying</t>
        </is>
      </c>
      <c r="I40" s="253" t="inlineStr"/>
      <c r="J40" s="253" t="inlineStr"/>
      <c r="K40" s="253" t="inlineStr"/>
      <c r="L40" s="253" t="inlineStr">
        <is>
          <t>8.19 (avg of 4 weighings 51-1,51-2,52-1,52-2)</t>
        </is>
      </c>
      <c r="M40" s="253" t="inlineStr">
        <is>
          <t>In-house HPLC cross-check NPCCC/SCP-02, NGP/QCG/SOP-024</t>
        </is>
      </c>
      <c r="N40" s="253" t="inlineStr">
        <is>
          <t>28.11.2025</t>
        </is>
      </c>
      <c r="O40" s="253" t="inlineStr">
        <is>
          <t>Purely Plant GmbH (in-house)</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4</t>
        </is>
      </c>
      <c r="H41" s="253" t="inlineStr">
        <is>
          <t>Total Δ9-THC</t>
        </is>
      </c>
      <c r="I41" s="253" t="inlineStr"/>
      <c r="J41" s="253" t="inlineStr"/>
      <c r="K41" s="253" t="inlineStr"/>
      <c r="L41" s="253" t="inlineStr">
        <is>
          <t>21.36</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5</t>
        </is>
      </c>
      <c r="H42" s="253" t="inlineStr">
        <is>
          <t>Total CBD</t>
        </is>
      </c>
      <c r="I42" s="253" t="inlineStr"/>
      <c r="J42" s="253" t="inlineStr"/>
      <c r="K42" s="253" t="inlineStr"/>
      <c r="L42" s="253" t="inlineStr">
        <is>
          <t>0.11</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GP072501-1</t>
        </is>
      </c>
      <c r="C43" s="253" t="inlineStr">
        <is>
          <t>P050292</t>
        </is>
      </c>
      <c r="D43" s="253" t="inlineStr"/>
      <c r="E43" s="253" t="inlineStr">
        <is>
          <t>UKIM CNP potency</t>
        </is>
      </c>
      <c r="F43" s="253" t="inlineStr"/>
      <c r="G43" s="253" t="inlineStr">
        <is>
          <t>8</t>
        </is>
      </c>
      <c r="H43" s="253" t="inlineStr">
        <is>
          <t>Loss on drying</t>
        </is>
      </c>
      <c r="I43" s="253" t="inlineStr"/>
      <c r="J43" s="253" t="inlineStr"/>
      <c r="K43" s="253" t="inlineStr"/>
      <c r="L43" s="253" t="inlineStr">
        <is>
          <t>6.62</t>
        </is>
      </c>
      <c r="M43" s="253" t="inlineStr">
        <is>
          <t>PP CoA #018 / ППК25378</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4</t>
        </is>
      </c>
      <c r="H44" s="253" t="inlineStr">
        <is>
          <t>Total Δ9-THC</t>
        </is>
      </c>
      <c r="I44" s="253" t="inlineStr"/>
      <c r="J44" s="253" t="inlineStr"/>
      <c r="K44" s="253" t="inlineStr"/>
      <c r="L44" s="253" t="inlineStr">
        <is>
          <t>19.81</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5</t>
        </is>
      </c>
      <c r="H45" s="253" t="inlineStr">
        <is>
          <t>Total CBD</t>
        </is>
      </c>
      <c r="I45" s="253" t="inlineStr"/>
      <c r="J45" s="253" t="inlineStr"/>
      <c r="K45" s="253" t="inlineStr"/>
      <c r="L45" s="253" t="inlineStr">
        <is>
          <t>0.10</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GP072501-2</t>
        </is>
      </c>
      <c r="C46" s="253" t="inlineStr">
        <is>
          <t>P050302</t>
        </is>
      </c>
      <c r="D46" s="253" t="inlineStr"/>
      <c r="E46" s="253" t="inlineStr">
        <is>
          <t>UKIM CNP potency</t>
        </is>
      </c>
      <c r="F46" s="253" t="inlineStr"/>
      <c r="G46" s="253" t="inlineStr">
        <is>
          <t>8</t>
        </is>
      </c>
      <c r="H46" s="253" t="inlineStr">
        <is>
          <t>Loss on drying</t>
        </is>
      </c>
      <c r="I46" s="253" t="inlineStr"/>
      <c r="J46" s="253" t="inlineStr"/>
      <c r="K46" s="253" t="inlineStr"/>
      <c r="L46" s="253" t="inlineStr">
        <is>
          <t>7.41</t>
        </is>
      </c>
      <c r="M46" s="253" t="inlineStr">
        <is>
          <t>PP CoA #019 / ППК25379</t>
        </is>
      </c>
      <c r="N46" s="253" t="inlineStr">
        <is>
          <t>21.01.2026</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4</t>
        </is>
      </c>
      <c r="H47" s="253" t="inlineStr">
        <is>
          <t>Total Δ9-THC</t>
        </is>
      </c>
      <c r="I47" s="253" t="inlineStr"/>
      <c r="J47" s="253" t="inlineStr"/>
      <c r="K47" s="253" t="inlineStr"/>
      <c r="L47" s="253" t="inlineStr">
        <is>
          <t>23.19</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5</t>
        </is>
      </c>
      <c r="H48" s="253" t="inlineStr">
        <is>
          <t>Total CBD</t>
        </is>
      </c>
      <c r="I48" s="253" t="inlineStr"/>
      <c r="J48" s="253" t="inlineStr"/>
      <c r="K48" s="253" t="inlineStr"/>
      <c r="L48" s="253" t="inlineStr">
        <is>
          <t>0.07</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UKIM CNP potency</t>
        </is>
      </c>
      <c r="F49" s="253" t="inlineStr"/>
      <c r="G49" s="253" t="inlineStr">
        <is>
          <t>8</t>
        </is>
      </c>
      <c r="H49" s="253" t="inlineStr">
        <is>
          <t>Loss on drying</t>
        </is>
      </c>
      <c r="I49" s="253" t="inlineStr"/>
      <c r="J49" s="253" t="inlineStr"/>
      <c r="K49" s="253" t="inlineStr"/>
      <c r="L49" s="253" t="inlineStr">
        <is>
          <t>6.51</t>
        </is>
      </c>
      <c r="M49" s="253" t="inlineStr">
        <is>
          <t>ППК25174</t>
        </is>
      </c>
      <c r="N49" s="253" t="inlineStr">
        <is>
          <t>10.07.2025</t>
        </is>
      </c>
      <c r="O49" s="253" t="inlineStr">
        <is>
          <t>UKIM Faculty of Pharmacy — Center for Natural Products</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GP0824_02</t>
        </is>
      </c>
      <c r="C50" s="253" t="inlineStr">
        <is>
          <t>P050022</t>
        </is>
      </c>
      <c r="D50" s="253" t="inlineStr"/>
      <c r="E50" s="253" t="inlineStr">
        <is>
          <t>IPH mycotoxins, metals, pesticides</t>
        </is>
      </c>
      <c r="F50" s="253" t="inlineStr"/>
      <c r="G50" s="253" t="inlineStr">
        <is>
          <t>10.2</t>
        </is>
      </c>
      <c r="H50" s="253" t="inlineStr">
        <is>
          <t>Aflatoxins Σ</t>
        </is>
      </c>
      <c r="I50" s="253" t="inlineStr"/>
      <c r="J50" s="253" t="inlineStr"/>
      <c r="K50" s="253" t="inlineStr"/>
      <c r="L50" s="253" t="inlineStr">
        <is>
          <t>&lt;2</t>
        </is>
      </c>
      <c r="M50" s="253" t="inlineStr">
        <is>
          <t>3176/2025</t>
        </is>
      </c>
      <c r="N50" s="253" t="inlineStr">
        <is>
          <t>26.06.2025</t>
        </is>
      </c>
      <c r="O50" s="253" t="inlineStr">
        <is>
          <t>IPH — Institute of Public Health</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4</t>
        </is>
      </c>
      <c r="H51" s="253" t="inlineStr">
        <is>
          <t>Total Δ9-THC</t>
        </is>
      </c>
      <c r="I51" s="253" t="inlineStr"/>
      <c r="J51" s="253" t="inlineStr"/>
      <c r="K51" s="253" t="inlineStr"/>
      <c r="L51" s="253" t="inlineStr">
        <is>
          <t>21.29</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5</t>
        </is>
      </c>
      <c r="H52" s="253" t="inlineStr">
        <is>
          <t>Total CBD</t>
        </is>
      </c>
      <c r="I52" s="253" t="inlineStr"/>
      <c r="J52" s="253" t="inlineStr"/>
      <c r="K52" s="253" t="inlineStr"/>
      <c r="L52" s="253" t="inlineStr">
        <is>
          <t>0.08</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GP082501-1</t>
        </is>
      </c>
      <c r="C53" s="253" t="inlineStr">
        <is>
          <t>P050312</t>
        </is>
      </c>
      <c r="D53" s="253" t="inlineStr"/>
      <c r="E53" s="253" t="inlineStr">
        <is>
          <t>UKIM CNP potency</t>
        </is>
      </c>
      <c r="F53" s="253" t="inlineStr"/>
      <c r="G53" s="253" t="inlineStr">
        <is>
          <t>8</t>
        </is>
      </c>
      <c r="H53" s="253" t="inlineStr">
        <is>
          <t>Loss on drying</t>
        </is>
      </c>
      <c r="I53" s="253" t="inlineStr"/>
      <c r="J53" s="253" t="inlineStr"/>
      <c r="K53" s="253" t="inlineStr"/>
      <c r="L53" s="253" t="inlineStr">
        <is>
          <t>6.29</t>
        </is>
      </c>
      <c r="M53" s="253" t="inlineStr">
        <is>
          <t>PP CoA #020 / ППК25380</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4</t>
        </is>
      </c>
      <c r="H54" s="253" t="inlineStr">
        <is>
          <t>Total Δ9-THC</t>
        </is>
      </c>
      <c r="I54" s="253" t="inlineStr"/>
      <c r="J54" s="253" t="inlineStr"/>
      <c r="K54" s="253" t="inlineStr"/>
      <c r="L54" s="253" t="inlineStr">
        <is>
          <t>14.83</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5</t>
        </is>
      </c>
      <c r="H55" s="253" t="inlineStr">
        <is>
          <t>Total CBD</t>
        </is>
      </c>
      <c r="I55" s="253" t="inlineStr"/>
      <c r="J55" s="253" t="inlineStr"/>
      <c r="K55" s="253" t="inlineStr"/>
      <c r="L55" s="253" t="inlineStr">
        <is>
          <t>0.11</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GP082501-2</t>
        </is>
      </c>
      <c r="C56" s="253" t="inlineStr">
        <is>
          <t>P050322</t>
        </is>
      </c>
      <c r="D56" s="253" t="inlineStr"/>
      <c r="E56" s="253" t="inlineStr">
        <is>
          <t>UKIM CNP potency</t>
        </is>
      </c>
      <c r="F56" s="253" t="inlineStr"/>
      <c r="G56" s="253" t="inlineStr">
        <is>
          <t>8</t>
        </is>
      </c>
      <c r="H56" s="253" t="inlineStr">
        <is>
          <t>Loss on drying</t>
        </is>
      </c>
      <c r="I56" s="253" t="inlineStr"/>
      <c r="J56" s="253" t="inlineStr"/>
      <c r="K56" s="253" t="inlineStr"/>
      <c r="L56" s="253" t="inlineStr">
        <is>
          <t>6.88</t>
        </is>
      </c>
      <c r="M56" s="253" t="inlineStr">
        <is>
          <t>PP CoA #021 / ППК25381</t>
        </is>
      </c>
      <c r="N56" s="253" t="inlineStr">
        <is>
          <t>21.01.2026</t>
        </is>
      </c>
      <c r="O56" s="253" t="inlineStr">
        <is>
          <t>UKIM Faculty of Pharmacy — Center for Natural Products</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9.2</t>
        </is>
      </c>
      <c r="H57" s="253" t="inlineStr">
        <is>
          <t>TYMC</t>
        </is>
      </c>
      <c r="I57" s="253" t="inlineStr"/>
      <c r="J57" s="253" t="inlineStr"/>
      <c r="K57" s="253" t="inlineStr"/>
      <c r="L57" s="253" t="inlineStr">
        <is>
          <t>1×10²</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9.3</t>
        </is>
      </c>
      <c r="H58" s="253" t="inlineStr">
        <is>
          <t>Bile-tolerant GNB</t>
        </is>
      </c>
      <c r="I58" s="253" t="inlineStr"/>
      <c r="J58" s="253" t="inlineStr"/>
      <c r="K58" s="253" t="inlineStr"/>
      <c r="L58" s="253" t="inlineStr">
        <is>
          <t>&lt; 10</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9.4</t>
        </is>
      </c>
      <c r="H59" s="253" t="inlineStr">
        <is>
          <t>Salmonella</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GRC102501-2</t>
        </is>
      </c>
      <c r="C60" s="253" t="inlineStr"/>
      <c r="D60" s="253" t="inlineStr"/>
      <c r="E60" s="253" t="inlineStr">
        <is>
          <t>IPH microbiology</t>
        </is>
      </c>
      <c r="F60" s="253" t="inlineStr"/>
      <c r="G60" s="253" t="inlineStr">
        <is>
          <t>9.5</t>
        </is>
      </c>
      <c r="H60" s="253" t="inlineStr">
        <is>
          <t>E. coli</t>
        </is>
      </c>
      <c r="I60" s="253" t="inlineStr"/>
      <c r="J60" s="253" t="inlineStr"/>
      <c r="K60" s="253" t="inlineStr"/>
      <c r="L60" s="253" t="inlineStr">
        <is>
          <t>Одговара (absent)</t>
        </is>
      </c>
      <c r="M60" s="253" t="inlineStr">
        <is>
          <t>76/0119/26</t>
        </is>
      </c>
      <c r="N60" s="253" t="inlineStr">
        <is>
          <t>09.02.2026</t>
        </is>
      </c>
      <c r="O60" s="253" t="inlineStr">
        <is>
          <t>IPH — Institute of Public Health</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10.2</t>
        </is>
      </c>
      <c r="H61" s="253" t="inlineStr">
        <is>
          <t>Aflatoxins Σ</t>
        </is>
      </c>
      <c r="I61" s="253" t="inlineStr"/>
      <c r="J61" s="253" t="inlineStr"/>
      <c r="K61" s="253" t="inlineStr"/>
      <c r="L61" s="253" t="inlineStr">
        <is>
          <t>&lt; 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11.1</t>
        </is>
      </c>
      <c r="H62" s="253" t="inlineStr">
        <is>
          <t>Pb</t>
        </is>
      </c>
      <c r="I62" s="253" t="inlineStr"/>
      <c r="J62" s="253" t="inlineStr"/>
      <c r="K62" s="253" t="inlineStr"/>
      <c r="L62" s="253" t="inlineStr">
        <is>
          <t>0.02</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11.2</t>
        </is>
      </c>
      <c r="H63" s="253" t="inlineStr">
        <is>
          <t>Cd</t>
        </is>
      </c>
      <c r="I63" s="253" t="inlineStr"/>
      <c r="J63" s="253" t="inlineStr"/>
      <c r="K63" s="253" t="inlineStr"/>
      <c r="L63" s="253" t="inlineStr">
        <is>
          <t>0.013</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11.3</t>
        </is>
      </c>
      <c r="H64" s="253" t="inlineStr">
        <is>
          <t>As</t>
        </is>
      </c>
      <c r="I64" s="253" t="inlineStr"/>
      <c r="J64" s="253" t="inlineStr"/>
      <c r="K64" s="253" t="inlineStr"/>
      <c r="L64" s="253" t="inlineStr">
        <is>
          <t>0.017</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11.4</t>
        </is>
      </c>
      <c r="H65" s="253" t="inlineStr">
        <is>
          <t>Hg</t>
        </is>
      </c>
      <c r="I65" s="253" t="inlineStr"/>
      <c r="J65" s="253" t="inlineStr"/>
      <c r="K65" s="253" t="inlineStr"/>
      <c r="L65" s="253" t="inlineStr">
        <is>
          <t>0.0026</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12</t>
        </is>
      </c>
      <c r="H66" s="253" t="inlineStr">
        <is>
          <t>Pesticides</t>
        </is>
      </c>
      <c r="I66" s="253" t="inlineStr"/>
      <c r="J66" s="253" t="inlineStr"/>
      <c r="K66" s="253" t="inlineStr"/>
      <c r="L66" s="253" t="inlineStr">
        <is>
          <t>N.D.</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4</t>
        </is>
      </c>
      <c r="H67" s="253" t="inlineStr">
        <is>
          <t>Total Δ9-THC</t>
        </is>
      </c>
      <c r="I67" s="253" t="inlineStr"/>
      <c r="J67" s="253" t="inlineStr"/>
      <c r="K67" s="253" t="inlineStr"/>
      <c r="L67" s="253" t="inlineStr">
        <is>
          <t>14.97</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5</t>
        </is>
      </c>
      <c r="H68" s="253" t="inlineStr">
        <is>
          <t>Total CBD</t>
        </is>
      </c>
      <c r="I68" s="253" t="inlineStr"/>
      <c r="J68" s="253" t="inlineStr"/>
      <c r="K68" s="253" t="inlineStr"/>
      <c r="L68" s="253" t="inlineStr">
        <is>
          <t>0.04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9.1</t>
        </is>
      </c>
      <c r="H69" s="253" t="inlineStr">
        <is>
          <t>TAMC</t>
        </is>
      </c>
      <c r="I69" s="253" t="inlineStr"/>
      <c r="J69" s="253" t="inlineStr"/>
      <c r="K69" s="253" t="inlineStr"/>
      <c r="L69" s="253" t="inlineStr">
        <is>
          <t>5.2·10^4</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9.2</t>
        </is>
      </c>
      <c r="H70" s="253" t="inlineStr">
        <is>
          <t>TYMC</t>
        </is>
      </c>
      <c r="I70" s="253" t="inlineStr"/>
      <c r="J70" s="253" t="inlineStr"/>
      <c r="K70" s="253" t="inlineStr"/>
      <c r="L70" s="253" t="inlineStr">
        <is>
          <t>7·10^2</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9.3</t>
        </is>
      </c>
      <c r="H71" s="253" t="inlineStr">
        <is>
          <t>Bile-tolerant GNB</t>
        </is>
      </c>
      <c r="I71" s="253" t="inlineStr"/>
      <c r="J71" s="253" t="inlineStr"/>
      <c r="K71" s="253" t="inlineStr"/>
      <c r="L71" s="253" t="inlineStr">
        <is>
          <t>&lt;10</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9.4</t>
        </is>
      </c>
      <c r="H72" s="253" t="inlineStr">
        <is>
          <t>Salmonella</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HPA1024</t>
        </is>
      </c>
      <c r="C73" s="253" t="inlineStr"/>
      <c r="D73" s="253" t="inlineStr"/>
      <c r="E73" s="253" t="inlineStr">
        <is>
          <t>Purely Plant in-house</t>
        </is>
      </c>
      <c r="F73" s="253" t="inlineStr"/>
      <c r="G73" s="253" t="inlineStr">
        <is>
          <t>9.5</t>
        </is>
      </c>
      <c r="H73" s="253" t="inlineStr">
        <is>
          <t>E. coli</t>
        </is>
      </c>
      <c r="I73" s="253" t="inlineStr"/>
      <c r="J73" s="253" t="inlineStr"/>
      <c r="K73" s="253" t="inlineStr"/>
      <c r="L73" s="253" t="inlineStr">
        <is>
          <t>Absent</t>
        </is>
      </c>
      <c r="M73" s="253" t="inlineStr">
        <is>
          <t>n/a — Purely Plant in-house CoA (Batch HPA1024, no certificate/report number printed)</t>
        </is>
      </c>
      <c r="N73" s="253" t="inlineStr">
        <is>
          <t>23.01.2025</t>
        </is>
      </c>
      <c r="O73" s="253" t="inlineStr">
        <is>
          <t>Purely Plant GmbH (in-house)</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4</t>
        </is>
      </c>
      <c r="H74" s="253" t="inlineStr">
        <is>
          <t>Total Δ9-THC</t>
        </is>
      </c>
      <c r="I74" s="253" t="inlineStr"/>
      <c r="J74" s="253" t="inlineStr"/>
      <c r="K74" s="253" t="inlineStr"/>
      <c r="L74" s="253" t="inlineStr">
        <is>
          <t>20.21</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5</t>
        </is>
      </c>
      <c r="H75" s="253" t="inlineStr">
        <is>
          <t>Total CBD</t>
        </is>
      </c>
      <c r="I75" s="253" t="inlineStr"/>
      <c r="J75" s="253" t="inlineStr"/>
      <c r="K75" s="253" t="inlineStr"/>
      <c r="L75" s="253" t="inlineStr">
        <is>
          <t>&lt; LOQ (&lt;0.20)</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cannabinoids</t>
        </is>
      </c>
      <c r="F76" s="253" t="inlineStr"/>
      <c r="G76" s="253" t="inlineStr">
        <is>
          <t>6</t>
        </is>
      </c>
      <c r="H76" s="253" t="inlineStr">
        <is>
          <t>Total CBN</t>
        </is>
      </c>
      <c r="I76" s="253" t="inlineStr"/>
      <c r="J76" s="253" t="inlineStr"/>
      <c r="K76" s="253" t="inlineStr"/>
      <c r="L76" s="253" t="inlineStr">
        <is>
          <t>&lt; LOQ</t>
        </is>
      </c>
      <c r="M76" s="253" t="inlineStr">
        <is>
          <t>100-1-К/26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9.1</t>
        </is>
      </c>
      <c r="H77" s="253" t="inlineStr">
        <is>
          <t>TAMC</t>
        </is>
      </c>
      <c r="I77" s="253" t="inlineStr"/>
      <c r="J77" s="253" t="inlineStr"/>
      <c r="K77" s="253" t="inlineStr"/>
      <c r="L77" s="253" t="inlineStr">
        <is>
          <t>1900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9.2</t>
        </is>
      </c>
      <c r="H78" s="253" t="inlineStr">
        <is>
          <t>TYMC</t>
        </is>
      </c>
      <c r="I78" s="253" t="inlineStr"/>
      <c r="J78" s="253" t="inlineStr"/>
      <c r="K78" s="253" t="inlineStr"/>
      <c r="L78" s="253" t="inlineStr">
        <is>
          <t>840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9.3</t>
        </is>
      </c>
      <c r="H79" s="253" t="inlineStr">
        <is>
          <t>Bile-tolerant GNB</t>
        </is>
      </c>
      <c r="I79" s="253" t="inlineStr"/>
      <c r="J79" s="253" t="inlineStr"/>
      <c r="K79" s="253" t="inlineStr"/>
      <c r="L79" s="253" t="inlineStr">
        <is>
          <t>&lt; 10^3 and &gt; 10^2</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9.4</t>
        </is>
      </c>
      <c r="H80" s="253" t="inlineStr">
        <is>
          <t>Salmonella</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9.5</t>
        </is>
      </c>
      <c r="H81" s="253" t="inlineStr">
        <is>
          <t>E. coli</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4</t>
        </is>
      </c>
      <c r="H82" s="253" t="inlineStr">
        <is>
          <t>Total Δ9-THC</t>
        </is>
      </c>
      <c r="I82" s="253" t="inlineStr"/>
      <c r="J82" s="253" t="inlineStr"/>
      <c r="K82" s="253" t="inlineStr"/>
      <c r="L82" s="253" t="inlineStr">
        <is>
          <t>21.84</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5</t>
        </is>
      </c>
      <c r="H83" s="253" t="inlineStr">
        <is>
          <t>Total CBD</t>
        </is>
      </c>
      <c r="I83" s="253" t="inlineStr"/>
      <c r="J83" s="253" t="inlineStr"/>
      <c r="K83" s="253" t="inlineStr"/>
      <c r="L83" s="253" t="inlineStr">
        <is>
          <t>&lt; LOQ (&lt;0.20)</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6</t>
        </is>
      </c>
      <c r="H84" s="253" t="inlineStr">
        <is>
          <t>Total CBN</t>
        </is>
      </c>
      <c r="I84" s="253" t="inlineStr"/>
      <c r="J84" s="253" t="inlineStr"/>
      <c r="K84" s="253" t="inlineStr"/>
      <c r="L84" s="253" t="inlineStr">
        <is>
          <t>&lt; LOQ</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loss on drying</t>
        </is>
      </c>
      <c r="F85" s="253" t="inlineStr"/>
      <c r="G85" s="253" t="inlineStr">
        <is>
          <t>8</t>
        </is>
      </c>
      <c r="H85" s="253" t="inlineStr">
        <is>
          <t>Loss on drying</t>
        </is>
      </c>
      <c r="I85" s="253" t="inlineStr"/>
      <c r="J85" s="253" t="inlineStr"/>
      <c r="K85" s="253" t="inlineStr"/>
      <c r="L85" s="253" t="inlineStr">
        <is>
          <t>10.3</t>
        </is>
      </c>
      <c r="M85" s="253" t="inlineStr">
        <is>
          <t>100-3-ГС/26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10.2</t>
        </is>
      </c>
      <c r="H86" s="253" t="inlineStr">
        <is>
          <t>Aflatoxins Σ</t>
        </is>
      </c>
      <c r="I86" s="253" t="inlineStr"/>
      <c r="J86" s="253" t="inlineStr"/>
      <c r="K86" s="253" t="inlineStr"/>
      <c r="L86" s="253" t="inlineStr">
        <is>
          <t>COMPLIES (numeric value not present in captured source excerpt for report 1625/2026 — see Bundle cross-reference)</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12</t>
        </is>
      </c>
      <c r="H87" s="253" t="inlineStr">
        <is>
          <t>Pesticides</t>
        </is>
      </c>
      <c r="I87" s="253" t="inlineStr"/>
      <c r="J87" s="253" t="inlineStr"/>
      <c r="K87" s="253" t="inlineStr"/>
      <c r="L87" s="253" t="inlineStr">
        <is>
          <t>н.д.</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4</t>
        </is>
      </c>
      <c r="H88" s="253" t="inlineStr">
        <is>
          <t>Total Δ9-THC</t>
        </is>
      </c>
      <c r="I88" s="253" t="inlineStr"/>
      <c r="J88" s="253" t="inlineStr"/>
      <c r="K88" s="253" t="inlineStr"/>
      <c r="L88" s="253" t="inlineStr">
        <is>
          <t>13.93</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5</t>
        </is>
      </c>
      <c r="H89" s="253" t="inlineStr">
        <is>
          <t>Total CBD</t>
        </is>
      </c>
      <c r="I89" s="253" t="inlineStr"/>
      <c r="J89" s="253" t="inlineStr"/>
      <c r="K89" s="253" t="inlineStr"/>
      <c r="L89" s="253" t="inlineStr">
        <is>
          <t>0.04</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8</t>
        </is>
      </c>
      <c r="H90" s="253" t="inlineStr">
        <is>
          <t>Loss on drying</t>
        </is>
      </c>
      <c r="I90" s="253" t="inlineStr"/>
      <c r="J90" s="253" t="inlineStr"/>
      <c r="K90" s="253" t="inlineStr"/>
      <c r="L90" s="253" t="inlineStr">
        <is>
          <t>6.38</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9.1</t>
        </is>
      </c>
      <c r="H91" s="253" t="inlineStr">
        <is>
          <t>TAMC</t>
        </is>
      </c>
      <c r="I91" s="253" t="inlineStr"/>
      <c r="J91" s="253" t="inlineStr"/>
      <c r="K91" s="253" t="inlineStr"/>
      <c r="L91" s="253" t="inlineStr">
        <is>
          <t>1×10⁴</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9.2</t>
        </is>
      </c>
      <c r="H92" s="253" t="inlineStr">
        <is>
          <t>TYMC</t>
        </is>
      </c>
      <c r="I92" s="253" t="inlineStr"/>
      <c r="J92" s="253" t="inlineStr"/>
      <c r="K92" s="253" t="inlineStr"/>
      <c r="L92" s="253" t="inlineStr">
        <is>
          <t>6,7×10³</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9.3</t>
        </is>
      </c>
      <c r="H93" s="253" t="inlineStr">
        <is>
          <t>Bile-tolerant GNB</t>
        </is>
      </c>
      <c r="I93" s="253" t="inlineStr"/>
      <c r="J93" s="253" t="inlineStr"/>
      <c r="K93" s="253" t="inlineStr"/>
      <c r="L93" s="253" t="inlineStr">
        <is>
          <t>&lt; 10³ и &gt; 10²</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9.4</t>
        </is>
      </c>
      <c r="H94" s="253" t="inlineStr">
        <is>
          <t>Salmonella</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9.5</t>
        </is>
      </c>
      <c r="H95" s="253" t="inlineStr">
        <is>
          <t>E. coli</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10.2</t>
        </is>
      </c>
      <c r="H96" s="253" t="inlineStr">
        <is>
          <t>Aflatoxins Σ</t>
        </is>
      </c>
      <c r="I96" s="253" t="inlineStr"/>
      <c r="J96" s="253" t="inlineStr"/>
      <c r="K96" s="253" t="inlineStr"/>
      <c r="L96" s="253" t="inlineStr">
        <is>
          <t>&lt;2</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11.1</t>
        </is>
      </c>
      <c r="H97" s="253" t="inlineStr">
        <is>
          <t>Pb</t>
        </is>
      </c>
      <c r="I97" s="253" t="inlineStr"/>
      <c r="J97" s="253" t="inlineStr"/>
      <c r="K97" s="253" t="inlineStr"/>
      <c r="L97" s="253" t="inlineStr">
        <is>
          <t>0.0109</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11.2</t>
        </is>
      </c>
      <c r="H98" s="253" t="inlineStr">
        <is>
          <t>Cd</t>
        </is>
      </c>
      <c r="I98" s="253" t="inlineStr"/>
      <c r="J98" s="253" t="inlineStr"/>
      <c r="K98" s="253" t="inlineStr"/>
      <c r="L98" s="253" t="inlineStr">
        <is>
          <t>0.01287</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11.3</t>
        </is>
      </c>
      <c r="H99" s="253" t="inlineStr">
        <is>
          <t>As</t>
        </is>
      </c>
      <c r="I99" s="253" t="inlineStr"/>
      <c r="J99" s="253" t="inlineStr"/>
      <c r="K99" s="253" t="inlineStr"/>
      <c r="L99" s="253" t="inlineStr">
        <is>
          <t>0.0175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11.4</t>
        </is>
      </c>
      <c r="H100" s="253" t="inlineStr">
        <is>
          <t>Hg</t>
        </is>
      </c>
      <c r="I100" s="253" t="inlineStr"/>
      <c r="J100" s="253" t="inlineStr"/>
      <c r="K100" s="253" t="inlineStr"/>
      <c r="L100" s="253" t="inlineStr">
        <is>
          <t>0.0165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12</t>
        </is>
      </c>
      <c r="H101" s="253" t="inlineStr">
        <is>
          <t>Pesticides</t>
        </is>
      </c>
      <c r="I101" s="253" t="inlineStr"/>
      <c r="J101" s="253" t="inlineStr"/>
      <c r="K101" s="253" t="inlineStr"/>
      <c r="L101" s="253" t="inlineStr">
        <is>
          <t>N.D.</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10.2</t>
        </is>
      </c>
      <c r="H102" s="253" t="inlineStr">
        <is>
          <t>Aflatoxins Σ</t>
        </is>
      </c>
      <c r="I102" s="253" t="inlineStr"/>
      <c r="J102" s="253" t="inlineStr"/>
      <c r="K102" s="253" t="inlineStr"/>
      <c r="L102" s="253" t="inlineStr">
        <is>
          <t>&lt; 2</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11.1</t>
        </is>
      </c>
      <c r="H103" s="253" t="inlineStr">
        <is>
          <t>Pb</t>
        </is>
      </c>
      <c r="I103" s="253" t="inlineStr"/>
      <c r="J103" s="253" t="inlineStr"/>
      <c r="K103" s="253" t="inlineStr"/>
      <c r="L103" s="253" t="inlineStr">
        <is>
          <t>0.031</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11.2</t>
        </is>
      </c>
      <c r="H104" s="253" t="inlineStr">
        <is>
          <t>Cd</t>
        </is>
      </c>
      <c r="I104" s="253" t="inlineStr"/>
      <c r="J104" s="253" t="inlineStr"/>
      <c r="K104" s="253" t="inlineStr"/>
      <c r="L104" s="253" t="inlineStr">
        <is>
          <t>0.017</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11.3</t>
        </is>
      </c>
      <c r="H105" s="253" t="inlineStr">
        <is>
          <t>As</t>
        </is>
      </c>
      <c r="I105" s="253" t="inlineStr"/>
      <c r="J105" s="253" t="inlineStr"/>
      <c r="K105" s="253" t="inlineStr"/>
      <c r="L105" s="253" t="inlineStr">
        <is>
          <t>0.045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11.4</t>
        </is>
      </c>
      <c r="H106" s="253" t="inlineStr">
        <is>
          <t>Hg</t>
        </is>
      </c>
      <c r="I106" s="253" t="inlineStr"/>
      <c r="J106" s="253" t="inlineStr"/>
      <c r="K106" s="253" t="inlineStr"/>
      <c r="L106" s="253" t="inlineStr">
        <is>
          <t>0.005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12</t>
        </is>
      </c>
      <c r="H107" s="253" t="inlineStr">
        <is>
          <t>Pesticides</t>
        </is>
      </c>
      <c r="I107" s="253" t="inlineStr"/>
      <c r="J107" s="253" t="inlineStr"/>
      <c r="K107" s="253" t="inlineStr"/>
      <c r="L107" s="253" t="inlineStr">
        <is>
          <t>N.D.</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4</t>
        </is>
      </c>
      <c r="H108" s="253" t="inlineStr">
        <is>
          <t>Total Δ9-THC</t>
        </is>
      </c>
      <c r="I108" s="253" t="inlineStr"/>
      <c r="J108" s="253" t="inlineStr"/>
      <c r="K108" s="253" t="inlineStr"/>
      <c r="L108" s="253" t="inlineStr">
        <is>
          <t>19.96</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5</t>
        </is>
      </c>
      <c r="H109" s="253" t="inlineStr">
        <is>
          <t>Total CBD</t>
        </is>
      </c>
      <c r="I109" s="253" t="inlineStr"/>
      <c r="J109" s="253" t="inlineStr"/>
      <c r="K109" s="253" t="inlineStr"/>
      <c r="L109" s="253" t="inlineStr">
        <is>
          <t>0.05</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9.1</t>
        </is>
      </c>
      <c r="H110" s="253" t="inlineStr">
        <is>
          <t>TAMC</t>
        </is>
      </c>
      <c r="I110" s="253" t="inlineStr"/>
      <c r="J110" s="253" t="inlineStr"/>
      <c r="K110" s="253" t="inlineStr"/>
      <c r="L110" s="253" t="inlineStr">
        <is>
          <t>1.3·10^4</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9.2</t>
        </is>
      </c>
      <c r="H111" s="253" t="inlineStr">
        <is>
          <t>TYMC</t>
        </is>
      </c>
      <c r="I111" s="253" t="inlineStr"/>
      <c r="J111" s="253" t="inlineStr"/>
      <c r="K111" s="253" t="inlineStr"/>
      <c r="L111" s="253" t="inlineStr">
        <is>
          <t>7·10^2</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9.3</t>
        </is>
      </c>
      <c r="H112" s="253" t="inlineStr">
        <is>
          <t>Bile-tolerant GNB</t>
        </is>
      </c>
      <c r="I112" s="253" t="inlineStr"/>
      <c r="J112" s="253" t="inlineStr"/>
      <c r="K112" s="253" t="inlineStr"/>
      <c r="L112" s="253" t="inlineStr">
        <is>
          <t>&lt;10²&gt;10³</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9.4</t>
        </is>
      </c>
      <c r="H113" s="253" t="inlineStr">
        <is>
          <t>Salmonella</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9.5</t>
        </is>
      </c>
      <c r="H114" s="253" t="inlineStr">
        <is>
          <t>E. coli</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9.1</t>
        </is>
      </c>
      <c r="H115" s="253" t="inlineStr">
        <is>
          <t>TAMC</t>
        </is>
      </c>
      <c r="I115" s="253" t="inlineStr"/>
      <c r="J115" s="253" t="inlineStr"/>
      <c r="K115" s="253" t="inlineStr"/>
      <c r="L115" s="253" t="inlineStr">
        <is>
          <t>1×10⁴</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9.2</t>
        </is>
      </c>
      <c r="H116" s="253" t="inlineStr">
        <is>
          <t>TYMC</t>
        </is>
      </c>
      <c r="I116" s="253" t="inlineStr"/>
      <c r="J116" s="253" t="inlineStr"/>
      <c r="K116" s="253" t="inlineStr"/>
      <c r="L116" s="253" t="inlineStr">
        <is>
          <t>6.7×10³</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9.3</t>
        </is>
      </c>
      <c r="H117" s="253" t="inlineStr">
        <is>
          <t>Bile-tolerant GNB</t>
        </is>
      </c>
      <c r="I117" s="253" t="inlineStr"/>
      <c r="J117" s="253" t="inlineStr"/>
      <c r="K117" s="253" t="inlineStr"/>
      <c r="L117" s="253" t="inlineStr">
        <is>
          <t>&lt; 10³ и &gt;10²</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9.4</t>
        </is>
      </c>
      <c r="H118" s="253" t="inlineStr">
        <is>
          <t>Salmonella</t>
        </is>
      </c>
      <c r="I118" s="253" t="inlineStr"/>
      <c r="J118" s="253" t="inlineStr"/>
      <c r="K118" s="253" t="inlineStr"/>
      <c r="L118" s="253" t="inlineStr">
        <is>
          <t>Отсутна/g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9.5</t>
        </is>
      </c>
      <c r="H119" s="253" t="inlineStr">
        <is>
          <t>E. coli</t>
        </is>
      </c>
      <c r="I119" s="253" t="inlineStr"/>
      <c r="J119" s="253" t="inlineStr"/>
      <c r="K119" s="253" t="inlineStr"/>
      <c r="L119" s="253" t="inlineStr">
        <is>
          <t>Отсутна/25 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sheetData>
  <autoFilter ref="A1:P119"/>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2026-10-22T09:00:09Z</dcterms:modified>
</cp:coreProperties>
</file>