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2"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Reference!$A$88:$A$202</definedName>
    <definedName name="_fold_Delivery_T1_T3">Reference!$A$206:$A$286</definedName>
    <definedName name="_fold_ImB_Register">Reference!$A$290:$A$335</definedName>
    <definedName name="_fold_Mikro_CoQ_Parameter">Reference!$A$339:$A$485</definedName>
    <definedName name="_fold_Reconciliation_09_09">Reference!$A$489:$A$762</definedName>
    <definedName name="_fold_Credit_Audit">Reference!$A$766:$A$779</definedName>
    <definedName name="_fold_Credit_Corrections">Reference!$A$783:$A$916</definedName>
    <definedName name="_fold_Work_Order">Reference!$A$920:$A$961</definedName>
    <definedName name="_fold_Open_Items">Reference!$A$965:$A$1025</definedName>
    <definedName name="_fold_Not_Tested_Review">Reference!$A$1029:$A$1282</definedName>
    <definedName name="_fold_Summary_Dashboard">Reference!$A$1286:$A$1306</definedName>
    <definedName name="_xlnm._FilterDatabase" localSheetId="0" hidden="1">'Batch Coverage'!$A$1:$V$87</definedName>
    <definedName name="_xlnm.Print_Titles" localSheetId="0">'Batch Coverage'!$1:$1</definedName>
    <definedName name="_xlnm.Print_Titles" localSheetId="1">'CoQ Parameter Tracker v52'!$1:$4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5"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5"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6" fillId="0" borderId="0" applyAlignment="1" pivotButton="0" quotePrefix="0" xfId="0">
      <alignment vertical="top" wrapText="1"/>
    </xf>
    <xf numFmtId="0" fontId="46" fillId="49" borderId="0" applyAlignment="1" pivotButton="0" quotePrefix="0" xfId="0">
      <alignment vertical="top" wrapText="1"/>
    </xf>
    <xf numFmtId="0" fontId="47" fillId="0" borderId="0" applyAlignment="1" pivotButton="0" quotePrefix="0" xfId="0">
      <alignment vertical="top" wrapText="1"/>
    </xf>
    <xf numFmtId="0" fontId="46" fillId="36" borderId="0" applyAlignment="1" pivotButton="0" quotePrefix="0" xfId="0">
      <alignment vertical="top" wrapText="1"/>
    </xf>
    <xf numFmtId="0" fontId="46"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iCoA-PP_26-088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iCoA-PP_26-089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iCoA-PP_26-061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iCoA-PP_26-061
CoQ-PP_26-063 · initial release
iCoA-PP_26-165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iCoA-PP_26-168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iCoA-PP_26-066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iCoA-PP_26-066
CoQ-PP_26-069 · initial release
iCoA-PP_26-118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iCoA-PP_26-081
CoQ-PP_26-079 · initial release
iCoA-PP_26-169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iCoA-PP_26-169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iCoA-PP_26-068
CoQ-PP_26-075 · initial release
iCoA-PP_26-170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iCoA-PP_26-170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iCoA-PP_26-083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iCoA-PP_26-063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iCoA-PP_26-063
CoQ-PP_26-065 · initial release
iCoA-PP_26-171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iCoA-PP_26-073
CoQ-PP_26-077 · initial release
iCoA-PP_26-098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iCoA-PP_26-098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iCoA-PP_26-087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iCoA-PP_26-119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iCoA-PP_26-059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iCoA-PP_26-059
CoQ-PP_26-061 · initial release
iCoA-PP_26-154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iCoA-PP_26-100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iCoA-PP_26-100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iCoA-PP_26-049
CoQ-PP_26-051 · initial release
iCoA-PP_26-102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iCoA-PP_26-049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iCoA-PP_26-102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iCoA-PP_26-054
CoQ-PP_26-056 · initial release
iCoA-PP_26-158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iCoA-PP_26-054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iCoA-PP_26-158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iCoA-PP_26-060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iCoA-PP_26-060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mg/kg — all 29 residues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iCoA-PP_26-159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iCoA-PP_26-109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iCoA-PP_26-055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iCoA-PP_26-055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iCoA-PP_26-103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iCoA-PP_26-051
CoQ-PP_26-053 · initial release
iCoA-PP_26-129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iCoA-PP_26-051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iCoA-PP_26-129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iCoA-PP_26-104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iCoA-PP_26-104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iCoA-PP_26-056
CoQ-PP_26-058 · initial release
iCoA-PP_26-145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iCoA-PP_26-056
CoQ-PP_26-058 · initial release
iCoA-PP_26-145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iCoA-PP_26-058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iCoA-PP_26-058
CoQ-PP_26-060 · initial release
iCoA-PP_26-106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iCoA-PP_26-106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iCoA-PP_26-008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iCoA-PP_26-008
CoQ-PP_26-008 · initial release
iCoA-PP_26-153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iCoA-PP_26-007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iCoA-PP_26-007
CoQ-PP_26-007 · initial release
iCoA-PP_26-096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iCoA-PP_26-096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iCoA-PP_26-096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iCoA-PP_26-009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iCoA-PP_26-009
CoQ-PP_26-009 · initial release
iCoA-PP_26-161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iCoA-PP_26-080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iCoA-PP_26-080
CoQ-PP_26-010 · initial release
iCoA-PP_26-132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iCoA-PP_26-010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iCoA-PP_26-010
CoQ-PP_26-011 · initial release
iCoA-PP_26-101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iCoA-PP_26-011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iCoA-PP_26-011
CoQ-PP_26-012 · initial release
iCoA-PP_26-105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iCoA-PP_26-012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iCoA-PP_26-012
CoQ-PP_26-013 · initial release
iCoA-PP_26-121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iCoA-PP_26-121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iCoA-PP_26-013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iCoA-PP_26-013
CoQ-PP_26-014 · initial release
iCoA-PP_26-137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iCoA-PP_26-014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iCoA-PP_26-014
CoQ-PP_26-015 · initial release
iCoA-PP_26-094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iCoA-PP_26-015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iCoA-PP_26-015
CoQ-PP_26-016 · initial release
iCoA-PP_26-144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iCoA-PP_26-144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iCoA-PP_26-016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iCoA-PP_26-016
CoQ-PP_26-017 · initial release
iCoA-PP_26-130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iCoA-PP_26-077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iCoA-PP_26-077
CoQ-PP_26-018 · initial release
iCoA-PP_26-164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iCoA-PP_26-017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mg/kg — all 29 residues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iCoA-PP_26-017
CoQ-PP_26-019 · initial release
iCoA-PP_26-162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iCoA-PP_26-018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iCoA-PP_26-018
CoQ-PP_26-020 · initial release
iCoA-PP_26-095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iCoA-PP_26-020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iCoA-PP_26-020
CoQ-PP_26-022 · initial release
iCoA-PP_26-090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iCoA-PP_26-021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iCoA-PP_26-021
CoQ-PP_26-023 · initial release
iCoA-PP_26-166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iCoA-PP_26-022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iCoA-PP_26-022
CoQ-PP_26-024 · initial release
iCoA-PP_26-125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iCoA-PP_26-023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iCoA-PP_26-023
CoQ-PP_26-025 · initial release
iCoA-PP_26-112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iCoA-PP_26-023
CoQ-PP_26-025 · initial release
iCoA-PP_26-112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iCoA-PP_26-024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iCoA-PP_26-155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iCoA-PP_26-155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iCoA-PP_26-155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iCoA-PP_26-025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iCoA-PP_26-025
CoQ-PP_26-027 · initial release
iCoA-PP_26-091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iCoA-PP_26-026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iCoA-PP_26-026
CoQ-PP_26-028 · initial release
iCoA-PP_26-114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iCoA-PP_26-027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iCoA-PP_26-027
CoQ-PP_26-029 · initial release
iCoA-PP_26-167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iCoA-PP_26-028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iCoA-PP_26-028
CoQ-PP_26-030 · initial release
iCoA-PP_26-151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iCoA-PP_26-029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mg/kg — all 29 residues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iCoA-PP_26-029
CoQ-PP_26-031 · initial release
iCoA-PP_26-146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iCoA-PP_26-030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iCoA-PP_26-030
CoQ-PP_26-032 · initial release
iCoA-PP_26-117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iCoA-PP_26-031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iCoA-PP_26-031
CoQ-PP_26-033 · initial release
iCoA-PP_26-156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iCoA-PP_26-032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iCoA-PP_26-032
CoQ-PP_26-034 · initial release
iCoA-PP_26-120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iCoA-PP_26-033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iCoA-PP_26-033
CoQ-PP_26-035 · initial release
iCoA-PP_26-122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iCoA-PP_26-034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iCoA-PP_26-034
CoQ-PP_26-036 · initial release
iCoA-PP_26-099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iCoA-PP_26-035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iCoA-PP_26-035
CoQ-PP_26-037 · initial release
iCoA-PP_26-142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iCoA-PP_26-036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iCoA-PP_26-036
CoQ-PP_26-038 · initial release
iCoA-PP_26-115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iCoA-PP_26-037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iCoA-PP_26-037
CoQ-PP_26-039 · initial release
iCoA-PP_26-092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iCoA-PP_26-038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iCoA-PP_26-038
CoQ-PP_26-040 · initial release
iCoA-PP_26-131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iCoA-PP_26-039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iCoA-PP_26-039
CoQ-PP_26-041 · initial release
iCoA-PP_26-163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iCoA-PP_26-040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iCoA-PP_26-040
CoQ-PP_26-042 · initial release
iCoA-PP_26-108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iCoA-PP_26-041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iCoA-PP_26-041
CoQ-PP_26-043 · initial release
iCoA-PP_26-116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iCoA-PP_26-042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iCoA-PP_26-042
CoQ-PP_26-044 · initial release
iCoA-PP_26-141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iCoA-PP_26-043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iCoA-PP_26-043
CoQ-PP_26-045 · initial release
iCoA-PP_26-123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iCoA-PP_26-067
CoQ-PP_26-068 · initial release
iCoA-PP_26-093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iCoA-PP_26-071
CoQ-PP_26-070 · initial release
iCoA-PP_26-097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iCoA-PP_26-075
CoQ-PP_26-074 · initial release
iCoA-PP_26-107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iCoA-PP_26-084
CoQ-PP_26-168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21"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iCoA-PP_26-085
CoQ-PP_26-169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21"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iCoA-PP_26-086
CoQ-PP_26-170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21"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iCoA-PP_26-057
CoQ-PP_26-059 · initial release
iCoA-PP_26-138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iCoA-PP_26-057
CoQ-PP_26-059 · initial release
iCoA-PP_26-138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iCoA-PP_26-082
CoQ-PP_26-080 · initial release
iCoA-PP_26-148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iCoA-PP_26-148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iCoA-PP_26-062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iCoA-PP_26-062
CoQ-PP_26-064 · initial release
iCoA-PP_26-140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iCoA-PP_26-050
CoQ-PP_26-052 · initial release
iCoA-PP_26-149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iCoA-PP_26-050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iCoA-PP_26-149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iCoA-PP_26-053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iCoA-PP_26-053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iCoA-PP_26-150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iCoA-PP_26-019
CoQ-PP_26-021 · initial release
iCoA-PP_26-143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iCoA-PP_26-044
CoQ-PP_26-046 · initial release
iCoA-PP_26-152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iCoA-PP_26-076
CoQ-PP_26-073 · initial release
iCoA-PP_26-147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iCoA-PP_26-046
CoQ-PP_26-048 · initial release
iCoA-PP_26-111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iCoA-PP_26-047
CoQ-PP_26-049 · initial release
iCoA-PP_26-113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iCoA-PP_26-045
CoQ-PP_26-047 · initial release
iCoA-PP_26-139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iCoA-PP_26-072
CoQ-PP_26-072 · initial release
iCoA-PP_26-133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iCoA-PP_26-110
CoQ-PP_26-084 · initial release
iCoA-PP_26-136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iCoA-PP_26-135
CoQ-PP_26-172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iCoA-PP_26-134
CoQ-PP_26-171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f>IF(A8="","",IF(ISNUMBER(E8),MAX(DATE(2026,6,3),E8),DATE(2026,6,3)))</f>
        <v/>
      </c>
      <c r="E8" s="245">
        <f>IFERROR(INDEX('Batch Dates'!$F:$F,MATCH(J8,'Batch Dates'!$C:$C,0)),IFERROR(INDEX('Batch Dates'!$F:$F,MATCH(I8,'Batch Dates'!$B:$B,0)),""))</f>
        <v/>
      </c>
      <c r="F8" s="245">
        <f>IFERROR(INDEX('Batch Dates'!$G:$G,MATCH(J8,'Batch Dates'!$C:$C,0)),IFERROR(INDEX('Batch Dates'!$G:$G,MATCH(I8,'Batch Dates'!$B:$B,0)),""))</f>
        <v/>
      </c>
      <c r="G8" s="243" t="inlineStr">
        <is>
          <t>legacy</t>
        </is>
      </c>
      <c r="H8" s="243" t="inlineStr">
        <is>
          <t>initial release</t>
        </is>
      </c>
      <c r="I8" s="244" t="inlineStr">
        <is>
          <t>GP0824_02</t>
        </is>
      </c>
      <c r="J8" s="243" t="inlineStr">
        <is>
          <t>P050022</t>
        </is>
      </c>
      <c r="K8" s="243" t="inlineStr">
        <is>
          <t>Grape Pie</t>
        </is>
      </c>
      <c r="L8" s="243" t="inlineStr">
        <is>
          <t>Ident A + Ident B + Foreign matter</t>
        </is>
      </c>
      <c r="M8" s="248" t="inlineStr">
        <is>
          <t>—</t>
        </is>
      </c>
      <c r="N8" s="243">
        <f>IFERROR(INDEX('CoQ Register'!$B:$B,MATCH("P050022|I",'CoQ Register'!$S:$S,0)),"—")</f>
        <v/>
      </c>
      <c r="O8" s="243" t="inlineStr">
        <is>
          <t>iCoA-PP-2025-0006</t>
        </is>
      </c>
      <c r="P8" s="243" t="inlineStr">
        <is>
          <t>03.06.2025</t>
        </is>
      </c>
      <c r="Q8" s="243" t="inlineStr">
        <is>
          <t>22.04.2025 – 23.04.2025</t>
        </is>
      </c>
      <c r="R8" s="243" t="inlineStr">
        <is>
          <t>03.06.2025 – 11.06.2025</t>
        </is>
      </c>
      <c r="S8" s="245">
        <f>IFERROR(INDEX('CoQ Register'!$D:$D,MATCH("P050022|I",'CoQ Register'!$S:$S,0)),"")</f>
        <v/>
      </c>
      <c r="T8" s="243" t="inlineStr">
        <is>
          <t>Conforms</t>
        </is>
      </c>
      <c r="U8" s="243" t="inlineStr">
        <is>
          <t>Conforms</t>
        </is>
      </c>
      <c r="V8" s="243" t="inlineStr">
        <is>
          <t>Conforms</t>
        </is>
      </c>
      <c r="W8" s="243" t="inlineStr">
        <is>
          <t>ППК25139, (22.05.2025) [CNP]</t>
        </is>
      </c>
      <c r="X8" s="243" t="inlineStr">
        <is>
          <t>—</t>
        </is>
      </c>
      <c r="Y8" s="243" t="inlineStr">
        <is>
          <t>—</t>
        </is>
      </c>
      <c r="Z8" s="243" t="inlineStr">
        <is>
          <t>—</t>
        </is>
      </c>
      <c r="AA8" s="243" t="inlineStr">
        <is>
          <t>P050022|I</t>
        </is>
      </c>
      <c r="AB8" s="250" t="inlineStr">
        <is>
          <t>registered — initial release,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GG1024_02</t>
        </is>
      </c>
      <c r="J9" s="243" t="inlineStr">
        <is>
          <t>P050012</t>
        </is>
      </c>
      <c r="K9" s="243" t="inlineStr">
        <is>
          <t>Gorilla Glue</t>
        </is>
      </c>
      <c r="L9" s="243" t="inlineStr">
        <is>
          <t>Ident A + Ident B + Foreign matter</t>
        </is>
      </c>
      <c r="M9" s="248" t="inlineStr">
        <is>
          <t>—</t>
        </is>
      </c>
      <c r="N9" s="243">
        <f>IFERROR(INDEX('CoQ Register'!$B:$B,MATCH("P050012|I",'CoQ Register'!$S:$S,0)),"—")</f>
        <v/>
      </c>
      <c r="O9" s="248" t="inlineStr">
        <is>
          <t>—</t>
        </is>
      </c>
      <c r="P9" s="243" t="inlineStr">
        <is>
          <t>30.05.2025</t>
        </is>
      </c>
      <c r="Q9" s="243" t="inlineStr">
        <is>
          <t>14.04.2025 – 15.04.2025</t>
        </is>
      </c>
      <c r="R9" s="243" t="inlineStr">
        <is>
          <t>11.06.2025 – 16.06.2025 (the issuance plan's basis: 30.05.2025)</t>
        </is>
      </c>
      <c r="S9" s="245">
        <f>IFERROR(INDEX('CoQ Register'!$D:$D,MATCH("P050012|I",'CoQ Register'!$S:$S,0)),"")</f>
        <v/>
      </c>
      <c r="T9" s="243" t="inlineStr">
        <is>
          <t>Conforms</t>
        </is>
      </c>
      <c r="U9" s="243" t="inlineStr">
        <is>
          <t>Conforms</t>
        </is>
      </c>
      <c r="V9" s="243" t="inlineStr">
        <is>
          <t>Conforms</t>
        </is>
      </c>
      <c r="W9" s="243" t="inlineStr">
        <is>
          <t>ППК25140, (22.05.2025) [CNP]</t>
        </is>
      </c>
      <c r="X9" s="243" t="inlineStr">
        <is>
          <t>—</t>
        </is>
      </c>
      <c r="Y9" s="243" t="inlineStr">
        <is>
          <t>—</t>
        </is>
      </c>
      <c r="Z9" s="243" t="inlineStr">
        <is>
          <t>—</t>
        </is>
      </c>
      <c r="AA9" s="243" t="inlineStr">
        <is>
          <t>P050012|I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MB0824_04</t>
        </is>
      </c>
      <c r="J10" s="243" t="inlineStr">
        <is>
          <t>P050032</t>
        </is>
      </c>
      <c r="K10" s="243" t="inlineStr">
        <is>
          <t>Motor Breath</t>
        </is>
      </c>
      <c r="L10" s="243" t="inlineStr">
        <is>
          <t>Ident A + Ident B + Foreign matter</t>
        </is>
      </c>
      <c r="M10" s="248" t="inlineStr">
        <is>
          <t>—</t>
        </is>
      </c>
      <c r="N10" s="243">
        <f>IFERROR(INDEX('CoQ Register'!$B:$B,MATCH("P050032|I",'CoQ Register'!$S:$S,0)),"—")</f>
        <v/>
      </c>
      <c r="O10" s="248" t="inlineStr">
        <is>
          <t>—</t>
        </is>
      </c>
      <c r="P10" s="243" t="inlineStr">
        <is>
          <t>07.05.2025</t>
        </is>
      </c>
      <c r="Q10" s="243" t="inlineStr">
        <is>
          <t>02.04.2025 – 03.04.2025</t>
        </is>
      </c>
      <c r="R10" s="243" t="inlineStr">
        <is>
          <t>16.06.2025 – 19.06.2025 (the issuance plan's basis: 07.05.2025)</t>
        </is>
      </c>
      <c r="S10" s="245">
        <f>IFERROR(INDEX('CoQ Register'!$D:$D,MATCH("P050032|I",'CoQ Register'!$S:$S,0)),"")</f>
        <v/>
      </c>
      <c r="T10" s="243" t="inlineStr">
        <is>
          <t>Conforms</t>
        </is>
      </c>
      <c r="U10" s="243" t="inlineStr">
        <is>
          <t>Conforms</t>
        </is>
      </c>
      <c r="V10" s="243" t="inlineStr">
        <is>
          <t>Conforms</t>
        </is>
      </c>
      <c r="W10" s="243" t="inlineStr">
        <is>
          <t>ППК25118, (06.05.2025) [CNP]</t>
        </is>
      </c>
      <c r="X10" s="243" t="inlineStr">
        <is>
          <t>—</t>
        </is>
      </c>
      <c r="Y10" s="243" t="inlineStr">
        <is>
          <t>—</t>
        </is>
      </c>
      <c r="Z10" s="243" t="inlineStr">
        <is>
          <t>—</t>
        </is>
      </c>
      <c r="AA10" s="243" t="inlineStr">
        <is>
          <t>P050032|I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HPA1024_01</t>
        </is>
      </c>
      <c r="J11" s="243" t="inlineStr">
        <is>
          <t>P050052</t>
        </is>
      </c>
      <c r="K11" s="243" t="inlineStr">
        <is>
          <t>High Pro Amnesia</t>
        </is>
      </c>
      <c r="L11" s="243" t="inlineStr">
        <is>
          <t>Ident A + Ident B + Foreign matter</t>
        </is>
      </c>
      <c r="M11" s="248" t="inlineStr">
        <is>
          <t>—</t>
        </is>
      </c>
      <c r="N11" s="243">
        <f>IFERROR(INDEX('CoQ Register'!$B:$B,MATCH("P050052|I",'CoQ Register'!$S:$S,0)),"—")</f>
        <v/>
      </c>
      <c r="O11" s="243" t="inlineStr">
        <is>
          <t>iCoA-PP-2025-0008</t>
        </is>
      </c>
      <c r="P11" s="243" t="inlineStr">
        <is>
          <t>27.06.2025</t>
        </is>
      </c>
      <c r="Q11" s="243" t="inlineStr">
        <is>
          <t>27.05.2025 – 28.05.2025</t>
        </is>
      </c>
      <c r="R11" s="243" t="inlineStr">
        <is>
          <t>27.06.2025 – 04.07.2025</t>
        </is>
      </c>
      <c r="S11" s="245">
        <f>IFERROR(INDEX('CoQ Register'!$D:$D,MATCH("P050052|I",'CoQ Register'!$S:$S,0)),"")</f>
        <v/>
      </c>
      <c r="T11" s="243" t="inlineStr">
        <is>
          <t>Conforms</t>
        </is>
      </c>
      <c r="U11" s="243" t="inlineStr">
        <is>
          <t>Conforms</t>
        </is>
      </c>
      <c r="V11" s="243" t="inlineStr">
        <is>
          <t>Conforms</t>
        </is>
      </c>
      <c r="W11" s="243" t="inlineStr">
        <is>
          <t>ППК25155, (24.06.2025) [CNP]</t>
        </is>
      </c>
      <c r="X11" s="243" t="inlineStr">
        <is>
          <t>—</t>
        </is>
      </c>
      <c r="Y11" s="243" t="inlineStr">
        <is>
          <t>—</t>
        </is>
      </c>
      <c r="Z11" s="243" t="inlineStr">
        <is>
          <t>—</t>
        </is>
      </c>
      <c r="AA11" s="243" t="inlineStr">
        <is>
          <t>P050052|I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OPM1024_02</t>
        </is>
      </c>
      <c r="J12" s="243" t="inlineStr">
        <is>
          <t>P050062</t>
        </is>
      </c>
      <c r="K12" s="243" t="inlineStr">
        <is>
          <t>Orange Punch Mimosa</t>
        </is>
      </c>
      <c r="L12" s="243" t="inlineStr">
        <is>
          <t>Ident A + Ident B + Foreign matter</t>
        </is>
      </c>
      <c r="M12" s="248" t="inlineStr">
        <is>
          <t>—</t>
        </is>
      </c>
      <c r="N12" s="243">
        <f>IFERROR(INDEX('CoQ Register'!$B:$B,MATCH("P050062|I",'CoQ Register'!$S:$S,0)),"—")</f>
        <v/>
      </c>
      <c r="O12" s="243" t="inlineStr">
        <is>
          <t>iCoA-PP-2025-0009</t>
        </is>
      </c>
      <c r="P12" s="243" t="inlineStr">
        <is>
          <t>04.07.2025</t>
        </is>
      </c>
      <c r="Q12" s="243" t="inlineStr">
        <is>
          <t>29.05.2025 – 30.05.2025</t>
        </is>
      </c>
      <c r="R12" s="243" t="inlineStr">
        <is>
          <t>04.07.2025 – 10.07.2025</t>
        </is>
      </c>
      <c r="S12" s="245">
        <f>IFERROR(INDEX('CoQ Register'!$D:$D,MATCH("P050062|I",'CoQ Register'!$S:$S,0)),"")</f>
        <v/>
      </c>
      <c r="T12" s="243" t="inlineStr">
        <is>
          <t>Conforms</t>
        </is>
      </c>
      <c r="U12" s="243" t="inlineStr">
        <is>
          <t>Conforms</t>
        </is>
      </c>
      <c r="V12" s="243" t="inlineStr">
        <is>
          <t>Conforms</t>
        </is>
      </c>
      <c r="W12" s="243" t="inlineStr">
        <is>
          <t>ППК25154, (24.06.2025) [CNP]</t>
        </is>
      </c>
      <c r="X12" s="243" t="inlineStr">
        <is>
          <t>—</t>
        </is>
      </c>
      <c r="Y12" s="243" t="inlineStr">
        <is>
          <t>—</t>
        </is>
      </c>
      <c r="Z12" s="243" t="inlineStr">
        <is>
          <t>—</t>
        </is>
      </c>
      <c r="AA12" s="243" t="inlineStr">
        <is>
          <t>P050062|I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GP0824_03</t>
        </is>
      </c>
      <c r="J13" s="243" t="inlineStr">
        <is>
          <t>P050072</t>
        </is>
      </c>
      <c r="K13" s="243" t="inlineStr">
        <is>
          <t>Grape Pie</t>
        </is>
      </c>
      <c r="L13" s="243" t="inlineStr">
        <is>
          <t>Ident A + Ident B + Foreign matter</t>
        </is>
      </c>
      <c r="M13" s="248" t="inlineStr">
        <is>
          <t>—</t>
        </is>
      </c>
      <c r="N13" s="243">
        <f>IFERROR(INDEX('CoQ Register'!$B:$B,MATCH("P050072|I",'CoQ Register'!$S:$S,0)),"—")</f>
        <v/>
      </c>
      <c r="O13" s="243" t="inlineStr">
        <is>
          <t>iCoA-PP-2025-0010</t>
        </is>
      </c>
      <c r="P13" s="243" t="inlineStr">
        <is>
          <t>14.07.2025</t>
        </is>
      </c>
      <c r="Q13" s="243" t="inlineStr">
        <is>
          <t>09.06.2025 – 10.06.2025</t>
        </is>
      </c>
      <c r="R13" s="243" t="inlineStr">
        <is>
          <t>14.07.2025 – 17.07.2025</t>
        </is>
      </c>
      <c r="S13" s="245">
        <f>IFERROR(INDEX('CoQ Register'!$D:$D,MATCH("P050072|I",'CoQ Register'!$S:$S,0)),"")</f>
        <v/>
      </c>
      <c r="T13" s="243" t="inlineStr">
        <is>
          <t>Conforms</t>
        </is>
      </c>
      <c r="U13" s="243" t="inlineStr">
        <is>
          <t>Conforms</t>
        </is>
      </c>
      <c r="V13" s="243" t="inlineStr">
        <is>
          <t>Conforms</t>
        </is>
      </c>
      <c r="W13" s="243" t="inlineStr">
        <is>
          <t>ППК25175, (10.07.2025) [CNP]</t>
        </is>
      </c>
      <c r="X13" s="243" t="inlineStr">
        <is>
          <t>—</t>
        </is>
      </c>
      <c r="Y13" s="243" t="inlineStr">
        <is>
          <t>—</t>
        </is>
      </c>
      <c r="Z13" s="243" t="inlineStr">
        <is>
          <t>—</t>
        </is>
      </c>
      <c r="AA13" s="243" t="inlineStr">
        <is>
          <t>P050072|I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OPM1024_03</t>
        </is>
      </c>
      <c r="J14" s="243" t="inlineStr">
        <is>
          <t>P050082</t>
        </is>
      </c>
      <c r="K14" s="243" t="inlineStr">
        <is>
          <t>Orange Punch Mimosa</t>
        </is>
      </c>
      <c r="L14" s="243" t="inlineStr">
        <is>
          <t>Ident A + Ident B + Foreign matter</t>
        </is>
      </c>
      <c r="M14" s="248" t="inlineStr">
        <is>
          <t>—</t>
        </is>
      </c>
      <c r="N14" s="243">
        <f>IFERROR(INDEX('CoQ Register'!$B:$B,MATCH("P050082|I",'CoQ Register'!$S:$S,0)),"—")</f>
        <v/>
      </c>
      <c r="O14" s="243" t="inlineStr">
        <is>
          <t>iCoA-PP-2025-0011</t>
        </is>
      </c>
      <c r="P14" s="243" t="inlineStr">
        <is>
          <t>22.07.2025</t>
        </is>
      </c>
      <c r="Q14" s="243" t="inlineStr">
        <is>
          <t>01.07.2025 – 02.07.2025</t>
        </is>
      </c>
      <c r="R14" s="243" t="inlineStr">
        <is>
          <t>22.07.2025 – 30.07.2025</t>
        </is>
      </c>
      <c r="S14" s="245">
        <f>IFERROR(INDEX('CoQ Register'!$D:$D,MATCH("P050082|I",'CoQ Register'!$S:$S,0)),"")</f>
        <v/>
      </c>
      <c r="T14" s="243" t="inlineStr">
        <is>
          <t>Conforms</t>
        </is>
      </c>
      <c r="U14" s="243" t="inlineStr">
        <is>
          <t>Conforms</t>
        </is>
      </c>
      <c r="V14" s="243" t="inlineStr">
        <is>
          <t>Conforms</t>
        </is>
      </c>
      <c r="W14" s="243" t="inlineStr">
        <is>
          <t>ППК25210, (28.07.2025) [CNP]</t>
        </is>
      </c>
      <c r="X14" s="243" t="inlineStr">
        <is>
          <t>—</t>
        </is>
      </c>
      <c r="Y14" s="243" t="inlineStr">
        <is>
          <t>—</t>
        </is>
      </c>
      <c r="Z14" s="243" t="inlineStr">
        <is>
          <t>—</t>
        </is>
      </c>
      <c r="AA14" s="243" t="inlineStr">
        <is>
          <t>P050082|I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GG1024_01</t>
        </is>
      </c>
      <c r="J15" s="243" t="inlineStr">
        <is>
          <t>P050092</t>
        </is>
      </c>
      <c r="K15" s="243" t="inlineStr">
        <is>
          <t>Gorilla Glue</t>
        </is>
      </c>
      <c r="L15" s="243" t="inlineStr">
        <is>
          <t>Ident A + Ident B + Foreign matter</t>
        </is>
      </c>
      <c r="M15" s="248" t="inlineStr">
        <is>
          <t>—</t>
        </is>
      </c>
      <c r="N15" s="243">
        <f>IFERROR(INDEX('CoQ Register'!$B:$B,MATCH("P050092|I",'CoQ Register'!$S:$S,0)),"—")</f>
        <v/>
      </c>
      <c r="O15" s="243" t="inlineStr">
        <is>
          <t>iCoA-PP-2025-0012</t>
        </is>
      </c>
      <c r="P15" s="243" t="inlineStr">
        <is>
          <t>31.07.2025</t>
        </is>
      </c>
      <c r="Q15" s="243" t="inlineStr">
        <is>
          <t>17.03.2025 – 18.03.2025</t>
        </is>
      </c>
      <c r="R15" s="243" t="inlineStr">
        <is>
          <t>31.07.2025 – 05.08.2025</t>
        </is>
      </c>
      <c r="S15" s="245">
        <f>IFERROR(INDEX('CoQ Register'!$D:$D,MATCH("P050092|I",'CoQ Register'!$S:$S,0)),"")</f>
        <v/>
      </c>
      <c r="T15" s="243" t="inlineStr">
        <is>
          <t>Conforms</t>
        </is>
      </c>
      <c r="U15" s="243" t="inlineStr">
        <is>
          <t>Conforms</t>
        </is>
      </c>
      <c r="V15" s="243" t="inlineStr">
        <is>
          <t>Conforms</t>
        </is>
      </c>
      <c r="W15" s="243" t="inlineStr">
        <is>
          <t>ППК25104, (17.04.2025) [CNP]</t>
        </is>
      </c>
      <c r="X15" s="243" t="inlineStr">
        <is>
          <t>—</t>
        </is>
      </c>
      <c r="Y15" s="243" t="inlineStr">
        <is>
          <t>—</t>
        </is>
      </c>
      <c r="Z15" s="243" t="inlineStr">
        <is>
          <t>—</t>
        </is>
      </c>
      <c r="AA15" s="243" t="inlineStr">
        <is>
          <t>P050092|I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GP0824_01</t>
        </is>
      </c>
      <c r="J16" s="243" t="inlineStr">
        <is>
          <t>P050102</t>
        </is>
      </c>
      <c r="K16" s="243" t="inlineStr">
        <is>
          <t>Grape Pie</t>
        </is>
      </c>
      <c r="L16" s="243" t="inlineStr">
        <is>
          <t>Ident A + Ident B + Foreign matter</t>
        </is>
      </c>
      <c r="M16" s="248" t="inlineStr">
        <is>
          <t>—</t>
        </is>
      </c>
      <c r="N16" s="243">
        <f>IFERROR(INDEX('CoQ Register'!$B:$B,MATCH("P050102|I",'CoQ Register'!$S:$S,0)),"—")</f>
        <v/>
      </c>
      <c r="O16" s="248" t="inlineStr">
        <is>
          <t>—</t>
        </is>
      </c>
      <c r="P16" s="243" t="inlineStr">
        <is>
          <t>17.04.2025</t>
        </is>
      </c>
      <c r="Q16" s="243" t="inlineStr">
        <is>
          <t>20.03.2025 – 21.03.2025</t>
        </is>
      </c>
      <c r="R16" s="243" t="inlineStr">
        <is>
          <t>05.08.2025 – 07.08.2025 (the issuance plan's basis: 17.04.2025)</t>
        </is>
      </c>
      <c r="S16" s="245">
        <f>IFERROR(INDEX('CoQ Register'!$D:$D,MATCH("P050102|I",'CoQ Register'!$S:$S,0)),"")</f>
        <v/>
      </c>
      <c r="T16" s="243" t="inlineStr">
        <is>
          <t>Conforms</t>
        </is>
      </c>
      <c r="U16" s="243" t="inlineStr">
        <is>
          <t>Conforms</t>
        </is>
      </c>
      <c r="V16" s="243" t="inlineStr">
        <is>
          <t>Conforms</t>
        </is>
      </c>
      <c r="W16" s="243" t="inlineStr">
        <is>
          <t>ППК25105, (17.04.2025) [CNP]</t>
        </is>
      </c>
      <c r="X16" s="243" t="inlineStr">
        <is>
          <t>—</t>
        </is>
      </c>
      <c r="Y16" s="243" t="inlineStr">
        <is>
          <t>—</t>
        </is>
      </c>
      <c r="Z16" s="243" t="inlineStr">
        <is>
          <t>—</t>
        </is>
      </c>
      <c r="AA16" s="243" t="inlineStr">
        <is>
          <t>P050102|I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MB0824_05</t>
        </is>
      </c>
      <c r="J17" s="243" t="inlineStr">
        <is>
          <t>P050112</t>
        </is>
      </c>
      <c r="K17" s="243" t="inlineStr">
        <is>
          <t>Motor Breath</t>
        </is>
      </c>
      <c r="L17" s="243" t="inlineStr">
        <is>
          <t>Ident A + Ident B + Foreign matter</t>
        </is>
      </c>
      <c r="M17" s="248" t="inlineStr">
        <is>
          <t>—</t>
        </is>
      </c>
      <c r="N17" s="243">
        <f>IFERROR(INDEX('CoQ Register'!$B:$B,MATCH("P050112|I",'CoQ Register'!$S:$S,0)),"—")</f>
        <v/>
      </c>
      <c r="O17" s="243" t="inlineStr">
        <is>
          <t>iCoA-PP-2025-0013</t>
        </is>
      </c>
      <c r="P17" s="243" t="inlineStr">
        <is>
          <t>25.08.2025</t>
        </is>
      </c>
      <c r="Q17" s="243" t="inlineStr">
        <is>
          <t>08.07.2025 – 09.07.2025</t>
        </is>
      </c>
      <c r="R17" s="243" t="inlineStr">
        <is>
          <t>25.08.2025 – 31.08.2025</t>
        </is>
      </c>
      <c r="S17" s="245">
        <f>IFERROR(INDEX('CoQ Register'!$D:$D,MATCH("P050112|I",'CoQ Register'!$S:$S,0)),"")</f>
        <v/>
      </c>
      <c r="T17" s="243" t="inlineStr">
        <is>
          <t>Conforms</t>
        </is>
      </c>
      <c r="U17" s="243" t="inlineStr">
        <is>
          <t>Conforms</t>
        </is>
      </c>
      <c r="V17" s="243" t="inlineStr">
        <is>
          <t>Conforms</t>
        </is>
      </c>
      <c r="W17" s="243" t="inlineStr">
        <is>
          <t>ППК25211, (28.07.2025) [CNP]</t>
        </is>
      </c>
      <c r="X17" s="243" t="inlineStr">
        <is>
          <t>—</t>
        </is>
      </c>
      <c r="Y17" s="243" t="inlineStr">
        <is>
          <t>—</t>
        </is>
      </c>
      <c r="Z17" s="243" t="inlineStr">
        <is>
          <t>—</t>
        </is>
      </c>
      <c r="AA17" s="243" t="inlineStr">
        <is>
          <t>P050112|I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OPM052501</t>
        </is>
      </c>
      <c r="J18" s="243" t="inlineStr">
        <is>
          <t>P050132</t>
        </is>
      </c>
      <c r="K18" s="243" t="inlineStr">
        <is>
          <t>Orange Punch Mimosa</t>
        </is>
      </c>
      <c r="L18" s="243" t="inlineStr">
        <is>
          <t>Ident A + Ident B + Foreign matter</t>
        </is>
      </c>
      <c r="M18" s="248" t="inlineStr">
        <is>
          <t>—</t>
        </is>
      </c>
      <c r="N18" s="243">
        <f>IFERROR(INDEX('CoQ Register'!$B:$B,MATCH("P050132|I",'CoQ Register'!$S:$S,0)),"—")</f>
        <v/>
      </c>
      <c r="O18" s="248" t="inlineStr">
        <is>
          <t>—</t>
        </is>
      </c>
      <c r="P18" s="243" t="inlineStr">
        <is>
          <t>05.09.2025</t>
        </is>
      </c>
      <c r="Q18" s="243" t="inlineStr">
        <is>
          <t>11.08.2025 – 13.08.2025</t>
        </is>
      </c>
      <c r="R18" s="243" t="inlineStr">
        <is>
          <t>09.09.2025 – 15.09.2025 (the issuance plan's basis: 05.09.2025)</t>
        </is>
      </c>
      <c r="S18" s="245">
        <f>IFERROR(INDEX('CoQ Register'!$D:$D,MATCH("P050132|I",'CoQ Register'!$S:$S,0)),"")</f>
        <v/>
      </c>
      <c r="T18" s="243" t="inlineStr">
        <is>
          <t>Conforms</t>
        </is>
      </c>
      <c r="U18" s="243" t="inlineStr">
        <is>
          <t>Conforms</t>
        </is>
      </c>
      <c r="V18" s="243" t="inlineStr">
        <is>
          <t>Conforms</t>
        </is>
      </c>
      <c r="W18" s="243" t="inlineStr">
        <is>
          <t>ППК25257, (05.09.2025) [CNP]</t>
        </is>
      </c>
      <c r="X18" s="243" t="inlineStr">
        <is>
          <t>—</t>
        </is>
      </c>
      <c r="Y18" s="243" t="inlineStr">
        <is>
          <t>—</t>
        </is>
      </c>
      <c r="Z18" s="243" t="inlineStr">
        <is>
          <t>—</t>
        </is>
      </c>
      <c r="AA18" s="243" t="inlineStr">
        <is>
          <t>P050132|I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GP052501</t>
        </is>
      </c>
      <c r="J19" s="243" t="inlineStr">
        <is>
          <t>P050152</t>
        </is>
      </c>
      <c r="K19" s="243" t="inlineStr">
        <is>
          <t>Grape Pie</t>
        </is>
      </c>
      <c r="L19" s="243" t="inlineStr">
        <is>
          <t>Ident A + Ident B + Foreign matter</t>
        </is>
      </c>
      <c r="M19" s="248" t="inlineStr">
        <is>
          <t>—</t>
        </is>
      </c>
      <c r="N19" s="243">
        <f>IFERROR(INDEX('CoQ Register'!$B:$B,MATCH("P050152|I",'CoQ Register'!$S:$S,0)),"—")</f>
        <v/>
      </c>
      <c r="O19" s="243" t="inlineStr">
        <is>
          <t>iCoA-PP-2025-0014</t>
        </is>
      </c>
      <c r="P19" s="243" t="inlineStr">
        <is>
          <t>25.09.2025</t>
        </is>
      </c>
      <c r="Q19" s="243" t="inlineStr">
        <is>
          <t>— not given —</t>
        </is>
      </c>
      <c r="R19" s="243" t="inlineStr">
        <is>
          <t>25.09.2025</t>
        </is>
      </c>
      <c r="S19" s="245">
        <f>IFERROR(INDEX('CoQ Register'!$D:$D,MATCH("P050152|I",'CoQ Register'!$S:$S,0)),"")</f>
        <v/>
      </c>
      <c r="T19" s="243" t="inlineStr">
        <is>
          <t>Conforms</t>
        </is>
      </c>
      <c r="U19" s="243" t="inlineStr">
        <is>
          <t>Conforms</t>
        </is>
      </c>
      <c r="V19" s="243" t="inlineStr">
        <is>
          <t>Conforms</t>
        </is>
      </c>
      <c r="W19" s="243" t="inlineStr">
        <is>
          <t>ППК25279, (19.09.2025) [CNP]</t>
        </is>
      </c>
      <c r="X19" s="243" t="inlineStr">
        <is>
          <t>—</t>
        </is>
      </c>
      <c r="Y19" s="243" t="inlineStr">
        <is>
          <t>—</t>
        </is>
      </c>
      <c r="Z19" s="243" t="inlineStr">
        <is>
          <t>—</t>
        </is>
      </c>
      <c r="AA19" s="243" t="inlineStr">
        <is>
          <t>P050152|I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BSS1024_01/2</t>
        </is>
      </c>
      <c r="J20" s="243" t="inlineStr">
        <is>
          <t>P050142</t>
        </is>
      </c>
      <c r="K20" s="243" t="inlineStr">
        <is>
          <t>Blue Sunset Sherbet</t>
        </is>
      </c>
      <c r="L20" s="243" t="inlineStr">
        <is>
          <t>Ident A + Ident B + Foreign matter</t>
        </is>
      </c>
      <c r="M20" s="248" t="inlineStr">
        <is>
          <t>—</t>
        </is>
      </c>
      <c r="N20" s="243">
        <f>IFERROR(INDEX('CoQ Register'!$B:$B,MATCH("P050142|I",'CoQ Register'!$S:$S,0)),"—")</f>
        <v/>
      </c>
      <c r="O20" s="248" t="inlineStr">
        <is>
          <t>—</t>
        </is>
      </c>
      <c r="P20" s="243" t="inlineStr">
        <is>
          <t>30.09.2025</t>
        </is>
      </c>
      <c r="Q20" s="243" t="inlineStr">
        <is>
          <t>— not given —</t>
        </is>
      </c>
      <c r="R20" s="243" t="inlineStr">
        <is>
          <t>30.09.2025</t>
        </is>
      </c>
      <c r="S20" s="245">
        <f>IFERROR(INDEX('CoQ Register'!$D:$D,MATCH("P050142|I",'CoQ Register'!$S:$S,0)),"")</f>
        <v/>
      </c>
      <c r="T20" s="243" t="inlineStr">
        <is>
          <t>Conforms</t>
        </is>
      </c>
      <c r="U20" s="243" t="inlineStr">
        <is>
          <t>Conforms</t>
        </is>
      </c>
      <c r="V20" s="243" t="inlineStr">
        <is>
          <t>Conforms</t>
        </is>
      </c>
      <c r="W20" s="243" t="inlineStr">
        <is>
          <t>— no cannabinoid certificate from the initial testing —</t>
        </is>
      </c>
      <c r="X20" s="243" t="inlineStr">
        <is>
          <t>—</t>
        </is>
      </c>
      <c r="Y20" s="243" t="inlineStr">
        <is>
          <t>—</t>
        </is>
      </c>
      <c r="Z20" s="243" t="inlineStr">
        <is>
          <t>—</t>
        </is>
      </c>
      <c r="AA20" s="243" t="inlineStr">
        <is>
          <t>P050142|I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CJ052501/01</t>
        </is>
      </c>
      <c r="J21" s="243" t="inlineStr">
        <is>
          <t>P050162</t>
        </is>
      </c>
      <c r="K21" s="243" t="inlineStr">
        <is>
          <t>Cap Junky</t>
        </is>
      </c>
      <c r="L21" s="243" t="inlineStr">
        <is>
          <t>Ident A + Ident B + Foreign matter</t>
        </is>
      </c>
      <c r="M21" s="248" t="inlineStr">
        <is>
          <t>—</t>
        </is>
      </c>
      <c r="N21" s="243">
        <f>IFERROR(INDEX('CoQ Register'!$B:$B,MATCH("P050162|I",'CoQ Register'!$S:$S,0)),"—")</f>
        <v/>
      </c>
      <c r="O21" s="243" t="inlineStr">
        <is>
          <t>iCoA-PP-2025-0015</t>
        </is>
      </c>
      <c r="P21" s="243" t="inlineStr">
        <is>
          <t>30.09.2025</t>
        </is>
      </c>
      <c r="Q21" s="243" t="inlineStr">
        <is>
          <t>20.08.2025</t>
        </is>
      </c>
      <c r="R21" s="243" t="inlineStr">
        <is>
          <t>30.09.2025 – 01.10.2025</t>
        </is>
      </c>
      <c r="S21" s="245">
        <f>IFERROR(INDEX('CoQ Register'!$D:$D,MATCH("P050162|I",'CoQ Register'!$S:$S,0)),"")</f>
        <v/>
      </c>
      <c r="T21" s="243" t="inlineStr">
        <is>
          <t>Conforms</t>
        </is>
      </c>
      <c r="U21" s="243" t="inlineStr">
        <is>
          <t>Conforms</t>
        </is>
      </c>
      <c r="V21" s="243" t="inlineStr">
        <is>
          <t>Conforms</t>
        </is>
      </c>
      <c r="W21" s="243" t="inlineStr">
        <is>
          <t>ППК25280, (17.09.2025) [CNP]</t>
        </is>
      </c>
      <c r="X21" s="243" t="inlineStr">
        <is>
          <t>—</t>
        </is>
      </c>
      <c r="Y21" s="243" t="inlineStr">
        <is>
          <t>—</t>
        </is>
      </c>
      <c r="Z21" s="243" t="inlineStr">
        <is>
          <t>—</t>
        </is>
      </c>
      <c r="AA21" s="243" t="inlineStr">
        <is>
          <t>P050162|I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CJ052501/02</t>
        </is>
      </c>
      <c r="J22" s="243" t="inlineStr">
        <is>
          <t>P050172</t>
        </is>
      </c>
      <c r="K22" s="243" t="inlineStr">
        <is>
          <t>Cap Junky</t>
        </is>
      </c>
      <c r="L22" s="243" t="inlineStr">
        <is>
          <t>Ident A + Ident B + Foreign matter</t>
        </is>
      </c>
      <c r="M22" s="248" t="inlineStr">
        <is>
          <t>—</t>
        </is>
      </c>
      <c r="N22" s="243">
        <f>IFERROR(INDEX('CoQ Register'!$B:$B,MATCH("P050172|I",'CoQ Register'!$S:$S,0)),"—")</f>
        <v/>
      </c>
      <c r="O22" s="248" t="inlineStr">
        <is>
          <t>—</t>
        </is>
      </c>
      <c r="P22" s="243" t="inlineStr">
        <is>
          <t>17.09.2025</t>
        </is>
      </c>
      <c r="Q22" s="243" t="inlineStr">
        <is>
          <t>20.08.2025</t>
        </is>
      </c>
      <c r="R22" s="243" t="inlineStr">
        <is>
          <t>01.10.2025 – 02.10.2025 (the issuance plan's basis: 17.09.2025)</t>
        </is>
      </c>
      <c r="S22" s="245">
        <f>IFERROR(INDEX('CoQ Register'!$D:$D,MATCH("P050172|I",'CoQ Register'!$S:$S,0)),"")</f>
        <v/>
      </c>
      <c r="T22" s="243" t="inlineStr">
        <is>
          <t>Conforms</t>
        </is>
      </c>
      <c r="U22" s="243" t="inlineStr">
        <is>
          <t>Conforms</t>
        </is>
      </c>
      <c r="V22" s="243" t="inlineStr">
        <is>
          <t>Conforms</t>
        </is>
      </c>
      <c r="W22" s="243" t="inlineStr">
        <is>
          <t>ППК25281, (17.09.2025) [CNP]</t>
        </is>
      </c>
      <c r="X22" s="243" t="inlineStr">
        <is>
          <t>—</t>
        </is>
      </c>
      <c r="Y22" s="243" t="inlineStr">
        <is>
          <t>—</t>
        </is>
      </c>
      <c r="Z22" s="243" t="inlineStr">
        <is>
          <t>—</t>
        </is>
      </c>
      <c r="AA22" s="243" t="inlineStr">
        <is>
          <t>P050172|I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HPA052501</t>
        </is>
      </c>
      <c r="J23" s="243" t="inlineStr">
        <is>
          <t>P050182</t>
        </is>
      </c>
      <c r="K23" s="243" t="inlineStr">
        <is>
          <t>High Pro Amnesia</t>
        </is>
      </c>
      <c r="L23" s="243" t="inlineStr">
        <is>
          <t>Ident A + Ident B + Foreign matter</t>
        </is>
      </c>
      <c r="M23" s="248" t="inlineStr">
        <is>
          <t>—</t>
        </is>
      </c>
      <c r="N23" s="243">
        <f>IFERROR(INDEX('CoQ Register'!$B:$B,MATCH("P050182|I",'CoQ Register'!$S:$S,0)),"—")</f>
        <v/>
      </c>
      <c r="O23" s="243" t="inlineStr">
        <is>
          <t>iCoA-PP-2025-0016</t>
        </is>
      </c>
      <c r="P23" s="243" t="inlineStr">
        <is>
          <t>03.10.2025</t>
        </is>
      </c>
      <c r="Q23" s="243" t="inlineStr">
        <is>
          <t>21.08.2025 – 23.08.2025</t>
        </is>
      </c>
      <c r="R23" s="243" t="inlineStr">
        <is>
          <t>03.10.2025 – 09.10.2025</t>
        </is>
      </c>
      <c r="S23" s="245">
        <f>IFERROR(INDEX('CoQ Register'!$D:$D,MATCH("P050182|I",'CoQ Register'!$S:$S,0)),"")</f>
        <v/>
      </c>
      <c r="T23" s="243" t="inlineStr">
        <is>
          <t>Conforms</t>
        </is>
      </c>
      <c r="U23" s="243" t="inlineStr">
        <is>
          <t>Conforms</t>
        </is>
      </c>
      <c r="V23" s="243" t="inlineStr">
        <is>
          <t>Conforms</t>
        </is>
      </c>
      <c r="W23" s="243" t="inlineStr">
        <is>
          <t>ППК25278, (19.09.2025) [CNP]</t>
        </is>
      </c>
      <c r="X23" s="243" t="inlineStr">
        <is>
          <t>—</t>
        </is>
      </c>
      <c r="Y23" s="243" t="inlineStr">
        <is>
          <t>—</t>
        </is>
      </c>
      <c r="Z23" s="243" t="inlineStr">
        <is>
          <t>—</t>
        </is>
      </c>
      <c r="AA23" s="243" t="inlineStr">
        <is>
          <t>P050182|I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BSS052501</t>
        </is>
      </c>
      <c r="J24" s="243" t="inlineStr">
        <is>
          <t>P050192</t>
        </is>
      </c>
      <c r="K24" s="243" t="inlineStr">
        <is>
          <t>Blue Sunset Sherbet</t>
        </is>
      </c>
      <c r="L24" s="243" t="inlineStr">
        <is>
          <t>Ident A + Ident B + #4 + #5 + Foreign matter + #8</t>
        </is>
      </c>
      <c r="M24" s="248" t="inlineStr">
        <is>
          <t>—</t>
        </is>
      </c>
      <c r="N24" s="243">
        <f>IFERROR(INDEX('CoQ Register'!$B:$B,MATCH("P050192|I",'CoQ Register'!$S:$S,0)),"—")</f>
        <v/>
      </c>
      <c r="O24" s="243" t="inlineStr">
        <is>
          <t>iCoA-PP-2025-0017</t>
        </is>
      </c>
      <c r="P24" s="243" t="inlineStr">
        <is>
          <t>10.10.2025</t>
        </is>
      </c>
      <c r="Q24" s="243" t="inlineStr">
        <is>
          <t>01.09.2025 – 03.09.2025</t>
        </is>
      </c>
      <c r="R24" s="243" t="inlineStr">
        <is>
          <t>10.10.2025 – 21.10.2025</t>
        </is>
      </c>
      <c r="S24" s="245">
        <f>IFERROR(INDEX('CoQ Register'!$D:$D,MATCH("P050192|I",'CoQ Register'!$S:$S,0)),"")</f>
        <v/>
      </c>
      <c r="T24" s="243" t="inlineStr">
        <is>
          <t>Conforms</t>
        </is>
      </c>
      <c r="U24" s="243" t="inlineStr">
        <is>
          <t>Conforms</t>
        </is>
      </c>
      <c r="V24" s="243" t="inlineStr">
        <is>
          <t>Conforms</t>
        </is>
      </c>
      <c r="W24" s="243" t="inlineStr">
        <is>
          <t>NGP-QCG-SOP-024 F3, (28.11.2025) [NGP]</t>
        </is>
      </c>
      <c r="X24" s="243" t="inlineStr">
        <is>
          <t>—</t>
        </is>
      </c>
      <c r="Y24" s="243" t="inlineStr">
        <is>
          <t>—</t>
        </is>
      </c>
      <c r="Z24" s="243" t="inlineStr">
        <is>
          <t>—</t>
        </is>
      </c>
      <c r="AA24" s="243" t="inlineStr">
        <is>
          <t>P050192|I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GP062501</t>
        </is>
      </c>
      <c r="J25" s="243" t="inlineStr">
        <is>
          <t>P050202</t>
        </is>
      </c>
      <c r="K25" s="243" t="inlineStr">
        <is>
          <t>Grape Pie</t>
        </is>
      </c>
      <c r="L25" s="243" t="inlineStr">
        <is>
          <t>Ident A + Ident B + #4 + #5 + Foreign matter + #8</t>
        </is>
      </c>
      <c r="M25" s="248" t="inlineStr">
        <is>
          <t>—</t>
        </is>
      </c>
      <c r="N25" s="243">
        <f>IFERROR(INDEX('CoQ Register'!$B:$B,MATCH("P050202|I",'CoQ Register'!$S:$S,0)),"—")</f>
        <v/>
      </c>
      <c r="O25" s="248" t="inlineStr">
        <is>
          <t>—</t>
        </is>
      </c>
      <c r="P25" s="243" t="inlineStr">
        <is>
          <t>11.05.2026</t>
        </is>
      </c>
      <c r="Q25" s="243" t="inlineStr">
        <is>
          <t>15.09.2025 – 17.09.2025</t>
        </is>
      </c>
      <c r="R25" s="243" t="inlineStr">
        <is>
          <t>30.10.2025 – 07.11.2025 (the issuance plan's basis: 11.05.2026)</t>
        </is>
      </c>
      <c r="S25" s="245">
        <f>IFERROR(INDEX('CoQ Register'!$D:$D,MATCH("P050202|I",'CoQ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P050202|I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CJ062501/2</t>
        </is>
      </c>
      <c r="J26" s="243" t="inlineStr">
        <is>
          <t>P050212</t>
        </is>
      </c>
      <c r="K26" s="243" t="inlineStr">
        <is>
          <t>Cap Junky</t>
        </is>
      </c>
      <c r="L26" s="243" t="inlineStr">
        <is>
          <t>Ident A + Ident B + Foreign matter</t>
        </is>
      </c>
      <c r="M26" s="248" t="inlineStr">
        <is>
          <t>—</t>
        </is>
      </c>
      <c r="N26" s="243">
        <f>IFERROR(INDEX('CoQ Register'!$B:$B,MATCH("P050212|I",'CoQ Register'!$S:$S,0)),"—")</f>
        <v/>
      </c>
      <c r="O26" s="248" t="inlineStr">
        <is>
          <t>—</t>
        </is>
      </c>
      <c r="P26" s="243" t="inlineStr">
        <is>
          <t>24.01.2026</t>
        </is>
      </c>
      <c r="Q26" s="243" t="inlineStr">
        <is>
          <t>23.09.2025 – 24.09.2025</t>
        </is>
      </c>
      <c r="R26" s="243" t="inlineStr">
        <is>
          <t>18.11.2025 – 24.11.2025 (the issuance plan's basis: 24.01.2026)</t>
        </is>
      </c>
      <c r="S26" s="245">
        <f>IFERROR(INDEX('CoQ Register'!$D:$D,MATCH("P050212|I",'CoQ Register'!$S:$S,0)),"")</f>
        <v/>
      </c>
      <c r="T26" s="243" t="inlineStr">
        <is>
          <t>Conforms</t>
        </is>
      </c>
      <c r="U26" s="243" t="inlineStr">
        <is>
          <t>Conforms</t>
        </is>
      </c>
      <c r="V26" s="243" t="inlineStr">
        <is>
          <t>Conforms</t>
        </is>
      </c>
      <c r="W26" s="243" t="inlineStr">
        <is>
          <t>ППК25322, (23.10.2025) [CNP]</t>
        </is>
      </c>
      <c r="X26" s="243" t="inlineStr">
        <is>
          <t>—</t>
        </is>
      </c>
      <c r="Y26" s="243" t="inlineStr">
        <is>
          <t>—</t>
        </is>
      </c>
      <c r="Z26" s="243" t="inlineStr">
        <is>
          <t>—</t>
        </is>
      </c>
      <c r="AA26" s="243" t="inlineStr">
        <is>
          <t>P050212|I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CJ062501/1</t>
        </is>
      </c>
      <c r="J27" s="243" t="inlineStr">
        <is>
          <t>P050222</t>
        </is>
      </c>
      <c r="K27" s="243" t="inlineStr">
        <is>
          <t>Cap Junky</t>
        </is>
      </c>
      <c r="L27" s="243" t="inlineStr">
        <is>
          <t>Ident A + Ident B + Foreign matter</t>
        </is>
      </c>
      <c r="M27" s="248" t="inlineStr">
        <is>
          <t>—</t>
        </is>
      </c>
      <c r="N27" s="243">
        <f>IFERROR(INDEX('CoQ Register'!$B:$B,MATCH("P050222|I",'CoQ Register'!$S:$S,0)),"—")</f>
        <v/>
      </c>
      <c r="O27" s="243" t="inlineStr">
        <is>
          <t>iCoA-PP-2025-0018</t>
        </is>
      </c>
      <c r="P27" s="243" t="inlineStr">
        <is>
          <t>24.11.2025</t>
        </is>
      </c>
      <c r="Q27" s="243" t="inlineStr">
        <is>
          <t>23.09.2025</t>
        </is>
      </c>
      <c r="R27" s="243" t="inlineStr">
        <is>
          <t>24.11.2025 – 25.11.2025</t>
        </is>
      </c>
      <c r="S27" s="245">
        <f>IFERROR(INDEX('CoQ Register'!$D:$D,MATCH("P050222|I",'CoQ Register'!$S:$S,0)),"")</f>
        <v/>
      </c>
      <c r="T27" s="243" t="inlineStr">
        <is>
          <t>Conforms</t>
        </is>
      </c>
      <c r="U27" s="243" t="inlineStr">
        <is>
          <t>Conforms</t>
        </is>
      </c>
      <c r="V27" s="243" t="inlineStr">
        <is>
          <t>Conforms</t>
        </is>
      </c>
      <c r="W27" s="243" t="inlineStr">
        <is>
          <t>ППК25321, (23.10.2025) [CNP]</t>
        </is>
      </c>
      <c r="X27" s="243" t="inlineStr">
        <is>
          <t>—</t>
        </is>
      </c>
      <c r="Y27" s="243" t="inlineStr">
        <is>
          <t>—</t>
        </is>
      </c>
      <c r="Z27" s="243" t="inlineStr">
        <is>
          <t>—</t>
        </is>
      </c>
      <c r="AA27" s="243" t="inlineStr">
        <is>
          <t>P050222|I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CJ072501</t>
        </is>
      </c>
      <c r="J28" s="243" t="inlineStr">
        <is>
          <t>P050252</t>
        </is>
      </c>
      <c r="K28" s="243" t="inlineStr">
        <is>
          <t>Cap Junky</t>
        </is>
      </c>
      <c r="L28" s="243" t="inlineStr">
        <is>
          <t>Ident A + Ident B + Foreign matter</t>
        </is>
      </c>
      <c r="M28" s="248" t="inlineStr">
        <is>
          <t>—</t>
        </is>
      </c>
      <c r="N28" s="243">
        <f>IFERROR(INDEX('CoQ Register'!$B:$B,MATCH("P050252|I",'CoQ Register'!$S:$S,0)),"—")</f>
        <v/>
      </c>
      <c r="O28" s="248" t="inlineStr">
        <is>
          <t>—</t>
        </is>
      </c>
      <c r="P28" s="243" t="inlineStr">
        <is>
          <t>02.12.2025</t>
        </is>
      </c>
      <c r="Q28" s="243" t="inlineStr">
        <is>
          <t>27.10.2025</t>
        </is>
      </c>
      <c r="R28" s="243" t="inlineStr">
        <is>
          <t>27.11.2025 – 28.11.2025 (the issuance plan's basis: 02.12.2025)</t>
        </is>
      </c>
      <c r="S28" s="245">
        <f>IFERROR(INDEX('CoQ Register'!$D:$D,MATCH("P050252|I",'CoQ Register'!$S:$S,0)),"")</f>
        <v/>
      </c>
      <c r="T28" s="243" t="inlineStr">
        <is>
          <t>Conforms</t>
        </is>
      </c>
      <c r="U28" s="243" t="inlineStr">
        <is>
          <t>Conforms</t>
        </is>
      </c>
      <c r="V28" s="243" t="inlineStr">
        <is>
          <t>Conforms</t>
        </is>
      </c>
      <c r="W28" s="243" t="inlineStr">
        <is>
          <t>ППК25367, (28.11.2025) [CNP]</t>
        </is>
      </c>
      <c r="X28" s="243" t="inlineStr">
        <is>
          <t>—</t>
        </is>
      </c>
      <c r="Y28" s="243" t="inlineStr">
        <is>
          <t>—</t>
        </is>
      </c>
      <c r="Z28" s="243" t="inlineStr">
        <is>
          <t>—</t>
        </is>
      </c>
      <c r="AA28" s="243" t="inlineStr">
        <is>
          <t>P050252|I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WC072501</t>
        </is>
      </c>
      <c r="J29" s="243" t="inlineStr">
        <is>
          <t>P050262</t>
        </is>
      </c>
      <c r="K29" s="243" t="inlineStr">
        <is>
          <t>Wedding Crusher</t>
        </is>
      </c>
      <c r="L29" s="243" t="inlineStr">
        <is>
          <t>Ident A + Ident B + Foreign matter</t>
        </is>
      </c>
      <c r="M29" s="248" t="inlineStr">
        <is>
          <t>—</t>
        </is>
      </c>
      <c r="N29" s="243">
        <f>IFERROR(INDEX('CoQ Register'!$B:$B,MATCH("P050262|I",'CoQ Register'!$S:$S,0)),"—")</f>
        <v/>
      </c>
      <c r="O29" s="248" t="inlineStr">
        <is>
          <t>—</t>
        </is>
      </c>
      <c r="P29" s="243" t="inlineStr">
        <is>
          <t>02.12.2025</t>
        </is>
      </c>
      <c r="Q29" s="243" t="inlineStr">
        <is>
          <t>27.10.2025 – 28.10.2025</t>
        </is>
      </c>
      <c r="R29" s="243" t="inlineStr">
        <is>
          <t>01.12.2025 (the issuance plan's basis: 02.12.2025)</t>
        </is>
      </c>
      <c r="S29" s="245">
        <f>IFERROR(INDEX('CoQ Register'!$D:$D,MATCH("P050262|I",'CoQ Register'!$S:$S,0)),"")</f>
        <v/>
      </c>
      <c r="T29" s="243" t="inlineStr">
        <is>
          <t>Conforms</t>
        </is>
      </c>
      <c r="U29" s="243" t="inlineStr">
        <is>
          <t>Conforms</t>
        </is>
      </c>
      <c r="V29" s="243" t="inlineStr">
        <is>
          <t>Conforms</t>
        </is>
      </c>
      <c r="W29" s="243" t="inlineStr">
        <is>
          <t>ППК25369, (28.11.2025) [CNP]</t>
        </is>
      </c>
      <c r="X29" s="243" t="inlineStr">
        <is>
          <t>—</t>
        </is>
      </c>
      <c r="Y29" s="243" t="inlineStr">
        <is>
          <t>—</t>
        </is>
      </c>
      <c r="Z29" s="243" t="inlineStr">
        <is>
          <t>—</t>
        </is>
      </c>
      <c r="AA29" s="243" t="inlineStr">
        <is>
          <t>P050262|I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PM072501</t>
        </is>
      </c>
      <c r="J30" s="243" t="inlineStr">
        <is>
          <t>P050272</t>
        </is>
      </c>
      <c r="K30" s="243" t="inlineStr">
        <is>
          <t>Permanent Marker</t>
        </is>
      </c>
      <c r="L30" s="243" t="inlineStr">
        <is>
          <t>Ident A + Ident B + Foreign matter</t>
        </is>
      </c>
      <c r="M30" s="248" t="inlineStr">
        <is>
          <t>—</t>
        </is>
      </c>
      <c r="N30" s="243">
        <f>IFERROR(INDEX('CoQ Register'!$B:$B,MATCH("P050272|I",'CoQ Register'!$S:$S,0)),"—")</f>
        <v/>
      </c>
      <c r="O30" s="248" t="inlineStr">
        <is>
          <t>—</t>
        </is>
      </c>
      <c r="P30" s="243" t="inlineStr">
        <is>
          <t>21.01.2026</t>
        </is>
      </c>
      <c r="Q30" s="243" t="inlineStr">
        <is>
          <t>27.10.2025</t>
        </is>
      </c>
      <c r="R30" s="243" t="inlineStr">
        <is>
          <t>02.12.2025 – 03.12.2025 (the issuance plan's basis: 21.01.2026)</t>
        </is>
      </c>
      <c r="S30" s="245">
        <f>IFERROR(INDEX('CoQ Register'!$D:$D,MATCH("P050272|I",'CoQ Register'!$S:$S,0)),"")</f>
        <v/>
      </c>
      <c r="T30" s="243" t="inlineStr">
        <is>
          <t>Conforms</t>
        </is>
      </c>
      <c r="U30" s="243" t="inlineStr">
        <is>
          <t>Conforms</t>
        </is>
      </c>
      <c r="V30" s="243" t="inlineStr">
        <is>
          <t>Conforms</t>
        </is>
      </c>
      <c r="W30" s="243" t="inlineStr">
        <is>
          <t>ППК25368, (28.11.2025) [CNP]</t>
        </is>
      </c>
      <c r="X30" s="243" t="inlineStr">
        <is>
          <t>—</t>
        </is>
      </c>
      <c r="Y30" s="243" t="inlineStr">
        <is>
          <t>—</t>
        </is>
      </c>
      <c r="Z30" s="243" t="inlineStr">
        <is>
          <t>—</t>
        </is>
      </c>
      <c r="AA30" s="243" t="inlineStr">
        <is>
          <t>P050272|I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CLE072501</t>
        </is>
      </c>
      <c r="J31" s="243" t="inlineStr">
        <is>
          <t>P050282</t>
        </is>
      </c>
      <c r="K31" s="243" t="inlineStr">
        <is>
          <t>Clemosa A Bud</t>
        </is>
      </c>
      <c r="L31" s="243" t="inlineStr">
        <is>
          <t>Ident A + Ident B + Foreign matter</t>
        </is>
      </c>
      <c r="M31" s="248" t="inlineStr">
        <is>
          <t>—</t>
        </is>
      </c>
      <c r="N31" s="243">
        <f>IFERROR(INDEX('CoQ Register'!$B:$B,MATCH("P050282|I",'CoQ Register'!$S:$S,0)),"—")</f>
        <v/>
      </c>
      <c r="O31" s="243" t="inlineStr">
        <is>
          <t>iCoA-PP-2025-0019</t>
        </is>
      </c>
      <c r="P31" s="243" t="inlineStr">
        <is>
          <t>03.12.2025</t>
        </is>
      </c>
      <c r="Q31" s="243" t="inlineStr">
        <is>
          <t>28.10.2025</t>
        </is>
      </c>
      <c r="R31" s="243" t="inlineStr">
        <is>
          <t>03.12.2025 – 04.12.2025</t>
        </is>
      </c>
      <c r="S31" s="245">
        <f>IFERROR(INDEX('CoQ Register'!$D:$D,MATCH("P050282|I",'CoQ Register'!$S:$S,0)),"")</f>
        <v/>
      </c>
      <c r="T31" s="243" t="inlineStr">
        <is>
          <t>Conforms</t>
        </is>
      </c>
      <c r="U31" s="243" t="inlineStr">
        <is>
          <t>Conforms</t>
        </is>
      </c>
      <c r="V31" s="243" t="inlineStr">
        <is>
          <t>Conforms</t>
        </is>
      </c>
      <c r="W31" s="243" t="inlineStr">
        <is>
          <t>ППК25370, (28.11.2025) [CNP]</t>
        </is>
      </c>
      <c r="X31" s="243" t="inlineStr">
        <is>
          <t>—</t>
        </is>
      </c>
      <c r="Y31" s="243" t="inlineStr">
        <is>
          <t>—</t>
        </is>
      </c>
      <c r="Z31" s="243" t="inlineStr">
        <is>
          <t>—</t>
        </is>
      </c>
      <c r="AA31" s="243" t="inlineStr">
        <is>
          <t>P050282|I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GP072501/1</t>
        </is>
      </c>
      <c r="J32" s="243" t="inlineStr">
        <is>
          <t>P050292</t>
        </is>
      </c>
      <c r="K32" s="243" t="inlineStr">
        <is>
          <t>Grape Pie</t>
        </is>
      </c>
      <c r="L32" s="243" t="inlineStr">
        <is>
          <t>Ident A + Ident B + Foreign matter</t>
        </is>
      </c>
      <c r="M32" s="248" t="inlineStr">
        <is>
          <t>—</t>
        </is>
      </c>
      <c r="N32" s="243">
        <f>IFERROR(INDEX('CoQ Register'!$B:$B,MATCH("P050292|I",'CoQ Register'!$S:$S,0)),"—")</f>
        <v/>
      </c>
      <c r="O32" s="248" t="inlineStr">
        <is>
          <t>—</t>
        </is>
      </c>
      <c r="P32" s="243" t="inlineStr">
        <is>
          <t>21.01.2026</t>
        </is>
      </c>
      <c r="Q32" s="243" t="inlineStr">
        <is>
          <t>11.11.2025 – 13.11.2025</t>
        </is>
      </c>
      <c r="R32" s="243" t="inlineStr">
        <is>
          <t>15.12.2025 – 21.12.2025 (the issuance plan's basis: 21.01.2026)</t>
        </is>
      </c>
      <c r="S32" s="245">
        <f>IFERROR(INDEX('CoQ Register'!$D:$D,MATCH("P050292|I",'CoQ Register'!$S:$S,0)),"")</f>
        <v/>
      </c>
      <c r="T32" s="243" t="inlineStr">
        <is>
          <t>Conforms</t>
        </is>
      </c>
      <c r="U32" s="243" t="inlineStr">
        <is>
          <t>Conforms</t>
        </is>
      </c>
      <c r="V32" s="243" t="inlineStr">
        <is>
          <t>Conforms</t>
        </is>
      </c>
      <c r="W32" s="243" t="inlineStr">
        <is>
          <t>ППК25378, (12.12.2025) [CNP]</t>
        </is>
      </c>
      <c r="X32" s="243" t="inlineStr">
        <is>
          <t>—</t>
        </is>
      </c>
      <c r="Y32" s="243" t="inlineStr">
        <is>
          <t>—</t>
        </is>
      </c>
      <c r="Z32" s="243" t="inlineStr">
        <is>
          <t>—</t>
        </is>
      </c>
      <c r="AA32" s="243" t="inlineStr">
        <is>
          <t>P050292|I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GP072501/2</t>
        </is>
      </c>
      <c r="J33" s="243" t="inlineStr">
        <is>
          <t>P050302</t>
        </is>
      </c>
      <c r="K33" s="243" t="inlineStr">
        <is>
          <t>Grape Pie</t>
        </is>
      </c>
      <c r="L33" s="243" t="inlineStr">
        <is>
          <t>Ident A + Ident B + Foreign matter</t>
        </is>
      </c>
      <c r="M33" s="248" t="inlineStr">
        <is>
          <t>—</t>
        </is>
      </c>
      <c r="N33" s="243">
        <f>IFERROR(INDEX('CoQ Register'!$B:$B,MATCH("P050302|I",'CoQ Register'!$S:$S,0)),"—")</f>
        <v/>
      </c>
      <c r="O33" s="243" t="inlineStr">
        <is>
          <t>iCoA-PP-2025-0020</t>
        </is>
      </c>
      <c r="P33" s="243" t="inlineStr">
        <is>
          <t>22.12.2025</t>
        </is>
      </c>
      <c r="Q33" s="243" t="inlineStr">
        <is>
          <t>13.11.2025</t>
        </is>
      </c>
      <c r="R33" s="243" t="inlineStr">
        <is>
          <t>22.12.2025</t>
        </is>
      </c>
      <c r="S33" s="245">
        <f>IFERROR(INDEX('CoQ Register'!$D:$D,MATCH("P050302|I",'CoQ Register'!$S:$S,0)),"")</f>
        <v/>
      </c>
      <c r="T33" s="243" t="inlineStr">
        <is>
          <t>Conforms</t>
        </is>
      </c>
      <c r="U33" s="243" t="inlineStr">
        <is>
          <t>Conforms</t>
        </is>
      </c>
      <c r="V33" s="243" t="inlineStr">
        <is>
          <t>Conforms</t>
        </is>
      </c>
      <c r="W33" s="243" t="inlineStr">
        <is>
          <t>ППК25379, (12.12.2025) [CNP]</t>
        </is>
      </c>
      <c r="X33" s="243" t="inlineStr">
        <is>
          <t>—</t>
        </is>
      </c>
      <c r="Y33" s="243" t="inlineStr">
        <is>
          <t>—</t>
        </is>
      </c>
      <c r="Z33" s="243" t="inlineStr">
        <is>
          <t>—</t>
        </is>
      </c>
      <c r="AA33" s="243" t="inlineStr">
        <is>
          <t>P050302|I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GP082501/1</t>
        </is>
      </c>
      <c r="J34" s="243" t="inlineStr">
        <is>
          <t>P050312</t>
        </is>
      </c>
      <c r="K34" s="243" t="inlineStr">
        <is>
          <t>Grape Pie</t>
        </is>
      </c>
      <c r="L34" s="243" t="inlineStr">
        <is>
          <t>Ident A + Ident B + Foreign matter</t>
        </is>
      </c>
      <c r="M34" s="248" t="inlineStr">
        <is>
          <t>—</t>
        </is>
      </c>
      <c r="N34" s="243">
        <f>IFERROR(INDEX('CoQ Register'!$B:$B,MATCH("P050312|I",'CoQ Register'!$S:$S,0)),"—")</f>
        <v/>
      </c>
      <c r="O34" s="243" t="inlineStr">
        <is>
          <t>iCoA-PP-2025-0021</t>
        </is>
      </c>
      <c r="P34" s="243" t="inlineStr">
        <is>
          <t>23.12.2025</t>
        </is>
      </c>
      <c r="Q34" s="243" t="inlineStr">
        <is>
          <t>19.11.2025 – 20.11.2025</t>
        </is>
      </c>
      <c r="R34" s="243" t="inlineStr">
        <is>
          <t>23.12.2025 – 26.12.2025</t>
        </is>
      </c>
      <c r="S34" s="245">
        <f>IFERROR(INDEX('CoQ Register'!$D:$D,MATCH("P050312|I",'CoQ Register'!$S:$S,0)),"")</f>
        <v/>
      </c>
      <c r="T34" s="243" t="inlineStr">
        <is>
          <t>Conforms</t>
        </is>
      </c>
      <c r="U34" s="243" t="inlineStr">
        <is>
          <t>Conforms</t>
        </is>
      </c>
      <c r="V34" s="243" t="inlineStr">
        <is>
          <t>Conforms</t>
        </is>
      </c>
      <c r="W34" s="243" t="inlineStr">
        <is>
          <t>ППК25380, (12.12.2025) [CNP]</t>
        </is>
      </c>
      <c r="X34" s="243" t="inlineStr">
        <is>
          <t>—</t>
        </is>
      </c>
      <c r="Y34" s="243" t="inlineStr">
        <is>
          <t>—</t>
        </is>
      </c>
      <c r="Z34" s="243" t="inlineStr">
        <is>
          <t>—</t>
        </is>
      </c>
      <c r="AA34" s="243" t="inlineStr">
        <is>
          <t>P050312|I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GP082501/2</t>
        </is>
      </c>
      <c r="J35" s="243" t="inlineStr">
        <is>
          <t>P050322</t>
        </is>
      </c>
      <c r="K35" s="243" t="inlineStr">
        <is>
          <t>Grape Pie</t>
        </is>
      </c>
      <c r="L35" s="243" t="inlineStr">
        <is>
          <t>Ident A + Ident B + Foreign matter</t>
        </is>
      </c>
      <c r="M35" s="248" t="inlineStr">
        <is>
          <t>—</t>
        </is>
      </c>
      <c r="N35" s="243">
        <f>IFERROR(INDEX('CoQ Register'!$B:$B,MATCH("P050322|I",'CoQ Register'!$S:$S,0)),"—")</f>
        <v/>
      </c>
      <c r="O35" s="243" t="inlineStr">
        <is>
          <t>iCoA-PP-2025-0022</t>
        </is>
      </c>
      <c r="P35" s="243" t="inlineStr">
        <is>
          <t>26.12.2025</t>
        </is>
      </c>
      <c r="Q35" s="243" t="inlineStr">
        <is>
          <t>20.11.2025</t>
        </is>
      </c>
      <c r="R35" s="243" t="inlineStr">
        <is>
          <t>26.12.2025</t>
        </is>
      </c>
      <c r="S35" s="245">
        <f>IFERROR(INDEX('CoQ Register'!$D:$D,MATCH("P050322|I",'CoQ Register'!$S:$S,0)),"")</f>
        <v/>
      </c>
      <c r="T35" s="243" t="inlineStr">
        <is>
          <t>Conforms</t>
        </is>
      </c>
      <c r="U35" s="243" t="inlineStr">
        <is>
          <t>Conforms</t>
        </is>
      </c>
      <c r="V35" s="243" t="inlineStr">
        <is>
          <t>Conforms</t>
        </is>
      </c>
      <c r="W35" s="243" t="inlineStr">
        <is>
          <t>ППК25381, (12.12.2025) [CNP]</t>
        </is>
      </c>
      <c r="X35" s="243" t="inlineStr">
        <is>
          <t>—</t>
        </is>
      </c>
      <c r="Y35" s="243" t="inlineStr">
        <is>
          <t>—</t>
        </is>
      </c>
      <c r="Z35" s="243" t="inlineStr">
        <is>
          <t>—</t>
        </is>
      </c>
      <c r="AA35" s="243" t="inlineStr">
        <is>
          <t>P050322|I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WC082501</t>
        </is>
      </c>
      <c r="J36" s="243" t="inlineStr">
        <is>
          <t>P060012</t>
        </is>
      </c>
      <c r="K36" s="243" t="inlineStr">
        <is>
          <t>Wedding Crusher</t>
        </is>
      </c>
      <c r="L36" s="243" t="inlineStr">
        <is>
          <t>Ident A + Ident B + Foreign matter</t>
        </is>
      </c>
      <c r="M36" s="248" t="inlineStr">
        <is>
          <t>—</t>
        </is>
      </c>
      <c r="N36" s="243">
        <f>IFERROR(INDEX('CoQ Register'!$B:$B,MATCH("P060012|I",'CoQ Register'!$S:$S,0)),"—")</f>
        <v/>
      </c>
      <c r="O36" s="243" t="inlineStr">
        <is>
          <t>iCoA-PP-2026-0001</t>
        </is>
      </c>
      <c r="P36" s="243" t="inlineStr">
        <is>
          <t>13.01.2026</t>
        </is>
      </c>
      <c r="Q36" s="243" t="inlineStr">
        <is>
          <t>09.12.2025</t>
        </is>
      </c>
      <c r="R36" s="243" t="inlineStr">
        <is>
          <t>13.01.2026 – 14.01.2026</t>
        </is>
      </c>
      <c r="S36" s="245">
        <f>IFERROR(INDEX('CoQ Register'!$D:$D,MATCH("P060012|I",'CoQ Register'!$S:$S,0)),"")</f>
        <v/>
      </c>
      <c r="T36" s="243" t="inlineStr">
        <is>
          <t>Conforms</t>
        </is>
      </c>
      <c r="U36" s="243" t="inlineStr">
        <is>
          <t>Conforms</t>
        </is>
      </c>
      <c r="V36" s="243" t="inlineStr">
        <is>
          <t>Conforms</t>
        </is>
      </c>
      <c r="W36" s="243" t="inlineStr">
        <is>
          <t>ППК26001, (21.01.2026) [CNP]</t>
        </is>
      </c>
      <c r="X36" s="243" t="inlineStr">
        <is>
          <t>—</t>
        </is>
      </c>
      <c r="Y36" s="243" t="inlineStr">
        <is>
          <t>—</t>
        </is>
      </c>
      <c r="Z36" s="243" t="inlineStr">
        <is>
          <t>—</t>
        </is>
      </c>
      <c r="AA36" s="243" t="inlineStr">
        <is>
          <t>P060012|I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CJ082501/1</t>
        </is>
      </c>
      <c r="J37" s="243" t="inlineStr">
        <is>
          <t>P060022</t>
        </is>
      </c>
      <c r="K37" s="243" t="inlineStr">
        <is>
          <t>Cap Junky</t>
        </is>
      </c>
      <c r="L37" s="243" t="inlineStr">
        <is>
          <t>Ident A + Ident B + Foreign matter</t>
        </is>
      </c>
      <c r="M37" s="248" t="inlineStr">
        <is>
          <t>—</t>
        </is>
      </c>
      <c r="N37" s="243">
        <f>IFERROR(INDEX('CoQ Register'!$B:$B,MATCH("P060022|I",'CoQ Register'!$S:$S,0)),"—")</f>
        <v/>
      </c>
      <c r="O37" s="243" t="inlineStr">
        <is>
          <t>iCoA-PP-2026-0002</t>
        </is>
      </c>
      <c r="P37" s="243" t="inlineStr">
        <is>
          <t>16.01.2026</t>
        </is>
      </c>
      <c r="Q37" s="243" t="inlineStr">
        <is>
          <t>09.12.2025 – 10.12.2025</t>
        </is>
      </c>
      <c r="R37" s="243" t="inlineStr">
        <is>
          <t>16.01.2026</t>
        </is>
      </c>
      <c r="S37" s="245">
        <f>IFERROR(INDEX('CoQ Register'!$D:$D,MATCH("P060022|I",'CoQ Register'!$S:$S,0)),"")</f>
        <v/>
      </c>
      <c r="T37" s="243" t="inlineStr">
        <is>
          <t>Conforms</t>
        </is>
      </c>
      <c r="U37" s="243" t="inlineStr">
        <is>
          <t>Conforms</t>
        </is>
      </c>
      <c r="V37" s="243" t="inlineStr">
        <is>
          <t>Conforms</t>
        </is>
      </c>
      <c r="W37" s="243" t="inlineStr">
        <is>
          <t>ППК26002, (21.01.2026) [CNP]</t>
        </is>
      </c>
      <c r="X37" s="243" t="inlineStr">
        <is>
          <t>—</t>
        </is>
      </c>
      <c r="Y37" s="243" t="inlineStr">
        <is>
          <t>—</t>
        </is>
      </c>
      <c r="Z37" s="243" t="inlineStr">
        <is>
          <t>—</t>
        </is>
      </c>
      <c r="AA37" s="243" t="inlineStr">
        <is>
          <t>P060022|I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CJ082501/2</t>
        </is>
      </c>
      <c r="J38" s="243" t="inlineStr">
        <is>
          <t>P060032</t>
        </is>
      </c>
      <c r="K38" s="243" t="inlineStr">
        <is>
          <t>Cap Junky</t>
        </is>
      </c>
      <c r="L38" s="243" t="inlineStr">
        <is>
          <t>Ident A + Ident B + Foreign matter</t>
        </is>
      </c>
      <c r="M38" s="248" t="inlineStr">
        <is>
          <t>—</t>
        </is>
      </c>
      <c r="N38" s="243">
        <f>IFERROR(INDEX('CoQ Register'!$B:$B,MATCH("P060032|I",'CoQ Register'!$S:$S,0)),"—")</f>
        <v/>
      </c>
      <c r="O38" s="243" t="inlineStr">
        <is>
          <t>iCoA-PP-2026-0003</t>
        </is>
      </c>
      <c r="P38" s="243" t="inlineStr">
        <is>
          <t>29.01.2026</t>
        </is>
      </c>
      <c r="Q38" s="243" t="inlineStr">
        <is>
          <t>10.12.2025</t>
        </is>
      </c>
      <c r="R38" s="243" t="inlineStr">
        <is>
          <t>29.01.2026</t>
        </is>
      </c>
      <c r="S38" s="245">
        <f>IFERROR(INDEX('CoQ Register'!$D:$D,MATCH("P060032|I",'CoQ Register'!$S:$S,0)),"")</f>
        <v/>
      </c>
      <c r="T38" s="243" t="inlineStr">
        <is>
          <t>Conforms</t>
        </is>
      </c>
      <c r="U38" s="243" t="inlineStr">
        <is>
          <t>Conforms</t>
        </is>
      </c>
      <c r="V38" s="243" t="inlineStr">
        <is>
          <t>Conforms</t>
        </is>
      </c>
      <c r="W38" s="243" t="inlineStr">
        <is>
          <t>ППК26003, (21.01.2026) [CNP]</t>
        </is>
      </c>
      <c r="X38" s="243" t="inlineStr">
        <is>
          <t>—</t>
        </is>
      </c>
      <c r="Y38" s="243" t="inlineStr">
        <is>
          <t>—</t>
        </is>
      </c>
      <c r="Z38" s="243" t="inlineStr">
        <is>
          <t>—</t>
        </is>
      </c>
      <c r="AA38" s="243" t="inlineStr">
        <is>
          <t>P060032|I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OPM092501</t>
        </is>
      </c>
      <c r="J39" s="243" t="inlineStr">
        <is>
          <t>P060042</t>
        </is>
      </c>
      <c r="K39" s="243" t="inlineStr">
        <is>
          <t>Orange Punch Mimosa</t>
        </is>
      </c>
      <c r="L39" s="243" t="inlineStr">
        <is>
          <t>Ident A + Ident B + Foreign matter</t>
        </is>
      </c>
      <c r="M39" s="248" t="inlineStr">
        <is>
          <t>—</t>
        </is>
      </c>
      <c r="N39" s="243">
        <f>IFERROR(INDEX('CoQ Register'!$B:$B,MATCH("P060042|I",'CoQ Register'!$S:$S,0)),"—")</f>
        <v/>
      </c>
      <c r="O39" s="243" t="inlineStr">
        <is>
          <t>iCoA-PP-2026-0004</t>
        </is>
      </c>
      <c r="P39" s="243" t="inlineStr">
        <is>
          <t>29.01.2026</t>
        </is>
      </c>
      <c r="Q39" s="243" t="inlineStr">
        <is>
          <t>12.12.2025</t>
        </is>
      </c>
      <c r="R39" s="243" t="inlineStr">
        <is>
          <t>29.01.2026</t>
        </is>
      </c>
      <c r="S39" s="245">
        <f>IFERROR(INDEX('CoQ Register'!$D:$D,MATCH("P060042|I",'CoQ Register'!$S:$S,0)),"")</f>
        <v/>
      </c>
      <c r="T39" s="243" t="inlineStr">
        <is>
          <t>Conforms</t>
        </is>
      </c>
      <c r="U39" s="243" t="inlineStr">
        <is>
          <t>Conforms</t>
        </is>
      </c>
      <c r="V39" s="243" t="inlineStr">
        <is>
          <t>Conforms</t>
        </is>
      </c>
      <c r="W39" s="243" t="inlineStr">
        <is>
          <t>ППК26008, (21.01.2026) [CNP]</t>
        </is>
      </c>
      <c r="X39" s="243" t="inlineStr">
        <is>
          <t>—</t>
        </is>
      </c>
      <c r="Y39" s="243" t="inlineStr">
        <is>
          <t>—</t>
        </is>
      </c>
      <c r="Z39" s="243" t="inlineStr">
        <is>
          <t>—</t>
        </is>
      </c>
      <c r="AA39" s="243" t="inlineStr">
        <is>
          <t>P060042|I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AB092501</t>
        </is>
      </c>
      <c r="J40" s="243" t="inlineStr">
        <is>
          <t>P060052</t>
        </is>
      </c>
      <c r="K40" s="243" t="inlineStr">
        <is>
          <t>Apple and Banana</t>
        </is>
      </c>
      <c r="L40" s="243" t="inlineStr">
        <is>
          <t>Ident A + Ident B + Foreign matter</t>
        </is>
      </c>
      <c r="M40" s="248" t="inlineStr">
        <is>
          <t>—</t>
        </is>
      </c>
      <c r="N40" s="243">
        <f>IFERROR(INDEX('CoQ Register'!$B:$B,MATCH("P060052|I",'CoQ Register'!$S:$S,0)),"—")</f>
        <v/>
      </c>
      <c r="O40" s="248" t="inlineStr">
        <is>
          <t>—</t>
        </is>
      </c>
      <c r="P40" s="243" t="inlineStr">
        <is>
          <t>20.02.2026</t>
        </is>
      </c>
      <c r="Q40" s="243" t="inlineStr">
        <is>
          <t>11.12.2025</t>
        </is>
      </c>
      <c r="R40" s="243" t="inlineStr">
        <is>
          <t>30.01.2026 (the issuance plan's basis: 20.02.2026)</t>
        </is>
      </c>
      <c r="S40" s="245">
        <f>IFERROR(INDEX('CoQ Register'!$D:$D,MATCH("P060052|I",'CoQ Register'!$S:$S,0)),"")</f>
        <v/>
      </c>
      <c r="T40" s="243" t="inlineStr">
        <is>
          <t>Conforms</t>
        </is>
      </c>
      <c r="U40" s="243" t="inlineStr">
        <is>
          <t>Conforms</t>
        </is>
      </c>
      <c r="V40" s="243" t="inlineStr">
        <is>
          <t>Conforms</t>
        </is>
      </c>
      <c r="W40" s="243" t="inlineStr">
        <is>
          <t>ППК26005, (21.01.2026) [CNP]</t>
        </is>
      </c>
      <c r="X40" s="243" t="inlineStr">
        <is>
          <t>—</t>
        </is>
      </c>
      <c r="Y40" s="243" t="inlineStr">
        <is>
          <t>—</t>
        </is>
      </c>
      <c r="Z40" s="243" t="inlineStr">
        <is>
          <t>—</t>
        </is>
      </c>
      <c r="AA40" s="243" t="inlineStr">
        <is>
          <t>P060052|I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PM092501</t>
        </is>
      </c>
      <c r="J41" s="243" t="inlineStr">
        <is>
          <t>P060062</t>
        </is>
      </c>
      <c r="K41" s="243" t="inlineStr">
        <is>
          <t>Permanent Marker</t>
        </is>
      </c>
      <c r="L41" s="243" t="inlineStr">
        <is>
          <t>Ident A + Ident B + Foreign matter</t>
        </is>
      </c>
      <c r="M41" s="248" t="inlineStr">
        <is>
          <t>—</t>
        </is>
      </c>
      <c r="N41" s="243">
        <f>IFERROR(INDEX('CoQ Register'!$B:$B,MATCH("P060062|I",'CoQ Register'!$S:$S,0)),"—")</f>
        <v/>
      </c>
      <c r="O41" s="243" t="inlineStr">
        <is>
          <t>iCoA-PP-2026-0005</t>
        </is>
      </c>
      <c r="P41" s="243" t="inlineStr">
        <is>
          <t>30.01.2026</t>
        </is>
      </c>
      <c r="Q41" s="243" t="inlineStr">
        <is>
          <t>11.12.2025</t>
        </is>
      </c>
      <c r="R41" s="243" t="inlineStr">
        <is>
          <t>30.01.2026</t>
        </is>
      </c>
      <c r="S41" s="245">
        <f>IFERROR(INDEX('CoQ Register'!$D:$D,MATCH("P060062|I",'CoQ Register'!$S:$S,0)),"")</f>
        <v/>
      </c>
      <c r="T41" s="243" t="inlineStr">
        <is>
          <t>Conforms</t>
        </is>
      </c>
      <c r="U41" s="243" t="inlineStr">
        <is>
          <t>Conforms</t>
        </is>
      </c>
      <c r="V41" s="243" t="inlineStr">
        <is>
          <t>Conforms</t>
        </is>
      </c>
      <c r="W41" s="243" t="inlineStr">
        <is>
          <t>ППК26004, (21.01.2026) [CNP]</t>
        </is>
      </c>
      <c r="X41" s="243" t="inlineStr">
        <is>
          <t>—</t>
        </is>
      </c>
      <c r="Y41" s="243" t="inlineStr">
        <is>
          <t>—</t>
        </is>
      </c>
      <c r="Z41" s="243" t="inlineStr">
        <is>
          <t>—</t>
        </is>
      </c>
      <c r="AA41" s="243" t="inlineStr">
        <is>
          <t>P060062|I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CJ092501</t>
        </is>
      </c>
      <c r="J42" s="243" t="inlineStr">
        <is>
          <t>P060072</t>
        </is>
      </c>
      <c r="K42" s="243" t="inlineStr">
        <is>
          <t>Cap Junky</t>
        </is>
      </c>
      <c r="L42" s="243" t="inlineStr">
        <is>
          <t>Ident A + Ident B + Foreign matter</t>
        </is>
      </c>
      <c r="M42" s="248" t="inlineStr">
        <is>
          <t>—</t>
        </is>
      </c>
      <c r="N42" s="243">
        <f>IFERROR(INDEX('CoQ Register'!$B:$B,MATCH("P060072|I",'CoQ Register'!$S:$S,0)),"—")</f>
        <v/>
      </c>
      <c r="O42" s="243" t="inlineStr">
        <is>
          <t>iCoA-PP-2026-0006</t>
        </is>
      </c>
      <c r="P42" s="243" t="inlineStr">
        <is>
          <t>02.02.2026</t>
        </is>
      </c>
      <c r="Q42" s="243" t="inlineStr">
        <is>
          <t>12.12.2025</t>
        </is>
      </c>
      <c r="R42" s="243" t="inlineStr">
        <is>
          <t>02.02.2026</t>
        </is>
      </c>
      <c r="S42" s="245">
        <f>IFERROR(INDEX('CoQ Register'!$D:$D,MATCH("P060072|I",'CoQ Register'!$S:$S,0)),"")</f>
        <v/>
      </c>
      <c r="T42" s="243" t="inlineStr">
        <is>
          <t>Conforms</t>
        </is>
      </c>
      <c r="U42" s="243" t="inlineStr">
        <is>
          <t>Conforms</t>
        </is>
      </c>
      <c r="V42" s="243" t="inlineStr">
        <is>
          <t>Conforms</t>
        </is>
      </c>
      <c r="W42" s="243" t="inlineStr">
        <is>
          <t>ППК26007, (21.01.2026) [CNP]</t>
        </is>
      </c>
      <c r="X42" s="243" t="inlineStr">
        <is>
          <t>—</t>
        </is>
      </c>
      <c r="Y42" s="243" t="inlineStr">
        <is>
          <t>—</t>
        </is>
      </c>
      <c r="Z42" s="243" t="inlineStr">
        <is>
          <t>—</t>
        </is>
      </c>
      <c r="AA42" s="243" t="inlineStr">
        <is>
          <t>P060072|I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SJ0925021</t>
        </is>
      </c>
      <c r="J43" s="243" t="inlineStr">
        <is>
          <t>P060082</t>
        </is>
      </c>
      <c r="K43" s="243" t="inlineStr">
        <is>
          <t>Sleepy Joe</t>
        </is>
      </c>
      <c r="L43" s="243" t="inlineStr">
        <is>
          <t>Ident A + Ident B + Foreign matter</t>
        </is>
      </c>
      <c r="M43" s="248" t="inlineStr">
        <is>
          <t>—</t>
        </is>
      </c>
      <c r="N43" s="243">
        <f>IFERROR(INDEX('CoQ Register'!$B:$B,MATCH("P060082|I",'CoQ Register'!$S:$S,0)),"—")</f>
        <v/>
      </c>
      <c r="O43" s="243" t="inlineStr">
        <is>
          <t>iCoA-PP-2026-0007</t>
        </is>
      </c>
      <c r="P43" s="243" t="inlineStr">
        <is>
          <t>02.02.2026</t>
        </is>
      </c>
      <c r="Q43" s="243" t="inlineStr">
        <is>
          <t>11.12.2025 – 12.12.2025</t>
        </is>
      </c>
      <c r="R43" s="243" t="inlineStr">
        <is>
          <t>02.02.2026</t>
        </is>
      </c>
      <c r="S43" s="245">
        <f>IFERROR(INDEX('CoQ Register'!$D:$D,MATCH("P060082|I",'CoQ Register'!$S:$S,0)),"")</f>
        <v/>
      </c>
      <c r="T43" s="243" t="inlineStr">
        <is>
          <t>Conforms</t>
        </is>
      </c>
      <c r="U43" s="243" t="inlineStr">
        <is>
          <t>Conforms</t>
        </is>
      </c>
      <c r="V43" s="243" t="inlineStr">
        <is>
          <t>Conforms</t>
        </is>
      </c>
      <c r="W43" s="243" t="inlineStr">
        <is>
          <t>ППК26006, (21.01.2026) [CNP]</t>
        </is>
      </c>
      <c r="X43" s="243" t="inlineStr">
        <is>
          <t>—</t>
        </is>
      </c>
      <c r="Y43" s="243" t="inlineStr">
        <is>
          <t>—</t>
        </is>
      </c>
      <c r="Z43" s="243" t="inlineStr">
        <is>
          <t>—</t>
        </is>
      </c>
      <c r="AA43" s="243" t="inlineStr">
        <is>
          <t>P060082|I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GP092501</t>
        </is>
      </c>
      <c r="J44" s="243" t="inlineStr">
        <is>
          <t>P060092</t>
        </is>
      </c>
      <c r="K44" s="243" t="inlineStr">
        <is>
          <t>Grape Pie</t>
        </is>
      </c>
      <c r="L44" s="243" t="inlineStr">
        <is>
          <t>Ident A + Ident B + Foreign matter</t>
        </is>
      </c>
      <c r="M44" s="248" t="inlineStr">
        <is>
          <t>—</t>
        </is>
      </c>
      <c r="N44" s="243">
        <f>IFERROR(INDEX('CoQ Register'!$B:$B,MATCH("P060092|I",'CoQ Register'!$S:$S,0)),"—")</f>
        <v/>
      </c>
      <c r="O44" s="243" t="inlineStr">
        <is>
          <t>iCoA-PP-2026-0008</t>
        </is>
      </c>
      <c r="P44" s="243" t="inlineStr">
        <is>
          <t>03.02.2026</t>
        </is>
      </c>
      <c r="Q44" s="243" t="inlineStr">
        <is>
          <t>16.12.2025 – 17.12.2025</t>
        </is>
      </c>
      <c r="R44" s="243" t="inlineStr">
        <is>
          <t>03.02.2026 – 09.02.2026</t>
        </is>
      </c>
      <c r="S44" s="245">
        <f>IFERROR(INDEX('CoQ Register'!$D:$D,MATCH("P060092|I",'CoQ Register'!$S:$S,0)),"")</f>
        <v/>
      </c>
      <c r="T44" s="243" t="inlineStr">
        <is>
          <t>Conforms</t>
        </is>
      </c>
      <c r="U44" s="243" t="inlineStr">
        <is>
          <t>Conforms</t>
        </is>
      </c>
      <c r="V44" s="243" t="inlineStr">
        <is>
          <t>Conforms</t>
        </is>
      </c>
      <c r="W44" s="243" t="inlineStr">
        <is>
          <t>ППК26009, (21.01.2026) [CNP]</t>
        </is>
      </c>
      <c r="X44" s="243" t="inlineStr">
        <is>
          <t>—</t>
        </is>
      </c>
      <c r="Y44" s="243" t="inlineStr">
        <is>
          <t>—</t>
        </is>
      </c>
      <c r="Z44" s="243" t="inlineStr">
        <is>
          <t>—</t>
        </is>
      </c>
      <c r="AA44" s="243" t="inlineStr">
        <is>
          <t>P060092|I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WED102501</t>
        </is>
      </c>
      <c r="J45" s="243" t="inlineStr">
        <is>
          <t>P060102</t>
        </is>
      </c>
      <c r="K45" s="243" t="inlineStr">
        <is>
          <t>Wedding Cake</t>
        </is>
      </c>
      <c r="L45" s="243" t="inlineStr">
        <is>
          <t>Ident A + Ident B + Foreign matter</t>
        </is>
      </c>
      <c r="M45" s="248" t="inlineStr">
        <is>
          <t>—</t>
        </is>
      </c>
      <c r="N45" s="243">
        <f>IFERROR(INDEX('CoQ Register'!$B:$B,MATCH("P060102|I",'CoQ Register'!$S:$S,0)),"—")</f>
        <v/>
      </c>
      <c r="O45" s="248" t="inlineStr">
        <is>
          <t>—</t>
        </is>
      </c>
      <c r="P45" s="243" t="inlineStr">
        <is>
          <t>16.02.2026</t>
        </is>
      </c>
      <c r="Q45" s="243" t="inlineStr">
        <is>
          <t>08.01.2026</t>
        </is>
      </c>
      <c r="R45" s="243" t="inlineStr">
        <is>
          <t>16.02.2026</t>
        </is>
      </c>
      <c r="S45" s="245">
        <f>IFERROR(INDEX('CoQ Register'!$D:$D,MATCH("P060102|I",'CoQ Register'!$S:$S,0)),"")</f>
        <v/>
      </c>
      <c r="T45" s="243" t="inlineStr">
        <is>
          <t>Conforms</t>
        </is>
      </c>
      <c r="U45" s="243" t="inlineStr">
        <is>
          <t>Conforms</t>
        </is>
      </c>
      <c r="V45" s="243" t="inlineStr">
        <is>
          <t>Conforms</t>
        </is>
      </c>
      <c r="W45" s="243" t="inlineStr">
        <is>
          <t>— no cannabinoid certificate from the initial testing —</t>
        </is>
      </c>
      <c r="X45" s="243" t="inlineStr">
        <is>
          <t>—</t>
        </is>
      </c>
      <c r="Y45" s="243" t="inlineStr">
        <is>
          <t>—</t>
        </is>
      </c>
      <c r="Z45" s="243" t="inlineStr">
        <is>
          <t>—</t>
        </is>
      </c>
      <c r="AA45" s="243" t="inlineStr">
        <is>
          <t>P060102|I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PUM102501</t>
        </is>
      </c>
      <c r="J46" s="243" t="inlineStr">
        <is>
          <t>P060112</t>
        </is>
      </c>
      <c r="K46" s="243" t="inlineStr">
        <is>
          <t>Pure Michigen</t>
        </is>
      </c>
      <c r="L46" s="243" t="inlineStr">
        <is>
          <t>Ident A + Ident B + Foreign matter</t>
        </is>
      </c>
      <c r="M46" s="248" t="inlineStr">
        <is>
          <t>—</t>
        </is>
      </c>
      <c r="N46" s="243">
        <f>IFERROR(INDEX('CoQ Register'!$B:$B,MATCH("P060112|I",'CoQ Register'!$S:$S,0)),"—")</f>
        <v/>
      </c>
      <c r="O46" s="243" t="inlineStr">
        <is>
          <t>iCoA-PP-2026-0009</t>
        </is>
      </c>
      <c r="P46" s="243" t="inlineStr">
        <is>
          <t>17.02.2026</t>
        </is>
      </c>
      <c r="Q46" s="243" t="inlineStr">
        <is>
          <t>08.01.2026 – 09.01.2026</t>
        </is>
      </c>
      <c r="R46" s="243" t="inlineStr">
        <is>
          <t>17.02.2026</t>
        </is>
      </c>
      <c r="S46" s="245">
        <f>IFERROR(INDEX('CoQ Register'!$D:$D,MATCH("P060112|I",'CoQ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P060112|I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ACC102501</t>
        </is>
      </c>
      <c r="J47" s="243" t="inlineStr">
        <is>
          <t>P060122</t>
        </is>
      </c>
      <c r="K47" s="243" t="inlineStr">
        <is>
          <t>Amnesia Core Cut</t>
        </is>
      </c>
      <c r="L47" s="243" t="inlineStr">
        <is>
          <t>Ident A + Ident B + Foreign matter</t>
        </is>
      </c>
      <c r="M47" s="248" t="inlineStr">
        <is>
          <t>—</t>
        </is>
      </c>
      <c r="N47" s="243">
        <f>IFERROR(INDEX('CoQ Register'!$B:$B,MATCH("P060122|I",'CoQ Register'!$S:$S,0)),"—")</f>
        <v/>
      </c>
      <c r="O47" s="243" t="inlineStr">
        <is>
          <t>iCoA-PP-2026-0010</t>
        </is>
      </c>
      <c r="P47" s="243" t="inlineStr">
        <is>
          <t>18.02.2026</t>
        </is>
      </c>
      <c r="Q47" s="243" t="inlineStr">
        <is>
          <t>09.01.2026</t>
        </is>
      </c>
      <c r="R47" s="243" t="inlineStr">
        <is>
          <t>18.02.2026 – 19.02.2026</t>
        </is>
      </c>
      <c r="S47" s="245">
        <f>IFERROR(INDEX('CoQ Register'!$D:$D,MATCH("P060122|I",'CoQ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P060122|I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CF102501</t>
        </is>
      </c>
      <c r="J48" s="243" t="inlineStr">
        <is>
          <t>P060132</t>
        </is>
      </c>
      <c r="K48" s="243" t="inlineStr">
        <is>
          <t>Chem Flyer</t>
        </is>
      </c>
      <c r="L48" s="243" t="inlineStr">
        <is>
          <t>Ident A + Ident B + Foreign matter</t>
        </is>
      </c>
      <c r="M48" s="248" t="inlineStr">
        <is>
          <t>—</t>
        </is>
      </c>
      <c r="N48" s="243">
        <f>IFERROR(INDEX('CoQ Register'!$B:$B,MATCH("P060132|I",'CoQ Register'!$S:$S,0)),"—")</f>
        <v/>
      </c>
      <c r="O48" s="243" t="inlineStr">
        <is>
          <t>iCoA-PP-2026-0011</t>
        </is>
      </c>
      <c r="P48" s="243" t="inlineStr">
        <is>
          <t>19.02.2026</t>
        </is>
      </c>
      <c r="Q48" s="243" t="inlineStr">
        <is>
          <t>09.01.2026</t>
        </is>
      </c>
      <c r="R48" s="243" t="inlineStr">
        <is>
          <t>19.02.2026 – 20.02.2026</t>
        </is>
      </c>
      <c r="S48" s="245">
        <f>IFERROR(INDEX('CoQ Register'!$D:$D,MATCH("P060132|I",'CoQ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P060132|I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GRC102501</t>
        </is>
      </c>
      <c r="J49" s="243" t="inlineStr">
        <is>
          <t>P060142</t>
        </is>
      </c>
      <c r="K49" s="243" t="inlineStr">
        <is>
          <t>Grapes And Cream</t>
        </is>
      </c>
      <c r="L49" s="243" t="inlineStr">
        <is>
          <t>Ident A + Ident B + Foreign matter</t>
        </is>
      </c>
      <c r="M49" s="248" t="inlineStr">
        <is>
          <t>—</t>
        </is>
      </c>
      <c r="N49" s="243">
        <f>IFERROR(INDEX('CoQ Register'!$B:$B,MATCH("P060142|I",'CoQ Register'!$S:$S,0)),"—")</f>
        <v/>
      </c>
      <c r="O49" s="248" t="inlineStr">
        <is>
          <t>—</t>
        </is>
      </c>
      <c r="P49" s="243" t="inlineStr">
        <is>
          <t>23.02.2026</t>
        </is>
      </c>
      <c r="Q49" s="243" t="inlineStr">
        <is>
          <t>09.01.2026</t>
        </is>
      </c>
      <c r="R49" s="243" t="inlineStr">
        <is>
          <t>23.02.2026</t>
        </is>
      </c>
      <c r="S49" s="245">
        <f>IFERROR(INDEX('CoQ Register'!$D:$D,MATCH("P060142|I",'CoQ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P060142|I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J31102501</t>
        </is>
      </c>
      <c r="J50" s="243" t="inlineStr">
        <is>
          <t>P060152</t>
        </is>
      </c>
      <c r="K50" s="243" t="inlineStr">
        <is>
          <t>Jokerz 31</t>
        </is>
      </c>
      <c r="L50" s="243" t="inlineStr">
        <is>
          <t>Ident A + Ident B + Foreign matter</t>
        </is>
      </c>
      <c r="M50" s="248" t="inlineStr">
        <is>
          <t>—</t>
        </is>
      </c>
      <c r="N50" s="243">
        <f>IFERROR(INDEX('CoQ Register'!$B:$B,MATCH("P060152|I",'CoQ Register'!$S:$S,0)),"—")</f>
        <v/>
      </c>
      <c r="O50" s="243" t="inlineStr">
        <is>
          <t>iCoA-PP-2026-0012</t>
        </is>
      </c>
      <c r="P50" s="243" t="inlineStr">
        <is>
          <t>05.03.2026</t>
        </is>
      </c>
      <c r="Q50" s="243" t="inlineStr">
        <is>
          <t>21.01.2026</t>
        </is>
      </c>
      <c r="R50" s="243" t="inlineStr">
        <is>
          <t>05.03.2026</t>
        </is>
      </c>
      <c r="S50" s="245">
        <f>IFERROR(INDEX('CoQ Register'!$D:$D,MATCH("P060152|I",'CoQ Register'!$S:$S,0)),"")</f>
        <v/>
      </c>
      <c r="T50" s="243" t="inlineStr">
        <is>
          <t>Conforms</t>
        </is>
      </c>
      <c r="U50" s="243" t="inlineStr">
        <is>
          <t>Conforms</t>
        </is>
      </c>
      <c r="V50" s="243" t="inlineStr">
        <is>
          <t>Conforms</t>
        </is>
      </c>
      <c r="W50" s="243" t="inlineStr">
        <is>
          <t>051-1-K-26, (04.03.2026) [FHM-K]</t>
        </is>
      </c>
      <c r="X50" s="243" t="inlineStr">
        <is>
          <t>—</t>
        </is>
      </c>
      <c r="Y50" s="243" t="inlineStr">
        <is>
          <t>—</t>
        </is>
      </c>
      <c r="Z50" s="243" t="inlineStr">
        <is>
          <t>—</t>
        </is>
      </c>
      <c r="AA50" s="243" t="inlineStr">
        <is>
          <t>P060152|I</t>
        </is>
      </c>
      <c r="AB50" s="250" t="inlineStr">
        <is>
          <t>registered — initial release, issued 03.06.2026</t>
        </is>
      </c>
    </row>
    <row r="51">
      <c r="A51" s="243" t="n">
        <v>50</v>
      </c>
      <c r="B51" s="244" t="inlineStr">
        <is>
          <t>iCoA-PP_26-050</t>
        </is>
      </c>
      <c r="C51" s="249" t="inlineStr">
        <is>
          <t>yes</t>
        </is>
      </c>
      <c r="D51" s="245">
        <f>IF(A51="","",IF(ISNUMBER(E51),MAX(DATE(2026,6,3),E51),DATE(2026,6,3)))</f>
        <v/>
      </c>
      <c r="E51" s="245">
        <f>IFERROR(INDEX('Batch Dates'!$F:$F,MATCH(J51,'Batch Dates'!$C:$C,0)),IFERROR(INDEX('Batch Dates'!$F:$F,MATCH(I51,'Batch Dates'!$B:$B,0)),""))</f>
        <v/>
      </c>
      <c r="F51" s="245">
        <f>IFERROR(INDEX('Batch Dates'!$G:$G,MATCH(J51,'Batch Dates'!$C:$C,0)),IFERROR(INDEX('Batch Dates'!$G:$G,MATCH(I51,'Batch Dates'!$B:$B,0)),""))</f>
        <v/>
      </c>
      <c r="G51" s="243" t="inlineStr">
        <is>
          <t>legacy</t>
        </is>
      </c>
      <c r="H51" s="243" t="inlineStr">
        <is>
          <t>initial release</t>
        </is>
      </c>
      <c r="I51" s="244" t="inlineStr">
        <is>
          <t>SJ102501</t>
        </is>
      </c>
      <c r="J51" s="243" t="inlineStr">
        <is>
          <t>P060162</t>
        </is>
      </c>
      <c r="K51" s="243" t="inlineStr">
        <is>
          <t>Sleepy Joe</t>
        </is>
      </c>
      <c r="L51" s="243" t="inlineStr">
        <is>
          <t>Ident A + Ident B + Foreign matter</t>
        </is>
      </c>
      <c r="M51" s="248" t="inlineStr">
        <is>
          <t>—</t>
        </is>
      </c>
      <c r="N51" s="243">
        <f>IFERROR(INDEX('CoQ Register'!$B:$B,MATCH("P060162|I",'CoQ Register'!$S:$S,0)),"—")</f>
        <v/>
      </c>
      <c r="O51" s="248" t="inlineStr">
        <is>
          <t>—</t>
        </is>
      </c>
      <c r="P51" s="243" t="inlineStr">
        <is>
          <t>04.03.2026</t>
        </is>
      </c>
      <c r="Q51" s="243" t="inlineStr">
        <is>
          <t>20.01.2026</t>
        </is>
      </c>
      <c r="R51" s="243" t="inlineStr">
        <is>
          <t>09.03.2026 (the issuance plan's basis: 04.03.2026)</t>
        </is>
      </c>
      <c r="S51" s="245">
        <f>IFERROR(INDEX('CoQ Register'!$D:$D,MATCH("P060162|I",'CoQ Register'!$S:$S,0)),"")</f>
        <v/>
      </c>
      <c r="T51" s="243" t="inlineStr">
        <is>
          <t>Conforms</t>
        </is>
      </c>
      <c r="U51" s="243" t="inlineStr">
        <is>
          <t>Conforms</t>
        </is>
      </c>
      <c r="V51" s="243" t="inlineStr">
        <is>
          <t>Conforms</t>
        </is>
      </c>
      <c r="W51" s="243" t="inlineStr">
        <is>
          <t>051-3-K-26, (04.03.2026) [FHM-K]</t>
        </is>
      </c>
      <c r="X51" s="243" t="inlineStr">
        <is>
          <t>—</t>
        </is>
      </c>
      <c r="Y51" s="243" t="inlineStr">
        <is>
          <t>—</t>
        </is>
      </c>
      <c r="Z51" s="243" t="inlineStr">
        <is>
          <t>—</t>
        </is>
      </c>
      <c r="AA51" s="243" t="inlineStr">
        <is>
          <t>P060162|I</t>
        </is>
      </c>
      <c r="AB51" s="250" t="inlineStr">
        <is>
          <t>registered — initial release, issued 03.06.2026</t>
        </is>
      </c>
    </row>
    <row r="52">
      <c r="A52" s="243" t="n">
        <v>51</v>
      </c>
      <c r="B52" s="244" t="inlineStr">
        <is>
          <t>iCoA-PP_26-051</t>
        </is>
      </c>
      <c r="C52" s="249" t="inlineStr">
        <is>
          <t>yes</t>
        </is>
      </c>
      <c r="D52" s="245">
        <f>IF(A52="","",IF(ISNUMBER(E52),MAX(DATE(2026,6,3),E52),DATE(2026,6,3)))</f>
        <v/>
      </c>
      <c r="E52" s="245">
        <f>IFERROR(INDEX('Batch Dates'!$F:$F,MATCH(J52,'Batch Dates'!$C:$C,0)),IFERROR(INDEX('Batch Dates'!$F:$F,MATCH(I52,'Batch Dates'!$B:$B,0)),""))</f>
        <v/>
      </c>
      <c r="F52" s="245">
        <f>IFERROR(INDEX('Batch Dates'!$G:$G,MATCH(J52,'Batch Dates'!$C:$C,0)),IFERROR(INDEX('Batch Dates'!$G:$G,MATCH(I52,'Batch Dates'!$B:$B,0)),""))</f>
        <v/>
      </c>
      <c r="G52" s="243" t="inlineStr">
        <is>
          <t>legacy</t>
        </is>
      </c>
      <c r="H52" s="243" t="inlineStr">
        <is>
          <t>initial release</t>
        </is>
      </c>
      <c r="I52" s="244" t="inlineStr">
        <is>
          <t>KC102501</t>
        </is>
      </c>
      <c r="J52" s="243" t="inlineStr">
        <is>
          <t>P060172</t>
        </is>
      </c>
      <c r="K52" s="243" t="inlineStr">
        <is>
          <t>Kush Crasher</t>
        </is>
      </c>
      <c r="L52" s="243" t="inlineStr">
        <is>
          <t>Ident A + Ident B + Foreign matter</t>
        </is>
      </c>
      <c r="M52" s="248" t="inlineStr">
        <is>
          <t>—</t>
        </is>
      </c>
      <c r="N52" s="243">
        <f>IFERROR(INDEX('CoQ Register'!$B:$B,MATCH("P060172|I",'CoQ Register'!$S:$S,0)),"—")</f>
        <v/>
      </c>
      <c r="O52" s="243" t="inlineStr">
        <is>
          <t>iCoA-PP-2026-0013</t>
        </is>
      </c>
      <c r="P52" s="243" t="inlineStr">
        <is>
          <t>12.03.2026</t>
        </is>
      </c>
      <c r="Q52" s="243" t="inlineStr">
        <is>
          <t>20.01.2026 – 21.01.2026</t>
        </is>
      </c>
      <c r="R52" s="243" t="inlineStr">
        <is>
          <t>12.03.2026</t>
        </is>
      </c>
      <c r="S52" s="245">
        <f>IFERROR(INDEX('CoQ Register'!$D:$D,MATCH("P060172|I",'CoQ Register'!$S:$S,0)),"")</f>
        <v/>
      </c>
      <c r="T52" s="243" t="inlineStr">
        <is>
          <t>Conforms</t>
        </is>
      </c>
      <c r="U52" s="243" t="inlineStr">
        <is>
          <t>Conforms</t>
        </is>
      </c>
      <c r="V52" s="243" t="inlineStr">
        <is>
          <t>Conforms</t>
        </is>
      </c>
      <c r="W52" s="243" t="inlineStr">
        <is>
          <t>051-4-K-26, (04.03.2026) [FHM-K]</t>
        </is>
      </c>
      <c r="X52" s="243" t="inlineStr">
        <is>
          <t>—</t>
        </is>
      </c>
      <c r="Y52" s="243" t="inlineStr">
        <is>
          <t>—</t>
        </is>
      </c>
      <c r="Z52" s="243" t="inlineStr">
        <is>
          <t>—</t>
        </is>
      </c>
      <c r="AA52" s="243" t="inlineStr">
        <is>
          <t>P060172|I</t>
        </is>
      </c>
      <c r="AB52" s="250" t="inlineStr">
        <is>
          <t>registered — initial release, issued 03.06.2026</t>
        </is>
      </c>
    </row>
    <row r="53">
      <c r="A53" s="243" t="n">
        <v>52</v>
      </c>
      <c r="B53" s="244" t="inlineStr">
        <is>
          <t>iCoA-PP_26-052</t>
        </is>
      </c>
      <c r="C53" s="249" t="inlineStr">
        <is>
          <t>yes</t>
        </is>
      </c>
      <c r="D53" s="245">
        <f>IF(A53="","",IF(ISNUMBER(E53),MAX(DATE(2026,6,3),E53),DATE(2026,6,3)))</f>
        <v/>
      </c>
      <c r="E53" s="245">
        <f>IFERROR(INDEX('Batch Dates'!$F:$F,MATCH(J53,'Batch Dates'!$C:$C,0)),IFERROR(INDEX('Batch Dates'!$F:$F,MATCH(I53,'Batch Dates'!$B:$B,0)),""))</f>
        <v/>
      </c>
      <c r="F53" s="245">
        <f>IFERROR(INDEX('Batch Dates'!$G:$G,MATCH(J53,'Batch Dates'!$C:$C,0)),IFERROR(INDEX('Batch Dates'!$G:$G,MATCH(I53,'Batch Dates'!$B:$B,0)),""))</f>
        <v/>
      </c>
      <c r="G53" s="243" t="inlineStr">
        <is>
          <t>legacy</t>
        </is>
      </c>
      <c r="H53" s="243" t="inlineStr">
        <is>
          <t>initial release</t>
        </is>
      </c>
      <c r="I53" s="244" t="inlineStr">
        <is>
          <t>GRC102501</t>
        </is>
      </c>
      <c r="J53" s="243" t="inlineStr">
        <is>
          <t>P060182</t>
        </is>
      </c>
      <c r="K53" s="243" t="inlineStr">
        <is>
          <t>Grapes And Cream</t>
        </is>
      </c>
      <c r="L53" s="243" t="inlineStr">
        <is>
          <t>Ident A + Ident B + Foreign matter</t>
        </is>
      </c>
      <c r="M53" s="248" t="inlineStr">
        <is>
          <t>—</t>
        </is>
      </c>
      <c r="N53" s="243">
        <f>IFERROR(INDEX('CoQ Register'!$B:$B,MATCH("P060182|I",'CoQ Register'!$S:$S,0)),"—")</f>
        <v/>
      </c>
      <c r="O53" s="243" t="inlineStr">
        <is>
          <t>iCoA-PP-2026-0014</t>
        </is>
      </c>
      <c r="P53" s="243" t="inlineStr">
        <is>
          <t>14.03.2026</t>
        </is>
      </c>
      <c r="Q53" s="243" t="inlineStr">
        <is>
          <t>20.01.2026</t>
        </is>
      </c>
      <c r="R53" s="243" t="inlineStr">
        <is>
          <t>14.03.2026</t>
        </is>
      </c>
      <c r="S53" s="245">
        <f>IFERROR(INDEX('CoQ Register'!$D:$D,MATCH("P060182|I",'CoQ Register'!$S:$S,0)),"")</f>
        <v/>
      </c>
      <c r="T53" s="243" t="inlineStr">
        <is>
          <t>Conforms</t>
        </is>
      </c>
      <c r="U53" s="243" t="inlineStr">
        <is>
          <t>Conforms</t>
        </is>
      </c>
      <c r="V53" s="243" t="inlineStr">
        <is>
          <t>Conforms</t>
        </is>
      </c>
      <c r="W53" s="243" t="inlineStr">
        <is>
          <t>051-6-K-26, (04.03.2026) [FHM-K]</t>
        </is>
      </c>
      <c r="X53" s="243" t="inlineStr">
        <is>
          <t>—</t>
        </is>
      </c>
      <c r="Y53" s="243" t="inlineStr">
        <is>
          <t>—</t>
        </is>
      </c>
      <c r="Z53" s="243" t="inlineStr">
        <is>
          <t>—</t>
        </is>
      </c>
      <c r="AA53" s="243" t="inlineStr">
        <is>
          <t>P060182|I</t>
        </is>
      </c>
      <c r="AB53" s="250" t="inlineStr">
        <is>
          <t>registered — initial release,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SJ112501</t>
        </is>
      </c>
      <c r="J54" s="243" t="inlineStr">
        <is>
          <t>P060192</t>
        </is>
      </c>
      <c r="K54" s="243" t="inlineStr">
        <is>
          <t>Sleepy Joe</t>
        </is>
      </c>
      <c r="L54" s="243" t="inlineStr">
        <is>
          <t>Ident A + Ident B + Foreign matter</t>
        </is>
      </c>
      <c r="M54" s="248" t="inlineStr">
        <is>
          <t>—</t>
        </is>
      </c>
      <c r="N54" s="243">
        <f>IFERROR(INDEX('CoQ Register'!$B:$B,MATCH("P060192|I",'CoQ Register'!$S:$S,0)),"—")</f>
        <v/>
      </c>
      <c r="O54" s="248" t="inlineStr">
        <is>
          <t>—</t>
        </is>
      </c>
      <c r="P54" s="243" t="inlineStr">
        <is>
          <t>04.03.2026</t>
        </is>
      </c>
      <c r="Q54" s="243" t="inlineStr">
        <is>
          <t>26.01.2026 – 27.01.2026</t>
        </is>
      </c>
      <c r="R54" s="243" t="inlineStr">
        <is>
          <t>31.03.2026 (the issuance plan's basis: 04.03.2026)</t>
        </is>
      </c>
      <c r="S54" s="245">
        <f>IFERROR(INDEX('CoQ Register'!$D:$D,MATCH("P060192|I",'CoQ Register'!$S:$S,0)),"")</f>
        <v/>
      </c>
      <c r="T54" s="243" t="inlineStr">
        <is>
          <t>Conforms</t>
        </is>
      </c>
      <c r="U54" s="243" t="inlineStr">
        <is>
          <t>Conforms</t>
        </is>
      </c>
      <c r="V54" s="243" t="inlineStr">
        <is>
          <t>Conforms</t>
        </is>
      </c>
      <c r="W54" s="243" t="inlineStr">
        <is>
          <t>051-2-K-26, (04.03.2026) [FHM-K]</t>
        </is>
      </c>
      <c r="X54" s="243" t="inlineStr">
        <is>
          <t>—</t>
        </is>
      </c>
      <c r="Y54" s="243" t="inlineStr">
        <is>
          <t>—</t>
        </is>
      </c>
      <c r="Z54" s="243" t="inlineStr">
        <is>
          <t>—</t>
        </is>
      </c>
      <c r="AA54" s="243" t="inlineStr">
        <is>
          <t>P060192|I</t>
        </is>
      </c>
      <c r="AB54" s="250" t="inlineStr">
        <is>
          <t>registered — initial release, issued 03.06.2026</t>
        </is>
      </c>
    </row>
    <row r="55">
      <c r="A55" s="243" t="n">
        <v>54</v>
      </c>
      <c r="B55" s="244" t="inlineStr">
        <is>
          <t>iCoA-PP_26-054</t>
        </is>
      </c>
      <c r="C55" s="249" t="inlineStr">
        <is>
          <t>yes</t>
        </is>
      </c>
      <c r="D55" s="245">
        <f>IF(A55="","",IF(ISNUMBER(E55),MAX(DATE(2026,6,3),E55),DATE(2026,6,3)))</f>
        <v/>
      </c>
      <c r="E55" s="245">
        <f>IFERROR(INDEX('Batch Dates'!$F:$F,MATCH(J55,'Batch Dates'!$C:$C,0)),IFERROR(INDEX('Batch Dates'!$F:$F,MATCH(I55,'Batch Dates'!$B:$B,0)),""))</f>
        <v/>
      </c>
      <c r="F55" s="245">
        <f>IFERROR(INDEX('Batch Dates'!$G:$G,MATCH(J55,'Batch Dates'!$C:$C,0)),IFERROR(INDEX('Batch Dates'!$G:$G,MATCH(I55,'Batch Dates'!$B:$B,0)),""))</f>
        <v/>
      </c>
      <c r="G55" s="243" t="inlineStr">
        <is>
          <t>legacy</t>
        </is>
      </c>
      <c r="H55" s="243" t="inlineStr">
        <is>
          <t>initial release</t>
        </is>
      </c>
      <c r="I55" s="244" t="inlineStr">
        <is>
          <t>J31112501</t>
        </is>
      </c>
      <c r="J55" s="243" t="inlineStr">
        <is>
          <t>P060202</t>
        </is>
      </c>
      <c r="K55" s="243" t="inlineStr">
        <is>
          <t>Jokerz 31</t>
        </is>
      </c>
      <c r="L55" s="243" t="inlineStr">
        <is>
          <t>Ident A + Ident B + Foreign matter</t>
        </is>
      </c>
      <c r="M55" s="248" t="inlineStr">
        <is>
          <t>—</t>
        </is>
      </c>
      <c r="N55" s="243">
        <f>IFERROR(INDEX('CoQ Register'!$B:$B,MATCH("P060202|I",'CoQ Register'!$S:$S,0)),"—")</f>
        <v/>
      </c>
      <c r="O55" s="248" t="inlineStr">
        <is>
          <t>—</t>
        </is>
      </c>
      <c r="P55" s="243" t="inlineStr">
        <is>
          <t>09.04.2026</t>
        </is>
      </c>
      <c r="Q55" s="243" t="inlineStr">
        <is>
          <t>26.01.2026</t>
        </is>
      </c>
      <c r="R55" s="243" t="inlineStr">
        <is>
          <t>17.04.2026 (the issuance plan's basis: 09.04.2026)</t>
        </is>
      </c>
      <c r="S55" s="245">
        <f>IFERROR(INDEX('CoQ Register'!$D:$D,MATCH("P060202|I",'CoQ Register'!$S:$S,0)),"")</f>
        <v/>
      </c>
      <c r="T55" s="243" t="inlineStr">
        <is>
          <t>Conforms</t>
        </is>
      </c>
      <c r="U55" s="243" t="inlineStr">
        <is>
          <t>Conforms</t>
        </is>
      </c>
      <c r="V55" s="243" t="inlineStr">
        <is>
          <t>Conforms</t>
        </is>
      </c>
      <c r="W55" s="243" t="inlineStr">
        <is>
          <t>051-5-K-26, (04.03.2026) [FHM-K]</t>
        </is>
      </c>
      <c r="X55" s="243" t="inlineStr">
        <is>
          <t>—</t>
        </is>
      </c>
      <c r="Y55" s="243" t="inlineStr">
        <is>
          <t>—</t>
        </is>
      </c>
      <c r="Z55" s="243" t="inlineStr">
        <is>
          <t>—</t>
        </is>
      </c>
      <c r="AA55" s="243" t="inlineStr">
        <is>
          <t>P060202|I</t>
        </is>
      </c>
      <c r="AB55" s="250" t="inlineStr">
        <is>
          <t>registered — initial release,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JD112501</t>
        </is>
      </c>
      <c r="J56" s="243" t="inlineStr">
        <is>
          <t>P060212</t>
        </is>
      </c>
      <c r="K56" s="243" t="inlineStr">
        <is>
          <t>Jelly Donuts</t>
        </is>
      </c>
      <c r="L56" s="243" t="inlineStr">
        <is>
          <t>Ident A + Ident B + Foreign matter</t>
        </is>
      </c>
      <c r="M56" s="248" t="inlineStr">
        <is>
          <t>—</t>
        </is>
      </c>
      <c r="N56" s="243">
        <f>IFERROR(INDEX('CoQ Register'!$B:$B,MATCH("P060212|I",'CoQ Register'!$S:$S,0)),"—")</f>
        <v/>
      </c>
      <c r="O56" s="243" t="inlineStr">
        <is>
          <t>iCoA-PP-2026-0015</t>
        </is>
      </c>
      <c r="P56" s="243" t="inlineStr">
        <is>
          <t>21.04.2026</t>
        </is>
      </c>
      <c r="Q56" s="243" t="inlineStr">
        <is>
          <t>25.03.2026</t>
        </is>
      </c>
      <c r="R56" s="243" t="inlineStr">
        <is>
          <t>21.04.2026</t>
        </is>
      </c>
      <c r="S56" s="245">
        <f>IFERROR(INDEX('CoQ Register'!$D:$D,MATCH("P060212|I",'CoQ Register'!$S:$S,0)),"")</f>
        <v/>
      </c>
      <c r="T56" s="243" t="inlineStr">
        <is>
          <t>Conforms</t>
        </is>
      </c>
      <c r="U56" s="243" t="inlineStr">
        <is>
          <t>Conforms</t>
        </is>
      </c>
      <c r="V56" s="243" t="inlineStr">
        <is>
          <t>Conforms</t>
        </is>
      </c>
      <c r="W56" s="243" t="inlineStr">
        <is>
          <t>ППК26063, (11.05.2026) [CNP]</t>
        </is>
      </c>
      <c r="X56" s="243" t="inlineStr">
        <is>
          <t>—</t>
        </is>
      </c>
      <c r="Y56" s="243" t="inlineStr">
        <is>
          <t>—</t>
        </is>
      </c>
      <c r="Z56" s="243" t="inlineStr">
        <is>
          <t>—</t>
        </is>
      </c>
      <c r="AA56" s="243" t="inlineStr">
        <is>
          <t>P060212|I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OPM112501</t>
        </is>
      </c>
      <c r="J57" s="243" t="inlineStr">
        <is>
          <t>P060222</t>
        </is>
      </c>
      <c r="K57" s="243" t="inlineStr">
        <is>
          <t>Orange Punch Mimosa</t>
        </is>
      </c>
      <c r="L57" s="243" t="inlineStr">
        <is>
          <t>Ident A + Ident B + Foreign matter</t>
        </is>
      </c>
      <c r="M57" s="248" t="inlineStr">
        <is>
          <t>—</t>
        </is>
      </c>
      <c r="N57" s="243">
        <f>IFERROR(INDEX('CoQ Register'!$B:$B,MATCH("P060222|I",'CoQ Register'!$S:$S,0)),"—")</f>
        <v/>
      </c>
      <c r="O57" s="248" t="inlineStr">
        <is>
          <t>—</t>
        </is>
      </c>
      <c r="P57" s="243" t="inlineStr">
        <is>
          <t>05.03.2026</t>
        </is>
      </c>
      <c r="Q57" s="243" t="inlineStr">
        <is>
          <t>05.02.2026</t>
        </is>
      </c>
      <c r="R57" s="243" t="inlineStr">
        <is>
          <t>24.04.2026 (the issuance plan's basis: 05.03.2026)</t>
        </is>
      </c>
      <c r="S57" s="245">
        <f>IFERROR(INDEX('CoQ Register'!$D:$D,MATCH("P060222|I",'CoQ Register'!$S:$S,0)),"")</f>
        <v/>
      </c>
      <c r="T57" s="243" t="inlineStr">
        <is>
          <t>Conforms</t>
        </is>
      </c>
      <c r="U57" s="243" t="inlineStr">
        <is>
          <t>Conforms</t>
        </is>
      </c>
      <c r="V57" s="243" t="inlineStr">
        <is>
          <t>Conforms</t>
        </is>
      </c>
      <c r="W57" s="243" t="inlineStr">
        <is>
          <t>ППК26031, (05.03.2026) [CNP]</t>
        </is>
      </c>
      <c r="X57" s="243" t="inlineStr">
        <is>
          <t>—</t>
        </is>
      </c>
      <c r="Y57" s="243" t="inlineStr">
        <is>
          <t>—</t>
        </is>
      </c>
      <c r="Z57" s="243" t="inlineStr">
        <is>
          <t>—</t>
        </is>
      </c>
      <c r="AA57" s="243" t="inlineStr">
        <is>
          <t>P060222|I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PM112501</t>
        </is>
      </c>
      <c r="J58" s="243" t="inlineStr">
        <is>
          <t>P060232</t>
        </is>
      </c>
      <c r="K58" s="243" t="inlineStr">
        <is>
          <t>Permanent Marker</t>
        </is>
      </c>
      <c r="L58" s="243" t="inlineStr">
        <is>
          <t>Ident A + Ident B + Foreign matter</t>
        </is>
      </c>
      <c r="M58" s="248" t="inlineStr">
        <is>
          <t>—</t>
        </is>
      </c>
      <c r="N58" s="243">
        <f>IFERROR(INDEX('CoQ Register'!$B:$B,MATCH("P060232|I",'CoQ Register'!$S:$S,0)),"—")</f>
        <v/>
      </c>
      <c r="O58" s="243" t="inlineStr">
        <is>
          <t>iCoA-PP-2026-0016</t>
        </is>
      </c>
      <c r="P58" s="243" t="inlineStr">
        <is>
          <t>27.04.2026</t>
        </is>
      </c>
      <c r="Q58" s="243" t="inlineStr">
        <is>
          <t>05.02.2026</t>
        </is>
      </c>
      <c r="R58" s="243" t="inlineStr">
        <is>
          <t>27.04.2026</t>
        </is>
      </c>
      <c r="S58" s="245">
        <f>IFERROR(INDEX('CoQ Register'!$D:$D,MATCH("P060232|I",'CoQ Register'!$S:$S,0)),"")</f>
        <v/>
      </c>
      <c r="T58" s="243" t="inlineStr">
        <is>
          <t>Conforms</t>
        </is>
      </c>
      <c r="U58" s="243" t="inlineStr">
        <is>
          <t>Conforms</t>
        </is>
      </c>
      <c r="V58" s="243" t="inlineStr">
        <is>
          <t>Conforms</t>
        </is>
      </c>
      <c r="W58" s="243" t="inlineStr">
        <is>
          <t>ППК26030, (05.03.2026) [CNP]</t>
        </is>
      </c>
      <c r="X58" s="243" t="inlineStr">
        <is>
          <t>—</t>
        </is>
      </c>
      <c r="Y58" s="243" t="inlineStr">
        <is>
          <t>—</t>
        </is>
      </c>
      <c r="Z58" s="243" t="inlineStr">
        <is>
          <t>—</t>
        </is>
      </c>
      <c r="AA58" s="243" t="inlineStr">
        <is>
          <t>P060232|I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OPM122501</t>
        </is>
      </c>
      <c r="J59" s="243" t="inlineStr">
        <is>
          <t>P060242</t>
        </is>
      </c>
      <c r="K59" s="243" t="inlineStr">
        <is>
          <t>Orange Punch Mimosa</t>
        </is>
      </c>
      <c r="L59" s="243" t="inlineStr">
        <is>
          <t>Ident A + Ident B + Foreign matter</t>
        </is>
      </c>
      <c r="M59" s="248" t="inlineStr">
        <is>
          <t>—</t>
        </is>
      </c>
      <c r="N59" s="243">
        <f>IFERROR(INDEX('CoQ Register'!$B:$B,MATCH("P060242|I",'CoQ Register'!$S:$S,0)),"—")</f>
        <v/>
      </c>
      <c r="O59" s="243" t="inlineStr">
        <is>
          <t>iCoA-PP-2026-0017</t>
        </is>
      </c>
      <c r="P59" s="243" t="inlineStr">
        <is>
          <t>28.04.2026</t>
        </is>
      </c>
      <c r="Q59" s="243" t="inlineStr">
        <is>
          <t>11.03.2026</t>
        </is>
      </c>
      <c r="R59" s="243" t="inlineStr">
        <is>
          <t>28.04.2026</t>
        </is>
      </c>
      <c r="S59" s="245">
        <f>IFERROR(INDEX('CoQ Register'!$D:$D,MATCH("P060242|I",'CoQ Register'!$S:$S,0)),"")</f>
        <v/>
      </c>
      <c r="T59" s="243" t="inlineStr">
        <is>
          <t>Conforms</t>
        </is>
      </c>
      <c r="U59" s="243" t="inlineStr">
        <is>
          <t>Conforms</t>
        </is>
      </c>
      <c r="V59" s="243" t="inlineStr">
        <is>
          <t>Conforms</t>
        </is>
      </c>
      <c r="W59" s="243" t="inlineStr">
        <is>
          <t>100-4-K-26, (09.04.2026) [FHM-K]</t>
        </is>
      </c>
      <c r="X59" s="243" t="inlineStr">
        <is>
          <t>—</t>
        </is>
      </c>
      <c r="Y59" s="243" t="inlineStr">
        <is>
          <t>—</t>
        </is>
      </c>
      <c r="Z59" s="243" t="inlineStr">
        <is>
          <t>—</t>
        </is>
      </c>
      <c r="AA59" s="243" t="inlineStr">
        <is>
          <t>P060242|I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GG112501</t>
        </is>
      </c>
      <c r="J60" s="243" t="inlineStr">
        <is>
          <t>P060252</t>
        </is>
      </c>
      <c r="K60" s="243" t="inlineStr">
        <is>
          <t>Gorilla Glue</t>
        </is>
      </c>
      <c r="L60" s="243" t="inlineStr">
        <is>
          <t>Ident A + Ident B + Foreign matter</t>
        </is>
      </c>
      <c r="M60" s="248" t="inlineStr">
        <is>
          <t>—</t>
        </is>
      </c>
      <c r="N60" s="243">
        <f>IFERROR(INDEX('CoQ Register'!$B:$B,MATCH("P060252|I",'CoQ Register'!$S:$S,0)),"—")</f>
        <v/>
      </c>
      <c r="O60" s="248" t="inlineStr">
        <is>
          <t>—</t>
        </is>
      </c>
      <c r="P60" s="243" t="inlineStr">
        <is>
          <t>11.05.2026</t>
        </is>
      </c>
      <c r="Q60" s="243" t="inlineStr">
        <is>
          <t>25.03.2026</t>
        </is>
      </c>
      <c r="R60" s="243" t="inlineStr">
        <is>
          <t>05.05.2026 (the issuance plan's basis: 11.05.2026)</t>
        </is>
      </c>
      <c r="S60" s="245">
        <f>IFERROR(INDEX('CoQ Register'!$D:$D,MATCH("P060252|I",'CoQ Register'!$S:$S,0)),"")</f>
        <v/>
      </c>
      <c r="T60" s="243" t="inlineStr">
        <is>
          <t>Conforms</t>
        </is>
      </c>
      <c r="U60" s="243" t="inlineStr">
        <is>
          <t>Conforms</t>
        </is>
      </c>
      <c r="V60" s="243" t="inlineStr">
        <is>
          <t>Conforms</t>
        </is>
      </c>
      <c r="W60" s="243" t="inlineStr">
        <is>
          <t>ППК26061, (11.05.2026) [CNP]</t>
        </is>
      </c>
      <c r="X60" s="243" t="inlineStr">
        <is>
          <t>—</t>
        </is>
      </c>
      <c r="Y60" s="243" t="inlineStr">
        <is>
          <t>—</t>
        </is>
      </c>
      <c r="Z60" s="243" t="inlineStr">
        <is>
          <t>—</t>
        </is>
      </c>
      <c r="AA60" s="243" t="inlineStr">
        <is>
          <t>P060252|I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post-SOP</t>
        </is>
      </c>
      <c r="H61" s="243" t="inlineStr">
        <is>
          <t>initial release</t>
        </is>
      </c>
      <c r="I61" s="244" t="inlineStr">
        <is>
          <t>J31122501</t>
        </is>
      </c>
      <c r="J61" s="243" t="inlineStr">
        <is>
          <t>P060262</t>
        </is>
      </c>
      <c r="K61" s="243" t="inlineStr">
        <is>
          <t>Jokerz 31</t>
        </is>
      </c>
      <c r="L61" s="243" t="inlineStr">
        <is>
          <t>Ident A + Ident B + Foreign matter</t>
        </is>
      </c>
      <c r="M61" s="248" t="inlineStr">
        <is>
          <t>—</t>
        </is>
      </c>
      <c r="N61" s="243">
        <f>IFERROR(INDEX('CoQ Register'!$B:$B,MATCH("P060262|I",'CoQ Register'!$S:$S,0)),"—")</f>
        <v/>
      </c>
      <c r="O61" s="248" t="inlineStr">
        <is>
          <t>—</t>
        </is>
      </c>
      <c r="P61" s="243" t="inlineStr">
        <is>
          <t>23.04.2026</t>
        </is>
      </c>
      <c r="Q61" s="243" t="inlineStr">
        <is>
          <t>04.03.2026</t>
        </is>
      </c>
      <c r="R61" s="243" t="inlineStr">
        <is>
          <t>14.05.2026 (the issuance plan's basis: 23.04.2026)</t>
        </is>
      </c>
      <c r="S61" s="245">
        <f>IFERROR(INDEX('CoQ Register'!$D:$D,MATCH("P060262|I",'CoQ Register'!$S:$S,0)),"")</f>
        <v/>
      </c>
      <c r="T61" s="243" t="inlineStr">
        <is>
          <t>Conforms</t>
        </is>
      </c>
      <c r="U61" s="243" t="inlineStr">
        <is>
          <t>Conforms</t>
        </is>
      </c>
      <c r="V61" s="243" t="inlineStr">
        <is>
          <t>Conforms</t>
        </is>
      </c>
      <c r="W61" s="243" t="inlineStr">
        <is>
          <t>100-2-K-26, (09.04.2026) [FHM-K]</t>
        </is>
      </c>
      <c r="X61" s="243" t="inlineStr">
        <is>
          <t>—</t>
        </is>
      </c>
      <c r="Y61" s="243" t="inlineStr">
        <is>
          <t>—</t>
        </is>
      </c>
      <c r="Z61" s="243" t="inlineStr">
        <is>
          <t>—</t>
        </is>
      </c>
      <c r="AA61" s="243" t="inlineStr">
        <is>
          <t>P060262|I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post-SOP</t>
        </is>
      </c>
      <c r="H62" s="243" t="inlineStr">
        <is>
          <t>initial release</t>
        </is>
      </c>
      <c r="I62" s="244" t="inlineStr">
        <is>
          <t>CC112501</t>
        </is>
      </c>
      <c r="J62" s="243" t="inlineStr">
        <is>
          <t>P060272</t>
        </is>
      </c>
      <c r="K62" s="243" t="inlineStr">
        <is>
          <t>Cash Cow</t>
        </is>
      </c>
      <c r="L62" s="243" t="inlineStr">
        <is>
          <t>Ident A + Ident B + Foreign matter</t>
        </is>
      </c>
      <c r="M62" s="248" t="inlineStr">
        <is>
          <t>—</t>
        </is>
      </c>
      <c r="N62" s="243">
        <f>IFERROR(INDEX('CoQ Register'!$B:$B,MATCH("P060272|I",'CoQ Register'!$S:$S,0)),"—")</f>
        <v/>
      </c>
      <c r="O62" s="248" t="inlineStr">
        <is>
          <t>—</t>
        </is>
      </c>
      <c r="P62" s="243" t="inlineStr">
        <is>
          <t>11.05.2026</t>
        </is>
      </c>
      <c r="Q62" s="243" t="inlineStr">
        <is>
          <t>25.03.2026</t>
        </is>
      </c>
      <c r="R62" s="243" t="inlineStr">
        <is>
          <t>18.05.2026 (the issuance plan's basis: 11.05.2026)</t>
        </is>
      </c>
      <c r="S62" s="245">
        <f>IFERROR(INDEX('CoQ Register'!$D:$D,MATCH("P060272|I",'CoQ Register'!$S:$S,0)),"")</f>
        <v/>
      </c>
      <c r="T62" s="243" t="inlineStr">
        <is>
          <t>Conforms</t>
        </is>
      </c>
      <c r="U62" s="243" t="inlineStr">
        <is>
          <t>Conforms</t>
        </is>
      </c>
      <c r="V62" s="243" t="inlineStr">
        <is>
          <t>Conforms</t>
        </is>
      </c>
      <c r="W62" s="243" t="inlineStr">
        <is>
          <t>ППК26068, (11.05.2026) [CNP]</t>
        </is>
      </c>
      <c r="X62" s="243" t="inlineStr">
        <is>
          <t>—</t>
        </is>
      </c>
      <c r="Y62" s="243" t="inlineStr">
        <is>
          <t>—</t>
        </is>
      </c>
      <c r="Z62" s="243" t="inlineStr">
        <is>
          <t>—</t>
        </is>
      </c>
      <c r="AA62" s="243" t="inlineStr">
        <is>
          <t>P060272|I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post-SOP</t>
        </is>
      </c>
      <c r="H63" s="243" t="inlineStr">
        <is>
          <t>initial release</t>
        </is>
      </c>
      <c r="I63" s="244" t="inlineStr">
        <is>
          <t>SCR112501</t>
        </is>
      </c>
      <c r="J63" s="243" t="inlineStr">
        <is>
          <t>P060282</t>
        </is>
      </c>
      <c r="K63" s="243" t="inlineStr">
        <is>
          <t>Scrambler</t>
        </is>
      </c>
      <c r="L63" s="243" t="inlineStr">
        <is>
          <t>Ident A + Ident B + Foreign matter</t>
        </is>
      </c>
      <c r="M63" s="248" t="inlineStr">
        <is>
          <t>—</t>
        </is>
      </c>
      <c r="N63" s="243">
        <f>IFERROR(INDEX('CoQ Register'!$B:$B,MATCH("P060282|I",'CoQ Register'!$S:$S,0)),"—")</f>
        <v/>
      </c>
      <c r="O63" s="243" t="inlineStr">
        <is>
          <t>iCoA-PP-2026-0018</t>
        </is>
      </c>
      <c r="P63" s="243" t="inlineStr">
        <is>
          <t>18.05.2026</t>
        </is>
      </c>
      <c r="Q63" s="243" t="inlineStr">
        <is>
          <t>25.03.2026</t>
        </is>
      </c>
      <c r="R63" s="243" t="inlineStr">
        <is>
          <t>18.05.2026</t>
        </is>
      </c>
      <c r="S63" s="245">
        <f>IFERROR(INDEX('CoQ Register'!$D:$D,MATCH("P060282|I",'CoQ Register'!$S:$S,0)),"")</f>
        <v/>
      </c>
      <c r="T63" s="243" t="inlineStr">
        <is>
          <t>Conforms</t>
        </is>
      </c>
      <c r="U63" s="243" t="inlineStr">
        <is>
          <t>Conforms</t>
        </is>
      </c>
      <c r="V63" s="243" t="inlineStr">
        <is>
          <t>Conforms</t>
        </is>
      </c>
      <c r="W63" s="243" t="inlineStr">
        <is>
          <t>ППК26069, (11.05.2026) [CNP]</t>
        </is>
      </c>
      <c r="X63" s="243" t="inlineStr">
        <is>
          <t>—</t>
        </is>
      </c>
      <c r="Y63" s="243" t="inlineStr">
        <is>
          <t>—</t>
        </is>
      </c>
      <c r="Z63" s="243" t="inlineStr">
        <is>
          <t>—</t>
        </is>
      </c>
      <c r="AA63" s="243" t="inlineStr">
        <is>
          <t>P060282|I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post-SOP</t>
        </is>
      </c>
      <c r="H64" s="243" t="inlineStr">
        <is>
          <t>initial release</t>
        </is>
      </c>
      <c r="I64" s="244" t="inlineStr">
        <is>
          <t>FB112501</t>
        </is>
      </c>
      <c r="J64" s="243" t="inlineStr">
        <is>
          <t>P060292</t>
        </is>
      </c>
      <c r="K64" s="243" t="inlineStr">
        <is>
          <t>Fat Bastard</t>
        </is>
      </c>
      <c r="L64" s="243" t="inlineStr">
        <is>
          <t>Ident A + Ident B + Foreign matter</t>
        </is>
      </c>
      <c r="M64" s="248" t="inlineStr">
        <is>
          <t>—</t>
        </is>
      </c>
      <c r="N64" s="243">
        <f>IFERROR(INDEX('CoQ Register'!$B:$B,MATCH("P060292|I",'CoQ Register'!$S:$S,0)),"—")</f>
        <v/>
      </c>
      <c r="O64" s="248" t="inlineStr">
        <is>
          <t>—</t>
        </is>
      </c>
      <c r="P64" s="243" t="inlineStr">
        <is>
          <t>11.05.2026</t>
        </is>
      </c>
      <c r="Q64" s="243" t="inlineStr">
        <is>
          <t>25.03.2026</t>
        </is>
      </c>
      <c r="R64" s="243" t="inlineStr">
        <is>
          <t>19.05.2026 (the issuance plan's basis: 11.05.2026)</t>
        </is>
      </c>
      <c r="S64" s="245">
        <f>IFERROR(INDEX('CoQ Register'!$D:$D,MATCH("P060292|I",'CoQ Register'!$S:$S,0)),"")</f>
        <v/>
      </c>
      <c r="T64" s="243" t="inlineStr">
        <is>
          <t>Conforms</t>
        </is>
      </c>
      <c r="U64" s="243" t="inlineStr">
        <is>
          <t>Conforms</t>
        </is>
      </c>
      <c r="V64" s="243" t="inlineStr">
        <is>
          <t>Conforms</t>
        </is>
      </c>
      <c r="W64" s="243" t="inlineStr">
        <is>
          <t>ППК26066, (11.05.2026) [CNP]</t>
        </is>
      </c>
      <c r="X64" s="243" t="inlineStr">
        <is>
          <t>—</t>
        </is>
      </c>
      <c r="Y64" s="243" t="inlineStr">
        <is>
          <t>—</t>
        </is>
      </c>
      <c r="Z64" s="243" t="inlineStr">
        <is>
          <t>—</t>
        </is>
      </c>
      <c r="AA64" s="243" t="inlineStr">
        <is>
          <t>P060292|I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post-SOP</t>
        </is>
      </c>
      <c r="H65" s="243" t="inlineStr">
        <is>
          <t>initial release</t>
        </is>
      </c>
      <c r="I65" s="244" t="inlineStr">
        <is>
          <t>GG012601＊</t>
        </is>
      </c>
      <c r="J65" s="243" t="inlineStr">
        <is>
          <t>P060302</t>
        </is>
      </c>
      <c r="K65" s="243" t="inlineStr">
        <is>
          <t>Gorilla Glue</t>
        </is>
      </c>
      <c r="L65" s="243" t="inlineStr">
        <is>
          <t>Ident A + Ident B + Foreign matter</t>
        </is>
      </c>
      <c r="M65" s="248" t="inlineStr">
        <is>
          <t>—</t>
        </is>
      </c>
      <c r="N65" s="243">
        <f>IFERROR(INDEX('CoQ Register'!$B:$B,MATCH("P060302|I",'CoQ Register'!$S:$S,0)),"—")</f>
        <v/>
      </c>
      <c r="O65" s="248" t="inlineStr">
        <is>
          <t>—</t>
        </is>
      </c>
      <c r="P65" s="243" t="inlineStr">
        <is>
          <t>11.05.2026</t>
        </is>
      </c>
      <c r="Q65" s="243" t="inlineStr">
        <is>
          <t>27.03.2026</t>
        </is>
      </c>
      <c r="R65" s="243" t="inlineStr">
        <is>
          <t>20.05.2026 (the issuance plan's basis: 11.05.2026)</t>
        </is>
      </c>
      <c r="S65" s="245">
        <f>IFERROR(INDEX('CoQ Register'!$D:$D,MATCH("P060302|I",'CoQ Register'!$S:$S,0)),"")</f>
        <v/>
      </c>
      <c r="T65" s="243" t="inlineStr">
        <is>
          <t>Conforms</t>
        </is>
      </c>
      <c r="U65" s="243" t="inlineStr">
        <is>
          <t>Conforms</t>
        </is>
      </c>
      <c r="V65" s="243" t="inlineStr">
        <is>
          <t>Conforms</t>
        </is>
      </c>
      <c r="W65" s="243" t="inlineStr">
        <is>
          <t>ППК26062, (11.05.2026) [CNP]</t>
        </is>
      </c>
      <c r="X65" s="243" t="inlineStr">
        <is>
          <t>—</t>
        </is>
      </c>
      <c r="Y65" s="243" t="inlineStr">
        <is>
          <t>—</t>
        </is>
      </c>
      <c r="Z65" s="243" t="inlineStr">
        <is>
          <t>—</t>
        </is>
      </c>
      <c r="AA65" s="243" t="inlineStr">
        <is>
          <t>P060302|I</t>
        </is>
      </c>
      <c r="AB65" s="250" t="inlineStr">
        <is>
          <t>registered — initial release, issued 03.06.2026</t>
        </is>
      </c>
    </row>
    <row r="66">
      <c r="A66" s="243" t="n">
        <v>65</v>
      </c>
      <c r="B66" s="244" t="inlineStr">
        <is>
          <t>iCoA-PP_26-065</t>
        </is>
      </c>
      <c r="C66" s="249" t="inlineStr">
        <is>
          <t>yes</t>
        </is>
      </c>
      <c r="D66" s="245">
        <f>IF(A66="","",IF(ISNUMBER(E66),MAX(DATE(2026,6,3),E66),DATE(2026,6,3)))</f>
        <v/>
      </c>
      <c r="E66" s="245">
        <f>IFERROR(INDEX('Batch Dates'!$F:$F,MATCH(J66,'Batch Dates'!$C:$C,0)),IFERROR(INDEX('Batch Dates'!$F:$F,MATCH(I66,'Batch Dates'!$B:$B,0)),""))</f>
        <v/>
      </c>
      <c r="F66" s="245">
        <f>IFERROR(INDEX('Batch Dates'!$G:$G,MATCH(J66,'Batch Dates'!$C:$C,0)),IFERROR(INDEX('Batch Dates'!$G:$G,MATCH(I66,'Batch Dates'!$B:$B,0)),""))</f>
        <v/>
      </c>
      <c r="G66" s="243" t="inlineStr">
        <is>
          <t>post-SOP</t>
        </is>
      </c>
      <c r="H66" s="243" t="inlineStr">
        <is>
          <t>initial release</t>
        </is>
      </c>
      <c r="I66" s="244" t="inlineStr">
        <is>
          <t>JD012601＊</t>
        </is>
      </c>
      <c r="J66" s="243" t="inlineStr">
        <is>
          <t>P060312</t>
        </is>
      </c>
      <c r="K66" s="243" t="inlineStr">
        <is>
          <t>Jelly Donuts</t>
        </is>
      </c>
      <c r="L66" s="243" t="inlineStr">
        <is>
          <t>Ident A + Ident B + Foreign matter</t>
        </is>
      </c>
      <c r="M66" s="248" t="inlineStr">
        <is>
          <t>—</t>
        </is>
      </c>
      <c r="N66" s="243">
        <f>IFERROR(INDEX('CoQ Register'!$B:$B,MATCH("P060312|I",'CoQ Register'!$S:$S,0)),"—")</f>
        <v/>
      </c>
      <c r="O66" s="248" t="inlineStr">
        <is>
          <t>—</t>
        </is>
      </c>
      <c r="P66" s="243" t="inlineStr">
        <is>
          <t>11.05.2026</t>
        </is>
      </c>
      <c r="Q66" s="243" t="inlineStr">
        <is>
          <t>27.03.2026</t>
        </is>
      </c>
      <c r="R66" s="243" t="inlineStr">
        <is>
          <t>21.05.2026 (the issuance plan's basis: 11.05.2026)</t>
        </is>
      </c>
      <c r="S66" s="245">
        <f>IFERROR(INDEX('CoQ Register'!$D:$D,MATCH("P060312|I",'CoQ Register'!$S:$S,0)),"")</f>
        <v/>
      </c>
      <c r="T66" s="243" t="inlineStr">
        <is>
          <t>Conforms</t>
        </is>
      </c>
      <c r="U66" s="243" t="inlineStr">
        <is>
          <t>Conforms</t>
        </is>
      </c>
      <c r="V66" s="243" t="inlineStr">
        <is>
          <t>Conforms</t>
        </is>
      </c>
      <c r="W66" s="243" t="inlineStr">
        <is>
          <t>ППК26064, (11.05.2026) [CNP]</t>
        </is>
      </c>
      <c r="X66" s="243" t="inlineStr">
        <is>
          <t>—</t>
        </is>
      </c>
      <c r="Y66" s="243" t="inlineStr">
        <is>
          <t>—</t>
        </is>
      </c>
      <c r="Z66" s="243" t="inlineStr">
        <is>
          <t>—</t>
        </is>
      </c>
      <c r="AA66" s="243" t="inlineStr">
        <is>
          <t>P060312|I</t>
        </is>
      </c>
      <c r="AB66" s="250" t="inlineStr">
        <is>
          <t>registered — initial release, issued 03.06.2026</t>
        </is>
      </c>
    </row>
    <row r="67">
      <c r="A67" s="243" t="n">
        <v>66</v>
      </c>
      <c r="B67" s="244" t="inlineStr">
        <is>
          <t>iCoA-PP_26-066</t>
        </is>
      </c>
      <c r="C67" s="249" t="inlineStr">
        <is>
          <t>yes</t>
        </is>
      </c>
      <c r="D67" s="245">
        <f>IF(A67="","",IF(ISNUMBER(E67),MAX(DATE(2026,6,3),E67),DATE(2026,6,3)))</f>
        <v/>
      </c>
      <c r="E67" s="245">
        <f>IFERROR(INDEX('Batch Dates'!$F:$F,MATCH(J67,'Batch Dates'!$C:$C,0)),IFERROR(INDEX('Batch Dates'!$F:$F,MATCH(I67,'Batch Dates'!$B:$B,0)),""))</f>
        <v/>
      </c>
      <c r="F67" s="245">
        <f>IFERROR(INDEX('Batch Dates'!$G:$G,MATCH(J67,'Batch Dates'!$C:$C,0)),IFERROR(INDEX('Batch Dates'!$G:$G,MATCH(I67,'Batch Dates'!$B:$B,0)),""))</f>
        <v/>
      </c>
      <c r="G67" s="243" t="inlineStr">
        <is>
          <t>post-SOP</t>
        </is>
      </c>
      <c r="H67" s="243" t="inlineStr">
        <is>
          <t>initial release</t>
        </is>
      </c>
      <c r="I67" s="244" t="inlineStr">
        <is>
          <t>FB012601_1</t>
        </is>
      </c>
      <c r="J67" s="243" t="inlineStr">
        <is>
          <t>P060322</t>
        </is>
      </c>
      <c r="K67" s="243" t="inlineStr">
        <is>
          <t>Fat Bastard</t>
        </is>
      </c>
      <c r="L67" s="243" t="inlineStr">
        <is>
          <t>Ident A + Ident B + Foreign matter</t>
        </is>
      </c>
      <c r="M67" s="248" t="inlineStr">
        <is>
          <t>—</t>
        </is>
      </c>
      <c r="N67" s="243">
        <f>IFERROR(INDEX('CoQ Register'!$B:$B,MATCH("P060322|I",'CoQ Register'!$S:$S,0)),"—")</f>
        <v/>
      </c>
      <c r="O67" s="243" t="inlineStr">
        <is>
          <t>iCoA-PP-2026-0019</t>
        </is>
      </c>
      <c r="P67" s="243" t="inlineStr">
        <is>
          <t>22.05.2026</t>
        </is>
      </c>
      <c r="Q67" s="243" t="inlineStr">
        <is>
          <t>27.03.2026</t>
        </is>
      </c>
      <c r="R67" s="243" t="inlineStr">
        <is>
          <t>22.05.2026</t>
        </is>
      </c>
      <c r="S67" s="245">
        <f>IFERROR(INDEX('CoQ Register'!$D:$D,MATCH("P060322|I",'CoQ Register'!$S:$S,0)),"")</f>
        <v/>
      </c>
      <c r="T67" s="243" t="inlineStr">
        <is>
          <t>Conforms</t>
        </is>
      </c>
      <c r="U67" s="243" t="inlineStr">
        <is>
          <t>Conforms</t>
        </is>
      </c>
      <c r="V67" s="243" t="inlineStr">
        <is>
          <t>Conforms</t>
        </is>
      </c>
      <c r="W67" s="243" t="inlineStr">
        <is>
          <t>ППК26067, (11.05.2026) [CNP]</t>
        </is>
      </c>
      <c r="X67" s="243" t="inlineStr">
        <is>
          <t>—</t>
        </is>
      </c>
      <c r="Y67" s="243" t="inlineStr">
        <is>
          <t>—</t>
        </is>
      </c>
      <c r="Z67" s="243" t="inlineStr">
        <is>
          <t>—</t>
        </is>
      </c>
      <c r="AA67" s="243" t="inlineStr">
        <is>
          <t>P060322|I</t>
        </is>
      </c>
      <c r="AB67" s="250" t="inlineStr">
        <is>
          <t>registered — initial release, issued 03.06.2026</t>
        </is>
      </c>
    </row>
    <row r="68">
      <c r="A68" s="243" t="n">
        <v>67</v>
      </c>
      <c r="B68" s="244" t="inlineStr">
        <is>
          <t>iCoA-PP_26-067</t>
        </is>
      </c>
      <c r="C68" s="249" t="inlineStr">
        <is>
          <t>yes</t>
        </is>
      </c>
      <c r="D68" s="245">
        <f>IF(A68="","",IF(ISNUMBER(E68),MAX(DATE(2026,6,3),E68),DATE(2026,6,3)))</f>
        <v/>
      </c>
      <c r="E68" s="245">
        <f>IFERROR(INDEX('Batch Dates'!$F:$F,MATCH(J68,'Batch Dates'!$C:$C,0)),IFERROR(INDEX('Batch Dates'!$F:$F,MATCH(I68,'Batch Dates'!$B:$B,0)),""))</f>
        <v/>
      </c>
      <c r="F68" s="245">
        <f>IFERROR(INDEX('Batch Dates'!$G:$G,MATCH(J68,'Batch Dates'!$C:$C,0)),IFERROR(INDEX('Batch Dates'!$G:$G,MATCH(I68,'Batch Dates'!$B:$B,0)),""))</f>
        <v/>
      </c>
      <c r="G68" s="243" t="inlineStr">
        <is>
          <t>post-SOP</t>
        </is>
      </c>
      <c r="H68" s="243" t="inlineStr">
        <is>
          <t>initial release</t>
        </is>
      </c>
      <c r="I68" s="244" t="inlineStr">
        <is>
          <t>CC012601/1</t>
        </is>
      </c>
      <c r="J68" s="243" t="inlineStr">
        <is>
          <t>P060332</t>
        </is>
      </c>
      <c r="K68" s="243" t="inlineStr">
        <is>
          <t>Cash Cow</t>
        </is>
      </c>
      <c r="L68" s="243" t="inlineStr">
        <is>
          <t>Ident A + Ident B + Foreign matter</t>
        </is>
      </c>
      <c r="M68" s="248" t="inlineStr">
        <is>
          <t>—</t>
        </is>
      </c>
      <c r="N68" s="243">
        <f>IFERROR(INDEX('CoQ Register'!$B:$B,MATCH("P060332|I",'CoQ Register'!$S:$S,0)),"—")</f>
        <v/>
      </c>
      <c r="O68" s="248" t="inlineStr">
        <is>
          <t>—</t>
        </is>
      </c>
      <c r="P68" s="243" t="inlineStr">
        <is>
          <t>10.08.2026</t>
        </is>
      </c>
      <c r="Q68" s="243" t="inlineStr">
        <is>
          <t>16.04.2026</t>
        </is>
      </c>
      <c r="R68" s="243" t="inlineStr">
        <is>
          <t>22.05.2026 (the issuance plan's basis: 10.08.2026)</t>
        </is>
      </c>
      <c r="S68" s="245">
        <f>IFERROR(INDEX('CoQ Register'!$D:$D,MATCH("P060332|I",'CoQ Register'!$S:$S,0)),"")</f>
        <v/>
      </c>
      <c r="T68" s="243" t="inlineStr">
        <is>
          <t>Conforms</t>
        </is>
      </c>
      <c r="U68" s="243" t="inlineStr">
        <is>
          <t>Conforms</t>
        </is>
      </c>
      <c r="V68" s="243" t="inlineStr">
        <is>
          <t>Conforms</t>
        </is>
      </c>
      <c r="W68" s="243" t="inlineStr">
        <is>
          <t>— no cannabinoid certificate from the initial testing —</t>
        </is>
      </c>
      <c r="X68" s="243" t="inlineStr">
        <is>
          <t>—</t>
        </is>
      </c>
      <c r="Y68" s="243" t="inlineStr">
        <is>
          <t>—</t>
        </is>
      </c>
      <c r="Z68" s="243" t="inlineStr">
        <is>
          <t>—</t>
        </is>
      </c>
      <c r="AA68" s="243" t="inlineStr">
        <is>
          <t>P060332|I</t>
        </is>
      </c>
      <c r="AB68" s="250" t="inlineStr">
        <is>
          <t>registered — initial release, issued 03.06.2026</t>
        </is>
      </c>
    </row>
    <row r="69">
      <c r="A69" s="243" t="n">
        <v>68</v>
      </c>
      <c r="B69" s="244" t="inlineStr">
        <is>
          <t>iCoA-PP_26-068</t>
        </is>
      </c>
      <c r="C69" s="249" t="inlineStr">
        <is>
          <t>yes</t>
        </is>
      </c>
      <c r="D69" s="245">
        <f>IF(A69="","",IF(ISNUMBER(E69),MAX(DATE(2026,6,3),E69),DATE(2026,6,3)))</f>
        <v/>
      </c>
      <c r="E69" s="245">
        <f>IFERROR(INDEX('Batch Dates'!$F:$F,MATCH(J69,'Batch Dates'!$C:$C,0)),IFERROR(INDEX('Batch Dates'!$F:$F,MATCH(I69,'Batch Dates'!$B:$B,0)),""))</f>
        <v/>
      </c>
      <c r="F69" s="245">
        <f>IFERROR(INDEX('Batch Dates'!$G:$G,MATCH(J69,'Batch Dates'!$C:$C,0)),IFERROR(INDEX('Batch Dates'!$G:$G,MATCH(I69,'Batch Dates'!$B:$B,0)),""))</f>
        <v/>
      </c>
      <c r="G69" s="243" t="inlineStr">
        <is>
          <t>post-SOP</t>
        </is>
      </c>
      <c r="H69" s="243" t="inlineStr">
        <is>
          <t>initial release</t>
        </is>
      </c>
      <c r="I69" s="244" t="inlineStr">
        <is>
          <t>FB012603V</t>
        </is>
      </c>
      <c r="J69" s="243" t="inlineStr">
        <is>
          <t>P060392</t>
        </is>
      </c>
      <c r="K69" s="243" t="inlineStr">
        <is>
          <t>Fat Bastard</t>
        </is>
      </c>
      <c r="L69" s="243" t="inlineStr">
        <is>
          <t>Ident A + Ident B + Foreign matter</t>
        </is>
      </c>
      <c r="M69" s="243" t="inlineStr">
        <is>
          <t>A: ППК26110 / B: ППК26110 / FM: ППК26110</t>
        </is>
      </c>
      <c r="N69" s="243">
        <f>IFERROR(INDEX('CoQ Register'!$B:$B,MATCH("P060392|I",'CoQ Register'!$S:$S,0)),"—")</f>
        <v/>
      </c>
      <c r="O69" s="248" t="inlineStr">
        <is>
          <t>—</t>
        </is>
      </c>
      <c r="P69" s="243" t="inlineStr">
        <is>
          <t>30.06.2026</t>
        </is>
      </c>
      <c r="Q69" s="243" t="inlineStr">
        <is>
          <t>29.04.2026</t>
        </is>
      </c>
      <c r="R69" s="243" t="inlineStr">
        <is>
          <t>23.05.2026 (the issuance plan's basis: 30.06.2026)</t>
        </is>
      </c>
      <c r="S69" s="245">
        <f>IFERROR(INDEX('CoQ Register'!$D:$D,MATCH("P060392|I",'CoQ Register'!$S:$S,0)),"")</f>
        <v/>
      </c>
      <c r="T69" s="243" t="inlineStr">
        <is>
          <t>CNP ППК26110</t>
        </is>
      </c>
      <c r="U69" s="243" t="inlineStr">
        <is>
          <t>CNP ППК26110</t>
        </is>
      </c>
      <c r="V69" s="243" t="inlineStr">
        <is>
          <t>CNP ППК26110</t>
        </is>
      </c>
      <c r="W69" s="243" t="inlineStr">
        <is>
          <t>ППК26110, (30.06.2026) [CNP]</t>
        </is>
      </c>
      <c r="X69" s="243" t="inlineStr">
        <is>
          <t>—</t>
        </is>
      </c>
      <c r="Y69" s="243" t="inlineStr">
        <is>
          <t>—</t>
        </is>
      </c>
      <c r="Z69" s="243" t="inlineStr">
        <is>
          <t>—</t>
        </is>
      </c>
      <c r="AA69" s="243" t="inlineStr">
        <is>
          <t>P060392|I</t>
        </is>
      </c>
      <c r="AB69" s="250" t="inlineStr">
        <is>
          <t>registered — initial release, issued 03.06.2026</t>
        </is>
      </c>
    </row>
    <row r="70">
      <c r="A70" s="243" t="n">
        <v>69</v>
      </c>
      <c r="B70" s="244" t="inlineStr">
        <is>
          <t>iCoA-PP_26-069</t>
        </is>
      </c>
      <c r="C70" s="249" t="inlineStr">
        <is>
          <t>yes</t>
        </is>
      </c>
      <c r="D70" s="245">
        <f>IF(A70="","",IF(ISNUMBER(E70),MAX(DATE(2026,6,3),E70),DATE(2026,6,3)))</f>
        <v/>
      </c>
      <c r="E70" s="245">
        <f>IFERROR(INDEX('Batch Dates'!$F:$F,MATCH(J70,'Batch Dates'!$C:$C,0)),IFERROR(INDEX('Batch Dates'!$F:$F,MATCH(I70,'Batch Dates'!$B:$B,0)),""))</f>
        <v/>
      </c>
      <c r="F70" s="245">
        <f>IFERROR(INDEX('Batch Dates'!$G:$G,MATCH(J70,'Batch Dates'!$C:$C,0)),IFERROR(INDEX('Batch Dates'!$G:$G,MATCH(I70,'Batch Dates'!$B:$B,0)),""))</f>
        <v/>
      </c>
      <c r="G70" s="243" t="inlineStr">
        <is>
          <t>post-SOP</t>
        </is>
      </c>
      <c r="H70" s="243" t="inlineStr">
        <is>
          <t>initial release</t>
        </is>
      </c>
      <c r="I70" s="244" t="inlineStr">
        <is>
          <t>JD012603</t>
        </is>
      </c>
      <c r="J70" s="243" t="inlineStr">
        <is>
          <t>P060422</t>
        </is>
      </c>
      <c r="K70" s="243" t="inlineStr">
        <is>
          <t>Jelly Donuts</t>
        </is>
      </c>
      <c r="L70" s="243" t="inlineStr">
        <is>
          <t>Ident A + Ident B + Foreign matter</t>
        </is>
      </c>
      <c r="M70" s="243" t="inlineStr">
        <is>
          <t>A: ППК26111 / B: ППК26111 / FM: ППК26111</t>
        </is>
      </c>
      <c r="N70" s="243">
        <f>IFERROR(INDEX('CoQ Register'!$B:$B,MATCH("P060422|I",'CoQ Register'!$S:$S,0)),"—")</f>
        <v/>
      </c>
      <c r="O70" s="243" t="inlineStr">
        <is>
          <t>iCoA-PP-2026-0022</t>
        </is>
      </c>
      <c r="P70" s="243" t="inlineStr">
        <is>
          <t>23.05.2026</t>
        </is>
      </c>
      <c r="Q70" s="243" t="inlineStr">
        <is>
          <t>29.04.2026</t>
        </is>
      </c>
      <c r="R70" s="243" t="inlineStr">
        <is>
          <t>23.05.2026</t>
        </is>
      </c>
      <c r="S70" s="245">
        <f>IFERROR(INDEX('CoQ Register'!$D:$D,MATCH("P060422|I",'CoQ Register'!$S:$S,0)),"")</f>
        <v/>
      </c>
      <c r="T70" s="243" t="inlineStr">
        <is>
          <t>CNP ППК26111</t>
        </is>
      </c>
      <c r="U70" s="243" t="inlineStr">
        <is>
          <t>CNP ППК26111</t>
        </is>
      </c>
      <c r="V70" s="243" t="inlineStr">
        <is>
          <t>CNP ППК26111</t>
        </is>
      </c>
      <c r="W70" s="243" t="inlineStr">
        <is>
          <t>ППК26111, (30.06.2026) [CNP]</t>
        </is>
      </c>
      <c r="X70" s="243" t="inlineStr">
        <is>
          <t>—</t>
        </is>
      </c>
      <c r="Y70" s="243" t="inlineStr">
        <is>
          <t>—</t>
        </is>
      </c>
      <c r="Z70" s="243" t="inlineStr">
        <is>
          <t>—</t>
        </is>
      </c>
      <c r="AA70" s="243" t="inlineStr">
        <is>
          <t>P060422|I</t>
        </is>
      </c>
      <c r="AB70" s="250" t="inlineStr">
        <is>
          <t>registered — initial release, issued 03.06.2026</t>
        </is>
      </c>
    </row>
    <row r="71">
      <c r="A71" s="243" t="n">
        <v>70</v>
      </c>
      <c r="B71" s="244" t="inlineStr">
        <is>
          <t>iCoA-PP_26-070</t>
        </is>
      </c>
      <c r="C71" s="249" t="inlineStr">
        <is>
          <t>yes</t>
        </is>
      </c>
      <c r="D71" s="245">
        <f>IF(A71="","",IF(ISNUMBER(E71),MAX(DATE(2026,6,3),E71),DATE(2026,6,3)))</f>
        <v/>
      </c>
      <c r="E71" s="245">
        <f>IFERROR(INDEX('Batch Dates'!$F:$F,MATCH(J71,'Batch Dates'!$C:$C,0)),IFERROR(INDEX('Batch Dates'!$F:$F,MATCH(I71,'Batch Dates'!$B:$B,0)),""))</f>
        <v/>
      </c>
      <c r="F71" s="245">
        <f>IFERROR(INDEX('Batch Dates'!$G:$G,MATCH(J71,'Batch Dates'!$C:$C,0)),IFERROR(INDEX('Batch Dates'!$G:$G,MATCH(I71,'Batch Dates'!$B:$B,0)),""))</f>
        <v/>
      </c>
      <c r="G71" s="243" t="inlineStr">
        <is>
          <t>post-SOP</t>
        </is>
      </c>
      <c r="H71" s="243" t="inlineStr">
        <is>
          <t>initial release</t>
        </is>
      </c>
      <c r="I71" s="244" t="inlineStr">
        <is>
          <t>JD012603</t>
        </is>
      </c>
      <c r="J71" s="243" t="inlineStr">
        <is>
          <t>P060362</t>
        </is>
      </c>
      <c r="K71" s="243" t="inlineStr">
        <is>
          <t>Jelly Donuts</t>
        </is>
      </c>
      <c r="L71" s="243" t="inlineStr">
        <is>
          <t>Ident A + Ident B + Foreign matter</t>
        </is>
      </c>
      <c r="M71" s="243" t="inlineStr">
        <is>
          <t>A: ППК26111 / B: ППК26111 / FM: ППК26111</t>
        </is>
      </c>
      <c r="N71" s="243">
        <f>IFERROR(INDEX('CoQ Register'!$B:$B,MATCH("P060362|I",'CoQ Register'!$S:$S,0)),"—")</f>
        <v/>
      </c>
      <c r="O71" s="243" t="inlineStr">
        <is>
          <t>iCoA-PP-2026-0020</t>
        </is>
      </c>
      <c r="P71" s="243" t="inlineStr">
        <is>
          <t>23.05.2026</t>
        </is>
      </c>
      <c r="Q71" s="243" t="inlineStr">
        <is>
          <t>22.04.2026</t>
        </is>
      </c>
      <c r="R71" s="243" t="inlineStr">
        <is>
          <t>23.05.2026</t>
        </is>
      </c>
      <c r="S71" s="245">
        <f>IFERROR(INDEX('CoQ Register'!$D:$D,MATCH("P060362|I",'CoQ Register'!$S:$S,0)),"")</f>
        <v/>
      </c>
      <c r="T71" s="243" t="inlineStr">
        <is>
          <t>CNP ППК26111</t>
        </is>
      </c>
      <c r="U71" s="243" t="inlineStr">
        <is>
          <t>CNP ППК26111</t>
        </is>
      </c>
      <c r="V71" s="243" t="inlineStr">
        <is>
          <t>CNP ППК26111</t>
        </is>
      </c>
      <c r="W71" s="243" t="inlineStr">
        <is>
          <t>— no cannabinoid certificate from the initial testing —</t>
        </is>
      </c>
      <c r="X71" s="243" t="inlineStr">
        <is>
          <t>—</t>
        </is>
      </c>
      <c r="Y71" s="243" t="inlineStr">
        <is>
          <t>—</t>
        </is>
      </c>
      <c r="Z71" s="243" t="inlineStr">
        <is>
          <t>—</t>
        </is>
      </c>
      <c r="AA71" s="243" t="inlineStr">
        <is>
          <t>P060362|I</t>
        </is>
      </c>
      <c r="AB71" s="250" t="inlineStr">
        <is>
          <t>registered — initial release, issued 03.06.2026</t>
        </is>
      </c>
    </row>
    <row r="72">
      <c r="A72" s="243" t="n">
        <v>71</v>
      </c>
      <c r="B72" s="244" t="inlineStr">
        <is>
          <t>iCoA-PP_26-071</t>
        </is>
      </c>
      <c r="C72" s="249" t="inlineStr">
        <is>
          <t>yes</t>
        </is>
      </c>
      <c r="D72" s="245">
        <f>IF(A72="","",IF(ISNUMBER(E72),MAX(DATE(2026,6,3),E72),DATE(2026,6,3)))</f>
        <v/>
      </c>
      <c r="E72" s="245">
        <f>IFERROR(INDEX('Batch Dates'!$F:$F,MATCH(J72,'Batch Dates'!$C:$C,0)),IFERROR(INDEX('Batch Dates'!$F:$F,MATCH(I72,'Batch Dates'!$B:$B,0)),""))</f>
        <v/>
      </c>
      <c r="F72" s="245">
        <f>IFERROR(INDEX('Batch Dates'!$G:$G,MATCH(J72,'Batch Dates'!$C:$C,0)),IFERROR(INDEX('Batch Dates'!$G:$G,MATCH(I72,'Batch Dates'!$B:$B,0)),""))</f>
        <v/>
      </c>
      <c r="G72" s="243" t="inlineStr">
        <is>
          <t>post-SOP</t>
        </is>
      </c>
      <c r="H72" s="243" t="inlineStr">
        <is>
          <t>initial release</t>
        </is>
      </c>
      <c r="I72" s="244" t="inlineStr">
        <is>
          <t>FB012602*</t>
        </is>
      </c>
      <c r="J72" s="243" t="inlineStr">
        <is>
          <t>P060352</t>
        </is>
      </c>
      <c r="K72" s="243" t="inlineStr">
        <is>
          <t>Fat Bastard</t>
        </is>
      </c>
      <c r="L72" s="243" t="inlineStr">
        <is>
          <t>Ident A + Ident B + Foreign matter</t>
        </is>
      </c>
      <c r="M72" s="248" t="inlineStr">
        <is>
          <t>—</t>
        </is>
      </c>
      <c r="N72" s="243">
        <f>IFERROR(INDEX('CoQ Register'!$B:$B,MATCH("P060352|I",'CoQ Register'!$S:$S,0)),"—")</f>
        <v/>
      </c>
      <c r="O72" s="243" t="inlineStr">
        <is>
          <t>iCoA-PP-2026-0021</t>
        </is>
      </c>
      <c r="P72" s="243" t="inlineStr">
        <is>
          <t>23.05.2026</t>
        </is>
      </c>
      <c r="Q72" s="243" t="inlineStr">
        <is>
          <t>16.04.2026</t>
        </is>
      </c>
      <c r="R72" s="243" t="inlineStr">
        <is>
          <t>23.05.2026</t>
        </is>
      </c>
      <c r="S72" s="245">
        <f>IFERROR(INDEX('CoQ Register'!$D:$D,MATCH("P060352|I",'CoQ Register'!$S:$S,0)),"")</f>
        <v/>
      </c>
      <c r="T72" s="243" t="inlineStr">
        <is>
          <t>Conforms</t>
        </is>
      </c>
      <c r="U72" s="243" t="inlineStr">
        <is>
          <t>Conforms</t>
        </is>
      </c>
      <c r="V72" s="243" t="inlineStr">
        <is>
          <t>Conforms</t>
        </is>
      </c>
      <c r="W72" s="243" t="inlineStr">
        <is>
          <t>— no cannabinoid certificate from the initial testing —</t>
        </is>
      </c>
      <c r="X72" s="243" t="inlineStr">
        <is>
          <t>—</t>
        </is>
      </c>
      <c r="Y72" s="243" t="inlineStr">
        <is>
          <t>—</t>
        </is>
      </c>
      <c r="Z72" s="243" t="inlineStr">
        <is>
          <t>—</t>
        </is>
      </c>
      <c r="AA72" s="243" t="inlineStr">
        <is>
          <t>P060352|I</t>
        </is>
      </c>
      <c r="AB72" s="250" t="inlineStr">
        <is>
          <t>registered — initial release,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CC012603</t>
        </is>
      </c>
      <c r="J73" s="243" t="inlineStr">
        <is>
          <t>P060372</t>
        </is>
      </c>
      <c r="K73" s="243" t="inlineStr">
        <is>
          <t>Cash Cow</t>
        </is>
      </c>
      <c r="L73" s="243" t="inlineStr">
        <is>
          <t>Ident A + Ident B + Foreign matter</t>
        </is>
      </c>
      <c r="M73" s="248" t="inlineStr">
        <is>
          <t>—</t>
        </is>
      </c>
      <c r="N73" s="243">
        <f>IFERROR(INDEX('CoQ Register'!$B:$B,MATCH("P060372|I",'CoQ Register'!$S:$S,0)),"—")</f>
        <v/>
      </c>
      <c r="O73" s="243" t="inlineStr">
        <is>
          <t>iCoA-PP-2026-0024</t>
        </is>
      </c>
      <c r="P73" s="243" t="inlineStr">
        <is>
          <t>24.05.2026</t>
        </is>
      </c>
      <c r="Q73" s="243" t="inlineStr">
        <is>
          <t>22.04.2026</t>
        </is>
      </c>
      <c r="R73" s="243" t="inlineStr">
        <is>
          <t>24.05.2026</t>
        </is>
      </c>
      <c r="S73" s="245">
        <f>IFERROR(INDEX('CoQ Register'!$D:$D,MATCH("P060372|I",'CoQ Register'!$S:$S,0)),"")</f>
        <v/>
      </c>
      <c r="T73" s="243" t="inlineStr">
        <is>
          <t>Conforms</t>
        </is>
      </c>
      <c r="U73" s="243" t="inlineStr">
        <is>
          <t>Conforms</t>
        </is>
      </c>
      <c r="V73" s="243" t="inlineStr">
        <is>
          <t>Conforms</t>
        </is>
      </c>
      <c r="W73" s="243" t="inlineStr">
        <is>
          <t>— no cannabinoid certificate from the initial testing —</t>
        </is>
      </c>
      <c r="X73" s="243" t="inlineStr">
        <is>
          <t>—</t>
        </is>
      </c>
      <c r="Y73" s="243" t="inlineStr">
        <is>
          <t>—</t>
        </is>
      </c>
      <c r="Z73" s="243" t="inlineStr">
        <is>
          <t>—</t>
        </is>
      </c>
      <c r="AA73" s="243" t="inlineStr">
        <is>
          <t>P060372|I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GG012603</t>
        </is>
      </c>
      <c r="J74" s="243" t="inlineStr">
        <is>
          <t>P060402</t>
        </is>
      </c>
      <c r="K74" s="243" t="inlineStr">
        <is>
          <t>Gorilla Glue</t>
        </is>
      </c>
      <c r="L74" s="243" t="inlineStr">
        <is>
          <t>Ident A + Ident B + Foreign matter</t>
        </is>
      </c>
      <c r="M74" s="243" t="inlineStr">
        <is>
          <t>A: ППК26114 / B: ППК26114 / FM: ППК26114</t>
        </is>
      </c>
      <c r="N74" s="243">
        <f>IFERROR(INDEX('CoQ Register'!$B:$B,MATCH("P060402|I",'CoQ Register'!$S:$S,0)),"—")</f>
        <v/>
      </c>
      <c r="O74" s="243" t="inlineStr">
        <is>
          <t>iCoA-PP-2026-0023</t>
        </is>
      </c>
      <c r="P74" s="243" t="inlineStr">
        <is>
          <t>24.05.2026</t>
        </is>
      </c>
      <c r="Q74" s="243" t="inlineStr">
        <is>
          <t>04.05.2026</t>
        </is>
      </c>
      <c r="R74" s="243" t="inlineStr">
        <is>
          <t>24.05.2026</t>
        </is>
      </c>
      <c r="S74" s="245">
        <f>IFERROR(INDEX('CoQ Register'!$D:$D,MATCH("P060402|I",'CoQ Register'!$S:$S,0)),"")</f>
        <v/>
      </c>
      <c r="T74" s="243" t="inlineStr">
        <is>
          <t>CNP ППК26114</t>
        </is>
      </c>
      <c r="U74" s="243" t="inlineStr">
        <is>
          <t>CNP ППК26114</t>
        </is>
      </c>
      <c r="V74" s="243" t="inlineStr">
        <is>
          <t>CNP ППК26114</t>
        </is>
      </c>
      <c r="W74" s="243" t="inlineStr">
        <is>
          <t>ППК26114, (30.06.2026) [CNP]</t>
        </is>
      </c>
      <c r="X74" s="243" t="inlineStr">
        <is>
          <t>—</t>
        </is>
      </c>
      <c r="Y74" s="243" t="inlineStr">
        <is>
          <t>—</t>
        </is>
      </c>
      <c r="Z74" s="243" t="inlineStr">
        <is>
          <t>—</t>
        </is>
      </c>
      <c r="AA74" s="243" t="inlineStr">
        <is>
          <t>P060402|I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JD012603</t>
        </is>
      </c>
      <c r="J75" s="243" t="inlineStr">
        <is>
          <t>P060412</t>
        </is>
      </c>
      <c r="K75" s="243" t="inlineStr">
        <is>
          <t>Jelly Donuts</t>
        </is>
      </c>
      <c r="L75" s="243" t="inlineStr">
        <is>
          <t>Ident A + Ident B + Foreign matter</t>
        </is>
      </c>
      <c r="M75" s="243" t="inlineStr">
        <is>
          <t>A: ППК26111 / B: ППК26111 / FM: ППК26111</t>
        </is>
      </c>
      <c r="N75" s="243">
        <f>IFERROR(INDEX('CoQ Register'!$B:$B,MATCH("P060412|I",'CoQ Register'!$S:$S,0)),"—")</f>
        <v/>
      </c>
      <c r="O75" s="243" t="inlineStr">
        <is>
          <t>iCoA-PP-2026-0025</t>
        </is>
      </c>
      <c r="P75" s="243" t="inlineStr">
        <is>
          <t>24.05.2026</t>
        </is>
      </c>
      <c r="Q75" s="243" t="inlineStr">
        <is>
          <t>04.05.2026</t>
        </is>
      </c>
      <c r="R75" s="243" t="inlineStr">
        <is>
          <t>24.05.2026</t>
        </is>
      </c>
      <c r="S75" s="245">
        <f>IFERROR(INDEX('CoQ Register'!$D:$D,MATCH("P060412|I",'CoQ Register'!$S:$S,0)),"")</f>
        <v/>
      </c>
      <c r="T75" s="243" t="inlineStr">
        <is>
          <t>CNP ППК26111</t>
        </is>
      </c>
      <c r="U75" s="243" t="inlineStr">
        <is>
          <t>CNP ППК26111</t>
        </is>
      </c>
      <c r="V75" s="243" t="inlineStr">
        <is>
          <t>CNP ППК26111</t>
        </is>
      </c>
      <c r="W75" s="243" t="inlineStr">
        <is>
          <t>ППК26113, (30.06.2026) [CNP]</t>
        </is>
      </c>
      <c r="X75" s="243" t="inlineStr">
        <is>
          <t>—</t>
        </is>
      </c>
      <c r="Y75" s="243" t="inlineStr">
        <is>
          <t>—</t>
        </is>
      </c>
      <c r="Z75" s="243" t="inlineStr">
        <is>
          <t>—</t>
        </is>
      </c>
      <c r="AA75" s="243" t="inlineStr">
        <is>
          <t>P060412|I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SCR012603</t>
        </is>
      </c>
      <c r="J76" s="243" t="inlineStr">
        <is>
          <t>P060382</t>
        </is>
      </c>
      <c r="K76" s="243" t="inlineStr">
        <is>
          <t>Scrambler</t>
        </is>
      </c>
      <c r="L76" s="243" t="inlineStr">
        <is>
          <t>Ident A + Ident B + Foreign matter</t>
        </is>
      </c>
      <c r="M76" s="248" t="inlineStr">
        <is>
          <t>—</t>
        </is>
      </c>
      <c r="N76" s="243">
        <f>IFERROR(INDEX('CoQ Register'!$B:$B,MATCH("P060382|I",'CoQ Register'!$S:$S,0)),"—")</f>
        <v/>
      </c>
      <c r="O76" s="243" t="inlineStr">
        <is>
          <t>iCoA-PP-2026-0026</t>
        </is>
      </c>
      <c r="P76" s="243" t="inlineStr">
        <is>
          <t>25.05.2026</t>
        </is>
      </c>
      <c r="Q76" s="243" t="inlineStr">
        <is>
          <t>22.04.2026</t>
        </is>
      </c>
      <c r="R76" s="243" t="inlineStr">
        <is>
          <t>25.05.2026</t>
        </is>
      </c>
      <c r="S76" s="245">
        <f>IFERROR(INDEX('CoQ Register'!$D:$D,MATCH("P060382|I",'CoQ Register'!$S:$S,0)),"")</f>
        <v/>
      </c>
      <c r="T76" s="243" t="inlineStr">
        <is>
          <t>Conforms</t>
        </is>
      </c>
      <c r="U76" s="243" t="inlineStr">
        <is>
          <t>Conforms</t>
        </is>
      </c>
      <c r="V76" s="243" t="inlineStr">
        <is>
          <t>Conforms</t>
        </is>
      </c>
      <c r="W76" s="243" t="inlineStr">
        <is>
          <t>— no cannabinoid certificate from the initial testing —</t>
        </is>
      </c>
      <c r="X76" s="243" t="inlineStr">
        <is>
          <t>—</t>
        </is>
      </c>
      <c r="Y76" s="243" t="inlineStr">
        <is>
          <t>—</t>
        </is>
      </c>
      <c r="Z76" s="243" t="inlineStr">
        <is>
          <t>—</t>
        </is>
      </c>
      <c r="AA76" s="243" t="inlineStr">
        <is>
          <t>P060382|I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SCR012601*</t>
        </is>
      </c>
      <c r="J77" s="243" t="inlineStr">
        <is>
          <t>P060342</t>
        </is>
      </c>
      <c r="K77" s="243" t="inlineStr">
        <is>
          <t>Scrambler</t>
        </is>
      </c>
      <c r="L77" s="243" t="inlineStr">
        <is>
          <t>Ident A + Ident B + Foreign matter</t>
        </is>
      </c>
      <c r="M77" s="248" t="inlineStr">
        <is>
          <t>—</t>
        </is>
      </c>
      <c r="N77" s="243">
        <f>IFERROR(INDEX('CoQ Register'!$B:$B,MATCH("P060342|I",'CoQ Register'!$S:$S,0)),"—")</f>
        <v/>
      </c>
      <c r="O77" s="248" t="inlineStr">
        <is>
          <t>—</t>
        </is>
      </c>
      <c r="P77" s="243" t="inlineStr">
        <is>
          <t>25.05.2026</t>
        </is>
      </c>
      <c r="Q77" s="243" t="inlineStr">
        <is>
          <t>16.04.2026</t>
        </is>
      </c>
      <c r="R77" s="243" t="inlineStr">
        <is>
          <t>25.05.2026</t>
        </is>
      </c>
      <c r="S77" s="245">
        <f>IFERROR(INDEX('CoQ Register'!$D:$D,MATCH("P060342|I",'CoQ Register'!$S:$S,0)),"")</f>
        <v/>
      </c>
      <c r="T77" s="243" t="inlineStr">
        <is>
          <t>Conforms</t>
        </is>
      </c>
      <c r="U77" s="243" t="inlineStr">
        <is>
          <t>Conforms</t>
        </is>
      </c>
      <c r="V77" s="243" t="inlineStr">
        <is>
          <t>Conforms</t>
        </is>
      </c>
      <c r="W77" s="243" t="inlineStr">
        <is>
          <t>— no cannabinoid certificate from the initial testing —</t>
        </is>
      </c>
      <c r="X77" s="243" t="inlineStr">
        <is>
          <t>—</t>
        </is>
      </c>
      <c r="Y77" s="243" t="inlineStr">
        <is>
          <t>—</t>
        </is>
      </c>
      <c r="Z77" s="243" t="inlineStr">
        <is>
          <t>—</t>
        </is>
      </c>
      <c r="AA77" s="243" t="inlineStr">
        <is>
          <t>P060342|I</t>
        </is>
      </c>
      <c r="AB77" s="250" t="inlineStr">
        <is>
          <t>registered — initial release, issued 03.06.2026</t>
        </is>
      </c>
    </row>
    <row r="78">
      <c r="A78" s="243" t="n">
        <v>77</v>
      </c>
      <c r="B78" s="244" t="inlineStr">
        <is>
          <t>iCoA-PP_26-077</t>
        </is>
      </c>
      <c r="C78" s="249" t="inlineStr">
        <is>
          <t>yes</t>
        </is>
      </c>
      <c r="D78" s="245" t="n">
        <v>46176</v>
      </c>
      <c r="E78" s="245" t="inlineStr">
        <is>
          <t>— not stated —</t>
        </is>
      </c>
      <c r="F78" s="245">
        <f>IFERROR(INDEX('Batch Dates'!$G:$G,MATCH(J78,'Batch Dates'!$C:$C,0)),IFERROR(INDEX('Batch Dates'!$G:$G,MATCH(I78,'Batch Dates'!$B:$B,0)),""))</f>
        <v/>
      </c>
      <c r="G78" s="243" t="inlineStr">
        <is>
          <t>legacy</t>
        </is>
      </c>
      <c r="H78" s="243" t="inlineStr">
        <is>
          <t>initial release</t>
        </is>
      </c>
      <c r="I78" s="244" t="inlineStr">
        <is>
          <t>BSS1024_01/1</t>
        </is>
      </c>
      <c r="J78" s="243" t="inlineStr">
        <is>
          <t>P050122</t>
        </is>
      </c>
      <c r="K78" s="243" t="inlineStr">
        <is>
          <t>Blue Sunset Sherbet</t>
        </is>
      </c>
      <c r="L78" s="243" t="inlineStr">
        <is>
          <t>Ident A + Ident B + Foreign matter</t>
        </is>
      </c>
      <c r="M78" s="248" t="inlineStr">
        <is>
          <t>—</t>
        </is>
      </c>
      <c r="N78" s="243">
        <f>IFERROR(INDEX('CoQ Register'!$B:$B,MATCH("P050122|I",'CoQ Register'!$S:$S,0)),"—")</f>
        <v/>
      </c>
      <c r="O78" s="248" t="inlineStr">
        <is>
          <t>—</t>
        </is>
      </c>
      <c r="P78" s="243" t="inlineStr">
        <is>
          <t>10.07.2025</t>
        </is>
      </c>
      <c r="Q78" s="243" t="inlineStr">
        <is>
          <t>04.06.2025 – 05.06.2025</t>
        </is>
      </c>
      <c r="R78" s="243" t="inlineStr">
        <is>
          <t>01.09.2025 – 09.09.2025 (the issuance plan's basis: 10.07.2025)</t>
        </is>
      </c>
      <c r="S78" s="245">
        <f>IFERROR(INDEX('CoQ Register'!$D:$D,MATCH("P050122|I",'CoQ Register'!$S:$S,0)),"")</f>
        <v/>
      </c>
      <c r="T78" s="243" t="inlineStr">
        <is>
          <t>Conforms</t>
        </is>
      </c>
      <c r="U78" s="243" t="inlineStr">
        <is>
          <t>Conforms</t>
        </is>
      </c>
      <c r="V78" s="243" t="inlineStr">
        <is>
          <t>Conforms</t>
        </is>
      </c>
      <c r="W78" s="243" t="inlineStr">
        <is>
          <t>ППК25176, (10.07.2025) [CNP]</t>
        </is>
      </c>
      <c r="X78" s="243" t="inlineStr">
        <is>
          <t>—</t>
        </is>
      </c>
      <c r="Y78" s="243" t="inlineStr">
        <is>
          <t>—</t>
        </is>
      </c>
      <c r="Z78" s="243" t="inlineStr">
        <is>
          <t>—</t>
        </is>
      </c>
      <c r="AA78" s="243" t="inlineStr">
        <is>
          <t>P050122|I</t>
        </is>
      </c>
      <c r="AB78" s="250" t="inlineStr">
        <is>
          <t>registered — initial release, issued 03.06.2026 · no packaging date on file — testing date not stated (owner, 15.09.2026: certified all the same)</t>
        </is>
      </c>
    </row>
    <row r="79">
      <c r="A79" s="243" t="n">
        <v>78</v>
      </c>
      <c r="B79" s="244" t="inlineStr">
        <is>
          <t>iCoA-PP_26-078</t>
        </is>
      </c>
      <c r="C79" s="249" t="inlineStr">
        <is>
          <t>yes</t>
        </is>
      </c>
      <c r="D79" s="245" t="n">
        <v>46176</v>
      </c>
      <c r="E79" s="245" t="inlineStr">
        <is>
          <t>— not stated —</t>
        </is>
      </c>
      <c r="F79" s="245">
        <f>IFERROR(INDEX('Batch Dates'!$G:$G,MATCH(J79,'Batch Dates'!$C:$C,0)),IFERROR(INDEX('Batch Dates'!$G:$G,MATCH(I79,'Batch Dates'!$B:$B,0)),""))</f>
        <v/>
      </c>
      <c r="G79" s="243" t="inlineStr">
        <is>
          <t>—</t>
        </is>
      </c>
      <c r="H79" s="243" t="inlineStr">
        <is>
          <t>initial release</t>
        </is>
      </c>
      <c r="I79" s="244" t="inlineStr">
        <is>
          <t>CC042601</t>
        </is>
      </c>
      <c r="J79" s="243" t="inlineStr">
        <is>
          <t>N/A — no P batch assigned</t>
        </is>
      </c>
      <c r="K79" s="243" t="inlineStr">
        <is>
          <t>Cash Cow</t>
        </is>
      </c>
      <c r="L79" s="243" t="inlineStr">
        <is>
          <t>Ident A + Ident B + Foreign matter</t>
        </is>
      </c>
      <c r="M79" s="248" t="inlineStr">
        <is>
          <t>—</t>
        </is>
      </c>
      <c r="N79" s="243">
        <f>IFERROR(INDEX('CoQ Register'!$B:$B,MATCH("CC042601|I",'CoQ Register'!$S:$S,0)),"—")</f>
        <v/>
      </c>
      <c r="O79" s="248" t="inlineStr">
        <is>
          <t>—</t>
        </is>
      </c>
      <c r="P79" s="243" t="inlineStr">
        <is>
          <t>—</t>
        </is>
      </c>
      <c r="Q79" s="243" t="inlineStr">
        <is>
          <t>— not on the list —</t>
        </is>
      </c>
      <c r="R79" s="243" t="inlineStr">
        <is>
          <t>— not on the list —</t>
        </is>
      </c>
      <c r="S79" s="245">
        <f>IFERROR(INDEX('CoQ Register'!$D:$D,MATCH("CC042601|I",'CoQ Register'!$S:$S,0)),"")</f>
        <v/>
      </c>
      <c r="T79" s="243" t="inlineStr">
        <is>
          <t>Conforms</t>
        </is>
      </c>
      <c r="U79" s="243" t="inlineStr">
        <is>
          <t>Conforms</t>
        </is>
      </c>
      <c r="V79" s="243" t="inlineStr">
        <is>
          <t>Conforms</t>
        </is>
      </c>
      <c r="W79" s="243" t="inlineStr">
        <is>
          <t>— no cannabinoid certificate from the initial testing —</t>
        </is>
      </c>
      <c r="X79" s="243" t="inlineStr">
        <is>
          <t>—</t>
        </is>
      </c>
      <c r="Y79" s="243" t="inlineStr">
        <is>
          <t>—</t>
        </is>
      </c>
      <c r="Z79" s="243" t="inlineStr">
        <is>
          <t>—</t>
        </is>
      </c>
      <c r="AA79" s="243" t="inlineStr">
        <is>
          <t>CC042601|I</t>
        </is>
      </c>
      <c r="AB79" s="250" t="inlineStr">
        <is>
          <t>registered — initial release, issued 03.06.2026 · no packaging date on file — testing date not stated (owner, 15.09.2026: certified all the same)</t>
        </is>
      </c>
    </row>
    <row r="80">
      <c r="A80" s="243" t="n">
        <v>79</v>
      </c>
      <c r="B80" s="244" t="inlineStr">
        <is>
          <t>iCoA-PP_26-079</t>
        </is>
      </c>
      <c r="C80" s="249" t="inlineStr">
        <is>
          <t>yes</t>
        </is>
      </c>
      <c r="D80" s="245" t="n">
        <v>46176</v>
      </c>
      <c r="E80" s="245" t="inlineStr">
        <is>
          <t>— not stated —</t>
        </is>
      </c>
      <c r="F80" s="245">
        <f>IFERROR(INDEX('Batch Dates'!$G:$G,MATCH(J80,'Batch Dates'!$C:$C,0)),IFERROR(INDEX('Batch Dates'!$G:$G,MATCH(I80,'Batch Dates'!$B:$B,0)),""))</f>
        <v/>
      </c>
      <c r="G80" s="243" t="inlineStr">
        <is>
          <t>—</t>
        </is>
      </c>
      <c r="H80" s="243" t="inlineStr">
        <is>
          <t>initial release</t>
        </is>
      </c>
      <c r="I80" s="244" t="inlineStr">
        <is>
          <t>FB042601</t>
        </is>
      </c>
      <c r="J80" s="243" t="inlineStr">
        <is>
          <t>N/A — no P batch assigned</t>
        </is>
      </c>
      <c r="K80" s="243" t="inlineStr">
        <is>
          <t>Fat Bastard</t>
        </is>
      </c>
      <c r="L80" s="243" t="inlineStr">
        <is>
          <t>Ident A + Ident B + Foreign matter</t>
        </is>
      </c>
      <c r="M80" s="248" t="inlineStr">
        <is>
          <t>—</t>
        </is>
      </c>
      <c r="N80" s="243">
        <f>IFERROR(INDEX('CoQ Register'!$B:$B,MATCH("FB042601|I",'CoQ Register'!$S:$S,0)),"—")</f>
        <v/>
      </c>
      <c r="O80" s="248" t="inlineStr">
        <is>
          <t>—</t>
        </is>
      </c>
      <c r="P80" s="243" t="inlineStr">
        <is>
          <t>—</t>
        </is>
      </c>
      <c r="Q80" s="243" t="inlineStr">
        <is>
          <t>— not on the list —</t>
        </is>
      </c>
      <c r="R80" s="243" t="inlineStr">
        <is>
          <t>— not on the list —</t>
        </is>
      </c>
      <c r="S80" s="245">
        <f>IFERROR(INDEX('CoQ Register'!$D:$D,MATCH("FB042601|I",'CoQ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FB042601|I</t>
        </is>
      </c>
      <c r="AB80" s="250" t="inlineStr">
        <is>
          <t>registered — initial release, issued 03.06.2026 · no packaging date on file — testing date not stated (owner, 15.09.2026: certified all the same)</t>
        </is>
      </c>
    </row>
    <row r="81">
      <c r="A81" s="243" t="n">
        <v>80</v>
      </c>
      <c r="B81" s="244" t="inlineStr">
        <is>
          <t>iCoA-PP_26-080</t>
        </is>
      </c>
      <c r="C81" s="249" t="inlineStr">
        <is>
          <t>yes</t>
        </is>
      </c>
      <c r="D81" s="245" t="n">
        <v>46176</v>
      </c>
      <c r="E81" s="245" t="inlineStr">
        <is>
          <t>— not stated —</t>
        </is>
      </c>
      <c r="F81" s="245">
        <f>IFERROR(INDEX('Batch Dates'!$G:$G,MATCH(J81,'Batch Dates'!$C:$C,0)),IFERROR(INDEX('Batch Dates'!$G:$G,MATCH(I81,'Batch Dates'!$B:$B,0)),""))</f>
        <v/>
      </c>
      <c r="G81" s="243" t="inlineStr">
        <is>
          <t>legacy</t>
        </is>
      </c>
      <c r="H81" s="243" t="inlineStr">
        <is>
          <t>initial release</t>
        </is>
      </c>
      <c r="I81" s="244" t="inlineStr">
        <is>
          <t>OMP1024_01</t>
        </is>
      </c>
      <c r="J81" s="243" t="inlineStr">
        <is>
          <t>P050042</t>
        </is>
      </c>
      <c r="K81" s="243" t="inlineStr">
        <is>
          <t>Orange Punch Mimosa</t>
        </is>
      </c>
      <c r="L81" s="243" t="inlineStr">
        <is>
          <t>Ident A + Ident B + Foreign matter</t>
        </is>
      </c>
      <c r="M81" s="248" t="inlineStr">
        <is>
          <t>—</t>
        </is>
      </c>
      <c r="N81" s="243">
        <f>IFERROR(INDEX('CoQ Register'!$B:$B,MATCH("P050042|I",'CoQ Register'!$S:$S,0)),"—")</f>
        <v/>
      </c>
      <c r="O81" s="243" t="inlineStr">
        <is>
          <t>iCoA-PP-2025-0007</t>
        </is>
      </c>
      <c r="P81" s="243" t="inlineStr">
        <is>
          <t>20.06.2025</t>
        </is>
      </c>
      <c r="Q81" s="243" t="inlineStr">
        <is>
          <t>26.03.2025 – 27.03.2025</t>
        </is>
      </c>
      <c r="R81" s="243" t="inlineStr">
        <is>
          <t>20.06.2025</t>
        </is>
      </c>
      <c r="S81" s="245">
        <f>IFERROR(INDEX('CoQ Register'!$D:$D,MATCH("P050042|I",'CoQ Register'!$S:$S,0)),"")</f>
        <v/>
      </c>
      <c r="T81" s="243" t="inlineStr">
        <is>
          <t>Conforms</t>
        </is>
      </c>
      <c r="U81" s="243" t="inlineStr">
        <is>
          <t>Conforms</t>
        </is>
      </c>
      <c r="V81" s="243" t="inlineStr">
        <is>
          <t>Conforms</t>
        </is>
      </c>
      <c r="W81" s="243" t="inlineStr">
        <is>
          <t>ППК25117, (06.05.2025) [CNP]</t>
        </is>
      </c>
      <c r="X81" s="243" t="inlineStr">
        <is>
          <t>—</t>
        </is>
      </c>
      <c r="Y81" s="243" t="inlineStr">
        <is>
          <t>—</t>
        </is>
      </c>
      <c r="Z81" s="243" t="inlineStr">
        <is>
          <t>—</t>
        </is>
      </c>
      <c r="AA81" s="243" t="inlineStr">
        <is>
          <t>P050042|I</t>
        </is>
      </c>
      <c r="AB81" s="250" t="inlineStr">
        <is>
          <t>registered — initial release, issued 03.06.2026 · no packaging date on file — testing date not stated (owner, 15.09.2026: certified all the same)</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FB012603</t>
        </is>
      </c>
      <c r="J82" s="243" t="inlineStr">
        <is>
          <t>P060432</t>
        </is>
      </c>
      <c r="K82" s="243" t="inlineStr">
        <is>
          <t>Fat Bastard</t>
        </is>
      </c>
      <c r="L82" s="243" t="inlineStr">
        <is>
          <t>Ident A + Ident B + Foreign matter</t>
        </is>
      </c>
      <c r="M82" s="243" t="inlineStr">
        <is>
          <t>A: ППК26112 / B: ППК26112 / FM: ППК26112</t>
        </is>
      </c>
      <c r="N82" s="243">
        <f>IFERROR(INDEX('CoQ Register'!$B:$B,MATCH("P060432|I",'CoQ Register'!$S:$S,0)),"—")</f>
        <v/>
      </c>
      <c r="O82" s="248" t="inlineStr">
        <is>
          <t>—</t>
        </is>
      </c>
      <c r="P82" s="243" t="inlineStr">
        <is>
          <t>30.06.2026</t>
        </is>
      </c>
      <c r="Q82" s="243" t="inlineStr">
        <is>
          <t>04.05.2026</t>
        </is>
      </c>
      <c r="R82" s="243" t="inlineStr">
        <is>
          <t>15.06.2026 (the issuance plan's basis: 30.06.2026)</t>
        </is>
      </c>
      <c r="S82" s="245">
        <f>IFERROR(INDEX('CoQ Register'!$D:$D,MATCH("P060432|I",'CoQ Register'!$S:$S,0)),"")</f>
        <v/>
      </c>
      <c r="T82" s="243" t="inlineStr">
        <is>
          <t>CNP ППК26112</t>
        </is>
      </c>
      <c r="U82" s="243" t="inlineStr">
        <is>
          <t>CNP ППК26112</t>
        </is>
      </c>
      <c r="V82" s="243" t="inlineStr">
        <is>
          <t>CNP ППК26112</t>
        </is>
      </c>
      <c r="W82" s="243" t="inlineStr">
        <is>
          <t>ППК26112, (30.06.2026) [CNP]</t>
        </is>
      </c>
      <c r="X82" s="243" t="inlineStr">
        <is>
          <t>—</t>
        </is>
      </c>
      <c r="Y82" s="243" t="inlineStr">
        <is>
          <t>—</t>
        </is>
      </c>
      <c r="Z82" s="243" t="inlineStr">
        <is>
          <t>—</t>
        </is>
      </c>
      <c r="AA82" s="243" t="inlineStr">
        <is>
          <t>P060432|I</t>
        </is>
      </c>
      <c r="AB82" s="250" t="inlineStr">
        <is>
          <t>registered — initial release, issued 15.06.2026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SCR022601</t>
        </is>
      </c>
      <c r="J83" s="243" t="inlineStr">
        <is>
          <t>P060442</t>
        </is>
      </c>
      <c r="K83" s="243" t="inlineStr">
        <is>
          <t>Scrambler</t>
        </is>
      </c>
      <c r="L83" s="243" t="inlineStr">
        <is>
          <t>Ident A + Ident B + Foreign matter</t>
        </is>
      </c>
      <c r="M83" s="243" t="inlineStr">
        <is>
          <t>A: ППК26116 / B: ППК26116 / FM: ППК26116</t>
        </is>
      </c>
      <c r="N83" s="243">
        <f>IFERROR(INDEX('CoQ Register'!$B:$B,MATCH("P060442|I",'CoQ Register'!$S:$S,0)),"—")</f>
        <v/>
      </c>
      <c r="O83" s="248" t="inlineStr">
        <is>
          <t>—</t>
        </is>
      </c>
      <c r="P83" s="243" t="inlineStr">
        <is>
          <t>06.07.2026</t>
        </is>
      </c>
      <c r="Q83" s="243" t="inlineStr">
        <is>
          <t>13.05.2026</t>
        </is>
      </c>
      <c r="R83" s="243" t="inlineStr">
        <is>
          <t>18.06.2026 (the issuance plan's basis: 06.07.2026)</t>
        </is>
      </c>
      <c r="S83" s="245">
        <f>IFERROR(INDEX('CoQ Register'!$D:$D,MATCH("P060442|I",'CoQ Register'!$S:$S,0)),"")</f>
        <v/>
      </c>
      <c r="T83" s="243" t="inlineStr">
        <is>
          <t>CNP ППК26116</t>
        </is>
      </c>
      <c r="U83" s="243" t="inlineStr">
        <is>
          <t>CNP ППК26116</t>
        </is>
      </c>
      <c r="V83" s="243" t="inlineStr">
        <is>
          <t>CNP ППК26116</t>
        </is>
      </c>
      <c r="W83" s="243" t="inlineStr">
        <is>
          <t>ППК26116, (06.07.2026) [CNP]</t>
        </is>
      </c>
      <c r="X83" s="243" t="inlineStr">
        <is>
          <t>—</t>
        </is>
      </c>
      <c r="Y83" s="243" t="inlineStr">
        <is>
          <t>—</t>
        </is>
      </c>
      <c r="Z83" s="243" t="inlineStr">
        <is>
          <t>—</t>
        </is>
      </c>
      <c r="AA83" s="243" t="inlineStr">
        <is>
          <t>P060442|I</t>
        </is>
      </c>
      <c r="AB83" s="250" t="inlineStr">
        <is>
          <t>registered — initial release, issued 18.06.2026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FB032601</t>
        </is>
      </c>
      <c r="J84" s="243" t="inlineStr">
        <is>
          <t>P060452</t>
        </is>
      </c>
      <c r="K84" s="243" t="inlineStr">
        <is>
          <t>Fat Bastard</t>
        </is>
      </c>
      <c r="L84" s="243" t="inlineStr">
        <is>
          <t>Ident A + Ident B + Foreign matter</t>
        </is>
      </c>
      <c r="M84" s="243" t="inlineStr">
        <is>
          <t>A: ППК26127 / B: ППК26127 / FM: ППК26127</t>
        </is>
      </c>
      <c r="N84" s="243">
        <f>IFERROR(INDEX('CoQ Register'!$B:$B,MATCH("P060452|I",'CoQ Register'!$S:$S,0)),"—")</f>
        <v/>
      </c>
      <c r="O84" s="248" t="inlineStr">
        <is>
          <t>—</t>
        </is>
      </c>
      <c r="P84" s="243" t="inlineStr">
        <is>
          <t>21.07.2026</t>
        </is>
      </c>
      <c r="Q84" s="243" t="inlineStr">
        <is>
          <t>02.06.2026</t>
        </is>
      </c>
      <c r="R84" s="243" t="inlineStr">
        <is>
          <t>29.06.2026 (the issuance plan's basis: 21.07.2026)</t>
        </is>
      </c>
      <c r="S84" s="245">
        <f>IFERROR(INDEX('CoQ Register'!$D:$D,MATCH("P060452|I",'CoQ Register'!$S:$S,0)),"")</f>
        <v/>
      </c>
      <c r="T84" s="243" t="inlineStr">
        <is>
          <t>CNP ППК26127</t>
        </is>
      </c>
      <c r="U84" s="243" t="inlineStr">
        <is>
          <t>CNP ППК26127</t>
        </is>
      </c>
      <c r="V84" s="243" t="inlineStr">
        <is>
          <t>CNP ППК26127</t>
        </is>
      </c>
      <c r="W84" s="243" t="inlineStr">
        <is>
          <t>ППК26127, (21.07.2026) [CNP]</t>
        </is>
      </c>
      <c r="X84" s="243" t="inlineStr">
        <is>
          <t>—</t>
        </is>
      </c>
      <c r="Y84" s="243" t="inlineStr">
        <is>
          <t>—</t>
        </is>
      </c>
      <c r="Z84" s="243" t="inlineStr">
        <is>
          <t>—</t>
        </is>
      </c>
      <c r="AA84" s="243" t="inlineStr">
        <is>
          <t>P060452|I</t>
        </is>
      </c>
      <c r="AB84" s="250" t="inlineStr">
        <is>
          <t>registered — initial release, issued 29.06.2026</t>
        </is>
      </c>
    </row>
    <row r="85">
      <c r="A85" s="243" t="n">
        <v>84</v>
      </c>
      <c r="B85" s="244" t="inlineStr">
        <is>
          <t>iCoA-PP_26-084</t>
        </is>
      </c>
      <c r="C85" s="249" t="inlineStr">
        <is>
          <t>yes</t>
        </is>
      </c>
      <c r="D85" s="245" t="n">
        <v>46209</v>
      </c>
      <c r="E85" s="245" t="inlineStr">
        <is>
          <t>— not stated —</t>
        </is>
      </c>
      <c r="F85" s="245">
        <f>IFERROR(INDEX('Batch Dates'!$G:$G,MATCH(J85,'Batch Dates'!$C:$C,0)),IFERROR(INDEX('Batch Dates'!$G:$G,MATCH(I85,'Batch Dates'!$B:$B,0)),""))</f>
        <v/>
      </c>
      <c r="G85" s="243" t="inlineStr">
        <is>
          <t>—</t>
        </is>
      </c>
      <c r="H85" s="243" t="inlineStr">
        <is>
          <t>initial release</t>
        </is>
      </c>
      <c r="I85" s="244" t="inlineStr">
        <is>
          <t>— not recorded — (P160012)</t>
        </is>
      </c>
      <c r="J85" s="243" t="inlineStr">
        <is>
          <t>P160012</t>
        </is>
      </c>
      <c r="K85" s="243" t="inlineStr">
        <is>
          <t>Grape Pie</t>
        </is>
      </c>
      <c r="L85" s="243" t="inlineStr">
        <is>
          <t>Ident A + Ident B + Foreign matter</t>
        </is>
      </c>
      <c r="M85" s="243" t="inlineStr">
        <is>
          <t>A: ППК26117 / B: ППК26117 / FM: ППК26117</t>
        </is>
      </c>
      <c r="N85" s="243">
        <f>IFERROR(INDEX('CoQ Register'!$B:$B,MATCH("P160012|I",'CoQ Register'!$S:$S,0)),"—")</f>
        <v/>
      </c>
      <c r="O85" s="248" t="inlineStr">
        <is>
          <t>—</t>
        </is>
      </c>
      <c r="P85" s="243" t="inlineStr">
        <is>
          <t>06.07.2026</t>
        </is>
      </c>
      <c r="Q85" s="243" t="inlineStr">
        <is>
          <t>— not on the list —</t>
        </is>
      </c>
      <c r="R85" s="243" t="inlineStr">
        <is>
          <t>— not on the list —</t>
        </is>
      </c>
      <c r="S85" s="245">
        <f>IFERROR(INDEX('CoQ Register'!$D:$D,MATCH("P160012|I",'CoQ Register'!$S:$S,0)),"")</f>
        <v/>
      </c>
      <c r="T85" s="243" t="inlineStr">
        <is>
          <t>CNP ППК26117</t>
        </is>
      </c>
      <c r="U85" s="243" t="inlineStr">
        <is>
          <t>CNP ППК26117</t>
        </is>
      </c>
      <c r="V85" s="243" t="inlineStr">
        <is>
          <t>CNP ППК26117</t>
        </is>
      </c>
      <c r="W85" s="243" t="inlineStr">
        <is>
          <t>ППК26117, (06.07.2026) [CNP]</t>
        </is>
      </c>
      <c r="X85" s="243" t="inlineStr">
        <is>
          <t>—</t>
        </is>
      </c>
      <c r="Y85" s="243" t="inlineStr">
        <is>
          <t>—</t>
        </is>
      </c>
      <c r="Z85" s="243" t="inlineStr">
        <is>
          <t>—</t>
        </is>
      </c>
      <c r="AA85" s="243" t="inlineStr">
        <is>
          <t>P160012|I</t>
        </is>
      </c>
      <c r="AB85" s="250" t="inlineStr">
        <is>
          <t>registered — initial release, issued 06.07.2026 · no packaging date on file — testing date not stated (owner, 15.09.2026: certified all the same)</t>
        </is>
      </c>
    </row>
    <row r="86">
      <c r="A86" s="243" t="n">
        <v>85</v>
      </c>
      <c r="B86" s="244" t="inlineStr">
        <is>
          <t>iCoA-PP_26-085</t>
        </is>
      </c>
      <c r="C86" s="249" t="inlineStr">
        <is>
          <t>yes</t>
        </is>
      </c>
      <c r="D86" s="245" t="n">
        <v>46209</v>
      </c>
      <c r="E86" s="245" t="inlineStr">
        <is>
          <t>— not stated —</t>
        </is>
      </c>
      <c r="F86" s="245">
        <f>IFERROR(INDEX('Batch Dates'!$G:$G,MATCH(J86,'Batch Dates'!$C:$C,0)),IFERROR(INDEX('Batch Dates'!$G:$G,MATCH(I86,'Batch Dates'!$B:$B,0)),""))</f>
        <v/>
      </c>
      <c r="G86" s="243" t="inlineStr">
        <is>
          <t>—</t>
        </is>
      </c>
      <c r="H86" s="243" t="inlineStr">
        <is>
          <t>initial release</t>
        </is>
      </c>
      <c r="I86" s="244" t="inlineStr">
        <is>
          <t>— not recorded — (P160022)</t>
        </is>
      </c>
      <c r="J86" s="243" t="inlineStr">
        <is>
          <t>P160022</t>
        </is>
      </c>
      <c r="K86" s="243" t="inlineStr">
        <is>
          <t>Grape Pie</t>
        </is>
      </c>
      <c r="L86" s="243" t="inlineStr">
        <is>
          <t>Ident A + Ident B + Foreign matter</t>
        </is>
      </c>
      <c r="M86" s="243" t="inlineStr">
        <is>
          <t>A: ППК26118 / B: ППК26118 / FM: ППК26118</t>
        </is>
      </c>
      <c r="N86" s="243">
        <f>IFERROR(INDEX('CoQ Register'!$B:$B,MATCH("P160022|I",'CoQ Register'!$S:$S,0)),"—")</f>
        <v/>
      </c>
      <c r="O86" s="248" t="inlineStr">
        <is>
          <t>—</t>
        </is>
      </c>
      <c r="P86" s="243" t="inlineStr">
        <is>
          <t>06.07.2026</t>
        </is>
      </c>
      <c r="Q86" s="243" t="inlineStr">
        <is>
          <t>— not on the list —</t>
        </is>
      </c>
      <c r="R86" s="243" t="inlineStr">
        <is>
          <t>— not on the list —</t>
        </is>
      </c>
      <c r="S86" s="245">
        <f>IFERROR(INDEX('CoQ Register'!$D:$D,MATCH("P160022|I",'CoQ Register'!$S:$S,0)),"")</f>
        <v/>
      </c>
      <c r="T86" s="243" t="inlineStr">
        <is>
          <t>CNP ППК26118</t>
        </is>
      </c>
      <c r="U86" s="243" t="inlineStr">
        <is>
          <t>CNP ППК26118</t>
        </is>
      </c>
      <c r="V86" s="243" t="inlineStr">
        <is>
          <t>CNP ППК26118</t>
        </is>
      </c>
      <c r="W86" s="243" t="inlineStr">
        <is>
          <t>ППК26118, (06.07.2026) [CNP]</t>
        </is>
      </c>
      <c r="X86" s="243" t="inlineStr">
        <is>
          <t>—</t>
        </is>
      </c>
      <c r="Y86" s="243" t="inlineStr">
        <is>
          <t>—</t>
        </is>
      </c>
      <c r="Z86" s="243" t="inlineStr">
        <is>
          <t>—</t>
        </is>
      </c>
      <c r="AA86" s="243" t="inlineStr">
        <is>
          <t>P160022|I</t>
        </is>
      </c>
      <c r="AB86" s="250" t="inlineStr">
        <is>
          <t>registered — initial release, issued 06.07.2026 · no packaging date on file — testing date not stated (owner, 15.09.2026: certified all the same)</t>
        </is>
      </c>
    </row>
    <row r="87">
      <c r="A87" s="243" t="n">
        <v>86</v>
      </c>
      <c r="B87" s="244" t="inlineStr">
        <is>
          <t>iCoA-PP_26-086</t>
        </is>
      </c>
      <c r="C87" s="249" t="inlineStr">
        <is>
          <t>yes</t>
        </is>
      </c>
      <c r="D87" s="245" t="n">
        <v>46209</v>
      </c>
      <c r="E87" s="245" t="inlineStr">
        <is>
          <t>— not stated —</t>
        </is>
      </c>
      <c r="F87" s="245">
        <f>IFERROR(INDEX('Batch Dates'!$G:$G,MATCH(J87,'Batch Dates'!$C:$C,0)),IFERROR(INDEX('Batch Dates'!$G:$G,MATCH(I87,'Batch Dates'!$B:$B,0)),""))</f>
        <v/>
      </c>
      <c r="G87" s="243" t="inlineStr">
        <is>
          <t>—</t>
        </is>
      </c>
      <c r="H87" s="243" t="inlineStr">
        <is>
          <t>initial release</t>
        </is>
      </c>
      <c r="I87" s="244" t="inlineStr">
        <is>
          <t>— not recorded — (P160032)</t>
        </is>
      </c>
      <c r="J87" s="243" t="inlineStr">
        <is>
          <t>P160032</t>
        </is>
      </c>
      <c r="K87" s="243" t="inlineStr">
        <is>
          <t>Grape Pie</t>
        </is>
      </c>
      <c r="L87" s="243" t="inlineStr">
        <is>
          <t>Ident A + Ident B + Foreign matter</t>
        </is>
      </c>
      <c r="M87" s="243" t="inlineStr">
        <is>
          <t>A: ППК26119 / B: ППК26119 / FM: ППК26119</t>
        </is>
      </c>
      <c r="N87" s="243">
        <f>IFERROR(INDEX('CoQ Register'!$B:$B,MATCH("P160032|I",'CoQ Register'!$S:$S,0)),"—")</f>
        <v/>
      </c>
      <c r="O87" s="248" t="inlineStr">
        <is>
          <t>—</t>
        </is>
      </c>
      <c r="P87" s="243" t="inlineStr">
        <is>
          <t>06.07.2026</t>
        </is>
      </c>
      <c r="Q87" s="243" t="inlineStr">
        <is>
          <t>— not on the list —</t>
        </is>
      </c>
      <c r="R87" s="243" t="inlineStr">
        <is>
          <t>— not on the list —</t>
        </is>
      </c>
      <c r="S87" s="245">
        <f>IFERROR(INDEX('CoQ Register'!$D:$D,MATCH("P160032|I",'CoQ Register'!$S:$S,0)),"")</f>
        <v/>
      </c>
      <c r="T87" s="243" t="inlineStr">
        <is>
          <t>CNP ППК26119</t>
        </is>
      </c>
      <c r="U87" s="243" t="inlineStr">
        <is>
          <t>CNP ППК26119</t>
        </is>
      </c>
      <c r="V87" s="243" t="inlineStr">
        <is>
          <t>CNP ППК26119</t>
        </is>
      </c>
      <c r="W87" s="243" t="inlineStr">
        <is>
          <t>ППК26119, (06.07.2026) [CNP]</t>
        </is>
      </c>
      <c r="X87" s="243" t="inlineStr">
        <is>
          <t>—</t>
        </is>
      </c>
      <c r="Y87" s="243" t="inlineStr">
        <is>
          <t>—</t>
        </is>
      </c>
      <c r="Z87" s="243" t="inlineStr">
        <is>
          <t>—</t>
        </is>
      </c>
      <c r="AA87" s="243" t="inlineStr">
        <is>
          <t>P160032|I</t>
        </is>
      </c>
      <c r="AB87" s="250" t="inlineStr">
        <is>
          <t>registered — initial release, issued 06.07.2026 · no packaging date on file — testing date not stated (owner, 15.09.2026: certified all the same)</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GG032601</t>
        </is>
      </c>
      <c r="J88" s="243" t="inlineStr">
        <is>
          <t>P060462</t>
        </is>
      </c>
      <c r="K88" s="243" t="inlineStr">
        <is>
          <t>Gorilla Glue</t>
        </is>
      </c>
      <c r="L88" s="243" t="inlineStr">
        <is>
          <t>Ident A + Ident B + Foreign matter</t>
        </is>
      </c>
      <c r="M88" s="243" t="inlineStr">
        <is>
          <t>A: ППК26128 / B: ППК26128 / FM: ППК26128</t>
        </is>
      </c>
      <c r="N88" s="243">
        <f>IFERROR(INDEX('CoQ Register'!$B:$B,MATCH("P060462|I",'CoQ Register'!$S:$S,0)),"—")</f>
        <v/>
      </c>
      <c r="O88" s="248" t="inlineStr">
        <is>
          <t>—</t>
        </is>
      </c>
      <c r="P88" s="243" t="inlineStr">
        <is>
          <t>21.07.2026</t>
        </is>
      </c>
      <c r="Q88" s="243" t="inlineStr">
        <is>
          <t>16.06.2026</t>
        </is>
      </c>
      <c r="R88" s="243" t="inlineStr">
        <is>
          <t>16.07.2026 (the issuance plan's basis: 21.07.2026)</t>
        </is>
      </c>
      <c r="S88" s="245">
        <f>IFERROR(INDEX('CoQ Register'!$D:$D,MATCH("P060462|I",'CoQ Register'!$S:$S,0)),"")</f>
        <v/>
      </c>
      <c r="T88" s="243" t="inlineStr">
        <is>
          <t>CNP ППК26128</t>
        </is>
      </c>
      <c r="U88" s="243" t="inlineStr">
        <is>
          <t>CNP ППК26128</t>
        </is>
      </c>
      <c r="V88" s="243" t="inlineStr">
        <is>
          <t>CNP ППК26128</t>
        </is>
      </c>
      <c r="W88" s="243" t="inlineStr">
        <is>
          <t>ППК26128, (21.07.2026) [CNP]</t>
        </is>
      </c>
      <c r="X88" s="243" t="inlineStr">
        <is>
          <t>—</t>
        </is>
      </c>
      <c r="Y88" s="243" t="inlineStr">
        <is>
          <t>—</t>
        </is>
      </c>
      <c r="Z88" s="243" t="inlineStr">
        <is>
          <t>—</t>
        </is>
      </c>
      <c r="AA88" s="243" t="inlineStr">
        <is>
          <t>P060462|I</t>
        </is>
      </c>
      <c r="AB88" s="250" t="inlineStr">
        <is>
          <t>registered — initial release, issued 16.07.2026</t>
        </is>
      </c>
    </row>
    <row r="89">
      <c r="A89" s="243" t="n">
        <v>88</v>
      </c>
      <c r="B89" s="244" t="inlineStr">
        <is>
          <t>iCoA-PP_26-088</t>
        </is>
      </c>
      <c r="C89" s="249" t="inlineStr">
        <is>
          <t>yes</t>
        </is>
      </c>
      <c r="D89" s="245" t="n">
        <v>46230</v>
      </c>
      <c r="E89" s="245" t="n">
        <v>46224</v>
      </c>
      <c r="F89" s="245">
        <f>IFERROR(INDEX('Batch Dates'!$G:$G,MATCH(J89,'Batch Dates'!$C:$C,0)),IFERROR(INDEX('Batch Dates'!$G:$G,MATCH(I89,'Batch Dates'!$B:$B,0)),""))</f>
        <v/>
      </c>
      <c r="G89" s="243" t="inlineStr">
        <is>
          <t>legacy</t>
        </is>
      </c>
      <c r="H89" s="243" t="inlineStr">
        <is>
          <t>retest 1</t>
        </is>
      </c>
      <c r="I89" s="244" t="inlineStr">
        <is>
          <t>BG1024</t>
        </is>
      </c>
      <c r="J89" s="243" t="inlineStr">
        <is>
          <t>N/A — no P batch assigned</t>
        </is>
      </c>
      <c r="K89" s="243" t="inlineStr">
        <is>
          <t>Blue Gelato</t>
        </is>
      </c>
      <c r="L89" s="243" t="inlineStr">
        <is>
          <t>Ident A + Ident B + Foreign matter</t>
        </is>
      </c>
      <c r="M89" s="248" t="inlineStr">
        <is>
          <t>—</t>
        </is>
      </c>
      <c r="N89" s="243">
        <f>IFERROR(INDEX('CoQ Register'!$B:$B,MATCH("BG1024|R",'CoQ Register'!$S:$S,0)),"—")</f>
        <v/>
      </c>
      <c r="O89" s="248" t="inlineStr">
        <is>
          <t>—</t>
        </is>
      </c>
      <c r="P89" s="243" t="inlineStr">
        <is>
          <t>07.03.2026</t>
        </is>
      </c>
      <c r="Q89" s="243" t="inlineStr">
        <is>
          <t>21.01.2025</t>
        </is>
      </c>
      <c r="R89" s="243" t="inlineStr">
        <is>
          <t>07.03.2025</t>
        </is>
      </c>
      <c r="S89" s="245">
        <f>IFERROR(INDEX('CoQ Register'!$D:$D,MATCH("BG1024|R",'CoQ Register'!$S:$S,0)),"")</f>
        <v/>
      </c>
      <c r="T89" s="243" t="inlineStr">
        <is>
          <t>Conforms</t>
        </is>
      </c>
      <c r="U89" s="243" t="inlineStr">
        <is>
          <t>Conforms</t>
        </is>
      </c>
      <c r="V89" s="243" t="inlineStr">
        <is>
          <t>Conforms</t>
        </is>
      </c>
      <c r="W89" s="243" t="inlineStr">
        <is>
          <t>197-1-K-26, (07.08.2026) [FHM-K]</t>
        </is>
      </c>
      <c r="X89" s="243" t="inlineStr">
        <is>
          <t>197-1-K-26, (07.08.2026) [FHM-K]</t>
        </is>
      </c>
      <c r="Y89" s="243" t="inlineStr">
        <is>
          <t>197-1-M-26, (10.08.2026) [FHM-M]</t>
        </is>
      </c>
      <c r="Z89" s="243" t="inlineStr">
        <is>
          <t>#8, #9, #11, #12 from the initial testing</t>
        </is>
      </c>
      <c r="AA89" s="243" t="inlineStr">
        <is>
          <t>BG1024|R</t>
        </is>
      </c>
      <c r="AB89" s="250" t="inlineStr">
        <is>
          <t>registered — retest 1 · Tranche 1 (sampled 21–24.07.2026), tested 21.07.2026, issued 27.07.2026</t>
        </is>
      </c>
    </row>
    <row r="90">
      <c r="A90" s="243" t="n">
        <v>89</v>
      </c>
      <c r="B90" s="244" t="inlineStr">
        <is>
          <t>iCoA-PP_26-089</t>
        </is>
      </c>
      <c r="C90" s="249" t="inlineStr">
        <is>
          <t>yes</t>
        </is>
      </c>
      <c r="D90" s="245" t="n">
        <v>46230</v>
      </c>
      <c r="E90" s="245" t="n">
        <v>46224</v>
      </c>
      <c r="F90" s="245">
        <f>IFERROR(INDEX('Batch Dates'!$G:$G,MATCH(J90,'Batch Dates'!$C:$C,0)),IFERROR(INDEX('Batch Dates'!$G:$G,MATCH(I90,'Batch Dates'!$B:$B,0)),""))</f>
        <v/>
      </c>
      <c r="G90" s="243" t="inlineStr">
        <is>
          <t>legacy</t>
        </is>
      </c>
      <c r="H90" s="243" t="inlineStr">
        <is>
          <t>retest 1</t>
        </is>
      </c>
      <c r="I90" s="244" t="inlineStr">
        <is>
          <t>BSS1024</t>
        </is>
      </c>
      <c r="J90" s="243" t="inlineStr">
        <is>
          <t>N/A — no P batch assigned</t>
        </is>
      </c>
      <c r="K90" s="243" t="inlineStr">
        <is>
          <t>Blue Sunset Sherbet</t>
        </is>
      </c>
      <c r="L90" s="243" t="inlineStr">
        <is>
          <t>Ident A + Ident B + Foreign matter</t>
        </is>
      </c>
      <c r="M90" s="248" t="inlineStr">
        <is>
          <t>—</t>
        </is>
      </c>
      <c r="N90" s="243">
        <f>IFERROR(INDEX('CoQ Register'!$B:$B,MATCH("BSS1024|R",'CoQ Register'!$S:$S,0)),"—")</f>
        <v/>
      </c>
      <c r="O90" s="248" t="inlineStr">
        <is>
          <t>—</t>
        </is>
      </c>
      <c r="P90" s="243" t="inlineStr">
        <is>
          <t>04.03.2026</t>
        </is>
      </c>
      <c r="Q90" s="243" t="inlineStr">
        <is>
          <t>22.01.2025</t>
        </is>
      </c>
      <c r="R90" s="243" t="inlineStr">
        <is>
          <t>04.03.2025</t>
        </is>
      </c>
      <c r="S90" s="245">
        <f>IFERROR(INDEX('CoQ Register'!$D:$D,MATCH("BSS1024|R",'CoQ Register'!$S:$S,0)),"")</f>
        <v/>
      </c>
      <c r="T90" s="243" t="inlineStr">
        <is>
          <t>Conforms</t>
        </is>
      </c>
      <c r="U90" s="243" t="inlineStr">
        <is>
          <t>Conforms</t>
        </is>
      </c>
      <c r="V90" s="243" t="inlineStr">
        <is>
          <t>Conforms</t>
        </is>
      </c>
      <c r="W90" s="243" t="inlineStr">
        <is>
          <t>197-2-K-26, (07.08.2026) [FHM-K]</t>
        </is>
      </c>
      <c r="X90" s="243" t="inlineStr">
        <is>
          <t>197-2-K-26, (07.08.2026) [FHM-K]</t>
        </is>
      </c>
      <c r="Y90" s="243" t="inlineStr">
        <is>
          <t>197-2-M-26, (10.08.2026) [FHM-M]</t>
        </is>
      </c>
      <c r="Z90" s="243" t="inlineStr">
        <is>
          <t>#8, #9, #11, #12 from the initial testing</t>
        </is>
      </c>
      <c r="AA90" s="243" t="inlineStr">
        <is>
          <t>BSS1024|R</t>
        </is>
      </c>
      <c r="AB90" s="250" t="inlineStr">
        <is>
          <t>registered — retest 1 · Tranche 1 (sampled 21–24.07.2026), tested 21.07.2026, issued 27.07.2026</t>
        </is>
      </c>
    </row>
    <row r="91">
      <c r="A91" s="243" t="n">
        <v>90</v>
      </c>
      <c r="B91" s="244" t="inlineStr">
        <is>
          <t>iCoA-PP_26-090</t>
        </is>
      </c>
      <c r="C91" s="249" t="inlineStr">
        <is>
          <t>yes</t>
        </is>
      </c>
      <c r="D91" s="245" t="n">
        <v>46230</v>
      </c>
      <c r="E91" s="245" t="n">
        <v>46224</v>
      </c>
      <c r="F91" s="245">
        <f>IFERROR(INDEX('Batch Dates'!$G:$G,MATCH(J91,'Batch Dates'!$C:$C,0)),IFERROR(INDEX('Batch Dates'!$G:$G,MATCH(I91,'Batch Dates'!$B:$B,0)),""))</f>
        <v/>
      </c>
      <c r="G91" s="243" t="inlineStr">
        <is>
          <t>legacy</t>
        </is>
      </c>
      <c r="H91" s="243" t="inlineStr">
        <is>
          <t>retest 1</t>
        </is>
      </c>
      <c r="I91" s="244" t="inlineStr">
        <is>
          <t>CJ052501/01</t>
        </is>
      </c>
      <c r="J91" s="243" t="inlineStr">
        <is>
          <t>P050162</t>
        </is>
      </c>
      <c r="K91" s="243" t="inlineStr">
        <is>
          <t>Cap Junky</t>
        </is>
      </c>
      <c r="L91" s="243" t="inlineStr">
        <is>
          <t>Ident A + Ident B + Foreign matter</t>
        </is>
      </c>
      <c r="M91" s="248" t="inlineStr">
        <is>
          <t>—</t>
        </is>
      </c>
      <c r="N91" s="243">
        <f>IFERROR(INDEX('CoQ Register'!$B:$B,MATCH("P050162|R",'CoQ Register'!$S:$S,0)),"—")</f>
        <v/>
      </c>
      <c r="O91" s="248" t="inlineStr">
        <is>
          <t>—</t>
        </is>
      </c>
      <c r="P91" s="243" t="inlineStr">
        <is>
          <t>30.09.2026</t>
        </is>
      </c>
      <c r="Q91" s="243" t="inlineStr">
        <is>
          <t>20.08.2025</t>
        </is>
      </c>
      <c r="R91" s="243" t="inlineStr">
        <is>
          <t>30.09.2025 – 01.10.2025</t>
        </is>
      </c>
      <c r="S91" s="245">
        <f>IFERROR(INDEX('CoQ Register'!$D:$D,MATCH("P050162|R",'CoQ Register'!$S:$S,0)),"")</f>
        <v/>
      </c>
      <c r="T91" s="243" t="inlineStr">
        <is>
          <t>Conforms</t>
        </is>
      </c>
      <c r="U91" s="243" t="inlineStr">
        <is>
          <t>Conforms</t>
        </is>
      </c>
      <c r="V91" s="243" t="inlineStr">
        <is>
          <t>Conforms</t>
        </is>
      </c>
      <c r="W91" s="243" t="inlineStr">
        <is>
          <t>197-3-K-26, (07.08.2026) [FHM-K]</t>
        </is>
      </c>
      <c r="X91" s="243" t="inlineStr">
        <is>
          <t>197-3-K-26, (07.08.2026) [FHM-K]</t>
        </is>
      </c>
      <c r="Y91" s="243" t="inlineStr">
        <is>
          <t>197-3-M-26, (10.08.2026) [FHM-M]</t>
        </is>
      </c>
      <c r="Z91" s="243" t="inlineStr">
        <is>
          <t>#8, #9, #11, #12 from the initial testing</t>
        </is>
      </c>
      <c r="AA91" s="243" t="inlineStr">
        <is>
          <t>P050162|R</t>
        </is>
      </c>
      <c r="AB91" s="250" t="inlineStr">
        <is>
          <t>registered — retest 1 · Tranche 1 (sampled 21–24.07.2026), tested 21.07.2026, issued 27.07.2026</t>
        </is>
      </c>
    </row>
    <row r="92">
      <c r="A92" s="243" t="n">
        <v>91</v>
      </c>
      <c r="B92" s="244" t="inlineStr">
        <is>
          <t>iCoA-PP_26-091</t>
        </is>
      </c>
      <c r="C92" s="249" t="inlineStr">
        <is>
          <t>yes</t>
        </is>
      </c>
      <c r="D92" s="245" t="n">
        <v>46230</v>
      </c>
      <c r="E92" s="245" t="n">
        <v>46224</v>
      </c>
      <c r="F92" s="245">
        <f>IFERROR(INDEX('Batch Dates'!$G:$G,MATCH(J92,'Batch Dates'!$C:$C,0)),IFERROR(INDEX('Batch Dates'!$G:$G,MATCH(I92,'Batch Dates'!$B:$B,0)),""))</f>
        <v/>
      </c>
      <c r="G92" s="243" t="inlineStr">
        <is>
          <t>legacy</t>
        </is>
      </c>
      <c r="H92" s="243" t="inlineStr">
        <is>
          <t>retest 2</t>
        </is>
      </c>
      <c r="I92" s="244" t="inlineStr">
        <is>
          <t>CJ062501/2</t>
        </is>
      </c>
      <c r="J92" s="243" t="inlineStr">
        <is>
          <t>P050212</t>
        </is>
      </c>
      <c r="K92" s="243" t="inlineStr">
        <is>
          <t>Cap Junky</t>
        </is>
      </c>
      <c r="L92" s="243" t="inlineStr">
        <is>
          <t>Ident A + Ident B + Foreign matter</t>
        </is>
      </c>
      <c r="M92" s="248" t="inlineStr">
        <is>
          <t>—</t>
        </is>
      </c>
      <c r="N92" s="243">
        <f>IFERROR(INDEX('CoQ Register'!$B:$B,MATCH("P050212|R2",'CoQ Register'!$S:$S,0)),"—")</f>
        <v/>
      </c>
      <c r="O92" s="248" t="inlineStr">
        <is>
          <t>—</t>
        </is>
      </c>
      <c r="P92" s="243" t="inlineStr">
        <is>
          <t>24.01.2027</t>
        </is>
      </c>
      <c r="Q92" s="243" t="inlineStr">
        <is>
          <t>23.09.2025 – 24.09.2025</t>
        </is>
      </c>
      <c r="R92" s="243" t="inlineStr">
        <is>
          <t>18.11.2025 – 24.11.2025 (the issuance plan's basis: 24.01.2026)</t>
        </is>
      </c>
      <c r="S92" s="245">
        <f>IFERROR(INDEX('CoQ Register'!$D:$D,MATCH("P050212|R2",'CoQ Register'!$S:$S,0)),"")</f>
        <v/>
      </c>
      <c r="T92" s="243" t="inlineStr">
        <is>
          <t>Conforms</t>
        </is>
      </c>
      <c r="U92" s="243" t="inlineStr">
        <is>
          <t>Conforms</t>
        </is>
      </c>
      <c r="V92" s="243" t="inlineStr">
        <is>
          <t>Conforms</t>
        </is>
      </c>
      <c r="W92" s="243" t="inlineStr">
        <is>
          <t>197-4-K-26, (07.08.2026) [FHM-K]</t>
        </is>
      </c>
      <c r="X92" s="243" t="inlineStr">
        <is>
          <t>197-4-K-26, (07.08.2026) [FHM-K]</t>
        </is>
      </c>
      <c r="Y92" s="243" t="inlineStr">
        <is>
          <t>197-4-M-26, (10.08.2026) [FHM-M]</t>
        </is>
      </c>
      <c r="Z92" s="243" t="inlineStr">
        <is>
          <t>#8, #9, #11, #12 from the initial testing</t>
        </is>
      </c>
      <c r="AA92" s="243" t="inlineStr">
        <is>
          <t>P050212|R2</t>
        </is>
      </c>
      <c r="AB92" s="250" t="inlineStr">
        <is>
          <t>registered — retest 2 · Tranche 1 (sampled 21–24.07.2026), tested 21.07.2026, issued 27.07.2026</t>
        </is>
      </c>
    </row>
    <row r="93">
      <c r="A93" s="243" t="n">
        <v>92</v>
      </c>
      <c r="B93" s="244" t="inlineStr">
        <is>
          <t>iCoA-PP_26-092</t>
        </is>
      </c>
      <c r="C93" s="249" t="inlineStr">
        <is>
          <t>yes</t>
        </is>
      </c>
      <c r="D93" s="245" t="n">
        <v>46230</v>
      </c>
      <c r="E93" s="245" t="n">
        <v>46224</v>
      </c>
      <c r="F93" s="245">
        <f>IFERROR(INDEX('Batch Dates'!$G:$G,MATCH(J93,'Batch Dates'!$C:$C,0)),IFERROR(INDEX('Batch Dates'!$G:$G,MATCH(I93,'Batch Dates'!$B:$B,0)),""))</f>
        <v/>
      </c>
      <c r="G93" s="243" t="inlineStr">
        <is>
          <t>legacy</t>
        </is>
      </c>
      <c r="H93" s="243" t="inlineStr">
        <is>
          <t>retest 1</t>
        </is>
      </c>
      <c r="I93" s="244" t="inlineStr">
        <is>
          <t>CJ082501/2</t>
        </is>
      </c>
      <c r="J93" s="243" t="inlineStr">
        <is>
          <t>P060032</t>
        </is>
      </c>
      <c r="K93" s="243" t="inlineStr">
        <is>
          <t>Cap Junky</t>
        </is>
      </c>
      <c r="L93" s="243" t="inlineStr">
        <is>
          <t>Ident A + Ident B + Foreign matter</t>
        </is>
      </c>
      <c r="M93" s="248" t="inlineStr">
        <is>
          <t>—</t>
        </is>
      </c>
      <c r="N93" s="243">
        <f>IFERROR(INDEX('CoQ Register'!$B:$B,MATCH("P060032|R",'CoQ Register'!$S:$S,0)),"—")</f>
        <v/>
      </c>
      <c r="O93" s="248" t="inlineStr">
        <is>
          <t>—</t>
        </is>
      </c>
      <c r="P93" s="243" t="inlineStr">
        <is>
          <t>29.01.2027</t>
        </is>
      </c>
      <c r="Q93" s="243" t="inlineStr">
        <is>
          <t>10.12.2025</t>
        </is>
      </c>
      <c r="R93" s="243" t="inlineStr">
        <is>
          <t>29.01.2026</t>
        </is>
      </c>
      <c r="S93" s="245">
        <f>IFERROR(INDEX('CoQ Register'!$D:$D,MATCH("P060032|R",'CoQ Register'!$S:$S,0)),"")</f>
        <v/>
      </c>
      <c r="T93" s="243" t="inlineStr">
        <is>
          <t>Conforms</t>
        </is>
      </c>
      <c r="U93" s="243" t="inlineStr">
        <is>
          <t>Conforms</t>
        </is>
      </c>
      <c r="V93" s="243" t="inlineStr">
        <is>
          <t>Conforms</t>
        </is>
      </c>
      <c r="W93" s="243" t="inlineStr">
        <is>
          <t>197-5-K-26, (07.08.2026) [FHM-K]</t>
        </is>
      </c>
      <c r="X93" s="243" t="inlineStr">
        <is>
          <t>197-5-K-26, (07.08.2026) [FHM-K]</t>
        </is>
      </c>
      <c r="Y93" s="243" t="inlineStr">
        <is>
          <t>197-5-M-26, (10.08.2026) [FHM-M]</t>
        </is>
      </c>
      <c r="Z93" s="243" t="inlineStr">
        <is>
          <t>#8, #9, #11, #12 from the initial testing</t>
        </is>
      </c>
      <c r="AA93" s="243" t="inlineStr">
        <is>
          <t>P060032|R</t>
        </is>
      </c>
      <c r="AB93" s="250" t="inlineStr">
        <is>
          <t>registered — retest 1 · Tranche 1 (sampled 21–24.07.2026), tested 21.07.2026, issued 27.07.2026</t>
        </is>
      </c>
    </row>
    <row r="94">
      <c r="A94" s="243" t="n">
        <v>93</v>
      </c>
      <c r="B94" s="244" t="inlineStr">
        <is>
          <t>iCoA-PP_26-093</t>
        </is>
      </c>
      <c r="C94" s="249" t="inlineStr">
        <is>
          <t>yes</t>
        </is>
      </c>
      <c r="D94" s="245" t="n">
        <v>46230</v>
      </c>
      <c r="E94" s="245" t="n">
        <v>46224</v>
      </c>
      <c r="F94" s="245">
        <f>IFERROR(INDEX('Batch Dates'!$G:$G,MATCH(J94,'Batch Dates'!$C:$C,0)),IFERROR(INDEX('Batch Dates'!$G:$G,MATCH(I94,'Batch Dates'!$B:$B,0)),""))</f>
        <v/>
      </c>
      <c r="G94" s="243" t="inlineStr">
        <is>
          <t>post-SOP</t>
        </is>
      </c>
      <c r="H94" s="243" t="inlineStr">
        <is>
          <t>retest 1</t>
        </is>
      </c>
      <c r="I94" s="244" t="inlineStr">
        <is>
          <t>CC012601/1</t>
        </is>
      </c>
      <c r="J94" s="243" t="inlineStr">
        <is>
          <t>P060332</t>
        </is>
      </c>
      <c r="K94" s="243" t="inlineStr">
        <is>
          <t>Cash Cow</t>
        </is>
      </c>
      <c r="L94" s="243" t="inlineStr">
        <is>
          <t>Ident A + Ident B + Foreign matter</t>
        </is>
      </c>
      <c r="M94" s="248" t="inlineStr">
        <is>
          <t>—</t>
        </is>
      </c>
      <c r="N94" s="243">
        <f>IFERROR(INDEX('CoQ Register'!$B:$B,MATCH("P060332|R",'CoQ Register'!$S:$S,0)),"—")</f>
        <v/>
      </c>
      <c r="O94" s="248" t="inlineStr">
        <is>
          <t>—</t>
        </is>
      </c>
      <c r="P94" s="243" t="inlineStr">
        <is>
          <t>10.08.2027</t>
        </is>
      </c>
      <c r="Q94" s="243" t="inlineStr">
        <is>
          <t>16.04.2026</t>
        </is>
      </c>
      <c r="R94" s="243" t="inlineStr">
        <is>
          <t>22.05.2026 (the issuance plan's basis: 10.08.2026)</t>
        </is>
      </c>
      <c r="S94" s="245">
        <f>IFERROR(INDEX('CoQ Register'!$D:$D,MATCH("P060332|R",'CoQ Register'!$S:$S,0)),"")</f>
        <v/>
      </c>
      <c r="T94" s="243" t="inlineStr">
        <is>
          <t>Conforms</t>
        </is>
      </c>
      <c r="U94" s="243" t="inlineStr">
        <is>
          <t>Conforms</t>
        </is>
      </c>
      <c r="V94" s="243" t="inlineStr">
        <is>
          <t>Conforms</t>
        </is>
      </c>
      <c r="W94" s="243" t="inlineStr">
        <is>
          <t>197-6-K-26, (07.08.2026) [FHM-K]</t>
        </is>
      </c>
      <c r="X94" s="243" t="inlineStr">
        <is>
          <t>197-6-K-26, (07.08.2026) [FHM-K]</t>
        </is>
      </c>
      <c r="Y94" s="243" t="inlineStr">
        <is>
          <t>197-6-M-26, (10.08.2026) [FHM-M]</t>
        </is>
      </c>
      <c r="Z94" s="243" t="inlineStr">
        <is>
          <t>#8, #9, #11, #12 from the initial testing</t>
        </is>
      </c>
      <c r="AA94" s="243" t="inlineStr">
        <is>
          <t>P060332|R</t>
        </is>
      </c>
      <c r="AB94" s="250" t="inlineStr">
        <is>
          <t>registered — retest 1 · Tranche 1 (sampled 21–24.07.2026), tested 21.07.2026, issued 27.07.2026</t>
        </is>
      </c>
    </row>
    <row r="95">
      <c r="A95" s="243" t="n">
        <v>94</v>
      </c>
      <c r="B95" s="244" t="inlineStr">
        <is>
          <t>iCoA-PP_26-094</t>
        </is>
      </c>
      <c r="C95" s="249" t="inlineStr">
        <is>
          <t>yes</t>
        </is>
      </c>
      <c r="D95" s="245" t="n">
        <v>46230</v>
      </c>
      <c r="E95" s="245" t="n">
        <v>46225</v>
      </c>
      <c r="F95" s="245">
        <f>IFERROR(INDEX('Batch Dates'!$G:$G,MATCH(J95,'Batch Dates'!$C:$C,0)),IFERROR(INDEX('Batch Dates'!$G:$G,MATCH(I95,'Batch Dates'!$B:$B,0)),""))</f>
        <v/>
      </c>
      <c r="G95" s="243" t="inlineStr">
        <is>
          <t>legacy</t>
        </is>
      </c>
      <c r="H95" s="243" t="inlineStr">
        <is>
          <t>retest 1</t>
        </is>
      </c>
      <c r="I95" s="244" t="inlineStr">
        <is>
          <t>GG1024_01</t>
        </is>
      </c>
      <c r="J95" s="243" t="inlineStr">
        <is>
          <t>P050092</t>
        </is>
      </c>
      <c r="K95" s="243" t="inlineStr">
        <is>
          <t>Gorilla Glue</t>
        </is>
      </c>
      <c r="L95" s="243" t="inlineStr">
        <is>
          <t>Ident A + Ident B + Foreign matter</t>
        </is>
      </c>
      <c r="M95" s="248" t="inlineStr">
        <is>
          <t>—</t>
        </is>
      </c>
      <c r="N95" s="243">
        <f>IFERROR(INDEX('CoQ Register'!$B:$B,MATCH("P050092|R",'CoQ Register'!$S:$S,0)),"—")</f>
        <v/>
      </c>
      <c r="O95" s="248" t="inlineStr">
        <is>
          <t>—</t>
        </is>
      </c>
      <c r="P95" s="243" t="inlineStr">
        <is>
          <t>31.07.2026</t>
        </is>
      </c>
      <c r="Q95" s="243" t="inlineStr">
        <is>
          <t>17.03.2025 – 18.03.2025</t>
        </is>
      </c>
      <c r="R95" s="243" t="inlineStr">
        <is>
          <t>31.07.2025 – 05.08.2025</t>
        </is>
      </c>
      <c r="S95" s="245">
        <f>IFERROR(INDEX('CoQ Register'!$D:$D,MATCH("P050092|R",'CoQ Register'!$S:$S,0)),"")</f>
        <v/>
      </c>
      <c r="T95" s="243" t="inlineStr">
        <is>
          <t>Conforms</t>
        </is>
      </c>
      <c r="U95" s="243" t="inlineStr">
        <is>
          <t>Conforms</t>
        </is>
      </c>
      <c r="V95" s="243" t="inlineStr">
        <is>
          <t>Conforms</t>
        </is>
      </c>
      <c r="W95" s="243" t="inlineStr">
        <is>
          <t>197-9-K-26, (07.08.2026) [FHM-K]</t>
        </is>
      </c>
      <c r="X95" s="243" t="inlineStr">
        <is>
          <t>197-9-K-26, (07.08.2026) [FHM-K]</t>
        </is>
      </c>
      <c r="Y95" s="243" t="inlineStr">
        <is>
          <t>197-9-M-26, (10.08.2026) [FHM-M]</t>
        </is>
      </c>
      <c r="Z95" s="243" t="inlineStr">
        <is>
          <t>#8, #9, #11, #12 from the initial testing</t>
        </is>
      </c>
      <c r="AA95" s="243" t="inlineStr">
        <is>
          <t>P050092|R</t>
        </is>
      </c>
      <c r="AB95" s="250" t="inlineStr">
        <is>
          <t>registered — retest 1 · Tranche 1 (sampled 21–24.07.2026), tested 22.07.2026, issued 27.07.2026</t>
        </is>
      </c>
    </row>
    <row r="96">
      <c r="A96" s="243" t="n">
        <v>95</v>
      </c>
      <c r="B96" s="244" t="inlineStr">
        <is>
          <t>iCoA-PP_26-095</t>
        </is>
      </c>
      <c r="C96" s="249" t="inlineStr">
        <is>
          <t>yes</t>
        </is>
      </c>
      <c r="D96" s="245" t="n">
        <v>46230</v>
      </c>
      <c r="E96" s="245" t="n">
        <v>46225</v>
      </c>
      <c r="F96" s="245">
        <f>IFERROR(INDEX('Batch Dates'!$G:$G,MATCH(J96,'Batch Dates'!$C:$C,0)),IFERROR(INDEX('Batch Dates'!$G:$G,MATCH(I96,'Batch Dates'!$B:$B,0)),""))</f>
        <v/>
      </c>
      <c r="G96" s="243" t="inlineStr">
        <is>
          <t>legacy</t>
        </is>
      </c>
      <c r="H96" s="243" t="inlineStr">
        <is>
          <t>retest 1</t>
        </is>
      </c>
      <c r="I96" s="244" t="inlineStr">
        <is>
          <t>GP052501</t>
        </is>
      </c>
      <c r="J96" s="243" t="inlineStr">
        <is>
          <t>P050152</t>
        </is>
      </c>
      <c r="K96" s="243" t="inlineStr">
        <is>
          <t>Grape Pie</t>
        </is>
      </c>
      <c r="L96" s="243" t="inlineStr">
        <is>
          <t>Ident A + Ident B + Foreign matter</t>
        </is>
      </c>
      <c r="M96" s="248" t="inlineStr">
        <is>
          <t>—</t>
        </is>
      </c>
      <c r="N96" s="243">
        <f>IFERROR(INDEX('CoQ Register'!$B:$B,MATCH("P050152|R",'CoQ Register'!$S:$S,0)),"—")</f>
        <v/>
      </c>
      <c r="O96" s="248" t="inlineStr">
        <is>
          <t>—</t>
        </is>
      </c>
      <c r="P96" s="243" t="inlineStr">
        <is>
          <t>25.09.2026</t>
        </is>
      </c>
      <c r="Q96" s="243" t="inlineStr">
        <is>
          <t>— not given —</t>
        </is>
      </c>
      <c r="R96" s="243" t="inlineStr">
        <is>
          <t>25.09.2025</t>
        </is>
      </c>
      <c r="S96" s="245">
        <f>IFERROR(INDEX('CoQ Register'!$D:$D,MATCH("P050152|R",'CoQ Register'!$S:$S,0)),"")</f>
        <v/>
      </c>
      <c r="T96" s="243" t="inlineStr">
        <is>
          <t>Conforms</t>
        </is>
      </c>
      <c r="U96" s="243" t="inlineStr">
        <is>
          <t>Conforms</t>
        </is>
      </c>
      <c r="V96" s="243" t="inlineStr">
        <is>
          <t>Conforms</t>
        </is>
      </c>
      <c r="W96" s="243" t="inlineStr">
        <is>
          <t>197-10-K-26, (07.08.2026) [FHM-K]</t>
        </is>
      </c>
      <c r="X96" s="243" t="inlineStr">
        <is>
          <t>197-10-K-26, (07.08.2026) [FHM-K]</t>
        </is>
      </c>
      <c r="Y96" s="243" t="inlineStr">
        <is>
          <t>197-10-M-26, (10.08.2026) [FHM-M]</t>
        </is>
      </c>
      <c r="Z96" s="243" t="inlineStr">
        <is>
          <t>#8, #9, #11, #12 from the initial testing</t>
        </is>
      </c>
      <c r="AA96" s="243" t="inlineStr">
        <is>
          <t>P050152|R</t>
        </is>
      </c>
      <c r="AB96" s="250" t="inlineStr">
        <is>
          <t>registered — retest 1 · Tranche 1 (sampled 21–24.07.2026), tested 22.07.2026, issued 27.07.2026</t>
        </is>
      </c>
    </row>
    <row r="97">
      <c r="A97" s="243" t="n">
        <v>96</v>
      </c>
      <c r="B97" s="244" t="inlineStr">
        <is>
          <t>iCoA-PP_26-096</t>
        </is>
      </c>
      <c r="C97" s="249" t="inlineStr">
        <is>
          <t>yes</t>
        </is>
      </c>
      <c r="D97" s="245" t="n">
        <v>46230</v>
      </c>
      <c r="E97" s="245" t="n">
        <v>46225</v>
      </c>
      <c r="F97" s="245">
        <f>IFERROR(INDEX('Batch Dates'!$G:$G,MATCH(J97,'Batch Dates'!$C:$C,0)),IFERROR(INDEX('Batch Dates'!$G:$G,MATCH(I97,'Batch Dates'!$B:$B,0)),""))</f>
        <v/>
      </c>
      <c r="G97" s="243" t="inlineStr">
        <is>
          <t>legacy</t>
        </is>
      </c>
      <c r="H97" s="243" t="inlineStr">
        <is>
          <t>retest 5</t>
        </is>
      </c>
      <c r="I97" s="244" t="inlineStr">
        <is>
          <t>GP0824_02</t>
        </is>
      </c>
      <c r="J97" s="243" t="inlineStr">
        <is>
          <t>P050022</t>
        </is>
      </c>
      <c r="K97" s="243" t="inlineStr">
        <is>
          <t>Grape Pie</t>
        </is>
      </c>
      <c r="L97" s="243" t="inlineStr">
        <is>
          <t>Ident A + Ident B + Foreign matter</t>
        </is>
      </c>
      <c r="M97" s="248" t="inlineStr">
        <is>
          <t>—</t>
        </is>
      </c>
      <c r="N97" s="243">
        <f>IFERROR(INDEX('CoQ Register'!$B:$B,MATCH("P050022|R5",'CoQ Register'!$S:$S,0)),"—")</f>
        <v/>
      </c>
      <c r="O97" s="248" t="inlineStr">
        <is>
          <t>—</t>
        </is>
      </c>
      <c r="P97" s="243" t="inlineStr">
        <is>
          <t>03.06.2026</t>
        </is>
      </c>
      <c r="Q97" s="243" t="inlineStr">
        <is>
          <t>22.04.2025 – 23.04.2025</t>
        </is>
      </c>
      <c r="R97" s="243" t="inlineStr">
        <is>
          <t>03.06.2025 – 11.06.2025</t>
        </is>
      </c>
      <c r="S97" s="245">
        <f>IFERROR(INDEX('CoQ Register'!$D:$D,MATCH("P050022|R5",'CoQ Register'!$S:$S,0)),"")</f>
        <v/>
      </c>
      <c r="T97" s="243" t="inlineStr">
        <is>
          <t>Conforms</t>
        </is>
      </c>
      <c r="U97" s="243" t="inlineStr">
        <is>
          <t>Conforms</t>
        </is>
      </c>
      <c r="V97" s="243" t="inlineStr">
        <is>
          <t>Conforms</t>
        </is>
      </c>
      <c r="W97" s="243" t="inlineStr">
        <is>
          <t>197-11-K-26, (07.08.2026) [FHM-K]</t>
        </is>
      </c>
      <c r="X97" s="243" t="inlineStr">
        <is>
          <t>197-11-K-26, (07.08.2026) [FHM-K]</t>
        </is>
      </c>
      <c r="Y97" s="243" t="inlineStr">
        <is>
          <t>197-11-M-26, (10.08.2026) [FHM-M]</t>
        </is>
      </c>
      <c r="Z97" s="243" t="inlineStr">
        <is>
          <t>#8, #9, #11, #12 from the initial testing</t>
        </is>
      </c>
      <c r="AA97" s="243" t="inlineStr">
        <is>
          <t>P050022|R5</t>
        </is>
      </c>
      <c r="AB97" s="250" t="inlineStr">
        <is>
          <t>registered — retest 5 · Tranche 1 (sampled 21–24.07.2026), tested 22.07.2026, issued 27.07.2026</t>
        </is>
      </c>
    </row>
    <row r="98">
      <c r="A98" s="243" t="n">
        <v>97</v>
      </c>
      <c r="B98" s="244" t="inlineStr">
        <is>
          <t>iCoA-PP_26-097</t>
        </is>
      </c>
      <c r="C98" s="249" t="inlineStr">
        <is>
          <t>yes</t>
        </is>
      </c>
      <c r="D98" s="245" t="n">
        <v>46230</v>
      </c>
      <c r="E98" s="245" t="n">
        <v>46225</v>
      </c>
      <c r="F98" s="245">
        <f>IFERROR(INDEX('Batch Dates'!$G:$G,MATCH(J98,'Batch Dates'!$C:$C,0)),IFERROR(INDEX('Batch Dates'!$G:$G,MATCH(I98,'Batch Dates'!$B:$B,0)),""))</f>
        <v/>
      </c>
      <c r="G98" s="243" t="inlineStr">
        <is>
          <t>post-SOP</t>
        </is>
      </c>
      <c r="H98" s="243" t="inlineStr">
        <is>
          <t>retest 1</t>
        </is>
      </c>
      <c r="I98" s="244" t="inlineStr">
        <is>
          <t>FB012602*</t>
        </is>
      </c>
      <c r="J98" s="243" t="inlineStr">
        <is>
          <t>P060352</t>
        </is>
      </c>
      <c r="K98" s="243" t="inlineStr">
        <is>
          <t>Fat Bastard</t>
        </is>
      </c>
      <c r="L98" s="243" t="inlineStr">
        <is>
          <t>Ident A + Ident B + Foreign matter</t>
        </is>
      </c>
      <c r="M98" s="248" t="inlineStr">
        <is>
          <t>—</t>
        </is>
      </c>
      <c r="N98" s="243">
        <f>IFERROR(INDEX('CoQ Register'!$B:$B,MATCH("P060352|R",'CoQ Register'!$S:$S,0)),"—")</f>
        <v/>
      </c>
      <c r="O98" s="248" t="inlineStr">
        <is>
          <t>—</t>
        </is>
      </c>
      <c r="P98" s="243" t="inlineStr">
        <is>
          <t>23.05.2027</t>
        </is>
      </c>
      <c r="Q98" s="243" t="inlineStr">
        <is>
          <t>16.04.2026</t>
        </is>
      </c>
      <c r="R98" s="243" t="inlineStr">
        <is>
          <t>23.05.2026</t>
        </is>
      </c>
      <c r="S98" s="245">
        <f>IFERROR(INDEX('CoQ Register'!$D:$D,MATCH("P060352|R",'CoQ Register'!$S:$S,0)),"")</f>
        <v/>
      </c>
      <c r="T98" s="243" t="inlineStr">
        <is>
          <t>Conforms</t>
        </is>
      </c>
      <c r="U98" s="243" t="inlineStr">
        <is>
          <t>Conforms</t>
        </is>
      </c>
      <c r="V98" s="243" t="inlineStr">
        <is>
          <t>Conforms</t>
        </is>
      </c>
      <c r="W98" s="243" t="inlineStr">
        <is>
          <t>197-7-K-26, (07.08.2026) [FHM-K]</t>
        </is>
      </c>
      <c r="X98" s="243" t="inlineStr">
        <is>
          <t>197-7-K-26, (07.08.2026) [FHM-K]</t>
        </is>
      </c>
      <c r="Y98" s="243" t="inlineStr">
        <is>
          <t>197-7-M-26, (10.08.2026) [FHM-M]</t>
        </is>
      </c>
      <c r="Z98" s="243" t="inlineStr">
        <is>
          <t>#8, #9, #11, #12 from the initial testing</t>
        </is>
      </c>
      <c r="AA98" s="243" t="inlineStr">
        <is>
          <t>P060352|R</t>
        </is>
      </c>
      <c r="AB98" s="250" t="inlineStr">
        <is>
          <t>registered — retest 1 · Tranche 1 (sampled 21–24.07.2026), tested 22.07.2026, issued 27.07.2026</t>
        </is>
      </c>
    </row>
    <row r="99">
      <c r="A99" s="243" t="n">
        <v>98</v>
      </c>
      <c r="B99" s="244" t="inlineStr">
        <is>
          <t>iCoA-PP_26-098</t>
        </is>
      </c>
      <c r="C99" s="249" t="inlineStr">
        <is>
          <t>yes</t>
        </is>
      </c>
      <c r="D99" s="245" t="n">
        <v>46230</v>
      </c>
      <c r="E99" s="245" t="n">
        <v>46225</v>
      </c>
      <c r="F99" s="245">
        <f>IFERROR(INDEX('Batch Dates'!$G:$G,MATCH(J99,'Batch Dates'!$C:$C,0)),IFERROR(INDEX('Batch Dates'!$G:$G,MATCH(I99,'Batch Dates'!$B:$B,0)),""))</f>
        <v/>
      </c>
      <c r="G99" s="243" t="inlineStr">
        <is>
          <t>post-SOP</t>
        </is>
      </c>
      <c r="H99" s="243" t="inlineStr">
        <is>
          <t>retest 1</t>
        </is>
      </c>
      <c r="I99" s="244" t="inlineStr">
        <is>
          <t>GG012603</t>
        </is>
      </c>
      <c r="J99" s="243" t="inlineStr">
        <is>
          <t>P060402</t>
        </is>
      </c>
      <c r="K99" s="243" t="inlineStr">
        <is>
          <t>Gorilla Glue</t>
        </is>
      </c>
      <c r="L99" s="243" t="inlineStr">
        <is>
          <t>Ident A + Ident B + Foreign matter</t>
        </is>
      </c>
      <c r="M99" s="248" t="inlineStr">
        <is>
          <t>—</t>
        </is>
      </c>
      <c r="N99" s="243">
        <f>IFERROR(INDEX('CoQ Register'!$B:$B,MATCH("P060402|R",'CoQ Register'!$S:$S,0)),"—")</f>
        <v/>
      </c>
      <c r="O99" s="248" t="inlineStr">
        <is>
          <t>—</t>
        </is>
      </c>
      <c r="P99" s="243" t="inlineStr">
        <is>
          <t>24.05.2027</t>
        </is>
      </c>
      <c r="Q99" s="243" t="inlineStr">
        <is>
          <t>04.05.2026</t>
        </is>
      </c>
      <c r="R99" s="243" t="inlineStr">
        <is>
          <t>24.05.2026</t>
        </is>
      </c>
      <c r="S99" s="245">
        <f>IFERROR(INDEX('CoQ Register'!$D:$D,MATCH("P060402|R",'CoQ Register'!$S:$S,0)),"")</f>
        <v/>
      </c>
      <c r="T99" s="243" t="inlineStr">
        <is>
          <t>CNP ППК26114</t>
        </is>
      </c>
      <c r="U99" s="243" t="inlineStr">
        <is>
          <t>CNP ППК26114</t>
        </is>
      </c>
      <c r="V99" s="243" t="inlineStr">
        <is>
          <t>Conforms</t>
        </is>
      </c>
      <c r="W99" s="243" t="inlineStr">
        <is>
          <t>197-8-K-26, (07.08.2026) [FHM-K]</t>
        </is>
      </c>
      <c r="X99" s="243" t="inlineStr">
        <is>
          <t>197-8-K-26, (07.08.2026) [FHM-K]</t>
        </is>
      </c>
      <c r="Y99" s="243" t="inlineStr">
        <is>
          <t>197-8-M-26, (10.08.2026) [FHM-M]</t>
        </is>
      </c>
      <c r="Z99" s="243" t="inlineStr">
        <is>
          <t>#8, #9, #11, #12 from the initial testing</t>
        </is>
      </c>
      <c r="AA99" s="243" t="inlineStr">
        <is>
          <t>P060402|R</t>
        </is>
      </c>
      <c r="AB99" s="250" t="inlineStr">
        <is>
          <t>registered — retest 1 · Tranche 1 (sampled 21–24.07.2026), tested 22.07.2026, issued 27.07.2026</t>
        </is>
      </c>
    </row>
    <row r="100">
      <c r="A100" s="243" t="n">
        <v>99</v>
      </c>
      <c r="B100" s="244" t="inlineStr">
        <is>
          <t>iCoA-PP_26-099</t>
        </is>
      </c>
      <c r="C100" s="249" t="inlineStr">
        <is>
          <t>yes</t>
        </is>
      </c>
      <c r="D100" s="245" t="n">
        <v>46230</v>
      </c>
      <c r="E100" s="245" t="n">
        <v>46226</v>
      </c>
      <c r="F100" s="245">
        <f>IFERROR(INDEX('Batch Dates'!$G:$G,MATCH(J100,'Batch Dates'!$C:$C,0)),IFERROR(INDEX('Batch Dates'!$G:$G,MATCH(I100,'Batch Dates'!$B:$B,0)),""))</f>
        <v/>
      </c>
      <c r="G100" s="243" t="inlineStr">
        <is>
          <t>legacy</t>
        </is>
      </c>
      <c r="H100" s="243" t="inlineStr">
        <is>
          <t>retest 1</t>
        </is>
      </c>
      <c r="I100" s="244" t="inlineStr">
        <is>
          <t>GP082501/2</t>
        </is>
      </c>
      <c r="J100" s="243" t="inlineStr">
        <is>
          <t>P050322</t>
        </is>
      </c>
      <c r="K100" s="243" t="inlineStr">
        <is>
          <t>Grape Pie</t>
        </is>
      </c>
      <c r="L100" s="243" t="inlineStr">
        <is>
          <t>Ident A + Ident B + Foreign matter</t>
        </is>
      </c>
      <c r="M100" s="248" t="inlineStr">
        <is>
          <t>—</t>
        </is>
      </c>
      <c r="N100" s="243">
        <f>IFERROR(INDEX('CoQ Register'!$B:$B,MATCH("P050322|R",'CoQ Register'!$S:$S,0)),"—")</f>
        <v/>
      </c>
      <c r="O100" s="248" t="inlineStr">
        <is>
          <t>—</t>
        </is>
      </c>
      <c r="P100" s="243" t="inlineStr">
        <is>
          <t>26.12.2026</t>
        </is>
      </c>
      <c r="Q100" s="243" t="inlineStr">
        <is>
          <t>20.11.2025</t>
        </is>
      </c>
      <c r="R100" s="243" t="inlineStr">
        <is>
          <t>26.12.2025</t>
        </is>
      </c>
      <c r="S100" s="245">
        <f>IFERROR(INDEX('CoQ Register'!$D:$D,MATCH("P050322|R",'CoQ Register'!$S:$S,0)),"")</f>
        <v/>
      </c>
      <c r="T100" s="243" t="inlineStr">
        <is>
          <t>Conforms</t>
        </is>
      </c>
      <c r="U100" s="243" t="inlineStr">
        <is>
          <t>Conforms</t>
        </is>
      </c>
      <c r="V100" s="243" t="inlineStr">
        <is>
          <t>Conforms</t>
        </is>
      </c>
      <c r="W100" s="243" t="inlineStr">
        <is>
          <t>197-12-K-26, (07.08.2026) [FHM-K]</t>
        </is>
      </c>
      <c r="X100" s="243" t="inlineStr">
        <is>
          <t>197-12-K-26, (07.08.2026) [FHM-K]</t>
        </is>
      </c>
      <c r="Y100" s="243" t="inlineStr">
        <is>
          <t>197-12-M-26, (10.08.2026) [FHM-M]</t>
        </is>
      </c>
      <c r="Z100" s="243" t="inlineStr">
        <is>
          <t>#8, #9, #11, #12 from the initial testing</t>
        </is>
      </c>
      <c r="AA100" s="243" t="inlineStr">
        <is>
          <t>P050322|R</t>
        </is>
      </c>
      <c r="AB100" s="250" t="inlineStr">
        <is>
          <t>registered — retest 1 · Tranche 1 (sampled 21–24.07.2026), tested 23.07.2026, issued 27.07.2026</t>
        </is>
      </c>
    </row>
    <row r="101">
      <c r="A101" s="243" t="n">
        <v>100</v>
      </c>
      <c r="B101" s="244" t="inlineStr">
        <is>
          <t>iCoA-PP_26-100</t>
        </is>
      </c>
      <c r="C101" s="249" t="inlineStr">
        <is>
          <t>yes</t>
        </is>
      </c>
      <c r="D101" s="245" t="n">
        <v>46230</v>
      </c>
      <c r="E101" s="245" t="n">
        <v>46226</v>
      </c>
      <c r="F101" s="245">
        <f>IFERROR(INDEX('Batch Dates'!$G:$G,MATCH(J101,'Batch Dates'!$C:$C,0)),IFERROR(INDEX('Batch Dates'!$G:$G,MATCH(I101,'Batch Dates'!$B:$B,0)),""))</f>
        <v/>
      </c>
      <c r="G101" s="243" t="inlineStr">
        <is>
          <t>legacy</t>
        </is>
      </c>
      <c r="H101" s="243" t="inlineStr">
        <is>
          <t>retest 1</t>
        </is>
      </c>
      <c r="I101" s="244" t="inlineStr">
        <is>
          <t>HPA1024</t>
        </is>
      </c>
      <c r="J101" s="243" t="inlineStr">
        <is>
          <t>N/A — no P batch assigned</t>
        </is>
      </c>
      <c r="K101" s="243" t="inlineStr">
        <is>
          <t>High Pro Amnesia</t>
        </is>
      </c>
      <c r="L101" s="243" t="inlineStr">
        <is>
          <t>Ident A + Ident B + Foreign matter</t>
        </is>
      </c>
      <c r="M101" s="248" t="inlineStr">
        <is>
          <t>—</t>
        </is>
      </c>
      <c r="N101" s="243">
        <f>IFERROR(INDEX('CoQ Register'!$B:$B,MATCH("HPA1024|R",'CoQ Register'!$S:$S,0)),"—")</f>
        <v/>
      </c>
      <c r="O101" s="248" t="inlineStr">
        <is>
          <t>—</t>
        </is>
      </c>
      <c r="P101" s="243" t="inlineStr">
        <is>
          <t>11.04.2026</t>
        </is>
      </c>
      <c r="Q101" s="243" t="inlineStr">
        <is>
          <t>22.01.2025</t>
        </is>
      </c>
      <c r="R101" s="243" t="inlineStr">
        <is>
          <t>11.04.2025</t>
        </is>
      </c>
      <c r="S101" s="245">
        <f>IFERROR(INDEX('CoQ Register'!$D:$D,MATCH("HPA1024|R",'CoQ Register'!$S:$S,0)),"")</f>
        <v/>
      </c>
      <c r="T101" s="243" t="inlineStr">
        <is>
          <t>Conforms</t>
        </is>
      </c>
      <c r="U101" s="243" t="inlineStr">
        <is>
          <t>Conforms</t>
        </is>
      </c>
      <c r="V101" s="243" t="inlineStr">
        <is>
          <t>Conforms</t>
        </is>
      </c>
      <c r="W101" s="243" t="inlineStr">
        <is>
          <t>197-13-K-26, (07.08.2026) [FHM-K]</t>
        </is>
      </c>
      <c r="X101" s="243" t="inlineStr">
        <is>
          <t>197-13-K-26, (07.08.2026) [FHM-K]</t>
        </is>
      </c>
      <c r="Y101" s="243" t="inlineStr">
        <is>
          <t>197-13-M-26, (10.08.2026) [FHM-M]</t>
        </is>
      </c>
      <c r="Z101" s="243" t="inlineStr">
        <is>
          <t>#8, #9, #11, #12 from the initial testing</t>
        </is>
      </c>
      <c r="AA101" s="243" t="inlineStr">
        <is>
          <t>HPA1024|R</t>
        </is>
      </c>
      <c r="AB101" s="250" t="inlineStr">
        <is>
          <t>registered — retest 1 · Tranche 1 (sampled 21–24.07.2026), tested 23.07.2026, issued 27.07.2026</t>
        </is>
      </c>
    </row>
    <row r="102">
      <c r="A102" s="243" t="n">
        <v>101</v>
      </c>
      <c r="B102" s="244" t="inlineStr">
        <is>
          <t>iCoA-PP_26-101</t>
        </is>
      </c>
      <c r="C102" s="249" t="inlineStr">
        <is>
          <t>yes</t>
        </is>
      </c>
      <c r="D102" s="245" t="n">
        <v>46230</v>
      </c>
      <c r="E102" s="245" t="n">
        <v>46226</v>
      </c>
      <c r="F102" s="245">
        <f>IFERROR(INDEX('Batch Dates'!$G:$G,MATCH(J102,'Batch Dates'!$C:$C,0)),IFERROR(INDEX('Batch Dates'!$G:$G,MATCH(I102,'Batch Dates'!$B:$B,0)),""))</f>
        <v/>
      </c>
      <c r="G102" s="243" t="inlineStr">
        <is>
          <t>legacy</t>
        </is>
      </c>
      <c r="H102" s="243" t="inlineStr">
        <is>
          <t>retest 1</t>
        </is>
      </c>
      <c r="I102" s="244" t="inlineStr">
        <is>
          <t>HPA1024_01</t>
        </is>
      </c>
      <c r="J102" s="243" t="inlineStr">
        <is>
          <t>P050052</t>
        </is>
      </c>
      <c r="K102" s="243" t="inlineStr">
        <is>
          <t>High Pro Amnesia</t>
        </is>
      </c>
      <c r="L102" s="243" t="inlineStr">
        <is>
          <t>Ident A + Ident B + Foreign matter</t>
        </is>
      </c>
      <c r="M102" s="248" t="inlineStr">
        <is>
          <t>—</t>
        </is>
      </c>
      <c r="N102" s="243">
        <f>IFERROR(INDEX('CoQ Register'!$B:$B,MATCH("P050052|R",'CoQ Register'!$S:$S,0)),"—")</f>
        <v/>
      </c>
      <c r="O102" s="248" t="inlineStr">
        <is>
          <t>—</t>
        </is>
      </c>
      <c r="P102" s="243" t="inlineStr">
        <is>
          <t>27.06.2026</t>
        </is>
      </c>
      <c r="Q102" s="243" t="inlineStr">
        <is>
          <t>27.05.2025 – 28.05.2025</t>
        </is>
      </c>
      <c r="R102" s="243" t="inlineStr">
        <is>
          <t>27.06.2025 – 04.07.2025</t>
        </is>
      </c>
      <c r="S102" s="245">
        <f>IFERROR(INDEX('CoQ Register'!$D:$D,MATCH("P050052|R",'CoQ Register'!$S:$S,0)),"")</f>
        <v/>
      </c>
      <c r="T102" s="243" t="inlineStr">
        <is>
          <t>Conforms</t>
        </is>
      </c>
      <c r="U102" s="243" t="inlineStr">
        <is>
          <t>Conforms</t>
        </is>
      </c>
      <c r="V102" s="243" t="inlineStr">
        <is>
          <t>Conforms</t>
        </is>
      </c>
      <c r="W102" s="243" t="inlineStr">
        <is>
          <t>197-14-K-26, (07.08.2026) [FHM-K]</t>
        </is>
      </c>
      <c r="X102" s="243" t="inlineStr">
        <is>
          <t>197-14-K-26, (07.08.2026) [FHM-K]</t>
        </is>
      </c>
      <c r="Y102" s="243" t="inlineStr">
        <is>
          <t>197-14-M-26, (10.08.2026) [FHM-M]</t>
        </is>
      </c>
      <c r="Z102" s="243" t="inlineStr">
        <is>
          <t>#8, #9, #11, #12 from the initial testing</t>
        </is>
      </c>
      <c r="AA102" s="243" t="inlineStr">
        <is>
          <t>P050052|R</t>
        </is>
      </c>
      <c r="AB102" s="250" t="inlineStr">
        <is>
          <t>registered — retest 1 · Tranche 1 (sampled 21–24.07.2026), tested 23.07.2026, issued 27.07.2026</t>
        </is>
      </c>
    </row>
    <row r="103">
      <c r="A103" s="243" t="n">
        <v>102</v>
      </c>
      <c r="B103" s="244" t="inlineStr">
        <is>
          <t>iCoA-PP_26-102</t>
        </is>
      </c>
      <c r="C103" s="249" t="inlineStr">
        <is>
          <t>yes</t>
        </is>
      </c>
      <c r="D103" s="245" t="n">
        <v>46230</v>
      </c>
      <c r="E103" s="245" t="n">
        <v>46226</v>
      </c>
      <c r="F103" s="245">
        <f>IFERROR(INDEX('Batch Dates'!$G:$G,MATCH(J103,'Batch Dates'!$C:$C,0)),IFERROR(INDEX('Batch Dates'!$G:$G,MATCH(I103,'Batch Dates'!$B:$B,0)),""))</f>
        <v/>
      </c>
      <c r="G103" s="243" t="inlineStr">
        <is>
          <t>legacy</t>
        </is>
      </c>
      <c r="H103" s="243" t="inlineStr">
        <is>
          <t>retest 1</t>
        </is>
      </c>
      <c r="I103" s="244" t="inlineStr">
        <is>
          <t>J31102501</t>
        </is>
      </c>
      <c r="J103" s="243" t="inlineStr">
        <is>
          <t>P060152</t>
        </is>
      </c>
      <c r="K103" s="243" t="inlineStr">
        <is>
          <t>Jokerz 31</t>
        </is>
      </c>
      <c r="L103" s="243" t="inlineStr">
        <is>
          <t>Ident A + Ident B + Foreign matter</t>
        </is>
      </c>
      <c r="M103" s="248" t="inlineStr">
        <is>
          <t>—</t>
        </is>
      </c>
      <c r="N103" s="243">
        <f>IFERROR(INDEX('CoQ Register'!$B:$B,MATCH("P060152|R",'CoQ Register'!$S:$S,0)),"—")</f>
        <v/>
      </c>
      <c r="O103" s="248" t="inlineStr">
        <is>
          <t>—</t>
        </is>
      </c>
      <c r="P103" s="243" t="inlineStr">
        <is>
          <t>05.03.2027</t>
        </is>
      </c>
      <c r="Q103" s="243" t="inlineStr">
        <is>
          <t>21.01.2026</t>
        </is>
      </c>
      <c r="R103" s="243" t="inlineStr">
        <is>
          <t>05.03.2026</t>
        </is>
      </c>
      <c r="S103" s="245">
        <f>IFERROR(INDEX('CoQ Register'!$D:$D,MATCH("P060152|R",'CoQ Register'!$S:$S,0)),"")</f>
        <v/>
      </c>
      <c r="T103" s="243" t="inlineStr">
        <is>
          <t>Conforms</t>
        </is>
      </c>
      <c r="U103" s="243" t="inlineStr">
        <is>
          <t>Conforms</t>
        </is>
      </c>
      <c r="V103" s="243" t="inlineStr">
        <is>
          <t>Conforms</t>
        </is>
      </c>
      <c r="W103" s="243" t="inlineStr">
        <is>
          <t>197-16-K-26, (07.08.2026) [FHM-K]</t>
        </is>
      </c>
      <c r="X103" s="243" t="inlineStr">
        <is>
          <t>197-16-K-26, (07.08.2026) [FHM-K]</t>
        </is>
      </c>
      <c r="Y103" s="243" t="inlineStr">
        <is>
          <t>197-16-M-26, (10.08.2026) [FHM-M]</t>
        </is>
      </c>
      <c r="Z103" s="243" t="inlineStr">
        <is>
          <t>#8, #9, #11, #12 from the initial testing</t>
        </is>
      </c>
      <c r="AA103" s="243" t="inlineStr">
        <is>
          <t>P060152|R</t>
        </is>
      </c>
      <c r="AB103" s="250" t="inlineStr">
        <is>
          <t>registered — retest 1 · Tranche 1 (sampled 21–24.07.2026), tested 23.07.2026, issued 27.07.2026</t>
        </is>
      </c>
    </row>
    <row r="104">
      <c r="A104" s="243" t="n">
        <v>103</v>
      </c>
      <c r="B104" s="244" t="inlineStr">
        <is>
          <t>iCoA-PP_26-103</t>
        </is>
      </c>
      <c r="C104" s="249" t="inlineStr">
        <is>
          <t>yes</t>
        </is>
      </c>
      <c r="D104" s="245" t="n">
        <v>46230</v>
      </c>
      <c r="E104" s="245" t="n">
        <v>46226</v>
      </c>
      <c r="F104" s="245">
        <f>IFERROR(INDEX('Batch Dates'!$G:$G,MATCH(J104,'Batch Dates'!$C:$C,0)),IFERROR(INDEX('Batch Dates'!$G:$G,MATCH(I104,'Batch Dates'!$B:$B,0)),""))</f>
        <v/>
      </c>
      <c r="G104" s="243" t="inlineStr">
        <is>
          <t>legacy</t>
        </is>
      </c>
      <c r="H104" s="243" t="inlineStr">
        <is>
          <t>retest 1</t>
        </is>
      </c>
      <c r="I104" s="244" t="inlineStr">
        <is>
          <t>JD112501</t>
        </is>
      </c>
      <c r="J104" s="243" t="inlineStr">
        <is>
          <t>P060212</t>
        </is>
      </c>
      <c r="K104" s="243" t="inlineStr">
        <is>
          <t>Jelly Donuts</t>
        </is>
      </c>
      <c r="L104" s="243" t="inlineStr">
        <is>
          <t>Ident A + Ident B + Foreign matter</t>
        </is>
      </c>
      <c r="M104" s="248" t="inlineStr">
        <is>
          <t>—</t>
        </is>
      </c>
      <c r="N104" s="243">
        <f>IFERROR(INDEX('CoQ Register'!$B:$B,MATCH("P060212|R",'CoQ Register'!$S:$S,0)),"—")</f>
        <v/>
      </c>
      <c r="O104" s="248" t="inlineStr">
        <is>
          <t>—</t>
        </is>
      </c>
      <c r="P104" s="243" t="inlineStr">
        <is>
          <t>21.04.2027</t>
        </is>
      </c>
      <c r="Q104" s="243" t="inlineStr">
        <is>
          <t>25.03.2026</t>
        </is>
      </c>
      <c r="R104" s="243" t="inlineStr">
        <is>
          <t>21.04.2026</t>
        </is>
      </c>
      <c r="S104" s="245">
        <f>IFERROR(INDEX('CoQ Register'!$D:$D,MATCH("P060212|R",'CoQ Register'!$S:$S,0)),"")</f>
        <v/>
      </c>
      <c r="T104" s="243" t="inlineStr">
        <is>
          <t>Conforms</t>
        </is>
      </c>
      <c r="U104" s="243" t="inlineStr">
        <is>
          <t>Conforms</t>
        </is>
      </c>
      <c r="V104" s="243" t="inlineStr">
        <is>
          <t>Conforms</t>
        </is>
      </c>
      <c r="W104" s="243" t="inlineStr">
        <is>
          <t>197-15-K-26, (07.08.2026) [FHM-K]</t>
        </is>
      </c>
      <c r="X104" s="243" t="inlineStr">
        <is>
          <t>197-15-K-26, (07.08.2026) [FHM-K]</t>
        </is>
      </c>
      <c r="Y104" s="243" t="inlineStr">
        <is>
          <t>197-15-M-26, (10.08.2026) [FHM-M]</t>
        </is>
      </c>
      <c r="Z104" s="243" t="inlineStr">
        <is>
          <t>#8, #9, #11, #12 from the initial testing</t>
        </is>
      </c>
      <c r="AA104" s="243" t="inlineStr">
        <is>
          <t>P060212|R</t>
        </is>
      </c>
      <c r="AB104" s="250" t="inlineStr">
        <is>
          <t>registered — retest 1 · Tranche 1 (sampled 21–24.07.2026), tested 23.07.2026, issued 27.07.2026</t>
        </is>
      </c>
    </row>
    <row r="105">
      <c r="A105" s="243" t="n">
        <v>104</v>
      </c>
      <c r="B105" s="244" t="inlineStr">
        <is>
          <t>iCoA-PP_26-104</t>
        </is>
      </c>
      <c r="C105" s="249" t="inlineStr">
        <is>
          <t>yes</t>
        </is>
      </c>
      <c r="D105" s="245" t="n">
        <v>46230</v>
      </c>
      <c r="E105" s="245" t="n">
        <v>46227</v>
      </c>
      <c r="F105" s="245">
        <f>IFERROR(INDEX('Batch Dates'!$G:$G,MATCH(J105,'Batch Dates'!$C:$C,0)),IFERROR(INDEX('Batch Dates'!$G:$G,MATCH(I105,'Batch Dates'!$B:$B,0)),""))</f>
        <v/>
      </c>
      <c r="G105" s="243" t="inlineStr">
        <is>
          <t>legacy</t>
        </is>
      </c>
      <c r="H105" s="243" t="inlineStr">
        <is>
          <t>retest 1</t>
        </is>
      </c>
      <c r="I105" s="244" t="inlineStr">
        <is>
          <t>OPM1024</t>
        </is>
      </c>
      <c r="J105" s="243" t="inlineStr">
        <is>
          <t>N/A — no P batch assigned</t>
        </is>
      </c>
      <c r="K105" s="243" t="inlineStr">
        <is>
          <t>Orange Punch Mimosa</t>
        </is>
      </c>
      <c r="L105" s="243" t="inlineStr">
        <is>
          <t>Ident A + Ident B + Foreign matter</t>
        </is>
      </c>
      <c r="M105" s="248" t="inlineStr">
        <is>
          <t>—</t>
        </is>
      </c>
      <c r="N105" s="243">
        <f>IFERROR(INDEX('CoQ Register'!$B:$B,MATCH("OPM1024|R",'CoQ Register'!$S:$S,0)),"—")</f>
        <v/>
      </c>
      <c r="O105" s="248" t="inlineStr">
        <is>
          <t>—</t>
        </is>
      </c>
      <c r="P105" s="243" t="inlineStr">
        <is>
          <t>24.04.2026</t>
        </is>
      </c>
      <c r="Q105" s="243" t="inlineStr">
        <is>
          <t>21.01.2025</t>
        </is>
      </c>
      <c r="R105" s="243" t="inlineStr">
        <is>
          <t>24.04.2025 – 25.04.2025</t>
        </is>
      </c>
      <c r="S105" s="245">
        <f>IFERROR(INDEX('CoQ Register'!$D:$D,MATCH("OPM1024|R",'CoQ Register'!$S:$S,0)),"")</f>
        <v/>
      </c>
      <c r="T105" s="243" t="inlineStr">
        <is>
          <t>Conforms</t>
        </is>
      </c>
      <c r="U105" s="243" t="inlineStr">
        <is>
          <t>Conforms</t>
        </is>
      </c>
      <c r="V105" s="243" t="inlineStr">
        <is>
          <t>Conforms</t>
        </is>
      </c>
      <c r="W105" s="243" t="inlineStr">
        <is>
          <t>197-17-K-26, (07.08.2026) [FHM-K]</t>
        </is>
      </c>
      <c r="X105" s="243" t="inlineStr">
        <is>
          <t>197-17-K-26, (07.08.2026) [FHM-K]</t>
        </is>
      </c>
      <c r="Y105" s="243" t="inlineStr">
        <is>
          <t>197-17-M-26, (10.08.2026) [FHM-M]</t>
        </is>
      </c>
      <c r="Z105" s="243" t="inlineStr">
        <is>
          <t>#8, #9, #11, #12 from the initial testing</t>
        </is>
      </c>
      <c r="AA105" s="243" t="inlineStr">
        <is>
          <t>OPM1024|R</t>
        </is>
      </c>
      <c r="AB105" s="250" t="inlineStr">
        <is>
          <t>registered — retest 1 · Tranche 1 (sampled 21–24.07.2026), tested 24.07.2026, issued 27.07.2026</t>
        </is>
      </c>
    </row>
    <row r="106">
      <c r="A106" s="243" t="n">
        <v>105</v>
      </c>
      <c r="B106" s="244" t="inlineStr">
        <is>
          <t>iCoA-PP_26-105</t>
        </is>
      </c>
      <c r="C106" s="249" t="inlineStr">
        <is>
          <t>yes</t>
        </is>
      </c>
      <c r="D106" s="245" t="n">
        <v>46230</v>
      </c>
      <c r="E106" s="245" t="n">
        <v>46227</v>
      </c>
      <c r="F106" s="245">
        <f>IFERROR(INDEX('Batch Dates'!$G:$G,MATCH(J106,'Batch Dates'!$C:$C,0)),IFERROR(INDEX('Batch Dates'!$G:$G,MATCH(I106,'Batch Dates'!$B:$B,0)),""))</f>
        <v/>
      </c>
      <c r="G106" s="243" t="inlineStr">
        <is>
          <t>legacy</t>
        </is>
      </c>
      <c r="H106" s="243" t="inlineStr">
        <is>
          <t>retest 1</t>
        </is>
      </c>
      <c r="I106" s="244" t="inlineStr">
        <is>
          <t>OPM1024_02</t>
        </is>
      </c>
      <c r="J106" s="243" t="inlineStr">
        <is>
          <t>P050062</t>
        </is>
      </c>
      <c r="K106" s="243" t="inlineStr">
        <is>
          <t>Orange Punch Mimosa</t>
        </is>
      </c>
      <c r="L106" s="243" t="inlineStr">
        <is>
          <t>Ident A + Ident B + Foreign matter</t>
        </is>
      </c>
      <c r="M106" s="248" t="inlineStr">
        <is>
          <t>—</t>
        </is>
      </c>
      <c r="N106" s="243">
        <f>IFERROR(INDEX('CoQ Register'!$B:$B,MATCH("P050062|R",'CoQ Register'!$S:$S,0)),"—")</f>
        <v/>
      </c>
      <c r="O106" s="248" t="inlineStr">
        <is>
          <t>—</t>
        </is>
      </c>
      <c r="P106" s="243" t="inlineStr">
        <is>
          <t>04.07.2026</t>
        </is>
      </c>
      <c r="Q106" s="243" t="inlineStr">
        <is>
          <t>29.05.2025 – 30.05.2025</t>
        </is>
      </c>
      <c r="R106" s="243" t="inlineStr">
        <is>
          <t>04.07.2025 – 10.07.2025</t>
        </is>
      </c>
      <c r="S106" s="245">
        <f>IFERROR(INDEX('CoQ Register'!$D:$D,MATCH("P050062|R",'CoQ Register'!$S:$S,0)),"")</f>
        <v/>
      </c>
      <c r="T106" s="243" t="inlineStr">
        <is>
          <t>Conforms</t>
        </is>
      </c>
      <c r="U106" s="243" t="inlineStr">
        <is>
          <t>Conforms</t>
        </is>
      </c>
      <c r="V106" s="243" t="inlineStr">
        <is>
          <t>Conforms</t>
        </is>
      </c>
      <c r="W106" s="243" t="inlineStr">
        <is>
          <t>197-18-K-26, (07.08.2026) [FHM-K]</t>
        </is>
      </c>
      <c r="X106" s="243" t="inlineStr">
        <is>
          <t>197-18-K-26, (07.08.2026) [FHM-K]</t>
        </is>
      </c>
      <c r="Y106" s="243" t="inlineStr">
        <is>
          <t>197-18-M-26, (10.08.2026) [FHM-M]</t>
        </is>
      </c>
      <c r="Z106" s="243" t="inlineStr">
        <is>
          <t>#8, #9, #11, #12 from the initial testing</t>
        </is>
      </c>
      <c r="AA106" s="243" t="inlineStr">
        <is>
          <t>P050062|R</t>
        </is>
      </c>
      <c r="AB106" s="250" t="inlineStr">
        <is>
          <t>registered — retest 1 · Tranche 1 (sampled 21–24.07.2026), tested 24.07.2026, issued 27.07.2026</t>
        </is>
      </c>
    </row>
    <row r="107">
      <c r="A107" s="243" t="n">
        <v>106</v>
      </c>
      <c r="B107" s="244" t="inlineStr">
        <is>
          <t>iCoA-PP_26-106</t>
        </is>
      </c>
      <c r="C107" s="249" t="inlineStr">
        <is>
          <t>yes</t>
        </is>
      </c>
      <c r="D107" s="245" t="n">
        <v>46230</v>
      </c>
      <c r="E107" s="245" t="n">
        <v>46227</v>
      </c>
      <c r="F107" s="245">
        <f>IFERROR(INDEX('Batch Dates'!$G:$G,MATCH(J107,'Batch Dates'!$C:$C,0)),IFERROR(INDEX('Batch Dates'!$G:$G,MATCH(I107,'Batch Dates'!$B:$B,0)),""))</f>
        <v/>
      </c>
      <c r="G107" s="243" t="inlineStr">
        <is>
          <t>legacy</t>
        </is>
      </c>
      <c r="H107" s="243" t="inlineStr">
        <is>
          <t>retest 1</t>
        </is>
      </c>
      <c r="I107" s="244" t="inlineStr">
        <is>
          <t>OPM122501</t>
        </is>
      </c>
      <c r="J107" s="243" t="inlineStr">
        <is>
          <t>P060242</t>
        </is>
      </c>
      <c r="K107" s="243" t="inlineStr">
        <is>
          <t>Orange Punch Mimosa</t>
        </is>
      </c>
      <c r="L107" s="243" t="inlineStr">
        <is>
          <t>Ident A + Ident B + Foreign matter</t>
        </is>
      </c>
      <c r="M107" s="248" t="inlineStr">
        <is>
          <t>—</t>
        </is>
      </c>
      <c r="N107" s="243">
        <f>IFERROR(INDEX('CoQ Register'!$B:$B,MATCH("P060242|R",'CoQ Register'!$S:$S,0)),"—")</f>
        <v/>
      </c>
      <c r="O107" s="248" t="inlineStr">
        <is>
          <t>—</t>
        </is>
      </c>
      <c r="P107" s="243" t="inlineStr">
        <is>
          <t>28.04.2027</t>
        </is>
      </c>
      <c r="Q107" s="243" t="inlineStr">
        <is>
          <t>11.03.2026</t>
        </is>
      </c>
      <c r="R107" s="243" t="inlineStr">
        <is>
          <t>28.04.2026</t>
        </is>
      </c>
      <c r="S107" s="245">
        <f>IFERROR(INDEX('CoQ Register'!$D:$D,MATCH("P060242|R",'CoQ Register'!$S:$S,0)),"")</f>
        <v/>
      </c>
      <c r="T107" s="243" t="inlineStr">
        <is>
          <t>Conforms</t>
        </is>
      </c>
      <c r="U107" s="243" t="inlineStr">
        <is>
          <t>Conforms</t>
        </is>
      </c>
      <c r="V107" s="243" t="inlineStr">
        <is>
          <t>Conforms</t>
        </is>
      </c>
      <c r="W107" s="243" t="inlineStr">
        <is>
          <t>197-19-K-26, (07.08.2026) [FHM-K]</t>
        </is>
      </c>
      <c r="X107" s="243" t="inlineStr">
        <is>
          <t>197-19-K-26, (07.08.2026) [FHM-K]</t>
        </is>
      </c>
      <c r="Y107" s="243" t="inlineStr">
        <is>
          <t>197-19-M-26, (10.08.2026) [FHM-M]</t>
        </is>
      </c>
      <c r="Z107" s="243" t="inlineStr">
        <is>
          <t>#8, #9, #11, #12 from the initial testing</t>
        </is>
      </c>
      <c r="AA107" s="243" t="inlineStr">
        <is>
          <t>P060242|R</t>
        </is>
      </c>
      <c r="AB107" s="250" t="inlineStr">
        <is>
          <t>registered — retest 1 · Tranche 1 (sampled 21–24.07.2026), tested 24.07.2026, issued 27.07.2026</t>
        </is>
      </c>
    </row>
    <row r="108">
      <c r="A108" s="243" t="n">
        <v>107</v>
      </c>
      <c r="B108" s="244" t="inlineStr">
        <is>
          <t>iCoA-PP_26-107</t>
        </is>
      </c>
      <c r="C108" s="249" t="inlineStr">
        <is>
          <t>yes</t>
        </is>
      </c>
      <c r="D108" s="245" t="n">
        <v>46230</v>
      </c>
      <c r="E108" s="245" t="n">
        <v>46227</v>
      </c>
      <c r="F108" s="245">
        <f>IFERROR(INDEX('Batch Dates'!$G:$G,MATCH(J108,'Batch Dates'!$C:$C,0)),IFERROR(INDEX('Batch Dates'!$G:$G,MATCH(I108,'Batch Dates'!$B:$B,0)),""))</f>
        <v/>
      </c>
      <c r="G108" s="243" t="inlineStr">
        <is>
          <t>post-SOP</t>
        </is>
      </c>
      <c r="H108" s="243" t="inlineStr">
        <is>
          <t>retest 1</t>
        </is>
      </c>
      <c r="I108" s="244" t="inlineStr">
        <is>
          <t>SCR012603</t>
        </is>
      </c>
      <c r="J108" s="243" t="inlineStr">
        <is>
          <t>P060382</t>
        </is>
      </c>
      <c r="K108" s="243" t="inlineStr">
        <is>
          <t>Scrambler</t>
        </is>
      </c>
      <c r="L108" s="243" t="inlineStr">
        <is>
          <t>Ident A + Ident B + Foreign matter</t>
        </is>
      </c>
      <c r="M108" s="248" t="inlineStr">
        <is>
          <t>—</t>
        </is>
      </c>
      <c r="N108" s="243">
        <f>IFERROR(INDEX('CoQ Register'!$B:$B,MATCH("P060382|R",'CoQ Register'!$S:$S,0)),"—")</f>
        <v/>
      </c>
      <c r="O108" s="248" t="inlineStr">
        <is>
          <t>—</t>
        </is>
      </c>
      <c r="P108" s="243" t="inlineStr">
        <is>
          <t>25.05.2027</t>
        </is>
      </c>
      <c r="Q108" s="243" t="inlineStr">
        <is>
          <t>22.04.2026</t>
        </is>
      </c>
      <c r="R108" s="243" t="inlineStr">
        <is>
          <t>25.05.2026</t>
        </is>
      </c>
      <c r="S108" s="245">
        <f>IFERROR(INDEX('CoQ Register'!$D:$D,MATCH("P060382|R",'CoQ Register'!$S:$S,0)),"")</f>
        <v/>
      </c>
      <c r="T108" s="243" t="inlineStr">
        <is>
          <t>Conforms</t>
        </is>
      </c>
      <c r="U108" s="243" t="inlineStr">
        <is>
          <t>Conforms</t>
        </is>
      </c>
      <c r="V108" s="243" t="inlineStr">
        <is>
          <t>Conforms</t>
        </is>
      </c>
      <c r="W108" s="243" t="inlineStr">
        <is>
          <t>197-21-K-26, (07.08.2026) [FHM-K]</t>
        </is>
      </c>
      <c r="X108" s="243" t="inlineStr">
        <is>
          <t>197-21-K-26, (07.08.2026) [FHM-K]</t>
        </is>
      </c>
      <c r="Y108" s="243" t="inlineStr">
        <is>
          <t>197-21-M-26, (10.08.2026) [FHM-M]</t>
        </is>
      </c>
      <c r="Z108" s="243" t="inlineStr">
        <is>
          <t>#8, #9, #11, #12 from the initial testing</t>
        </is>
      </c>
      <c r="AA108" s="243" t="inlineStr">
        <is>
          <t>P060382|R</t>
        </is>
      </c>
      <c r="AB108" s="250" t="inlineStr">
        <is>
          <t>registered — retest 1 · Tranche 1 (sampled 21–24.07.2026), tested 24.07.2026, issued 27.07.2026</t>
        </is>
      </c>
    </row>
    <row r="109">
      <c r="A109" s="243" t="n">
        <v>108</v>
      </c>
      <c r="B109" s="244" t="inlineStr">
        <is>
          <t>iCoA-PP_26-108</t>
        </is>
      </c>
      <c r="C109" s="249" t="inlineStr">
        <is>
          <t>yes</t>
        </is>
      </c>
      <c r="D109" s="245" t="n">
        <v>46230</v>
      </c>
      <c r="E109" s="245" t="n">
        <v>46227</v>
      </c>
      <c r="F109" s="245">
        <f>IFERROR(INDEX('Batch Dates'!$G:$G,MATCH(J109,'Batch Dates'!$C:$C,0)),IFERROR(INDEX('Batch Dates'!$G:$G,MATCH(I109,'Batch Dates'!$B:$B,0)),""))</f>
        <v/>
      </c>
      <c r="G109" s="243" t="inlineStr">
        <is>
          <t>legacy</t>
        </is>
      </c>
      <c r="H109" s="243" t="inlineStr">
        <is>
          <t>retest 1</t>
        </is>
      </c>
      <c r="I109" s="244" t="inlineStr">
        <is>
          <t>PM092501</t>
        </is>
      </c>
      <c r="J109" s="243" t="inlineStr">
        <is>
          <t>P060062</t>
        </is>
      </c>
      <c r="K109" s="243" t="inlineStr">
        <is>
          <t>Permanent Marker</t>
        </is>
      </c>
      <c r="L109" s="243" t="inlineStr">
        <is>
          <t>Ident A + Ident B + Foreign matter</t>
        </is>
      </c>
      <c r="M109" s="248" t="inlineStr">
        <is>
          <t>—</t>
        </is>
      </c>
      <c r="N109" s="243">
        <f>IFERROR(INDEX('CoQ Register'!$B:$B,MATCH("P060062|R",'CoQ Register'!$S:$S,0)),"—")</f>
        <v/>
      </c>
      <c r="O109" s="248" t="inlineStr">
        <is>
          <t>—</t>
        </is>
      </c>
      <c r="P109" s="243" t="inlineStr">
        <is>
          <t>30.01.2027</t>
        </is>
      </c>
      <c r="Q109" s="243" t="inlineStr">
        <is>
          <t>11.12.2025</t>
        </is>
      </c>
      <c r="R109" s="243" t="inlineStr">
        <is>
          <t>30.01.2026</t>
        </is>
      </c>
      <c r="S109" s="245">
        <f>IFERROR(INDEX('CoQ Register'!$D:$D,MATCH("P060062|R",'CoQ Register'!$S:$S,0)),"")</f>
        <v/>
      </c>
      <c r="T109" s="243" t="inlineStr">
        <is>
          <t>Conforms</t>
        </is>
      </c>
      <c r="U109" s="243" t="inlineStr">
        <is>
          <t>Conforms</t>
        </is>
      </c>
      <c r="V109" s="243" t="inlineStr">
        <is>
          <t>Conforms</t>
        </is>
      </c>
      <c r="W109" s="243" t="inlineStr">
        <is>
          <t>197-20-K-26, (07.08.2026) [FHM-K]</t>
        </is>
      </c>
      <c r="X109" s="243" t="inlineStr">
        <is>
          <t>197-20-K-26, (07.08.2026) [FHM-K]</t>
        </is>
      </c>
      <c r="Y109" s="243" t="inlineStr">
        <is>
          <t>197-20-M-26, (10.08.2026) [FHM-M]</t>
        </is>
      </c>
      <c r="Z109" s="243" t="inlineStr">
        <is>
          <t>#8, #9, #11, #12 from the initial testing</t>
        </is>
      </c>
      <c r="AA109" s="243" t="inlineStr">
        <is>
          <t>P060062|R</t>
        </is>
      </c>
      <c r="AB109" s="250" t="inlineStr">
        <is>
          <t>registered — retest 1 · Tranche 1 (sampled 21–24.07.2026), tested 24.07.2026, issued 27.07.2026</t>
        </is>
      </c>
    </row>
    <row r="110">
      <c r="A110" s="243" t="n">
        <v>109</v>
      </c>
      <c r="B110" s="244" t="inlineStr">
        <is>
          <t>iCoA-PP_26-109</t>
        </is>
      </c>
      <c r="C110" s="249" t="inlineStr">
        <is>
          <t>yes</t>
        </is>
      </c>
      <c r="D110" s="245">
        <f>IF(A110="","",IF(ISNUMBER(E110),MAX(DATE(2026,6,3),E110),DATE(2026,6,3)))</f>
        <v/>
      </c>
      <c r="E110" s="245">
        <f>IFERROR(INDEX('Batch Dates'!$F:$F,MATCH(J110,'Batch Dates'!$C:$C,0)),IFERROR(INDEX('Batch Dates'!$F:$F,MATCH(I110,'Batch Dates'!$B:$B,0)),""))</f>
        <v/>
      </c>
      <c r="F110" s="245">
        <f>IFERROR(INDEX('Batch Dates'!$G:$G,MATCH(J110,'Batch Dates'!$C:$C,0)),IFERROR(INDEX('Batch Dates'!$G:$G,MATCH(I110,'Batch Dates'!$B:$B,0)),""))</f>
        <v/>
      </c>
      <c r="G110" s="243" t="inlineStr">
        <is>
          <t>post-SOP</t>
        </is>
      </c>
      <c r="H110" s="243" t="inlineStr">
        <is>
          <t>initial release</t>
        </is>
      </c>
      <c r="I110" s="244" t="inlineStr">
        <is>
          <t>JD022601</t>
        </is>
      </c>
      <c r="J110" s="243" t="inlineStr">
        <is>
          <t>P060482</t>
        </is>
      </c>
      <c r="K110" s="243" t="inlineStr">
        <is>
          <t>Jelly Donuts</t>
        </is>
      </c>
      <c r="L110" s="243" t="inlineStr">
        <is>
          <t>Ident A + Ident B + Foreign matter</t>
        </is>
      </c>
      <c r="M110" s="243" t="inlineStr">
        <is>
          <t>A: ППК26115 / B: ППК26115 / FM: ППК26115</t>
        </is>
      </c>
      <c r="N110" s="243">
        <f>IFERROR(INDEX('CoQ Register'!$B:$B,MATCH("P060482|I",'CoQ Register'!$S:$S,0)),"—")</f>
        <v/>
      </c>
      <c r="O110" s="248" t="inlineStr">
        <is>
          <t>—</t>
        </is>
      </c>
      <c r="P110" s="243" t="inlineStr">
        <is>
          <t>30.06.2026</t>
        </is>
      </c>
      <c r="Q110" s="243" t="inlineStr">
        <is>
          <t>18.05.2026</t>
        </is>
      </c>
      <c r="R110" s="243" t="inlineStr">
        <is>
          <t>05.08.2026 (the issuance plan's basis: 30.06.2026)</t>
        </is>
      </c>
      <c r="S110" s="245">
        <f>IFERROR(INDEX('CoQ Register'!$D:$D,MATCH("P060482|I",'CoQ Register'!$S:$S,0)),"")</f>
        <v/>
      </c>
      <c r="T110" s="243" t="inlineStr">
        <is>
          <t>CNP ППК26115</t>
        </is>
      </c>
      <c r="U110" s="243" t="inlineStr">
        <is>
          <t>CNP ППК26115</t>
        </is>
      </c>
      <c r="V110" s="243" t="inlineStr">
        <is>
          <t>CNP ППК26115</t>
        </is>
      </c>
      <c r="W110" s="243" t="inlineStr">
        <is>
          <t>ППК26115, (30.06.2026) [CNP]</t>
        </is>
      </c>
      <c r="X110" s="243" t="inlineStr">
        <is>
          <t>—</t>
        </is>
      </c>
      <c r="Y110" s="243" t="inlineStr">
        <is>
          <t>—</t>
        </is>
      </c>
      <c r="Z110" s="243" t="inlineStr">
        <is>
          <t>—</t>
        </is>
      </c>
      <c r="AA110" s="243" t="inlineStr">
        <is>
          <t>P060482|I</t>
        </is>
      </c>
      <c r="AB110" s="250" t="inlineStr">
        <is>
          <t>registered — initial release, issued 05.08.2026</t>
        </is>
      </c>
    </row>
    <row r="111">
      <c r="A111" s="243" t="n">
        <v>110</v>
      </c>
      <c r="B111" s="244" t="inlineStr">
        <is>
          <t>iCoA-PP_26-110</t>
        </is>
      </c>
      <c r="C111" s="249" t="inlineStr">
        <is>
          <t>yes</t>
        </is>
      </c>
      <c r="D111" s="245">
        <f>IF(A111="","",IF(ISNUMBER(E111),MAX(DATE(2026,6,3),E111),DATE(2026,6,3)))</f>
        <v/>
      </c>
      <c r="E111" s="245">
        <f>IFERROR(INDEX('Batch Dates'!$F:$F,MATCH(J111,'Batch Dates'!$C:$C,0)),IFERROR(INDEX('Batch Dates'!$F:$F,MATCH(I111,'Batch Dates'!$B:$B,0)),""))</f>
        <v/>
      </c>
      <c r="F111" s="245">
        <f>IFERROR(INDEX('Batch Dates'!$G:$G,MATCH(J111,'Batch Dates'!$C:$C,0)),IFERROR(INDEX('Batch Dates'!$G:$G,MATCH(I111,'Batch Dates'!$B:$B,0)),""))</f>
        <v/>
      </c>
      <c r="G111" s="243" t="inlineStr">
        <is>
          <t>post-SOP</t>
        </is>
      </c>
      <c r="H111" s="243" t="inlineStr">
        <is>
          <t>initial release</t>
        </is>
      </c>
      <c r="I111" s="244" t="inlineStr">
        <is>
          <t>JD042601</t>
        </is>
      </c>
      <c r="J111" s="243" t="inlineStr">
        <is>
          <t>P060492</t>
        </is>
      </c>
      <c r="K111" s="243" t="inlineStr">
        <is>
          <t>Jelly Donuts</t>
        </is>
      </c>
      <c r="L111" s="243" t="inlineStr">
        <is>
          <t>Ident A + Ident B + Foreign matter</t>
        </is>
      </c>
      <c r="M111" s="248" t="inlineStr">
        <is>
          <t>—</t>
        </is>
      </c>
      <c r="N111" s="243">
        <f>IFERROR(INDEX('CoQ Register'!$B:$B,MATCH("P060492|I",'CoQ Register'!$S:$S,0)),"—")</f>
        <v/>
      </c>
      <c r="O111" s="248" t="inlineStr">
        <is>
          <t>—</t>
        </is>
      </c>
      <c r="P111" s="243" t="inlineStr">
        <is>
          <t>13.08.2026</t>
        </is>
      </c>
      <c r="Q111" s="243" t="inlineStr">
        <is>
          <t>21.07.2026</t>
        </is>
      </c>
      <c r="R111" s="243" t="inlineStr">
        <is>
          <t>13.08.2026</t>
        </is>
      </c>
      <c r="S111" s="245">
        <f>IFERROR(INDEX('CoQ Register'!$D:$D,MATCH("P060492|I",'CoQ Register'!$S:$S,0)),"")</f>
        <v/>
      </c>
      <c r="T111" s="243" t="inlineStr">
        <is>
          <t>Conforms</t>
        </is>
      </c>
      <c r="U111" s="243" t="inlineStr">
        <is>
          <t>Conforms</t>
        </is>
      </c>
      <c r="V111" s="243" t="inlineStr">
        <is>
          <t>Conforms</t>
        </is>
      </c>
      <c r="W111" s="243" t="inlineStr">
        <is>
          <t>— no cannabinoid certificate from the initial testing —</t>
        </is>
      </c>
      <c r="X111" s="243" t="inlineStr">
        <is>
          <t>—</t>
        </is>
      </c>
      <c r="Y111" s="243" t="inlineStr">
        <is>
          <t>—</t>
        </is>
      </c>
      <c r="Z111" s="243" t="inlineStr">
        <is>
          <t>—</t>
        </is>
      </c>
      <c r="AA111" s="243" t="inlineStr">
        <is>
          <t>P060492|I</t>
        </is>
      </c>
      <c r="AB111" s="250" t="inlineStr">
        <is>
          <t>registered — initial release, issued 13.08.2026</t>
        </is>
      </c>
    </row>
    <row r="112">
      <c r="A112" s="243" t="n">
        <v>111</v>
      </c>
      <c r="B112" s="244" t="inlineStr">
        <is>
          <t>iCoA-PP_26-111</t>
        </is>
      </c>
      <c r="C112" s="249" t="inlineStr">
        <is>
          <t>yes</t>
        </is>
      </c>
      <c r="D112" s="245" t="n">
        <v>46251</v>
      </c>
      <c r="E112" s="245" t="n">
        <v>46246</v>
      </c>
      <c r="F112" s="245">
        <f>IFERROR(INDEX('Batch Dates'!$G:$G,MATCH(J112,'Batch Dates'!$C:$C,0)),IFERROR(INDEX('Batch Dates'!$G:$G,MATCH(I112,'Batch Dates'!$B:$B,0)),""))</f>
        <v/>
      </c>
      <c r="G112" s="243" t="inlineStr">
        <is>
          <t>legacy</t>
        </is>
      </c>
      <c r="H112" s="243" t="inlineStr">
        <is>
          <t>retest 1</t>
        </is>
      </c>
      <c r="I112" s="244" t="inlineStr">
        <is>
          <t>ACC102501</t>
        </is>
      </c>
      <c r="J112" s="243" t="inlineStr">
        <is>
          <t>P060122</t>
        </is>
      </c>
      <c r="K112" s="243" t="inlineStr">
        <is>
          <t>Amnesia Core Cut</t>
        </is>
      </c>
      <c r="L112" s="243" t="inlineStr">
        <is>
          <t>Ident A + Ident B + Foreign matter</t>
        </is>
      </c>
      <c r="M112" s="248" t="inlineStr">
        <is>
          <t>—</t>
        </is>
      </c>
      <c r="N112" s="243">
        <f>IFERROR(INDEX('CoQ Register'!$B:$B,MATCH("P060122|R",'CoQ Register'!$S:$S,0)),"—")</f>
        <v/>
      </c>
      <c r="O112" s="248" t="inlineStr">
        <is>
          <t>—</t>
        </is>
      </c>
      <c r="P112" s="243" t="inlineStr">
        <is>
          <t>18.02.2027</t>
        </is>
      </c>
      <c r="Q112" s="243" t="inlineStr">
        <is>
          <t>09.01.2026</t>
        </is>
      </c>
      <c r="R112" s="243" t="inlineStr">
        <is>
          <t>18.02.2026 – 19.02.2026</t>
        </is>
      </c>
      <c r="S112" s="245">
        <f>IFERROR(INDEX('CoQ Register'!$D:$D,MATCH("P060122|R",'CoQ Register'!$S:$S,0)),"")</f>
        <v/>
      </c>
      <c r="T112" s="243" t="inlineStr">
        <is>
          <t>Conforms</t>
        </is>
      </c>
      <c r="U112" s="243" t="inlineStr">
        <is>
          <t>Conforms</t>
        </is>
      </c>
      <c r="V112" s="243" t="inlineStr">
        <is>
          <t>Conforms</t>
        </is>
      </c>
      <c r="W112" s="243" t="inlineStr">
        <is>
          <t>220-1-K-26, (25.08.2026) [FHM-K]</t>
        </is>
      </c>
      <c r="X112" s="243" t="inlineStr">
        <is>
          <t>220-1-K-26, (25.08.2026) [FHM-K]</t>
        </is>
      </c>
      <c r="Y112" s="243" t="inlineStr">
        <is>
          <t>220-1-M-26, (11.09.2026) [FHM-M]</t>
        </is>
      </c>
      <c r="Z112" s="243" t="inlineStr">
        <is>
          <t>#8, #9, #11, #12 from the initial testing</t>
        </is>
      </c>
      <c r="AA112" s="243" t="inlineStr">
        <is>
          <t>P060122|R</t>
        </is>
      </c>
      <c r="AB112" s="250" t="inlineStr">
        <is>
          <t>registered — retest 1 · Tranche 2 (sampled 12–14.08.2026), tested 12.08.2026, issued 17.08.2026</t>
        </is>
      </c>
    </row>
    <row r="113">
      <c r="A113" s="243" t="n">
        <v>112</v>
      </c>
      <c r="B113" s="244" t="inlineStr">
        <is>
          <t>iCoA-PP_26-112</t>
        </is>
      </c>
      <c r="C113" s="249" t="inlineStr">
        <is>
          <t>yes</t>
        </is>
      </c>
      <c r="D113" s="245" t="n">
        <v>46251</v>
      </c>
      <c r="E113" s="245" t="n">
        <v>46246</v>
      </c>
      <c r="F113" s="245">
        <f>IFERROR(INDEX('Batch Dates'!$G:$G,MATCH(J113,'Batch Dates'!$C:$C,0)),IFERROR(INDEX('Batch Dates'!$G:$G,MATCH(I113,'Batch Dates'!$B:$B,0)),""))</f>
        <v/>
      </c>
      <c r="G113" s="243" t="inlineStr">
        <is>
          <t>legacy</t>
        </is>
      </c>
      <c r="H113" s="243" t="inlineStr">
        <is>
          <t>retest 1</t>
        </is>
      </c>
      <c r="I113" s="244" t="inlineStr">
        <is>
          <t>BSS052501</t>
        </is>
      </c>
      <c r="J113" s="243" t="inlineStr">
        <is>
          <t>P050192</t>
        </is>
      </c>
      <c r="K113" s="243" t="inlineStr">
        <is>
          <t>Blue Sunset Sherbet</t>
        </is>
      </c>
      <c r="L113" s="243" t="inlineStr">
        <is>
          <t>Ident A + Ident B + Foreign matter</t>
        </is>
      </c>
      <c r="M113" s="248" t="inlineStr">
        <is>
          <t>—</t>
        </is>
      </c>
      <c r="N113" s="243">
        <f>IFERROR(INDEX('CoQ Register'!$B:$B,MATCH("P050192|R",'CoQ Register'!$S:$S,0)),"—")</f>
        <v/>
      </c>
      <c r="O113" s="248" t="inlineStr">
        <is>
          <t>—</t>
        </is>
      </c>
      <c r="P113" s="243" t="inlineStr">
        <is>
          <t>10.10.2026</t>
        </is>
      </c>
      <c r="Q113" s="243" t="inlineStr">
        <is>
          <t>01.09.2025 – 03.09.2025</t>
        </is>
      </c>
      <c r="R113" s="243" t="inlineStr">
        <is>
          <t>10.10.2025 – 21.10.2025</t>
        </is>
      </c>
      <c r="S113" s="245">
        <f>IFERROR(INDEX('CoQ Register'!$D:$D,MATCH("P050192|R",'CoQ Register'!$S:$S,0)),"")</f>
        <v/>
      </c>
      <c r="T113" s="243" t="inlineStr">
        <is>
          <t>Conforms</t>
        </is>
      </c>
      <c r="U113" s="243" t="inlineStr">
        <is>
          <t>Conforms</t>
        </is>
      </c>
      <c r="V113" s="243" t="inlineStr">
        <is>
          <t>Conforms</t>
        </is>
      </c>
      <c r="W113" s="243" t="inlineStr">
        <is>
          <t>220-2-K-26, (25.08.2026) [FHM-K]</t>
        </is>
      </c>
      <c r="X113" s="243" t="inlineStr">
        <is>
          <t>220-2-K-26, (25.08.2026) [FHM-K]</t>
        </is>
      </c>
      <c r="Y113" s="243" t="inlineStr">
        <is>
          <t>220-2-M-26, (11.09.2026) [FHM-M]</t>
        </is>
      </c>
      <c r="Z113" s="243" t="inlineStr">
        <is>
          <t>#8, #9, #11, #12 from the initial testing</t>
        </is>
      </c>
      <c r="AA113" s="243" t="inlineStr">
        <is>
          <t>P050192|R</t>
        </is>
      </c>
      <c r="AB113" s="250" t="inlineStr">
        <is>
          <t>registered — retest 1 · Tranche 2 (sampled 12–14.08.2026), tested 12.08.2026, issued 17.08.2026</t>
        </is>
      </c>
    </row>
    <row r="114">
      <c r="A114" s="243" t="n">
        <v>113</v>
      </c>
      <c r="B114" s="244" t="inlineStr">
        <is>
          <t>iCoA-PP_26-113</t>
        </is>
      </c>
      <c r="C114" s="249" t="inlineStr">
        <is>
          <t>yes</t>
        </is>
      </c>
      <c r="D114" s="245" t="n">
        <v>46251</v>
      </c>
      <c r="E114" s="245" t="n">
        <v>46246</v>
      </c>
      <c r="F114" s="245">
        <f>IFERROR(INDEX('Batch Dates'!$G:$G,MATCH(J114,'Batch Dates'!$C:$C,0)),IFERROR(INDEX('Batch Dates'!$G:$G,MATCH(I114,'Batch Dates'!$B:$B,0)),""))</f>
        <v/>
      </c>
      <c r="G114" s="243" t="inlineStr">
        <is>
          <t>legacy</t>
        </is>
      </c>
      <c r="H114" s="243" t="inlineStr">
        <is>
          <t>retest 1</t>
        </is>
      </c>
      <c r="I114" s="244" t="inlineStr">
        <is>
          <t>CF102501</t>
        </is>
      </c>
      <c r="J114" s="243" t="inlineStr">
        <is>
          <t>P060132</t>
        </is>
      </c>
      <c r="K114" s="243" t="inlineStr">
        <is>
          <t>Chem Flyer</t>
        </is>
      </c>
      <c r="L114" s="243" t="inlineStr">
        <is>
          <t>Ident A + Ident B + Foreign matter</t>
        </is>
      </c>
      <c r="M114" s="248" t="inlineStr">
        <is>
          <t>—</t>
        </is>
      </c>
      <c r="N114" s="243">
        <f>IFERROR(INDEX('CoQ Register'!$B:$B,MATCH("P060132|R",'CoQ Register'!$S:$S,0)),"—")</f>
        <v/>
      </c>
      <c r="O114" s="248" t="inlineStr">
        <is>
          <t>—</t>
        </is>
      </c>
      <c r="P114" s="243" t="inlineStr">
        <is>
          <t>19.02.2027</t>
        </is>
      </c>
      <c r="Q114" s="243" t="inlineStr">
        <is>
          <t>09.01.2026</t>
        </is>
      </c>
      <c r="R114" s="243" t="inlineStr">
        <is>
          <t>19.02.2026 – 20.02.2026</t>
        </is>
      </c>
      <c r="S114" s="245">
        <f>IFERROR(INDEX('CoQ Register'!$D:$D,MATCH("P060132|R",'CoQ Register'!$S:$S,0)),"")</f>
        <v/>
      </c>
      <c r="T114" s="243" t="inlineStr">
        <is>
          <t>Conforms</t>
        </is>
      </c>
      <c r="U114" s="243" t="inlineStr">
        <is>
          <t>Conforms</t>
        </is>
      </c>
      <c r="V114" s="243" t="inlineStr">
        <is>
          <t>Conforms</t>
        </is>
      </c>
      <c r="W114" s="243" t="inlineStr">
        <is>
          <t>220-6-K-26, (25.08.2026) [FHM-K]</t>
        </is>
      </c>
      <c r="X114" s="243" t="inlineStr">
        <is>
          <t>220-6-K-26, (25.08.2026) [FHM-K]</t>
        </is>
      </c>
      <c r="Y114" s="243" t="inlineStr">
        <is>
          <t>220-6-M-26, (11.09.2026) [FHM-M]</t>
        </is>
      </c>
      <c r="Z114" s="243" t="inlineStr">
        <is>
          <t>#8, #9, #11, #12 from the initial testing</t>
        </is>
      </c>
      <c r="AA114" s="243" t="inlineStr">
        <is>
          <t>P060132|R</t>
        </is>
      </c>
      <c r="AB114" s="250" t="inlineStr">
        <is>
          <t>registered — retest 1 · Tranche 2 (sampled 12–14.08.2026), tested 12.08.2026, issued 17.08.2026</t>
        </is>
      </c>
    </row>
    <row r="115">
      <c r="A115" s="243" t="n">
        <v>114</v>
      </c>
      <c r="B115" s="244" t="inlineStr">
        <is>
          <t>iCoA-PP_26-114</t>
        </is>
      </c>
      <c r="C115" s="249" t="inlineStr">
        <is>
          <t>yes</t>
        </is>
      </c>
      <c r="D115" s="245" t="n">
        <v>46251</v>
      </c>
      <c r="E115" s="245" t="n">
        <v>46246</v>
      </c>
      <c r="F115" s="245">
        <f>IFERROR(INDEX('Batch Dates'!$G:$G,MATCH(J115,'Batch Dates'!$C:$C,0)),IFERROR(INDEX('Batch Dates'!$G:$G,MATCH(I115,'Batch Dates'!$B:$B,0)),""))</f>
        <v/>
      </c>
      <c r="G115" s="243" t="inlineStr">
        <is>
          <t>legacy</t>
        </is>
      </c>
      <c r="H115" s="243" t="inlineStr">
        <is>
          <t>retest 2</t>
        </is>
      </c>
      <c r="I115" s="244" t="inlineStr">
        <is>
          <t>CJ062501/1</t>
        </is>
      </c>
      <c r="J115" s="243" t="inlineStr">
        <is>
          <t>P050222</t>
        </is>
      </c>
      <c r="K115" s="243" t="inlineStr">
        <is>
          <t>Cap Junky</t>
        </is>
      </c>
      <c r="L115" s="243" t="inlineStr">
        <is>
          <t>Ident A + Ident B + Foreign matter</t>
        </is>
      </c>
      <c r="M115" s="248" t="inlineStr">
        <is>
          <t>—</t>
        </is>
      </c>
      <c r="N115" s="243">
        <f>IFERROR(INDEX('CoQ Register'!$B:$B,MATCH("P050222|R2",'CoQ Register'!$S:$S,0)),"—")</f>
        <v/>
      </c>
      <c r="O115" s="248" t="inlineStr">
        <is>
          <t>—</t>
        </is>
      </c>
      <c r="P115" s="243" t="inlineStr">
        <is>
          <t>24.11.2026</t>
        </is>
      </c>
      <c r="Q115" s="243" t="inlineStr">
        <is>
          <t>23.09.2025</t>
        </is>
      </c>
      <c r="R115" s="243" t="inlineStr">
        <is>
          <t>24.11.2025 – 25.11.2025</t>
        </is>
      </c>
      <c r="S115" s="245">
        <f>IFERROR(INDEX('CoQ Register'!$D:$D,MATCH("P050222|R2",'CoQ Register'!$S:$S,0)),"")</f>
        <v/>
      </c>
      <c r="T115" s="243" t="inlineStr">
        <is>
          <t>Conforms</t>
        </is>
      </c>
      <c r="U115" s="243" t="inlineStr">
        <is>
          <t>Conforms</t>
        </is>
      </c>
      <c r="V115" s="243" t="inlineStr">
        <is>
          <t>Conforms</t>
        </is>
      </c>
      <c r="W115" s="243" t="inlineStr">
        <is>
          <t>220-3-K-26, (25.08.2026) [FHM-K]</t>
        </is>
      </c>
      <c r="X115" s="243" t="inlineStr">
        <is>
          <t>220-3-K-26, (25.08.2026) [FHM-K]</t>
        </is>
      </c>
      <c r="Y115" s="243" t="inlineStr">
        <is>
          <t>220-3-M-26, (11.09.2026) [FHM-M]</t>
        </is>
      </c>
      <c r="Z115" s="243" t="inlineStr">
        <is>
          <t>#8, #9, #11, #12 from the initial testing</t>
        </is>
      </c>
      <c r="AA115" s="243" t="inlineStr">
        <is>
          <t>P050222|R2</t>
        </is>
      </c>
      <c r="AB115" s="250" t="inlineStr">
        <is>
          <t>registered — retest 2 · Tranche 2 (sampled 12–14.08.2026), tested 12.08.2026, issued 17.08.2026</t>
        </is>
      </c>
    </row>
    <row r="116">
      <c r="A116" s="243" t="n">
        <v>115</v>
      </c>
      <c r="B116" s="244" t="inlineStr">
        <is>
          <t>iCoA-PP_26-115</t>
        </is>
      </c>
      <c r="C116" s="249" t="inlineStr">
        <is>
          <t>yes</t>
        </is>
      </c>
      <c r="D116" s="245" t="n">
        <v>46251</v>
      </c>
      <c r="E116" s="245" t="n">
        <v>46246</v>
      </c>
      <c r="F116" s="245">
        <f>IFERROR(INDEX('Batch Dates'!$G:$G,MATCH(J116,'Batch Dates'!$C:$C,0)),IFERROR(INDEX('Batch Dates'!$G:$G,MATCH(I116,'Batch Dates'!$B:$B,0)),""))</f>
        <v/>
      </c>
      <c r="G116" s="243" t="inlineStr">
        <is>
          <t>legacy</t>
        </is>
      </c>
      <c r="H116" s="243" t="inlineStr">
        <is>
          <t>retest 1</t>
        </is>
      </c>
      <c r="I116" s="244" t="inlineStr">
        <is>
          <t>CJ082501/1</t>
        </is>
      </c>
      <c r="J116" s="243" t="inlineStr">
        <is>
          <t>P060022</t>
        </is>
      </c>
      <c r="K116" s="243" t="inlineStr">
        <is>
          <t>Cap Junky</t>
        </is>
      </c>
      <c r="L116" s="243" t="inlineStr">
        <is>
          <t>Ident A + Ident B + Foreign matter</t>
        </is>
      </c>
      <c r="M116" s="248" t="inlineStr">
        <is>
          <t>—</t>
        </is>
      </c>
      <c r="N116" s="243">
        <f>IFERROR(INDEX('CoQ Register'!$B:$B,MATCH("P060022|R",'CoQ Register'!$S:$S,0)),"—")</f>
        <v/>
      </c>
      <c r="O116" s="248" t="inlineStr">
        <is>
          <t>—</t>
        </is>
      </c>
      <c r="P116" s="243" t="inlineStr">
        <is>
          <t>16.01.2027</t>
        </is>
      </c>
      <c r="Q116" s="243" t="inlineStr">
        <is>
          <t>09.12.2025 – 10.12.2025</t>
        </is>
      </c>
      <c r="R116" s="243" t="inlineStr">
        <is>
          <t>16.01.2026</t>
        </is>
      </c>
      <c r="S116" s="245">
        <f>IFERROR(INDEX('CoQ Register'!$D:$D,MATCH("P060022|R",'CoQ Register'!$S:$S,0)),"")</f>
        <v/>
      </c>
      <c r="T116" s="243" t="inlineStr">
        <is>
          <t>Conforms</t>
        </is>
      </c>
      <c r="U116" s="243" t="inlineStr">
        <is>
          <t>Conforms</t>
        </is>
      </c>
      <c r="V116" s="243" t="inlineStr">
        <is>
          <t>Conforms</t>
        </is>
      </c>
      <c r="W116" s="243" t="inlineStr">
        <is>
          <t>220-4-K-26, (25.08.2026) [FHM-K]</t>
        </is>
      </c>
      <c r="X116" s="243" t="inlineStr">
        <is>
          <t>220-4-K-26, (25.08.2026) [FHM-K]</t>
        </is>
      </c>
      <c r="Y116" s="243" t="inlineStr">
        <is>
          <t>220-4-M-26, (11.09.2026) [FHM-M]</t>
        </is>
      </c>
      <c r="Z116" s="243" t="inlineStr">
        <is>
          <t>#8, #9, #11, #12 from the initial testing</t>
        </is>
      </c>
      <c r="AA116" s="243" t="inlineStr">
        <is>
          <t>P060022|R</t>
        </is>
      </c>
      <c r="AB116" s="250" t="inlineStr">
        <is>
          <t>registered — retest 1 · Tranche 2 (sampled 12–14.08.2026), tested 12.08.2026, issued 17.08.2026</t>
        </is>
      </c>
    </row>
    <row r="117">
      <c r="A117" s="243" t="n">
        <v>116</v>
      </c>
      <c r="B117" s="244" t="inlineStr">
        <is>
          <t>iCoA-PP_26-116</t>
        </is>
      </c>
      <c r="C117" s="249" t="inlineStr">
        <is>
          <t>yes</t>
        </is>
      </c>
      <c r="D117" s="245" t="n">
        <v>46251</v>
      </c>
      <c r="E117" s="245" t="n">
        <v>46246</v>
      </c>
      <c r="F117" s="245">
        <f>IFERROR(INDEX('Batch Dates'!$G:$G,MATCH(J117,'Batch Dates'!$C:$C,0)),IFERROR(INDEX('Batch Dates'!$G:$G,MATCH(I117,'Batch Dates'!$B:$B,0)),""))</f>
        <v/>
      </c>
      <c r="G117" s="243" t="inlineStr">
        <is>
          <t>legacy</t>
        </is>
      </c>
      <c r="H117" s="243" t="inlineStr">
        <is>
          <t>retest 1</t>
        </is>
      </c>
      <c r="I117" s="244" t="inlineStr">
        <is>
          <t>CJ092501</t>
        </is>
      </c>
      <c r="J117" s="243" t="inlineStr">
        <is>
          <t>P060072</t>
        </is>
      </c>
      <c r="K117" s="243" t="inlineStr">
        <is>
          <t>Cap Junky</t>
        </is>
      </c>
      <c r="L117" s="243" t="inlineStr">
        <is>
          <t>Ident A + Ident B + Foreign matter</t>
        </is>
      </c>
      <c r="M117" s="248" t="inlineStr">
        <is>
          <t>—</t>
        </is>
      </c>
      <c r="N117" s="243">
        <f>IFERROR(INDEX('CoQ Register'!$B:$B,MATCH("P060072|R",'CoQ Register'!$S:$S,0)),"—")</f>
        <v/>
      </c>
      <c r="O117" s="248" t="inlineStr">
        <is>
          <t>—</t>
        </is>
      </c>
      <c r="P117" s="243" t="inlineStr">
        <is>
          <t>02.02.2027</t>
        </is>
      </c>
      <c r="Q117" s="243" t="inlineStr">
        <is>
          <t>12.12.2025</t>
        </is>
      </c>
      <c r="R117" s="243" t="inlineStr">
        <is>
          <t>02.02.2026</t>
        </is>
      </c>
      <c r="S117" s="245">
        <f>IFERROR(INDEX('CoQ Register'!$D:$D,MATCH("P060072|R",'CoQ Register'!$S:$S,0)),"")</f>
        <v/>
      </c>
      <c r="T117" s="243" t="inlineStr">
        <is>
          <t>Conforms</t>
        </is>
      </c>
      <c r="U117" s="243" t="inlineStr">
        <is>
          <t>Conforms</t>
        </is>
      </c>
      <c r="V117" s="243" t="inlineStr">
        <is>
          <t>Conforms</t>
        </is>
      </c>
      <c r="W117" s="243" t="inlineStr">
        <is>
          <t>220-5-K-26, (25.08.2026) [FHM-K]</t>
        </is>
      </c>
      <c r="X117" s="243" t="inlineStr">
        <is>
          <t>220-5-K-26, (25.08.2026) [FHM-K]</t>
        </is>
      </c>
      <c r="Y117" s="243" t="inlineStr">
        <is>
          <t>220-5-M-26, (11.09.2026) [FHM-M]</t>
        </is>
      </c>
      <c r="Z117" s="243" t="inlineStr">
        <is>
          <t>#8, #9, #11, #12 from the initial testing</t>
        </is>
      </c>
      <c r="AA117" s="243" t="inlineStr">
        <is>
          <t>P060072|R</t>
        </is>
      </c>
      <c r="AB117" s="250" t="inlineStr">
        <is>
          <t>registered — retest 1 · Tranche 2 (sampled 12–14.08.2026), tested 12.08.2026, issued 17.08.2026</t>
        </is>
      </c>
    </row>
    <row r="118">
      <c r="A118" s="243" t="n">
        <v>117</v>
      </c>
      <c r="B118" s="244" t="inlineStr">
        <is>
          <t>iCoA-PP_26-117</t>
        </is>
      </c>
      <c r="C118" s="249" t="inlineStr">
        <is>
          <t>yes</t>
        </is>
      </c>
      <c r="D118" s="245" t="n">
        <v>46251</v>
      </c>
      <c r="E118" s="245" t="n">
        <v>46246</v>
      </c>
      <c r="F118" s="245">
        <f>IFERROR(INDEX('Batch Dates'!$G:$G,MATCH(J118,'Batch Dates'!$C:$C,0)),IFERROR(INDEX('Batch Dates'!$G:$G,MATCH(I118,'Batch Dates'!$B:$B,0)),""))</f>
        <v/>
      </c>
      <c r="G118" s="243" t="inlineStr">
        <is>
          <t>legacy</t>
        </is>
      </c>
      <c r="H118" s="243" t="inlineStr">
        <is>
          <t>retest 1</t>
        </is>
      </c>
      <c r="I118" s="244" t="inlineStr">
        <is>
          <t>CLE072501</t>
        </is>
      </c>
      <c r="J118" s="243" t="inlineStr">
        <is>
          <t>P050282</t>
        </is>
      </c>
      <c r="K118" s="243" t="inlineStr">
        <is>
          <t>Clemosa A Bud</t>
        </is>
      </c>
      <c r="L118" s="243" t="inlineStr">
        <is>
          <t>Ident A + Ident B + Foreign matter</t>
        </is>
      </c>
      <c r="M118" s="248" t="inlineStr">
        <is>
          <t>—</t>
        </is>
      </c>
      <c r="N118" s="243">
        <f>IFERROR(INDEX('CoQ Register'!$B:$B,MATCH("P050282|R",'CoQ Register'!$S:$S,0)),"—")</f>
        <v/>
      </c>
      <c r="O118" s="248" t="inlineStr">
        <is>
          <t>—</t>
        </is>
      </c>
      <c r="P118" s="243" t="inlineStr">
        <is>
          <t>03.12.2026</t>
        </is>
      </c>
      <c r="Q118" s="243" t="inlineStr">
        <is>
          <t>28.10.2025</t>
        </is>
      </c>
      <c r="R118" s="243" t="inlineStr">
        <is>
          <t>03.12.2025 – 04.12.2025</t>
        </is>
      </c>
      <c r="S118" s="245">
        <f>IFERROR(INDEX('CoQ Register'!$D:$D,MATCH("P050282|R",'CoQ Register'!$S:$S,0)),"")</f>
        <v/>
      </c>
      <c r="T118" s="243" t="inlineStr">
        <is>
          <t>Conforms</t>
        </is>
      </c>
      <c r="U118" s="243" t="inlineStr">
        <is>
          <t>Conforms</t>
        </is>
      </c>
      <c r="V118" s="243" t="inlineStr">
        <is>
          <t>Conforms</t>
        </is>
      </c>
      <c r="W118" s="243" t="inlineStr">
        <is>
          <t>220-7-K-26, (25.08.2026) [FHM-K]</t>
        </is>
      </c>
      <c r="X118" s="243" t="inlineStr">
        <is>
          <t>220-7-K-26, (25.08.2026) [FHM-K]</t>
        </is>
      </c>
      <c r="Y118" s="243" t="inlineStr">
        <is>
          <t>220-7-M-26, (11.09.2026) [FHM-M]</t>
        </is>
      </c>
      <c r="Z118" s="243" t="inlineStr">
        <is>
          <t>#8, #9, #11, #12 from the initial testing</t>
        </is>
      </c>
      <c r="AA118" s="243" t="inlineStr">
        <is>
          <t>P050282|R</t>
        </is>
      </c>
      <c r="AB118" s="250" t="inlineStr">
        <is>
          <t>registered — retest 1 · Tranche 2 (sampled 12–14.08.2026), tested 12.08.2026, issued 17.08.2026</t>
        </is>
      </c>
    </row>
    <row r="119">
      <c r="A119" s="243" t="n">
        <v>118</v>
      </c>
      <c r="B119" s="244" t="inlineStr">
        <is>
          <t>iCoA-PP_26-118</t>
        </is>
      </c>
      <c r="C119" s="249" t="inlineStr">
        <is>
          <t>yes</t>
        </is>
      </c>
      <c r="D119" s="245" t="n">
        <v>46251</v>
      </c>
      <c r="E119" s="245" t="n">
        <v>46246</v>
      </c>
      <c r="F119" s="245">
        <f>IFERROR(INDEX('Batch Dates'!$G:$G,MATCH(J119,'Batch Dates'!$C:$C,0)),IFERROR(INDEX('Batch Dates'!$G:$G,MATCH(I119,'Batch Dates'!$B:$B,0)),""))</f>
        <v/>
      </c>
      <c r="G119" s="243" t="inlineStr">
        <is>
          <t>post-SOP</t>
        </is>
      </c>
      <c r="H119" s="243" t="inlineStr">
        <is>
          <t>retest 1</t>
        </is>
      </c>
      <c r="I119" s="244" t="inlineStr">
        <is>
          <t>FB012601_1</t>
        </is>
      </c>
      <c r="J119" s="243" t="inlineStr">
        <is>
          <t>P060322</t>
        </is>
      </c>
      <c r="K119" s="243" t="inlineStr">
        <is>
          <t>Fat Bastard</t>
        </is>
      </c>
      <c r="L119" s="243" t="inlineStr">
        <is>
          <t>Ident A + Ident B + Foreign matter</t>
        </is>
      </c>
      <c r="M119" s="248" t="inlineStr">
        <is>
          <t>—</t>
        </is>
      </c>
      <c r="N119" s="243">
        <f>IFERROR(INDEX('CoQ Register'!$B:$B,MATCH("P060322|R",'CoQ Register'!$S:$S,0)),"—")</f>
        <v/>
      </c>
      <c r="O119" s="248" t="inlineStr">
        <is>
          <t>—</t>
        </is>
      </c>
      <c r="P119" s="243" t="inlineStr">
        <is>
          <t>22.05.2027</t>
        </is>
      </c>
      <c r="Q119" s="243" t="inlineStr">
        <is>
          <t>27.03.2026</t>
        </is>
      </c>
      <c r="R119" s="243" t="inlineStr">
        <is>
          <t>22.05.2026</t>
        </is>
      </c>
      <c r="S119" s="245">
        <f>IFERROR(INDEX('CoQ Register'!$D:$D,MATCH("P060322|R",'CoQ Register'!$S:$S,0)),"")</f>
        <v/>
      </c>
      <c r="T119" s="243" t="inlineStr">
        <is>
          <t>Conforms</t>
        </is>
      </c>
      <c r="U119" s="243" t="inlineStr">
        <is>
          <t>Conforms</t>
        </is>
      </c>
      <c r="V119" s="243" t="inlineStr">
        <is>
          <t>Conforms</t>
        </is>
      </c>
      <c r="W119" s="243" t="inlineStr">
        <is>
          <t>220-8-K-26, (25.08.2026) [FHM-K]</t>
        </is>
      </c>
      <c r="X119" s="243" t="inlineStr">
        <is>
          <t>220-8-K-26, (25.08.2026) [FHM-K]</t>
        </is>
      </c>
      <c r="Y119" s="243" t="inlineStr">
        <is>
          <t>220-8-M-26, (11.09.2026) [FHM-M]</t>
        </is>
      </c>
      <c r="Z119" s="243" t="inlineStr">
        <is>
          <t>#8, #9, #11, #12 from the initial testing</t>
        </is>
      </c>
      <c r="AA119" s="243" t="inlineStr">
        <is>
          <t>P060322|R</t>
        </is>
      </c>
      <c r="AB119" s="250" t="inlineStr">
        <is>
          <t>registered — retest 1 · Tranche 2 (sampled 12–14.08.2026), tested 12.08.2026, issued 17.08.2026</t>
        </is>
      </c>
    </row>
    <row r="120">
      <c r="A120" s="243" t="n">
        <v>119</v>
      </c>
      <c r="B120" s="244" t="inlineStr">
        <is>
          <t>iCoA-PP_26-119</t>
        </is>
      </c>
      <c r="C120" s="249" t="inlineStr">
        <is>
          <t>yes</t>
        </is>
      </c>
      <c r="D120" s="245" t="n">
        <v>46251</v>
      </c>
      <c r="E120" s="245" t="n">
        <v>46246</v>
      </c>
      <c r="F120" s="245">
        <f>IFERROR(INDEX('Batch Dates'!$G:$G,MATCH(J120,'Batch Dates'!$C:$C,0)),IFERROR(INDEX('Batch Dates'!$G:$G,MATCH(I120,'Batch Dates'!$B:$B,0)),""))</f>
        <v/>
      </c>
      <c r="G120" s="243" t="inlineStr">
        <is>
          <t>legacy</t>
        </is>
      </c>
      <c r="H120" s="243" t="inlineStr">
        <is>
          <t>retest 1</t>
        </is>
      </c>
      <c r="I120" s="244" t="inlineStr">
        <is>
          <t>GG1024</t>
        </is>
      </c>
      <c r="J120" s="243" t="inlineStr">
        <is>
          <t>N/A — no P batch assigned</t>
        </is>
      </c>
      <c r="K120" s="243" t="inlineStr">
        <is>
          <t>Gorilla Glue</t>
        </is>
      </c>
      <c r="L120" s="243" t="inlineStr">
        <is>
          <t>Ident A + Ident B + Foreign matter</t>
        </is>
      </c>
      <c r="M120" s="248" t="inlineStr">
        <is>
          <t>—</t>
        </is>
      </c>
      <c r="N120" s="243">
        <f>IFERROR(INDEX('CoQ Register'!$B:$B,MATCH("GG1024|R",'CoQ Register'!$S:$S,0)),"—")</f>
        <v/>
      </c>
      <c r="O120" s="248" t="inlineStr">
        <is>
          <t>—</t>
        </is>
      </c>
      <c r="P120" s="243" t="inlineStr">
        <is>
          <t>11.03.2026</t>
        </is>
      </c>
      <c r="Q120" s="243" t="inlineStr">
        <is>
          <t>20.01.2025</t>
        </is>
      </c>
      <c r="R120" s="243" t="inlineStr">
        <is>
          <t>11.03.2025</t>
        </is>
      </c>
      <c r="S120" s="245">
        <f>IFERROR(INDEX('CoQ Register'!$D:$D,MATCH("GG1024|R",'CoQ Register'!$S:$S,0)),"")</f>
        <v/>
      </c>
      <c r="T120" s="243" t="inlineStr">
        <is>
          <t>Conforms</t>
        </is>
      </c>
      <c r="U120" s="243" t="inlineStr">
        <is>
          <t>Conforms</t>
        </is>
      </c>
      <c r="V120" s="243" t="inlineStr">
        <is>
          <t>Conforms</t>
        </is>
      </c>
      <c r="W120" s="243" t="inlineStr">
        <is>
          <t>220-9-K-26, (25.08.2026) [FHM-K]</t>
        </is>
      </c>
      <c r="X120" s="243" t="inlineStr">
        <is>
          <t>220-9-K-26, (25.08.2026) [FHM-K]</t>
        </is>
      </c>
      <c r="Y120" s="243" t="inlineStr">
        <is>
          <t>220-9-M-26, (11.09.2026) [FHM-M]</t>
        </is>
      </c>
      <c r="Z120" s="243" t="inlineStr">
        <is>
          <t>#8, #9, #11, #12 from the initial testing</t>
        </is>
      </c>
      <c r="AA120" s="243" t="inlineStr">
        <is>
          <t>GG1024|R</t>
        </is>
      </c>
      <c r="AB120" s="250" t="inlineStr">
        <is>
          <t>registered — retest 1 · Tranche 2 (sampled 12–14.08.2026), tested 12.08.2026, issued 17.08.2026</t>
        </is>
      </c>
    </row>
    <row r="121">
      <c r="A121" s="243" t="n">
        <v>120</v>
      </c>
      <c r="B121" s="244" t="inlineStr">
        <is>
          <t>iCoA-PP_26-120</t>
        </is>
      </c>
      <c r="C121" s="249" t="inlineStr">
        <is>
          <t>yes</t>
        </is>
      </c>
      <c r="D121" s="245" t="n">
        <v>46251</v>
      </c>
      <c r="E121" s="245" t="n">
        <v>46246</v>
      </c>
      <c r="F121" s="245">
        <f>IFERROR(INDEX('Batch Dates'!$G:$G,MATCH(J121,'Batch Dates'!$C:$C,0)),IFERROR(INDEX('Batch Dates'!$G:$G,MATCH(I121,'Batch Dates'!$B:$B,0)),""))</f>
        <v/>
      </c>
      <c r="G121" s="243" t="inlineStr">
        <is>
          <t>legacy</t>
        </is>
      </c>
      <c r="H121" s="243" t="inlineStr">
        <is>
          <t>retest 1</t>
        </is>
      </c>
      <c r="I121" s="244" t="inlineStr">
        <is>
          <t>GP072501/2</t>
        </is>
      </c>
      <c r="J121" s="243" t="inlineStr">
        <is>
          <t>P050302</t>
        </is>
      </c>
      <c r="K121" s="243" t="inlineStr">
        <is>
          <t>Grape Pie</t>
        </is>
      </c>
      <c r="L121" s="243" t="inlineStr">
        <is>
          <t>Ident A + Ident B + Foreign matter</t>
        </is>
      </c>
      <c r="M121" s="248" t="inlineStr">
        <is>
          <t>—</t>
        </is>
      </c>
      <c r="N121" s="243">
        <f>IFERROR(INDEX('CoQ Register'!$B:$B,MATCH("P050302|R",'CoQ Register'!$S:$S,0)),"—")</f>
        <v/>
      </c>
      <c r="O121" s="248" t="inlineStr">
        <is>
          <t>—</t>
        </is>
      </c>
      <c r="P121" s="243" t="inlineStr">
        <is>
          <t>22.12.2026</t>
        </is>
      </c>
      <c r="Q121" s="243" t="inlineStr">
        <is>
          <t>13.11.2025</t>
        </is>
      </c>
      <c r="R121" s="243" t="inlineStr">
        <is>
          <t>22.12.2025</t>
        </is>
      </c>
      <c r="S121" s="245">
        <f>IFERROR(INDEX('CoQ Register'!$D:$D,MATCH("P050302|R",'CoQ Register'!$S:$S,0)),"")</f>
        <v/>
      </c>
      <c r="T121" s="243" t="inlineStr">
        <is>
          <t>Conforms</t>
        </is>
      </c>
      <c r="U121" s="243" t="inlineStr">
        <is>
          <t>Conforms</t>
        </is>
      </c>
      <c r="V121" s="243" t="inlineStr">
        <is>
          <t>Conforms</t>
        </is>
      </c>
      <c r="W121" s="243" t="inlineStr">
        <is>
          <t>220-10-K-26, (25.08.2026) [FHM-K]</t>
        </is>
      </c>
      <c r="X121" s="243" t="inlineStr">
        <is>
          <t>220-10-K-26, (25.08.2026) [FHM-K]</t>
        </is>
      </c>
      <c r="Y121" s="243" t="inlineStr">
        <is>
          <t>220-10-M-26, (11.09.2026) [FHM-M]</t>
        </is>
      </c>
      <c r="Z121" s="243" t="inlineStr">
        <is>
          <t>#8, #9, #11, #12 from the initial testing</t>
        </is>
      </c>
      <c r="AA121" s="243" t="inlineStr">
        <is>
          <t>P050302|R</t>
        </is>
      </c>
      <c r="AB121" s="250" t="inlineStr">
        <is>
          <t>registered — retest 1 · Tranche 2 (sampled 12–14.08.2026), tested 12.08.2026, issued 17.08.2026</t>
        </is>
      </c>
    </row>
    <row r="122">
      <c r="A122" s="243" t="n">
        <v>121</v>
      </c>
      <c r="B122" s="244" t="inlineStr">
        <is>
          <t>iCoA-PP_26-121</t>
        </is>
      </c>
      <c r="C122" s="249" t="inlineStr">
        <is>
          <t>yes</t>
        </is>
      </c>
      <c r="D122" s="245" t="n">
        <v>46251</v>
      </c>
      <c r="E122" s="245" t="n">
        <v>46246</v>
      </c>
      <c r="F122" s="245">
        <f>IFERROR(INDEX('Batch Dates'!$G:$G,MATCH(J122,'Batch Dates'!$C:$C,0)),IFERROR(INDEX('Batch Dates'!$G:$G,MATCH(I122,'Batch Dates'!$B:$B,0)),""))</f>
        <v/>
      </c>
      <c r="G122" s="243" t="inlineStr">
        <is>
          <t>legacy</t>
        </is>
      </c>
      <c r="H122" s="243" t="inlineStr">
        <is>
          <t>retest 4</t>
        </is>
      </c>
      <c r="I122" s="244" t="inlineStr">
        <is>
          <t>GP0824_03</t>
        </is>
      </c>
      <c r="J122" s="243" t="inlineStr">
        <is>
          <t>P050072</t>
        </is>
      </c>
      <c r="K122" s="243" t="inlineStr">
        <is>
          <t>Grape Pie</t>
        </is>
      </c>
      <c r="L122" s="243" t="inlineStr">
        <is>
          <t>Ident A + Ident B + Foreign matter</t>
        </is>
      </c>
      <c r="M122" s="248" t="inlineStr">
        <is>
          <t>—</t>
        </is>
      </c>
      <c r="N122" s="243">
        <f>IFERROR(INDEX('CoQ Register'!$B:$B,MATCH("P050072|R4",'CoQ Register'!$S:$S,0)),"—")</f>
        <v/>
      </c>
      <c r="O122" s="248" t="inlineStr">
        <is>
          <t>—</t>
        </is>
      </c>
      <c r="P122" s="243" t="inlineStr">
        <is>
          <t>14.07.2026</t>
        </is>
      </c>
      <c r="Q122" s="243" t="inlineStr">
        <is>
          <t>09.06.2025 – 10.06.2025</t>
        </is>
      </c>
      <c r="R122" s="243" t="inlineStr">
        <is>
          <t>14.07.2025 – 17.07.2025</t>
        </is>
      </c>
      <c r="S122" s="245">
        <f>IFERROR(INDEX('CoQ Register'!$D:$D,MATCH("P050072|R4",'CoQ Register'!$S:$S,0)),"")</f>
        <v/>
      </c>
      <c r="T122" s="243" t="inlineStr">
        <is>
          <t>Conforms</t>
        </is>
      </c>
      <c r="U122" s="243" t="inlineStr">
        <is>
          <t>Conforms</t>
        </is>
      </c>
      <c r="V122" s="243" t="inlineStr">
        <is>
          <t>Conforms</t>
        </is>
      </c>
      <c r="W122" s="243" t="inlineStr">
        <is>
          <t>220-11-K-26, (25.08.2026) [FHM-K]</t>
        </is>
      </c>
      <c r="X122" s="243" t="inlineStr">
        <is>
          <t>220-11-K-26, (25.08.2026) [FHM-K]</t>
        </is>
      </c>
      <c r="Y122" s="243" t="inlineStr">
        <is>
          <t>220-11-M-26, (11.09.2026) [FHM-M]</t>
        </is>
      </c>
      <c r="Z122" s="243" t="inlineStr">
        <is>
          <t>#8, #9, #11, #12 from the initial testing</t>
        </is>
      </c>
      <c r="AA122" s="243" t="inlineStr">
        <is>
          <t>P050072|R4</t>
        </is>
      </c>
      <c r="AB122" s="250" t="inlineStr">
        <is>
          <t>registered — retest 4 · Tranche 2 (sampled 12–14.08.2026), tested 12.08.2026, issued 17.08.2026</t>
        </is>
      </c>
    </row>
    <row r="123">
      <c r="A123" s="243" t="n">
        <v>122</v>
      </c>
      <c r="B123" s="244" t="inlineStr">
        <is>
          <t>iCoA-PP_26-122</t>
        </is>
      </c>
      <c r="C123" s="249" t="inlineStr">
        <is>
          <t>yes</t>
        </is>
      </c>
      <c r="D123" s="245" t="n">
        <v>46251</v>
      </c>
      <c r="E123" s="245" t="n">
        <v>46247</v>
      </c>
      <c r="F123" s="245">
        <f>IFERROR(INDEX('Batch Dates'!$G:$G,MATCH(J123,'Batch Dates'!$C:$C,0)),IFERROR(INDEX('Batch Dates'!$G:$G,MATCH(I123,'Batch Dates'!$B:$B,0)),""))</f>
        <v/>
      </c>
      <c r="G123" s="243" t="inlineStr">
        <is>
          <t>legacy</t>
        </is>
      </c>
      <c r="H123" s="243" t="inlineStr">
        <is>
          <t>retest 1</t>
        </is>
      </c>
      <c r="I123" s="244" t="inlineStr">
        <is>
          <t>GP082501/1</t>
        </is>
      </c>
      <c r="J123" s="243" t="inlineStr">
        <is>
          <t>P050312</t>
        </is>
      </c>
      <c r="K123" s="243" t="inlineStr">
        <is>
          <t>Grape Pie</t>
        </is>
      </c>
      <c r="L123" s="243" t="inlineStr">
        <is>
          <t>Ident A + Ident B + Foreign matter</t>
        </is>
      </c>
      <c r="M123" s="248" t="inlineStr">
        <is>
          <t>—</t>
        </is>
      </c>
      <c r="N123" s="243">
        <f>IFERROR(INDEX('CoQ Register'!$B:$B,MATCH("P050312|R",'CoQ Register'!$S:$S,0)),"—")</f>
        <v/>
      </c>
      <c r="O123" s="248" t="inlineStr">
        <is>
          <t>—</t>
        </is>
      </c>
      <c r="P123" s="243" t="inlineStr">
        <is>
          <t>23.12.2026</t>
        </is>
      </c>
      <c r="Q123" s="243" t="inlineStr">
        <is>
          <t>19.11.2025 – 20.11.2025</t>
        </is>
      </c>
      <c r="R123" s="243" t="inlineStr">
        <is>
          <t>23.12.2025 – 26.12.2025</t>
        </is>
      </c>
      <c r="S123" s="245">
        <f>IFERROR(INDEX('CoQ Register'!$D:$D,MATCH("P050312|R",'CoQ Register'!$S:$S,0)),"")</f>
        <v/>
      </c>
      <c r="T123" s="243" t="inlineStr">
        <is>
          <t>Conforms</t>
        </is>
      </c>
      <c r="U123" s="243" t="inlineStr">
        <is>
          <t>Conforms</t>
        </is>
      </c>
      <c r="V123" s="243" t="inlineStr">
        <is>
          <t>Conforms</t>
        </is>
      </c>
      <c r="W123" s="243" t="inlineStr">
        <is>
          <t>220-12-K-26, (25.08.2026) [FHM-K]</t>
        </is>
      </c>
      <c r="X123" s="243" t="inlineStr">
        <is>
          <t>220-12-K-26, (25.08.2026) [FHM-K]</t>
        </is>
      </c>
      <c r="Y123" s="243" t="inlineStr">
        <is>
          <t>220-12-M-26, (11.09.2026) [FHM-M]</t>
        </is>
      </c>
      <c r="Z123" s="243" t="inlineStr">
        <is>
          <t>#8, #9, #11, #12 from the initial testing</t>
        </is>
      </c>
      <c r="AA123" s="243" t="inlineStr">
        <is>
          <t>P050312|R</t>
        </is>
      </c>
      <c r="AB123" s="250" t="inlineStr">
        <is>
          <t>registered — retest 1 · Tranche 2 (sampled 12–14.08.2026), tested 13.08.2026, issued 17.08.2026</t>
        </is>
      </c>
    </row>
    <row r="124">
      <c r="A124" s="243" t="n">
        <v>123</v>
      </c>
      <c r="B124" s="244" t="inlineStr">
        <is>
          <t>iCoA-PP_26-123</t>
        </is>
      </c>
      <c r="C124" s="249" t="inlineStr">
        <is>
          <t>yes</t>
        </is>
      </c>
      <c r="D124" s="245" t="n">
        <v>46251</v>
      </c>
      <c r="E124" s="245" t="n">
        <v>46247</v>
      </c>
      <c r="F124" s="245">
        <f>IFERROR(INDEX('Batch Dates'!$G:$G,MATCH(J124,'Batch Dates'!$C:$C,0)),IFERROR(INDEX('Batch Dates'!$G:$G,MATCH(I124,'Batch Dates'!$B:$B,0)),""))</f>
        <v/>
      </c>
      <c r="G124" s="243" t="inlineStr">
        <is>
          <t>legacy</t>
        </is>
      </c>
      <c r="H124" s="243" t="inlineStr">
        <is>
          <t>retest 1</t>
        </is>
      </c>
      <c r="I124" s="244" t="inlineStr">
        <is>
          <t>GP092501</t>
        </is>
      </c>
      <c r="J124" s="243" t="inlineStr">
        <is>
          <t>P060092</t>
        </is>
      </c>
      <c r="K124" s="243" t="inlineStr">
        <is>
          <t>Grape Pie</t>
        </is>
      </c>
      <c r="L124" s="243" t="inlineStr">
        <is>
          <t>Ident A + Ident B + Foreign matter</t>
        </is>
      </c>
      <c r="M124" s="248" t="inlineStr">
        <is>
          <t>—</t>
        </is>
      </c>
      <c r="N124" s="243">
        <f>IFERROR(INDEX('CoQ Register'!$B:$B,MATCH("P060092|R",'CoQ Register'!$S:$S,0)),"—")</f>
        <v/>
      </c>
      <c r="O124" s="248" t="inlineStr">
        <is>
          <t>—</t>
        </is>
      </c>
      <c r="P124" s="243" t="inlineStr">
        <is>
          <t>03.02.2027</t>
        </is>
      </c>
      <c r="Q124" s="243" t="inlineStr">
        <is>
          <t>16.12.2025 – 17.12.2025</t>
        </is>
      </c>
      <c r="R124" s="243" t="inlineStr">
        <is>
          <t>03.02.2026 – 09.02.2026</t>
        </is>
      </c>
      <c r="S124" s="245">
        <f>IFERROR(INDEX('CoQ Register'!$D:$D,MATCH("P060092|R",'CoQ Register'!$S:$S,0)),"")</f>
        <v/>
      </c>
      <c r="T124" s="243" t="inlineStr">
        <is>
          <t>Conforms</t>
        </is>
      </c>
      <c r="U124" s="243" t="inlineStr">
        <is>
          <t>Conforms</t>
        </is>
      </c>
      <c r="V124" s="243" t="inlineStr">
        <is>
          <t>Conforms</t>
        </is>
      </c>
      <c r="W124" s="243" t="inlineStr">
        <is>
          <t>220-13-K-26, (25.08.2026) [FHM-K]</t>
        </is>
      </c>
      <c r="X124" s="243" t="inlineStr">
        <is>
          <t>220-13-K-26, (25.08.2026) [FHM-K]</t>
        </is>
      </c>
      <c r="Y124" s="243" t="inlineStr">
        <is>
          <t>220-13-M-26, (11.09.2026) [FHM-M]</t>
        </is>
      </c>
      <c r="Z124" s="243" t="inlineStr">
        <is>
          <t>#8, #9, #11, #12 from the initial testing</t>
        </is>
      </c>
      <c r="AA124" s="243" t="inlineStr">
        <is>
          <t>P060092|R</t>
        </is>
      </c>
      <c r="AB124" s="250" t="inlineStr">
        <is>
          <t>registered — retest 1 · Tranche 2 (sampled 12–14.08.2026), tested 13.08.2026, issued 17.08.2026</t>
        </is>
      </c>
    </row>
    <row r="125">
      <c r="A125" s="243" t="n">
        <v>124</v>
      </c>
      <c r="B125" s="244" t="inlineStr">
        <is>
          <t>iCoA-PP_26-124</t>
        </is>
      </c>
      <c r="C125" s="249" t="inlineStr">
        <is>
          <t>yes</t>
        </is>
      </c>
      <c r="D125" s="245" t="n">
        <v>46251</v>
      </c>
      <c r="E125" s="245" t="n">
        <v>46247</v>
      </c>
      <c r="F125" s="245">
        <f>IFERROR(INDEX('Batch Dates'!$G:$G,MATCH(J125,'Batch Dates'!$C:$C,0)),IFERROR(INDEX('Batch Dates'!$G:$G,MATCH(I125,'Batch Dates'!$B:$B,0)),""))</f>
        <v/>
      </c>
      <c r="G125" s="243" t="inlineStr">
        <is>
          <t>legacy</t>
        </is>
      </c>
      <c r="H125" s="243" t="inlineStr">
        <is>
          <t>retest 2</t>
        </is>
      </c>
      <c r="I125" s="244" t="inlineStr">
        <is>
          <t>GRC102501</t>
        </is>
      </c>
      <c r="J125" s="243" t="inlineStr">
        <is>
          <t>P060182</t>
        </is>
      </c>
      <c r="K125" s="243" t="inlineStr">
        <is>
          <t>Grapes And Cream</t>
        </is>
      </c>
      <c r="L125" s="243" t="inlineStr">
        <is>
          <t>Ident A + Ident B + Foreign matter</t>
        </is>
      </c>
      <c r="M125" s="248" t="inlineStr">
        <is>
          <t>—</t>
        </is>
      </c>
      <c r="N125" s="243">
        <f>IFERROR(INDEX('CoQ Register'!$B:$B,MATCH("P060182|R2",'CoQ Register'!$S:$S,0)),"—")</f>
        <v/>
      </c>
      <c r="O125" s="248" t="inlineStr">
        <is>
          <t>—</t>
        </is>
      </c>
      <c r="P125" s="243" t="inlineStr">
        <is>
          <t>14.03.2027</t>
        </is>
      </c>
      <c r="Q125" s="243" t="inlineStr">
        <is>
          <t>20.01.2026</t>
        </is>
      </c>
      <c r="R125" s="243" t="inlineStr">
        <is>
          <t>14.03.2026</t>
        </is>
      </c>
      <c r="S125" s="245">
        <f>IFERROR(INDEX('CoQ Register'!$D:$D,MATCH("P060182|R2",'CoQ Register'!$S:$S,0)),"")</f>
        <v/>
      </c>
      <c r="T125" s="243" t="inlineStr">
        <is>
          <t>Conforms</t>
        </is>
      </c>
      <c r="U125" s="243" t="inlineStr">
        <is>
          <t>Conforms</t>
        </is>
      </c>
      <c r="V125" s="243" t="inlineStr">
        <is>
          <t>Conforms</t>
        </is>
      </c>
      <c r="W125" s="243" t="inlineStr">
        <is>
          <t>220-14-K-26, (25.08.2026) [FHM-K]</t>
        </is>
      </c>
      <c r="X125" s="243" t="inlineStr">
        <is>
          <t>220-14-K-26, (25.08.2026) [FHM-K]</t>
        </is>
      </c>
      <c r="Y125" s="243" t="inlineStr">
        <is>
          <t>220-14-M-26, (11.09.2026) [FHM-M]</t>
        </is>
      </c>
      <c r="Z125" s="243" t="inlineStr">
        <is>
          <t>#8, #9, #11, #12 from the initial testing</t>
        </is>
      </c>
      <c r="AA125" s="243" t="inlineStr">
        <is>
          <t>P060182|R2</t>
        </is>
      </c>
      <c r="AB125" s="250" t="inlineStr">
        <is>
          <t>registered — retest 2 · Tranche 2 (sampled 12–14.08.2026), tested 13.08.2026, issued 17.08.2026</t>
        </is>
      </c>
    </row>
    <row r="126">
      <c r="A126" s="243" t="n">
        <v>125</v>
      </c>
      <c r="B126" s="244" t="inlineStr">
        <is>
          <t>iCoA-PP_26-125</t>
        </is>
      </c>
      <c r="C126" s="249" t="inlineStr">
        <is>
          <t>yes</t>
        </is>
      </c>
      <c r="D126" s="245" t="n">
        <v>46251</v>
      </c>
      <c r="E126" s="245" t="n">
        <v>46247</v>
      </c>
      <c r="F126" s="245">
        <f>IFERROR(INDEX('Batch Dates'!$G:$G,MATCH(J126,'Batch Dates'!$C:$C,0)),IFERROR(INDEX('Batch Dates'!$G:$G,MATCH(I126,'Batch Dates'!$B:$B,0)),""))</f>
        <v/>
      </c>
      <c r="G126" s="243" t="inlineStr">
        <is>
          <t>legacy</t>
        </is>
      </c>
      <c r="H126" s="243" t="inlineStr">
        <is>
          <t>retest 1</t>
        </is>
      </c>
      <c r="I126" s="244" t="inlineStr">
        <is>
          <t>HPA052501</t>
        </is>
      </c>
      <c r="J126" s="243" t="inlineStr">
        <is>
          <t>P050182</t>
        </is>
      </c>
      <c r="K126" s="243" t="inlineStr">
        <is>
          <t>High Pro Amnesia</t>
        </is>
      </c>
      <c r="L126" s="243" t="inlineStr">
        <is>
          <t>Ident A + Ident B + Foreign matter</t>
        </is>
      </c>
      <c r="M126" s="248" t="inlineStr">
        <is>
          <t>—</t>
        </is>
      </c>
      <c r="N126" s="243">
        <f>IFERROR(INDEX('CoQ Register'!$B:$B,MATCH("P050182|R",'CoQ Register'!$S:$S,0)),"—")</f>
        <v/>
      </c>
      <c r="O126" s="248" t="inlineStr">
        <is>
          <t>—</t>
        </is>
      </c>
      <c r="P126" s="243" t="inlineStr">
        <is>
          <t>03.10.2026</t>
        </is>
      </c>
      <c r="Q126" s="243" t="inlineStr">
        <is>
          <t>21.08.2025 – 23.08.2025</t>
        </is>
      </c>
      <c r="R126" s="243" t="inlineStr">
        <is>
          <t>03.10.2025 – 09.10.2025</t>
        </is>
      </c>
      <c r="S126" s="245">
        <f>IFERROR(INDEX('CoQ Register'!$D:$D,MATCH("P050182|R",'CoQ Register'!$S:$S,0)),"")</f>
        <v/>
      </c>
      <c r="T126" s="243" t="inlineStr">
        <is>
          <t>Conforms</t>
        </is>
      </c>
      <c r="U126" s="243" t="inlineStr">
        <is>
          <t>Conforms</t>
        </is>
      </c>
      <c r="V126" s="243" t="inlineStr">
        <is>
          <t>Conforms</t>
        </is>
      </c>
      <c r="W126" s="243" t="inlineStr">
        <is>
          <t>220-15-K-26, (25.08.2026) [FHM-K]</t>
        </is>
      </c>
      <c r="X126" s="243" t="inlineStr">
        <is>
          <t>220-15-K-26, (25.08.2026) [FHM-K]</t>
        </is>
      </c>
      <c r="Y126" s="243" t="inlineStr">
        <is>
          <t>220-15-M-26, (11.09.2026) [FHM-M]</t>
        </is>
      </c>
      <c r="Z126" s="243" t="inlineStr">
        <is>
          <t>#8, #9, #11, #12 from the initial testing</t>
        </is>
      </c>
      <c r="AA126" s="243" t="inlineStr">
        <is>
          <t>P050182|R</t>
        </is>
      </c>
      <c r="AB126" s="250" t="inlineStr">
        <is>
          <t>registered — retest 1 · Tranche 2 (sampled 12–14.08.2026), tested 13.08.2026, issued 17.08.2026</t>
        </is>
      </c>
    </row>
    <row r="127">
      <c r="A127" s="243" t="n">
        <v>126</v>
      </c>
      <c r="B127" s="244" t="inlineStr">
        <is>
          <t>iCoA-PP_26-126</t>
        </is>
      </c>
      <c r="C127" s="249" t="inlineStr">
        <is>
          <t>yes</t>
        </is>
      </c>
      <c r="D127" s="245" t="n">
        <v>46251</v>
      </c>
      <c r="E127" s="245" t="n">
        <v>46247</v>
      </c>
      <c r="F127" s="245">
        <f>IFERROR(INDEX('Batch Dates'!$G:$G,MATCH(J127,'Batch Dates'!$C:$C,0)),IFERROR(INDEX('Batch Dates'!$G:$G,MATCH(I127,'Batch Dates'!$B:$B,0)),""))</f>
        <v/>
      </c>
      <c r="G127" s="243" t="inlineStr">
        <is>
          <t>post-SOP</t>
        </is>
      </c>
      <c r="H127" s="243" t="inlineStr">
        <is>
          <t>retest 1</t>
        </is>
      </c>
      <c r="I127" s="244" t="inlineStr">
        <is>
          <t>JD012603</t>
        </is>
      </c>
      <c r="J127" s="243" t="inlineStr">
        <is>
          <t>P060412</t>
        </is>
      </c>
      <c r="K127" s="243" t="inlineStr">
        <is>
          <t>Jelly Donuts</t>
        </is>
      </c>
      <c r="L127" s="243" t="inlineStr">
        <is>
          <t>Ident A + Ident B + Foreign matter</t>
        </is>
      </c>
      <c r="M127" s="248" t="inlineStr">
        <is>
          <t>—</t>
        </is>
      </c>
      <c r="N127" s="243">
        <f>IFERROR(INDEX('CoQ Register'!$B:$B,MATCH("P060412|R",'CoQ Register'!$S:$S,0)),"—")</f>
        <v/>
      </c>
      <c r="O127" s="248" t="inlineStr">
        <is>
          <t>—</t>
        </is>
      </c>
      <c r="P127" s="243" t="inlineStr">
        <is>
          <t>24.05.2027</t>
        </is>
      </c>
      <c r="Q127" s="243" t="inlineStr">
        <is>
          <t>04.05.2026</t>
        </is>
      </c>
      <c r="R127" s="243" t="inlineStr">
        <is>
          <t>24.05.2026</t>
        </is>
      </c>
      <c r="S127" s="245">
        <f>IFERROR(INDEX('CoQ Register'!$D:$D,MATCH("P060412|R",'CoQ Register'!$S:$S,0)),"")</f>
        <v/>
      </c>
      <c r="T127" s="243" t="inlineStr">
        <is>
          <t>CNP ППК26111</t>
        </is>
      </c>
      <c r="U127" s="243" t="inlineStr">
        <is>
          <t>CNP ППК26111</t>
        </is>
      </c>
      <c r="V127" s="243" t="inlineStr">
        <is>
          <t>Conforms</t>
        </is>
      </c>
      <c r="W127" s="243" t="inlineStr">
        <is>
          <t>220-17-K-26, (26.08.2026) [FHM-K]</t>
        </is>
      </c>
      <c r="X127" s="243" t="inlineStr">
        <is>
          <t>220-17-K-26, (26.08.2026) [FHM-K]</t>
        </is>
      </c>
      <c r="Y127" s="243" t="inlineStr">
        <is>
          <t>220-17-M-26, (11.09.2026) [FHM-M]</t>
        </is>
      </c>
      <c r="Z127" s="243" t="inlineStr">
        <is>
          <t>#8, #9, #11, #12 from the initial testing</t>
        </is>
      </c>
      <c r="AA127" s="243" t="inlineStr">
        <is>
          <t>P060412|R</t>
        </is>
      </c>
      <c r="AB127" s="250" t="inlineStr">
        <is>
          <t>registered — retest 1 · Tranche 2 (sampled 12–14.08.2026), tested 13.08.2026, issued 17.08.2026</t>
        </is>
      </c>
    </row>
    <row r="128">
      <c r="A128" s="243" t="n">
        <v>127</v>
      </c>
      <c r="B128" s="244" t="inlineStr">
        <is>
          <t>iCoA-PP_26-127</t>
        </is>
      </c>
      <c r="C128" s="249" t="inlineStr">
        <is>
          <t>yes</t>
        </is>
      </c>
      <c r="D128" s="245" t="n">
        <v>46251</v>
      </c>
      <c r="E128" s="245" t="n">
        <v>46247</v>
      </c>
      <c r="F128" s="245">
        <f>IFERROR(INDEX('Batch Dates'!$G:$G,MATCH(J128,'Batch Dates'!$C:$C,0)),IFERROR(INDEX('Batch Dates'!$G:$G,MATCH(I128,'Batch Dates'!$B:$B,0)),""))</f>
        <v/>
      </c>
      <c r="G128" s="243" t="inlineStr">
        <is>
          <t>post-SOP</t>
        </is>
      </c>
      <c r="H128" s="243" t="inlineStr">
        <is>
          <t>retest 1</t>
        </is>
      </c>
      <c r="I128" s="244" t="inlineStr">
        <is>
          <t>JD012603</t>
        </is>
      </c>
      <c r="J128" s="243" t="inlineStr">
        <is>
          <t>P060422</t>
        </is>
      </c>
      <c r="K128" s="243" t="inlineStr">
        <is>
          <t>Jelly Donuts</t>
        </is>
      </c>
      <c r="L128" s="243" t="inlineStr">
        <is>
          <t>Ident A + Ident B + Foreign matter</t>
        </is>
      </c>
      <c r="M128" s="248" t="inlineStr">
        <is>
          <t>—</t>
        </is>
      </c>
      <c r="N128" s="243">
        <f>IFERROR(INDEX('CoQ Register'!$B:$B,MATCH("P060422|R",'CoQ Register'!$S:$S,0)),"—")</f>
        <v/>
      </c>
      <c r="O128" s="248" t="inlineStr">
        <is>
          <t>—</t>
        </is>
      </c>
      <c r="P128" s="243" t="inlineStr">
        <is>
          <t>23.05.2027</t>
        </is>
      </c>
      <c r="Q128" s="243" t="inlineStr">
        <is>
          <t>29.04.2026</t>
        </is>
      </c>
      <c r="R128" s="243" t="inlineStr">
        <is>
          <t>23.05.2026</t>
        </is>
      </c>
      <c r="S128" s="245">
        <f>IFERROR(INDEX('CoQ Register'!$D:$D,MATCH("P060422|R",'CoQ Register'!$S:$S,0)),"")</f>
        <v/>
      </c>
      <c r="T128" s="243" t="inlineStr">
        <is>
          <t>CNP ППК26111</t>
        </is>
      </c>
      <c r="U128" s="243" t="inlineStr">
        <is>
          <t>CNP ППК26111</t>
        </is>
      </c>
      <c r="V128" s="243" t="inlineStr">
        <is>
          <t>Conforms</t>
        </is>
      </c>
      <c r="W128" s="243" t="inlineStr">
        <is>
          <t>220-18-K-26, (26.08.2026) [FHM-K]</t>
        </is>
      </c>
      <c r="X128" s="243" t="inlineStr">
        <is>
          <t>220-18-K-26, (26.08.2026) [FHM-K]</t>
        </is>
      </c>
      <c r="Y128" s="243" t="inlineStr">
        <is>
          <t>220-18-M-26, (11.09.2026) [FHM-M]</t>
        </is>
      </c>
      <c r="Z128" s="243" t="inlineStr">
        <is>
          <t>#8, #9, #11, #12 from the initial testing</t>
        </is>
      </c>
      <c r="AA128" s="243" t="inlineStr">
        <is>
          <t>P060422|R</t>
        </is>
      </c>
      <c r="AB128" s="250" t="inlineStr">
        <is>
          <t>registered — retest 1 · Tranche 2 (sampled 12–14.08.2026), tested 13.08.2026, issued 17.08.2026</t>
        </is>
      </c>
    </row>
    <row r="129">
      <c r="A129" s="243" t="n">
        <v>128</v>
      </c>
      <c r="B129" s="244" t="inlineStr">
        <is>
          <t>iCoA-PP_26-128</t>
        </is>
      </c>
      <c r="C129" s="249" t="inlineStr">
        <is>
          <t>yes</t>
        </is>
      </c>
      <c r="D129" s="245" t="n">
        <v>46251</v>
      </c>
      <c r="E129" s="245" t="n">
        <v>46247</v>
      </c>
      <c r="F129" s="245">
        <f>IFERROR(INDEX('Batch Dates'!$G:$G,MATCH(J129,'Batch Dates'!$C:$C,0)),IFERROR(INDEX('Batch Dates'!$G:$G,MATCH(I129,'Batch Dates'!$B:$B,0)),""))</f>
        <v/>
      </c>
      <c r="G129" s="243" t="inlineStr">
        <is>
          <t>post-SOP</t>
        </is>
      </c>
      <c r="H129" s="243" t="inlineStr">
        <is>
          <t>retest 1</t>
        </is>
      </c>
      <c r="I129" s="244" t="inlineStr">
        <is>
          <t>JD012603</t>
        </is>
      </c>
      <c r="J129" s="243" t="inlineStr">
        <is>
          <t>P060362</t>
        </is>
      </c>
      <c r="K129" s="243" t="inlineStr">
        <is>
          <t>Jelly Donuts</t>
        </is>
      </c>
      <c r="L129" s="243" t="inlineStr">
        <is>
          <t>Ident A + Ident B + Foreign matter</t>
        </is>
      </c>
      <c r="M129" s="248" t="inlineStr">
        <is>
          <t>—</t>
        </is>
      </c>
      <c r="N129" s="243">
        <f>IFERROR(INDEX('CoQ Register'!$B:$B,MATCH("P060362|R",'CoQ Register'!$S:$S,0)),"—")</f>
        <v/>
      </c>
      <c r="O129" s="248" t="inlineStr">
        <is>
          <t>—</t>
        </is>
      </c>
      <c r="P129" s="243" t="inlineStr">
        <is>
          <t>23.05.2027</t>
        </is>
      </c>
      <c r="Q129" s="243" t="inlineStr">
        <is>
          <t>22.04.2026</t>
        </is>
      </c>
      <c r="R129" s="243" t="inlineStr">
        <is>
          <t>23.05.2026</t>
        </is>
      </c>
      <c r="S129" s="245">
        <f>IFERROR(INDEX('CoQ Register'!$D:$D,MATCH("P060362|R",'CoQ Register'!$S:$S,0)),"")</f>
        <v/>
      </c>
      <c r="T129" s="243" t="inlineStr">
        <is>
          <t>CNP ППК26111</t>
        </is>
      </c>
      <c r="U129" s="243" t="inlineStr">
        <is>
          <t>CNP ППК26111</t>
        </is>
      </c>
      <c r="V129" s="243" t="inlineStr">
        <is>
          <t>Conforms</t>
        </is>
      </c>
      <c r="W129" s="243" t="inlineStr">
        <is>
          <t>220-16-K-26, (25.08.2026) [FHM-K]</t>
        </is>
      </c>
      <c r="X129" s="243" t="inlineStr">
        <is>
          <t>220-16-K-26, (25.08.2026) [FHM-K]</t>
        </is>
      </c>
      <c r="Y129" s="243" t="inlineStr">
        <is>
          <t>220-16-M-26, (11.09.2026) [FHM-M]</t>
        </is>
      </c>
      <c r="Z129" s="243" t="inlineStr">
        <is>
          <t>#8, #9, #11, #12 from the initial testing</t>
        </is>
      </c>
      <c r="AA129" s="243" t="inlineStr">
        <is>
          <t>P060362|R</t>
        </is>
      </c>
      <c r="AB129" s="250" t="inlineStr">
        <is>
          <t>registered — retest 1 · Tranche 2 (sampled 12–14.08.2026), tested 13.08.2026, issued 17.08.2026</t>
        </is>
      </c>
    </row>
    <row r="130">
      <c r="A130" s="243" t="n">
        <v>129</v>
      </c>
      <c r="B130" s="244" t="inlineStr">
        <is>
          <t>iCoA-PP_26-129</t>
        </is>
      </c>
      <c r="C130" s="249" t="inlineStr">
        <is>
          <t>yes</t>
        </is>
      </c>
      <c r="D130" s="245" t="n">
        <v>46251</v>
      </c>
      <c r="E130" s="245" t="n">
        <v>46247</v>
      </c>
      <c r="F130" s="245">
        <f>IFERROR(INDEX('Batch Dates'!$G:$G,MATCH(J130,'Batch Dates'!$C:$C,0)),IFERROR(INDEX('Batch Dates'!$G:$G,MATCH(I130,'Batch Dates'!$B:$B,0)),""))</f>
        <v/>
      </c>
      <c r="G130" s="243" t="inlineStr">
        <is>
          <t>legacy</t>
        </is>
      </c>
      <c r="H130" s="243" t="inlineStr">
        <is>
          <t>retest 1</t>
        </is>
      </c>
      <c r="I130" s="244" t="inlineStr">
        <is>
          <t>KC102501</t>
        </is>
      </c>
      <c r="J130" s="243" t="inlineStr">
        <is>
          <t>P060172</t>
        </is>
      </c>
      <c r="K130" s="243" t="inlineStr">
        <is>
          <t>Kush Crasher</t>
        </is>
      </c>
      <c r="L130" s="243" t="inlineStr">
        <is>
          <t>Ident A + Ident B + Foreign matter</t>
        </is>
      </c>
      <c r="M130" s="248" t="inlineStr">
        <is>
          <t>—</t>
        </is>
      </c>
      <c r="N130" s="243">
        <f>IFERROR(INDEX('CoQ Register'!$B:$B,MATCH("P060172|R",'CoQ Register'!$S:$S,0)),"—")</f>
        <v/>
      </c>
      <c r="O130" s="248" t="inlineStr">
        <is>
          <t>—</t>
        </is>
      </c>
      <c r="P130" s="243" t="inlineStr">
        <is>
          <t>12.03.2027</t>
        </is>
      </c>
      <c r="Q130" s="243" t="inlineStr">
        <is>
          <t>20.01.2026 – 21.01.2026</t>
        </is>
      </c>
      <c r="R130" s="243" t="inlineStr">
        <is>
          <t>12.03.2026</t>
        </is>
      </c>
      <c r="S130" s="245">
        <f>IFERROR(INDEX('CoQ Register'!$D:$D,MATCH("P060172|R",'CoQ Register'!$S:$S,0)),"")</f>
        <v/>
      </c>
      <c r="T130" s="243" t="inlineStr">
        <is>
          <t>Conforms</t>
        </is>
      </c>
      <c r="U130" s="243" t="inlineStr">
        <is>
          <t>Conforms</t>
        </is>
      </c>
      <c r="V130" s="243" t="inlineStr">
        <is>
          <t>Conforms</t>
        </is>
      </c>
      <c r="W130" s="243" t="inlineStr">
        <is>
          <t>220-19-K-26, (26.08.2026) [FHM-K]</t>
        </is>
      </c>
      <c r="X130" s="243" t="inlineStr">
        <is>
          <t>220-19-K-26, (26.08.2026) [FHM-K]</t>
        </is>
      </c>
      <c r="Y130" s="243" t="inlineStr">
        <is>
          <t>220-19-M-26, (11.09.2026) [FHM-M]</t>
        </is>
      </c>
      <c r="Z130" s="243" t="inlineStr">
        <is>
          <t>#8, #9, #11, #12 from the initial testing</t>
        </is>
      </c>
      <c r="AA130" s="243" t="inlineStr">
        <is>
          <t>P060172|R</t>
        </is>
      </c>
      <c r="AB130" s="250" t="inlineStr">
        <is>
          <t>registered — retest 1 · Tranche 2 (sampled 12–14.08.2026), tested 13.08.2026, issued 17.08.2026</t>
        </is>
      </c>
    </row>
    <row r="131">
      <c r="A131" s="243" t="n">
        <v>130</v>
      </c>
      <c r="B131" s="244" t="inlineStr">
        <is>
          <t>iCoA-PP_26-130</t>
        </is>
      </c>
      <c r="C131" s="249" t="inlineStr">
        <is>
          <t>yes</t>
        </is>
      </c>
      <c r="D131" s="245" t="n">
        <v>46251</v>
      </c>
      <c r="E131" s="245" t="n">
        <v>46247</v>
      </c>
      <c r="F131" s="245">
        <f>IFERROR(INDEX('Batch Dates'!$G:$G,MATCH(J131,'Batch Dates'!$C:$C,0)),IFERROR(INDEX('Batch Dates'!$G:$G,MATCH(I131,'Batch Dates'!$B:$B,0)),""))</f>
        <v/>
      </c>
      <c r="G131" s="243" t="inlineStr">
        <is>
          <t>legacy</t>
        </is>
      </c>
      <c r="H131" s="243" t="inlineStr">
        <is>
          <t>retest 1</t>
        </is>
      </c>
      <c r="I131" s="244" t="inlineStr">
        <is>
          <t>MB0824_05</t>
        </is>
      </c>
      <c r="J131" s="243" t="inlineStr">
        <is>
          <t>P050112</t>
        </is>
      </c>
      <c r="K131" s="243" t="inlineStr">
        <is>
          <t>Motor Breath</t>
        </is>
      </c>
      <c r="L131" s="243" t="inlineStr">
        <is>
          <t>Ident A + Ident B + Foreign matter</t>
        </is>
      </c>
      <c r="M131" s="248" t="inlineStr">
        <is>
          <t>—</t>
        </is>
      </c>
      <c r="N131" s="243">
        <f>IFERROR(INDEX('CoQ Register'!$B:$B,MATCH("P050112|R",'CoQ Register'!$S:$S,0)),"—")</f>
        <v/>
      </c>
      <c r="O131" s="248" t="inlineStr">
        <is>
          <t>—</t>
        </is>
      </c>
      <c r="P131" s="243" t="inlineStr">
        <is>
          <t>25.08.2026</t>
        </is>
      </c>
      <c r="Q131" s="243" t="inlineStr">
        <is>
          <t>08.07.2025 – 09.07.2025</t>
        </is>
      </c>
      <c r="R131" s="243" t="inlineStr">
        <is>
          <t>25.08.2025 – 31.08.2025</t>
        </is>
      </c>
      <c r="S131" s="245">
        <f>IFERROR(INDEX('CoQ Register'!$D:$D,MATCH("P050112|R",'CoQ Register'!$S:$S,0)),"")</f>
        <v/>
      </c>
      <c r="T131" s="243" t="inlineStr">
        <is>
          <t>Conforms</t>
        </is>
      </c>
      <c r="U131" s="243" t="inlineStr">
        <is>
          <t>Conforms</t>
        </is>
      </c>
      <c r="V131" s="243" t="inlineStr">
        <is>
          <t>Conforms</t>
        </is>
      </c>
      <c r="W131" s="243" t="inlineStr">
        <is>
          <t>220-20-K-26, (26.08.2026) [FHM-K]</t>
        </is>
      </c>
      <c r="X131" s="243" t="inlineStr">
        <is>
          <t>220-20-K-26, (26.08.2026) [FHM-K]</t>
        </is>
      </c>
      <c r="Y131" s="243" t="inlineStr">
        <is>
          <t>220-20-M-26, (11.09.2026) [FHM-M]</t>
        </is>
      </c>
      <c r="Z131" s="243" t="inlineStr">
        <is>
          <t>#8, #9, #11, #12 from the initial testing</t>
        </is>
      </c>
      <c r="AA131" s="243" t="inlineStr">
        <is>
          <t>P050112|R</t>
        </is>
      </c>
      <c r="AB131" s="250" t="inlineStr">
        <is>
          <t>registered — retest 1 · Tranche 2 (sampled 12–14.08.2026), tested 13.08.2026, issued 17.08.2026</t>
        </is>
      </c>
    </row>
    <row r="132">
      <c r="A132" s="243" t="n">
        <v>131</v>
      </c>
      <c r="B132" s="244" t="inlineStr">
        <is>
          <t>iCoA-PP_26-131</t>
        </is>
      </c>
      <c r="C132" s="249" t="inlineStr">
        <is>
          <t>yes</t>
        </is>
      </c>
      <c r="D132" s="245" t="n">
        <v>46251</v>
      </c>
      <c r="E132" s="245" t="n">
        <v>46247</v>
      </c>
      <c r="F132" s="245">
        <f>IFERROR(INDEX('Batch Dates'!$G:$G,MATCH(J132,'Batch Dates'!$C:$C,0)),IFERROR(INDEX('Batch Dates'!$G:$G,MATCH(I132,'Batch Dates'!$B:$B,0)),""))</f>
        <v/>
      </c>
      <c r="G132" s="243" t="inlineStr">
        <is>
          <t>legacy</t>
        </is>
      </c>
      <c r="H132" s="243" t="inlineStr">
        <is>
          <t>retest 1</t>
        </is>
      </c>
      <c r="I132" s="244" t="inlineStr">
        <is>
          <t>OPM092501</t>
        </is>
      </c>
      <c r="J132" s="243" t="inlineStr">
        <is>
          <t>P060042</t>
        </is>
      </c>
      <c r="K132" s="243" t="inlineStr">
        <is>
          <t>Orange Punch Mimosa</t>
        </is>
      </c>
      <c r="L132" s="243" t="inlineStr">
        <is>
          <t>Ident A + Ident B + Foreign matter</t>
        </is>
      </c>
      <c r="M132" s="248" t="inlineStr">
        <is>
          <t>—</t>
        </is>
      </c>
      <c r="N132" s="243">
        <f>IFERROR(INDEX('CoQ Register'!$B:$B,MATCH("P060042|R",'CoQ Register'!$S:$S,0)),"—")</f>
        <v/>
      </c>
      <c r="O132" s="248" t="inlineStr">
        <is>
          <t>—</t>
        </is>
      </c>
      <c r="P132" s="243" t="inlineStr">
        <is>
          <t>29.01.2027</t>
        </is>
      </c>
      <c r="Q132" s="243" t="inlineStr">
        <is>
          <t>12.12.2025</t>
        </is>
      </c>
      <c r="R132" s="243" t="inlineStr">
        <is>
          <t>29.01.2026</t>
        </is>
      </c>
      <c r="S132" s="245">
        <f>IFERROR(INDEX('CoQ Register'!$D:$D,MATCH("P060042|R",'CoQ Register'!$S:$S,0)),"")</f>
        <v/>
      </c>
      <c r="T132" s="243" t="inlineStr">
        <is>
          <t>Conforms</t>
        </is>
      </c>
      <c r="U132" s="243" t="inlineStr">
        <is>
          <t>Conforms</t>
        </is>
      </c>
      <c r="V132" s="243" t="inlineStr">
        <is>
          <t>Conforms</t>
        </is>
      </c>
      <c r="W132" s="243" t="inlineStr">
        <is>
          <t>220-22-K-26, (26.08.2026) [FHM-K]</t>
        </is>
      </c>
      <c r="X132" s="243" t="inlineStr">
        <is>
          <t>220-22-K-26, (26.08.2026) [FHM-K]</t>
        </is>
      </c>
      <c r="Y132" s="243" t="inlineStr">
        <is>
          <t>220-22-M-26, (11.09.2026) [FHM-M]</t>
        </is>
      </c>
      <c r="Z132" s="243" t="inlineStr">
        <is>
          <t>#8, #9, #11, #12 from the initial testing</t>
        </is>
      </c>
      <c r="AA132" s="243" t="inlineStr">
        <is>
          <t>P060042|R</t>
        </is>
      </c>
      <c r="AB132" s="250" t="inlineStr">
        <is>
          <t>registered — retest 1 · Tranche 2 (sampled 12–14.08.2026), tested 13.08.2026, issued 17.08.2026</t>
        </is>
      </c>
    </row>
    <row r="133">
      <c r="A133" s="243" t="n">
        <v>132</v>
      </c>
      <c r="B133" s="244" t="inlineStr">
        <is>
          <t>iCoA-PP_26-132</t>
        </is>
      </c>
      <c r="C133" s="249" t="inlineStr">
        <is>
          <t>yes</t>
        </is>
      </c>
      <c r="D133" s="245" t="n">
        <v>46251</v>
      </c>
      <c r="E133" s="245" t="n">
        <v>46247</v>
      </c>
      <c r="F133" s="245">
        <f>IFERROR(INDEX('Batch Dates'!$G:$G,MATCH(J133,'Batch Dates'!$C:$C,0)),IFERROR(INDEX('Batch Dates'!$G:$G,MATCH(I133,'Batch Dates'!$B:$B,0)),""))</f>
        <v/>
      </c>
      <c r="G133" s="243" t="inlineStr">
        <is>
          <t>legacy</t>
        </is>
      </c>
      <c r="H133" s="243" t="inlineStr">
        <is>
          <t>retest 2</t>
        </is>
      </c>
      <c r="I133" s="244" t="inlineStr">
        <is>
          <t>OMP1024_01</t>
        </is>
      </c>
      <c r="J133" s="243" t="inlineStr">
        <is>
          <t>P050042</t>
        </is>
      </c>
      <c r="K133" s="243" t="inlineStr">
        <is>
          <t>Orange Punch Mimosa</t>
        </is>
      </c>
      <c r="L133" s="243" t="inlineStr">
        <is>
          <t>Ident A + Ident B + Foreign matter</t>
        </is>
      </c>
      <c r="M133" s="248" t="inlineStr">
        <is>
          <t>—</t>
        </is>
      </c>
      <c r="N133" s="243">
        <f>IFERROR(INDEX('CoQ Register'!$B:$B,MATCH("P050042|R2",'CoQ Register'!$S:$S,0)),"—")</f>
        <v/>
      </c>
      <c r="O133" s="248" t="inlineStr">
        <is>
          <t>—</t>
        </is>
      </c>
      <c r="P133" s="243" t="inlineStr">
        <is>
          <t>20.06.2026</t>
        </is>
      </c>
      <c r="Q133" s="243" t="inlineStr">
        <is>
          <t>26.03.2025 – 27.03.2025</t>
        </is>
      </c>
      <c r="R133" s="243" t="inlineStr">
        <is>
          <t>20.06.2025</t>
        </is>
      </c>
      <c r="S133" s="245">
        <f>IFERROR(INDEX('CoQ Register'!$D:$D,MATCH("P050042|R2",'CoQ Register'!$S:$S,0)),"")</f>
        <v/>
      </c>
      <c r="T133" s="243" t="inlineStr">
        <is>
          <t>Conforms</t>
        </is>
      </c>
      <c r="U133" s="243" t="inlineStr">
        <is>
          <t>Conforms</t>
        </is>
      </c>
      <c r="V133" s="243" t="inlineStr">
        <is>
          <t>Conforms</t>
        </is>
      </c>
      <c r="W133" s="243" t="inlineStr">
        <is>
          <t>220-21-K-26, (26.08.2026) [FHM-K]</t>
        </is>
      </c>
      <c r="X133" s="243" t="inlineStr">
        <is>
          <t>220-21-K-26, (26.08.2026) [FHM-K]</t>
        </is>
      </c>
      <c r="Y133" s="243" t="inlineStr">
        <is>
          <t>220-21-M-26, (11.09.2026) [FHM-M]</t>
        </is>
      </c>
      <c r="Z133" s="243" t="inlineStr">
        <is>
          <t>#8, #9, #11, #12 from the initial testing</t>
        </is>
      </c>
      <c r="AA133" s="243" t="inlineStr">
        <is>
          <t>P050042|R2</t>
        </is>
      </c>
      <c r="AB133" s="250" t="inlineStr">
        <is>
          <t>registered — retest 2 · Tranche 2 (sampled 12–14.08.2026), tested 13.08.2026, issued 17.08.2026</t>
        </is>
      </c>
    </row>
    <row r="134">
      <c r="A134" s="243" t="n">
        <v>133</v>
      </c>
      <c r="B134" s="244" t="inlineStr">
        <is>
          <t>iCoA-PP_26-133</t>
        </is>
      </c>
      <c r="C134" s="249" t="inlineStr">
        <is>
          <t>yes</t>
        </is>
      </c>
      <c r="D134" s="245" t="n">
        <v>46251</v>
      </c>
      <c r="E134" s="245" t="n">
        <v>46248</v>
      </c>
      <c r="F134" s="245">
        <f>IFERROR(INDEX('Batch Dates'!$G:$G,MATCH(J134,'Batch Dates'!$C:$C,0)),IFERROR(INDEX('Batch Dates'!$G:$G,MATCH(I134,'Batch Dates'!$B:$B,0)),""))</f>
        <v/>
      </c>
      <c r="G134" s="243" t="inlineStr">
        <is>
          <t>post-SOP</t>
        </is>
      </c>
      <c r="H134" s="243" t="inlineStr">
        <is>
          <t>retest 1</t>
        </is>
      </c>
      <c r="I134" s="244" t="inlineStr">
        <is>
          <t>CC012603</t>
        </is>
      </c>
      <c r="J134" s="243" t="inlineStr">
        <is>
          <t>P060372</t>
        </is>
      </c>
      <c r="K134" s="243" t="inlineStr">
        <is>
          <t>Cash Cow</t>
        </is>
      </c>
      <c r="L134" s="243" t="inlineStr">
        <is>
          <t>Ident A + Ident B + Foreign matter</t>
        </is>
      </c>
      <c r="M134" s="248" t="inlineStr">
        <is>
          <t>—</t>
        </is>
      </c>
      <c r="N134" s="243">
        <f>IFERROR(INDEX('CoQ Register'!$B:$B,MATCH("P060372|R",'CoQ Register'!$S:$S,0)),"—")</f>
        <v/>
      </c>
      <c r="O134" s="248" t="inlineStr">
        <is>
          <t>—</t>
        </is>
      </c>
      <c r="P134" s="243" t="inlineStr">
        <is>
          <t>24.05.2027</t>
        </is>
      </c>
      <c r="Q134" s="243" t="inlineStr">
        <is>
          <t>22.04.2026</t>
        </is>
      </c>
      <c r="R134" s="243" t="inlineStr">
        <is>
          <t>24.05.2026</t>
        </is>
      </c>
      <c r="S134" s="245">
        <f>IFERROR(INDEX('CoQ Register'!$D:$D,MATCH("P060372|R",'CoQ Register'!$S:$S,0)),"")</f>
        <v/>
      </c>
      <c r="T134" s="243" t="inlineStr">
        <is>
          <t>Conforms</t>
        </is>
      </c>
      <c r="U134" s="243" t="inlineStr">
        <is>
          <t>Conforms</t>
        </is>
      </c>
      <c r="V134" s="243" t="inlineStr">
        <is>
          <t>Conforms</t>
        </is>
      </c>
      <c r="W134" s="243" t="inlineStr">
        <is>
          <t>220-29-K-26, (26.08.2026) [FHM-K]</t>
        </is>
      </c>
      <c r="X134" s="243" t="inlineStr">
        <is>
          <t>220-29-K-26, (26.08.2026) [FHM-K]</t>
        </is>
      </c>
      <c r="Y134" s="243" t="inlineStr">
        <is>
          <t>220-29-M-26, (11.09.2026) [FHM-M]</t>
        </is>
      </c>
      <c r="Z134" s="243" t="inlineStr">
        <is>
          <t>#8, #9, #11, #12 from the initial testing</t>
        </is>
      </c>
      <c r="AA134" s="243" t="inlineStr">
        <is>
          <t>P060372|R</t>
        </is>
      </c>
      <c r="AB134" s="250" t="inlineStr">
        <is>
          <t>registered — retest 1 · Tranche 2 (sampled 12–14.08.2026), tested 14.08.2026, issued 17.08.2026</t>
        </is>
      </c>
    </row>
    <row r="135">
      <c r="A135" s="243" t="n">
        <v>134</v>
      </c>
      <c r="B135" s="244" t="inlineStr">
        <is>
          <t>iCoA-PP_26-134</t>
        </is>
      </c>
      <c r="C135" s="249" t="inlineStr">
        <is>
          <t>yes</t>
        </is>
      </c>
      <c r="D135" s="245" t="n">
        <v>46251</v>
      </c>
      <c r="E135" s="245" t="n">
        <v>46248</v>
      </c>
      <c r="F135" s="245">
        <f>IFERROR(INDEX('Batch Dates'!$G:$G,MATCH(J135,'Batch Dates'!$C:$C,0)),IFERROR(INDEX('Batch Dates'!$G:$G,MATCH(I135,'Batch Dates'!$B:$B,0)),""))</f>
        <v/>
      </c>
      <c r="G135" s="243" t="inlineStr">
        <is>
          <t>—</t>
        </is>
      </c>
      <c r="H135" s="243" t="inlineStr">
        <is>
          <t>retest 1</t>
        </is>
      </c>
      <c r="I135" s="244" t="inlineStr">
        <is>
          <t>CC042601</t>
        </is>
      </c>
      <c r="J135" s="243" t="inlineStr">
        <is>
          <t>N/A — no P batch assigned</t>
        </is>
      </c>
      <c r="K135" s="243" t="inlineStr">
        <is>
          <t>Cash Cow</t>
        </is>
      </c>
      <c r="L135" s="243" t="inlineStr">
        <is>
          <t>Ident A + Ident B + Foreign matter</t>
        </is>
      </c>
      <c r="M135" s="248" t="inlineStr">
        <is>
          <t>—</t>
        </is>
      </c>
      <c r="N135" s="243">
        <f>IFERROR(INDEX('CoQ Register'!$B:$B,MATCH("CC042601|R",'CoQ Register'!$S:$S,0)),"—")</f>
        <v/>
      </c>
      <c r="O135" s="248" t="inlineStr">
        <is>
          <t>—</t>
        </is>
      </c>
      <c r="P135" s="243" t="inlineStr">
        <is>
          <t>—</t>
        </is>
      </c>
      <c r="Q135" s="243" t="inlineStr">
        <is>
          <t>— not on the list —</t>
        </is>
      </c>
      <c r="R135" s="243" t="inlineStr">
        <is>
          <t>— not on the list —</t>
        </is>
      </c>
      <c r="S135" s="245">
        <f>IFERROR(INDEX('CoQ Register'!$D:$D,MATCH("CC042601|R",'CoQ Register'!$S:$S,0)),"")</f>
        <v/>
      </c>
      <c r="T135" s="243" t="inlineStr">
        <is>
          <t>Conforms</t>
        </is>
      </c>
      <c r="U135" s="243" t="inlineStr">
        <is>
          <t>Conforms</t>
        </is>
      </c>
      <c r="V135" s="243" t="inlineStr">
        <is>
          <t>Conforms</t>
        </is>
      </c>
      <c r="W135" s="243" t="inlineStr">
        <is>
          <t>220-32-K-26, (26.08.2026) [FHM-K]</t>
        </is>
      </c>
      <c r="X135" s="243" t="inlineStr">
        <is>
          <t>220-32-K-26, (26.08.2026) [FHM-K]</t>
        </is>
      </c>
      <c r="Y135" s="243" t="inlineStr">
        <is>
          <t>220-32-M-26, (11.09.2026) [FHM-M]</t>
        </is>
      </c>
      <c r="Z135" s="243" t="inlineStr">
        <is>
          <t>#8, #9, #11, #12 from the initial testing</t>
        </is>
      </c>
      <c r="AA135" s="243" t="inlineStr">
        <is>
          <t>CC042601|R</t>
        </is>
      </c>
      <c r="AB135" s="250" t="inlineStr">
        <is>
          <t>registered — retest 1 · Tranche 2 (sampled 12–14.08.2026), tested 14.08.2026, issued 17.08.2026</t>
        </is>
      </c>
    </row>
    <row r="136">
      <c r="A136" s="243" t="n">
        <v>135</v>
      </c>
      <c r="B136" s="244" t="inlineStr">
        <is>
          <t>iCoA-PP_26-135</t>
        </is>
      </c>
      <c r="C136" s="249" t="inlineStr">
        <is>
          <t>yes</t>
        </is>
      </c>
      <c r="D136" s="245" t="n">
        <v>46251</v>
      </c>
      <c r="E136" s="245" t="n">
        <v>46248</v>
      </c>
      <c r="F136" s="245">
        <f>IFERROR(INDEX('Batch Dates'!$G:$G,MATCH(J136,'Batch Dates'!$C:$C,0)),IFERROR(INDEX('Batch Dates'!$G:$G,MATCH(I136,'Batch Dates'!$B:$B,0)),""))</f>
        <v/>
      </c>
      <c r="G136" s="243" t="inlineStr">
        <is>
          <t>—</t>
        </is>
      </c>
      <c r="H136" s="243" t="inlineStr">
        <is>
          <t>retest 1</t>
        </is>
      </c>
      <c r="I136" s="244" t="inlineStr">
        <is>
          <t>FB042601</t>
        </is>
      </c>
      <c r="J136" s="243" t="inlineStr">
        <is>
          <t>N/A — no P batch assigned</t>
        </is>
      </c>
      <c r="K136" s="243" t="inlineStr">
        <is>
          <t>Fat Bastard</t>
        </is>
      </c>
      <c r="L136" s="243" t="inlineStr">
        <is>
          <t>Ident A + Ident B + Foreign matter</t>
        </is>
      </c>
      <c r="M136" s="248" t="inlineStr">
        <is>
          <t>—</t>
        </is>
      </c>
      <c r="N136" s="243">
        <f>IFERROR(INDEX('CoQ Register'!$B:$B,MATCH("FB042601|R",'CoQ Register'!$S:$S,0)),"—")</f>
        <v/>
      </c>
      <c r="O136" s="248" t="inlineStr">
        <is>
          <t>—</t>
        </is>
      </c>
      <c r="P136" s="243" t="inlineStr">
        <is>
          <t>—</t>
        </is>
      </c>
      <c r="Q136" s="243" t="inlineStr">
        <is>
          <t>— not on the list —</t>
        </is>
      </c>
      <c r="R136" s="243" t="inlineStr">
        <is>
          <t>— not on the list —</t>
        </is>
      </c>
      <c r="S136" s="245">
        <f>IFERROR(INDEX('CoQ Register'!$D:$D,MATCH("FB042601|R",'CoQ Register'!$S:$S,0)),"")</f>
        <v/>
      </c>
      <c r="T136" s="243" t="inlineStr">
        <is>
          <t>Conforms</t>
        </is>
      </c>
      <c r="U136" s="243" t="inlineStr">
        <is>
          <t>Conforms</t>
        </is>
      </c>
      <c r="V136" s="243" t="inlineStr">
        <is>
          <t>Conforms</t>
        </is>
      </c>
      <c r="W136" s="243" t="inlineStr">
        <is>
          <t>220-31-K-26, (26.08.2026) [FHM-K]</t>
        </is>
      </c>
      <c r="X136" s="243" t="inlineStr">
        <is>
          <t>220-31-K-26, (26.08.2026) [FHM-K]</t>
        </is>
      </c>
      <c r="Y136" s="243" t="inlineStr">
        <is>
          <t>220-31-M-26, (11.09.2026) [FHM-M]</t>
        </is>
      </c>
      <c r="Z136" s="243" t="inlineStr">
        <is>
          <t>#8, #9, #11, #12 from the initial testing</t>
        </is>
      </c>
      <c r="AA136" s="243" t="inlineStr">
        <is>
          <t>FB042601|R</t>
        </is>
      </c>
      <c r="AB136" s="250" t="inlineStr">
        <is>
          <t>registered — retest 1 · Tranche 2 (sampled 12–14.08.2026), tested 14.08.2026, issued 17.08.2026</t>
        </is>
      </c>
    </row>
    <row r="137">
      <c r="A137" s="243" t="n">
        <v>136</v>
      </c>
      <c r="B137" s="244" t="inlineStr">
        <is>
          <t>iCoA-PP_26-136</t>
        </is>
      </c>
      <c r="C137" s="249" t="inlineStr">
        <is>
          <t>yes</t>
        </is>
      </c>
      <c r="D137" s="245" t="n">
        <v>46251</v>
      </c>
      <c r="E137" s="245" t="n">
        <v>46248</v>
      </c>
      <c r="F137" s="245">
        <f>IFERROR(INDEX('Batch Dates'!$G:$G,MATCH(J137,'Batch Dates'!$C:$C,0)),IFERROR(INDEX('Batch Dates'!$G:$G,MATCH(I137,'Batch Dates'!$B:$B,0)),""))</f>
        <v/>
      </c>
      <c r="G137" s="243" t="inlineStr">
        <is>
          <t>post-SOP</t>
        </is>
      </c>
      <c r="H137" s="243" t="inlineStr">
        <is>
          <t>retest 1</t>
        </is>
      </c>
      <c r="I137" s="244" t="inlineStr">
        <is>
          <t>JD042601</t>
        </is>
      </c>
      <c r="J137" s="243" t="inlineStr">
        <is>
          <t>P060492</t>
        </is>
      </c>
      <c r="K137" s="243" t="inlineStr">
        <is>
          <t>Jelly Donuts</t>
        </is>
      </c>
      <c r="L137" s="243" t="inlineStr">
        <is>
          <t>Ident A + Ident B + Foreign matter</t>
        </is>
      </c>
      <c r="M137" s="248" t="inlineStr">
        <is>
          <t>—</t>
        </is>
      </c>
      <c r="N137" s="243">
        <f>IFERROR(INDEX('CoQ Register'!$B:$B,MATCH("P060492|R",'CoQ Register'!$S:$S,0)),"—")</f>
        <v/>
      </c>
      <c r="O137" s="248" t="inlineStr">
        <is>
          <t>—</t>
        </is>
      </c>
      <c r="P137" s="243" t="inlineStr">
        <is>
          <t>13.08.2027</t>
        </is>
      </c>
      <c r="Q137" s="243" t="inlineStr">
        <is>
          <t>21.07.2026</t>
        </is>
      </c>
      <c r="R137" s="243" t="inlineStr">
        <is>
          <t>13.08.2026</t>
        </is>
      </c>
      <c r="S137" s="245">
        <f>IFERROR(INDEX('CoQ Register'!$D:$D,MATCH("P060492|R",'CoQ Register'!$S:$S,0)),"")</f>
        <v/>
      </c>
      <c r="T137" s="243" t="inlineStr">
        <is>
          <t>Conforms</t>
        </is>
      </c>
      <c r="U137" s="243" t="inlineStr">
        <is>
          <t>Conforms</t>
        </is>
      </c>
      <c r="V137" s="243" t="inlineStr">
        <is>
          <t>Conforms</t>
        </is>
      </c>
      <c r="W137" s="243" t="inlineStr">
        <is>
          <t>220-30-K-26, (26.08.2026) [FHM-K]</t>
        </is>
      </c>
      <c r="X137" s="243" t="inlineStr">
        <is>
          <t>220-30-K-26, (26.08.2026) [FHM-K]</t>
        </is>
      </c>
      <c r="Y137" s="243" t="inlineStr">
        <is>
          <t>220-30-M-26, (11.09.2026) [FHM-M]</t>
        </is>
      </c>
      <c r="Z137" s="243" t="inlineStr">
        <is>
          <t>#8, #9, #11, #12 from the initial testing</t>
        </is>
      </c>
      <c r="AA137" s="243" t="inlineStr">
        <is>
          <t>P060492|R</t>
        </is>
      </c>
      <c r="AB137" s="250" t="inlineStr">
        <is>
          <t>registered — retest 1 · Tranche 2 (sampled 12–14.08.2026), tested 14.08.2026, issued 17.08.2026</t>
        </is>
      </c>
    </row>
    <row r="138">
      <c r="A138" s="243" t="n">
        <v>137</v>
      </c>
      <c r="B138" s="244" t="inlineStr">
        <is>
          <t>iCoA-PP_26-137</t>
        </is>
      </c>
      <c r="C138" s="249" t="inlineStr">
        <is>
          <t>yes</t>
        </is>
      </c>
      <c r="D138" s="245" t="n">
        <v>46251</v>
      </c>
      <c r="E138" s="245" t="n">
        <v>46248</v>
      </c>
      <c r="F138" s="245">
        <f>IFERROR(INDEX('Batch Dates'!$G:$G,MATCH(J138,'Batch Dates'!$C:$C,0)),IFERROR(INDEX('Batch Dates'!$G:$G,MATCH(I138,'Batch Dates'!$B:$B,0)),""))</f>
        <v/>
      </c>
      <c r="G138" s="243" t="inlineStr">
        <is>
          <t>legacy</t>
        </is>
      </c>
      <c r="H138" s="243" t="inlineStr">
        <is>
          <t>retest 1</t>
        </is>
      </c>
      <c r="I138" s="244" t="inlineStr">
        <is>
          <t>OPM1024_03</t>
        </is>
      </c>
      <c r="J138" s="243" t="inlineStr">
        <is>
          <t>P050082</t>
        </is>
      </c>
      <c r="K138" s="243" t="inlineStr">
        <is>
          <t>Orange Punch Mimosa</t>
        </is>
      </c>
      <c r="L138" s="243" t="inlineStr">
        <is>
          <t>Ident A + Ident B + Foreign matter</t>
        </is>
      </c>
      <c r="M138" s="248" t="inlineStr">
        <is>
          <t>—</t>
        </is>
      </c>
      <c r="N138" s="243">
        <f>IFERROR(INDEX('CoQ Register'!$B:$B,MATCH("P050082|R",'CoQ Register'!$S:$S,0)),"—")</f>
        <v/>
      </c>
      <c r="O138" s="248" t="inlineStr">
        <is>
          <t>—</t>
        </is>
      </c>
      <c r="P138" s="243" t="inlineStr">
        <is>
          <t>22.07.2026</t>
        </is>
      </c>
      <c r="Q138" s="243" t="inlineStr">
        <is>
          <t>01.07.2025 – 02.07.2025</t>
        </is>
      </c>
      <c r="R138" s="243" t="inlineStr">
        <is>
          <t>22.07.2025 – 30.07.2025</t>
        </is>
      </c>
      <c r="S138" s="245">
        <f>IFERROR(INDEX('CoQ Register'!$D:$D,MATCH("P050082|R",'CoQ Register'!$S:$S,0)),"")</f>
        <v/>
      </c>
      <c r="T138" s="243" t="inlineStr">
        <is>
          <t>Conforms</t>
        </is>
      </c>
      <c r="U138" s="243" t="inlineStr">
        <is>
          <t>Conforms</t>
        </is>
      </c>
      <c r="V138" s="243" t="inlineStr">
        <is>
          <t>Conforms</t>
        </is>
      </c>
      <c r="W138" s="243" t="inlineStr">
        <is>
          <t>220-23-K-26, (26.08.2026) [FHM-K]</t>
        </is>
      </c>
      <c r="X138" s="243" t="inlineStr">
        <is>
          <t>220-23-K-26, (26.08.2026) [FHM-K]</t>
        </is>
      </c>
      <c r="Y138" s="243" t="inlineStr">
        <is>
          <t>220-23-M-26, (11.09.2026) [FHM-M]</t>
        </is>
      </c>
      <c r="Z138" s="243" t="inlineStr">
        <is>
          <t>#8, #9, #11, #12 from the initial testing</t>
        </is>
      </c>
      <c r="AA138" s="243" t="inlineStr">
        <is>
          <t>P050082|R</t>
        </is>
      </c>
      <c r="AB138" s="250" t="inlineStr">
        <is>
          <t>registered — retest 1 · Tranche 2 (sampled 12–14.08.2026), tested 14.08.2026, issued 17.08.2026</t>
        </is>
      </c>
    </row>
    <row r="139">
      <c r="A139" s="243" t="n">
        <v>138</v>
      </c>
      <c r="B139" s="244" t="inlineStr">
        <is>
          <t>iCoA-PP_26-138</t>
        </is>
      </c>
      <c r="C139" s="249" t="inlineStr">
        <is>
          <t>yes</t>
        </is>
      </c>
      <c r="D139" s="245" t="n">
        <v>46251</v>
      </c>
      <c r="E139" s="245" t="n">
        <v>46248</v>
      </c>
      <c r="F139" s="245">
        <f>IFERROR(INDEX('Batch Dates'!$G:$G,MATCH(J139,'Batch Dates'!$C:$C,0)),IFERROR(INDEX('Batch Dates'!$G:$G,MATCH(I139,'Batch Dates'!$B:$B,0)),""))</f>
        <v/>
      </c>
      <c r="G139" s="243" t="inlineStr">
        <is>
          <t>legacy</t>
        </is>
      </c>
      <c r="H139" s="243" t="inlineStr">
        <is>
          <t>retest 1</t>
        </is>
      </c>
      <c r="I139" s="244" t="inlineStr">
        <is>
          <t>PM112501</t>
        </is>
      </c>
      <c r="J139" s="243" t="inlineStr">
        <is>
          <t>P060232</t>
        </is>
      </c>
      <c r="K139" s="243" t="inlineStr">
        <is>
          <t>Permanent Marker</t>
        </is>
      </c>
      <c r="L139" s="243" t="inlineStr">
        <is>
          <t>Ident A + Ident B + Foreign matter</t>
        </is>
      </c>
      <c r="M139" s="248" t="inlineStr">
        <is>
          <t>—</t>
        </is>
      </c>
      <c r="N139" s="243">
        <f>IFERROR(INDEX('CoQ Register'!$B:$B,MATCH("P060232|R",'CoQ Register'!$S:$S,0)),"—")</f>
        <v/>
      </c>
      <c r="O139" s="248" t="inlineStr">
        <is>
          <t>—</t>
        </is>
      </c>
      <c r="P139" s="243" t="inlineStr">
        <is>
          <t>27.04.2027</t>
        </is>
      </c>
      <c r="Q139" s="243" t="inlineStr">
        <is>
          <t>05.02.2026</t>
        </is>
      </c>
      <c r="R139" s="243" t="inlineStr">
        <is>
          <t>27.04.2026</t>
        </is>
      </c>
      <c r="S139" s="245">
        <f>IFERROR(INDEX('CoQ Register'!$D:$D,MATCH("P060232|R",'CoQ Register'!$S:$S,0)),"")</f>
        <v/>
      </c>
      <c r="T139" s="243" t="inlineStr">
        <is>
          <t>Conforms</t>
        </is>
      </c>
      <c r="U139" s="243" t="inlineStr">
        <is>
          <t>Conforms</t>
        </is>
      </c>
      <c r="V139" s="243" t="inlineStr">
        <is>
          <t>Conforms</t>
        </is>
      </c>
      <c r="W139" s="243" t="inlineStr">
        <is>
          <t>220-24-K-26, (26.08.2026) [FHM-K]</t>
        </is>
      </c>
      <c r="X139" s="243" t="inlineStr">
        <is>
          <t>220-24-K-26, (26.08.2026) [FHM-K]</t>
        </is>
      </c>
      <c r="Y139" s="243" t="inlineStr">
        <is>
          <t>220-24-M-26, (11.09.2026) [FHM-M]</t>
        </is>
      </c>
      <c r="Z139" s="243" t="inlineStr">
        <is>
          <t>#8, #9, #11, #12 from the initial testing</t>
        </is>
      </c>
      <c r="AA139" s="243" t="inlineStr">
        <is>
          <t>P060232|R</t>
        </is>
      </c>
      <c r="AB139" s="250" t="inlineStr">
        <is>
          <t>registered — retest 1 · Tranche 2 (sampled 12–14.08.2026), tested 14.08.2026, issued 17.08.2026</t>
        </is>
      </c>
    </row>
    <row r="140">
      <c r="A140" s="243" t="n">
        <v>139</v>
      </c>
      <c r="B140" s="244" t="inlineStr">
        <is>
          <t>iCoA-PP_26-139</t>
        </is>
      </c>
      <c r="C140" s="249" t="inlineStr">
        <is>
          <t>yes</t>
        </is>
      </c>
      <c r="D140" s="245" t="n">
        <v>46251</v>
      </c>
      <c r="E140" s="245" t="n">
        <v>46248</v>
      </c>
      <c r="F140" s="245">
        <f>IFERROR(INDEX('Batch Dates'!$G:$G,MATCH(J140,'Batch Dates'!$C:$C,0)),IFERROR(INDEX('Batch Dates'!$G:$G,MATCH(I140,'Batch Dates'!$B:$B,0)),""))</f>
        <v/>
      </c>
      <c r="G140" s="243" t="inlineStr">
        <is>
          <t>legacy</t>
        </is>
      </c>
      <c r="H140" s="243" t="inlineStr">
        <is>
          <t>retest 1</t>
        </is>
      </c>
      <c r="I140" s="244" t="inlineStr">
        <is>
          <t>PUM102501</t>
        </is>
      </c>
      <c r="J140" s="243" t="inlineStr">
        <is>
          <t>P060112</t>
        </is>
      </c>
      <c r="K140" s="243" t="inlineStr">
        <is>
          <t>Pure Michigen</t>
        </is>
      </c>
      <c r="L140" s="243" t="inlineStr">
        <is>
          <t>Ident A + Ident B + Foreign matter</t>
        </is>
      </c>
      <c r="M140" s="248" t="inlineStr">
        <is>
          <t>—</t>
        </is>
      </c>
      <c r="N140" s="243">
        <f>IFERROR(INDEX('CoQ Register'!$B:$B,MATCH("P060112|R",'CoQ Register'!$S:$S,0)),"—")</f>
        <v/>
      </c>
      <c r="O140" s="248" t="inlineStr">
        <is>
          <t>—</t>
        </is>
      </c>
      <c r="P140" s="243" t="inlineStr">
        <is>
          <t>17.02.2027</t>
        </is>
      </c>
      <c r="Q140" s="243" t="inlineStr">
        <is>
          <t>08.01.2026 – 09.01.2026</t>
        </is>
      </c>
      <c r="R140" s="243" t="inlineStr">
        <is>
          <t>17.02.2026</t>
        </is>
      </c>
      <c r="S140" s="245">
        <f>IFERROR(INDEX('CoQ Register'!$D:$D,MATCH("P060112|R",'CoQ Register'!$S:$S,0)),"")</f>
        <v/>
      </c>
      <c r="T140" s="243" t="inlineStr">
        <is>
          <t>Conforms</t>
        </is>
      </c>
      <c r="U140" s="243" t="inlineStr">
        <is>
          <t>Conforms</t>
        </is>
      </c>
      <c r="V140" s="243" t="inlineStr">
        <is>
          <t>Conforms</t>
        </is>
      </c>
      <c r="W140" s="243" t="inlineStr">
        <is>
          <t>220-25-K-26, (26.08.2026) [FHM-K]</t>
        </is>
      </c>
      <c r="X140" s="243" t="inlineStr">
        <is>
          <t>220-25-K-26, (26.08.2026) [FHM-K]</t>
        </is>
      </c>
      <c r="Y140" s="243" t="inlineStr">
        <is>
          <t>220-25-M-26, (11.09.2026) [FHM-M]</t>
        </is>
      </c>
      <c r="Z140" s="243" t="inlineStr">
        <is>
          <t>#8, #9, #11, #12 from the initial testing</t>
        </is>
      </c>
      <c r="AA140" s="243" t="inlineStr">
        <is>
          <t>P060112|R</t>
        </is>
      </c>
      <c r="AB140" s="250" t="inlineStr">
        <is>
          <t>registered — retest 1 · Tranche 2 (sampled 12–14.08.2026), tested 14.08.2026, issued 17.08.2026</t>
        </is>
      </c>
    </row>
    <row r="141">
      <c r="A141" s="243" t="n">
        <v>140</v>
      </c>
      <c r="B141" s="244" t="inlineStr">
        <is>
          <t>iCoA-PP_26-140</t>
        </is>
      </c>
      <c r="C141" s="249" t="inlineStr">
        <is>
          <t>yes</t>
        </is>
      </c>
      <c r="D141" s="245" t="n">
        <v>46251</v>
      </c>
      <c r="E141" s="245" t="n">
        <v>46248</v>
      </c>
      <c r="F141" s="245">
        <f>IFERROR(INDEX('Batch Dates'!$G:$G,MATCH(J141,'Batch Dates'!$C:$C,0)),IFERROR(INDEX('Batch Dates'!$G:$G,MATCH(I141,'Batch Dates'!$B:$B,0)),""))</f>
        <v/>
      </c>
      <c r="G141" s="243" t="inlineStr">
        <is>
          <t>post-SOP</t>
        </is>
      </c>
      <c r="H141" s="243" t="inlineStr">
        <is>
          <t>retest 1</t>
        </is>
      </c>
      <c r="I141" s="244" t="inlineStr">
        <is>
          <t>SCR112501</t>
        </is>
      </c>
      <c r="J141" s="243" t="inlineStr">
        <is>
          <t>P060282</t>
        </is>
      </c>
      <c r="K141" s="243" t="inlineStr">
        <is>
          <t>Scrambler</t>
        </is>
      </c>
      <c r="L141" s="243" t="inlineStr">
        <is>
          <t>Ident A + Ident B + Foreign matter</t>
        </is>
      </c>
      <c r="M141" s="248" t="inlineStr">
        <is>
          <t>—</t>
        </is>
      </c>
      <c r="N141" s="243">
        <f>IFERROR(INDEX('CoQ Register'!$B:$B,MATCH("P060282|R",'CoQ Register'!$S:$S,0)),"—")</f>
        <v/>
      </c>
      <c r="O141" s="248" t="inlineStr">
        <is>
          <t>—</t>
        </is>
      </c>
      <c r="P141" s="243" t="inlineStr">
        <is>
          <t>18.05.2027</t>
        </is>
      </c>
      <c r="Q141" s="243" t="inlineStr">
        <is>
          <t>25.03.2026</t>
        </is>
      </c>
      <c r="R141" s="243" t="inlineStr">
        <is>
          <t>18.05.2026</t>
        </is>
      </c>
      <c r="S141" s="245">
        <f>IFERROR(INDEX('CoQ Register'!$D:$D,MATCH("P060282|R",'CoQ Register'!$S:$S,0)),"")</f>
        <v/>
      </c>
      <c r="T141" s="243" t="inlineStr">
        <is>
          <t>Conforms</t>
        </is>
      </c>
      <c r="U141" s="243" t="inlineStr">
        <is>
          <t>Conforms</t>
        </is>
      </c>
      <c r="V141" s="243" t="inlineStr">
        <is>
          <t>Conforms</t>
        </is>
      </c>
      <c r="W141" s="243" t="inlineStr">
        <is>
          <t>220-26-K-26, (26.08.2026) [FHM-K]</t>
        </is>
      </c>
      <c r="X141" s="243" t="inlineStr">
        <is>
          <t>220-26-K-26, (26.08.2026) [FHM-K]</t>
        </is>
      </c>
      <c r="Y141" s="243" t="inlineStr">
        <is>
          <t>220-26-M-26, (11.09.2026) [FHM-M]</t>
        </is>
      </c>
      <c r="Z141" s="243" t="inlineStr">
        <is>
          <t>#8, #9, #11, #12 from the initial testing</t>
        </is>
      </c>
      <c r="AA141" s="243" t="inlineStr">
        <is>
          <t>P060282|R</t>
        </is>
      </c>
      <c r="AB141" s="250" t="inlineStr">
        <is>
          <t>registered — retest 1 · Tranche 2 (sampled 12–14.08.2026), tested 14.08.2026, issued 17.08.2026</t>
        </is>
      </c>
    </row>
    <row r="142">
      <c r="A142" s="243" t="n">
        <v>141</v>
      </c>
      <c r="B142" s="244" t="inlineStr">
        <is>
          <t>iCoA-PP_26-141</t>
        </is>
      </c>
      <c r="C142" s="249" t="inlineStr">
        <is>
          <t>yes</t>
        </is>
      </c>
      <c r="D142" s="245" t="n">
        <v>46251</v>
      </c>
      <c r="E142" s="245" t="n">
        <v>46248</v>
      </c>
      <c r="F142" s="245">
        <f>IFERROR(INDEX('Batch Dates'!$G:$G,MATCH(J142,'Batch Dates'!$C:$C,0)),IFERROR(INDEX('Batch Dates'!$G:$G,MATCH(I142,'Batch Dates'!$B:$B,0)),""))</f>
        <v/>
      </c>
      <c r="G142" s="243" t="inlineStr">
        <is>
          <t>legacy</t>
        </is>
      </c>
      <c r="H142" s="243" t="inlineStr">
        <is>
          <t>retest 1</t>
        </is>
      </c>
      <c r="I142" s="244" t="inlineStr">
        <is>
          <t>SJ0925021</t>
        </is>
      </c>
      <c r="J142" s="243" t="inlineStr">
        <is>
          <t>P060082</t>
        </is>
      </c>
      <c r="K142" s="243" t="inlineStr">
        <is>
          <t>Sleepy Joe</t>
        </is>
      </c>
      <c r="L142" s="243" t="inlineStr">
        <is>
          <t>Ident A + Ident B + Foreign matter</t>
        </is>
      </c>
      <c r="M142" s="248" t="inlineStr">
        <is>
          <t>—</t>
        </is>
      </c>
      <c r="N142" s="243">
        <f>IFERROR(INDEX('CoQ Register'!$B:$B,MATCH("P060082|R",'CoQ Register'!$S:$S,0)),"—")</f>
        <v/>
      </c>
      <c r="O142" s="248" t="inlineStr">
        <is>
          <t>—</t>
        </is>
      </c>
      <c r="P142" s="243" t="inlineStr">
        <is>
          <t>02.02.2027</t>
        </is>
      </c>
      <c r="Q142" s="243" t="inlineStr">
        <is>
          <t>11.12.2025 – 12.12.2025</t>
        </is>
      </c>
      <c r="R142" s="243" t="inlineStr">
        <is>
          <t>02.02.2026</t>
        </is>
      </c>
      <c r="S142" s="245">
        <f>IFERROR(INDEX('CoQ Register'!$D:$D,MATCH("P060082|R",'CoQ Register'!$S:$S,0)),"")</f>
        <v/>
      </c>
      <c r="T142" s="243" t="inlineStr">
        <is>
          <t>Conforms</t>
        </is>
      </c>
      <c r="U142" s="243" t="inlineStr">
        <is>
          <t>Conforms</t>
        </is>
      </c>
      <c r="V142" s="243" t="inlineStr">
        <is>
          <t>Conforms</t>
        </is>
      </c>
      <c r="W142" s="243" t="inlineStr">
        <is>
          <t>220-27-K-26, (26.08.2026) [FHM-K]</t>
        </is>
      </c>
      <c r="X142" s="243" t="inlineStr">
        <is>
          <t>220-27-K-26, (26.08.2026) [FHM-K]</t>
        </is>
      </c>
      <c r="Y142" s="243" t="inlineStr">
        <is>
          <t>220-27-M-26, (11.09.2026) [FHM-M]</t>
        </is>
      </c>
      <c r="Z142" s="243" t="inlineStr">
        <is>
          <t>#8, #9, #11, #12 from the initial testing</t>
        </is>
      </c>
      <c r="AA142" s="243" t="inlineStr">
        <is>
          <t>P060082|R</t>
        </is>
      </c>
      <c r="AB142" s="250" t="inlineStr">
        <is>
          <t>registered — retest 1 · Tranche 2 (sampled 12–14.08.2026), tested 14.08.2026, issued 17.08.2026</t>
        </is>
      </c>
    </row>
    <row r="143">
      <c r="A143" s="243" t="n">
        <v>142</v>
      </c>
      <c r="B143" s="244" t="inlineStr">
        <is>
          <t>iCoA-PP_26-142</t>
        </is>
      </c>
      <c r="C143" s="249" t="inlineStr">
        <is>
          <t>yes</t>
        </is>
      </c>
      <c r="D143" s="245" t="n">
        <v>46251</v>
      </c>
      <c r="E143" s="245" t="n">
        <v>46248</v>
      </c>
      <c r="F143" s="245">
        <f>IFERROR(INDEX('Batch Dates'!$G:$G,MATCH(J143,'Batch Dates'!$C:$C,0)),IFERROR(INDEX('Batch Dates'!$G:$G,MATCH(I143,'Batch Dates'!$B:$B,0)),""))</f>
        <v/>
      </c>
      <c r="G143" s="243" t="inlineStr">
        <is>
          <t>legacy</t>
        </is>
      </c>
      <c r="H143" s="243" t="inlineStr">
        <is>
          <t>retest 1</t>
        </is>
      </c>
      <c r="I143" s="244" t="inlineStr">
        <is>
          <t>WC082501</t>
        </is>
      </c>
      <c r="J143" s="243" t="inlineStr">
        <is>
          <t>P060012</t>
        </is>
      </c>
      <c r="K143" s="243" t="inlineStr">
        <is>
          <t>Wedding Crusher</t>
        </is>
      </c>
      <c r="L143" s="243" t="inlineStr">
        <is>
          <t>Ident A + Ident B + Foreign matter</t>
        </is>
      </c>
      <c r="M143" s="248" t="inlineStr">
        <is>
          <t>—</t>
        </is>
      </c>
      <c r="N143" s="243">
        <f>IFERROR(INDEX('CoQ Register'!$B:$B,MATCH("P060012|R",'CoQ Register'!$S:$S,0)),"—")</f>
        <v/>
      </c>
      <c r="O143" s="248" t="inlineStr">
        <is>
          <t>—</t>
        </is>
      </c>
      <c r="P143" s="243" t="inlineStr">
        <is>
          <t>13.01.2027</t>
        </is>
      </c>
      <c r="Q143" s="243" t="inlineStr">
        <is>
          <t>09.12.2025</t>
        </is>
      </c>
      <c r="R143" s="243" t="inlineStr">
        <is>
          <t>13.01.2026 – 14.01.2026</t>
        </is>
      </c>
      <c r="S143" s="245">
        <f>IFERROR(INDEX('CoQ Register'!$D:$D,MATCH("P060012|R",'CoQ Register'!$S:$S,0)),"")</f>
        <v/>
      </c>
      <c r="T143" s="243" t="inlineStr">
        <is>
          <t>Conforms</t>
        </is>
      </c>
      <c r="U143" s="243" t="inlineStr">
        <is>
          <t>Conforms</t>
        </is>
      </c>
      <c r="V143" s="243" t="inlineStr">
        <is>
          <t>Conforms</t>
        </is>
      </c>
      <c r="W143" s="243" t="inlineStr">
        <is>
          <t>220-28-K-26, (26.08.2026) [FHM-K]</t>
        </is>
      </c>
      <c r="X143" s="243" t="inlineStr">
        <is>
          <t>220-28-K-26, (26.08.2026) [FHM-K]</t>
        </is>
      </c>
      <c r="Y143" s="243" t="inlineStr">
        <is>
          <t>220-28-M-26, (11.09.2026) [FHM-M]</t>
        </is>
      </c>
      <c r="Z143" s="243" t="inlineStr">
        <is>
          <t>#8, #9, #11, #12 from the initial testing</t>
        </is>
      </c>
      <c r="AA143" s="243" t="inlineStr">
        <is>
          <t>P060012|R</t>
        </is>
      </c>
      <c r="AB143" s="250" t="inlineStr">
        <is>
          <t>registered — retest 1 · Tranche 2 (sampled 12–14.08.2026), tested 14.08.2026, issued 17.08.2026</t>
        </is>
      </c>
    </row>
    <row r="144">
      <c r="A144" s="243" t="n">
        <v>143</v>
      </c>
      <c r="B144" s="244" t="inlineStr">
        <is>
          <t>iCoA-PP_26-143</t>
        </is>
      </c>
      <c r="C144" s="249" t="inlineStr">
        <is>
          <t>yes</t>
        </is>
      </c>
      <c r="D144" s="245" t="n">
        <v>46258</v>
      </c>
      <c r="E144" s="245" t="n">
        <v>46253</v>
      </c>
      <c r="F144" s="245">
        <f>IFERROR(INDEX('Batch Dates'!$G:$G,MATCH(J144,'Batch Dates'!$C:$C,0)),IFERROR(INDEX('Batch Dates'!$G:$G,MATCH(I144,'Batch Dates'!$B:$B,0)),""))</f>
        <v/>
      </c>
      <c r="G144" s="243" t="inlineStr">
        <is>
          <t>legacy</t>
        </is>
      </c>
      <c r="H144" s="243" t="inlineStr">
        <is>
          <t>retest 2</t>
        </is>
      </c>
      <c r="I144" s="244" t="inlineStr">
        <is>
          <t>BSS1024_01/2</t>
        </is>
      </c>
      <c r="J144" s="243" t="inlineStr">
        <is>
          <t>P050142</t>
        </is>
      </c>
      <c r="K144" s="243" t="inlineStr">
        <is>
          <t>Blue Sunset Sherbet</t>
        </is>
      </c>
      <c r="L144" s="243" t="inlineStr">
        <is>
          <t>Ident A + Ident B + Foreign matter</t>
        </is>
      </c>
      <c r="M144" s="248" t="inlineStr">
        <is>
          <t>—</t>
        </is>
      </c>
      <c r="N144" s="243">
        <f>IFERROR(INDEX('CoQ Register'!$B:$B,MATCH("P050142|R2",'CoQ Register'!$S:$S,0)),"—")</f>
        <v/>
      </c>
      <c r="O144" s="248" t="inlineStr">
        <is>
          <t>—</t>
        </is>
      </c>
      <c r="P144" s="243" t="inlineStr">
        <is>
          <t>30.09.2026</t>
        </is>
      </c>
      <c r="Q144" s="243" t="inlineStr">
        <is>
          <t>— not given —</t>
        </is>
      </c>
      <c r="R144" s="243" t="inlineStr">
        <is>
          <t>30.09.2025</t>
        </is>
      </c>
      <c r="S144" s="245">
        <f>IFERROR(INDEX('CoQ Register'!$D:$D,MATCH("P050142|R2",'CoQ Register'!$S:$S,0)),"")</f>
        <v/>
      </c>
      <c r="T144" s="243" t="inlineStr">
        <is>
          <t>Conforms</t>
        </is>
      </c>
      <c r="U144" s="243" t="inlineStr">
        <is>
          <t>Conforms</t>
        </is>
      </c>
      <c r="V144" s="243" t="inlineStr">
        <is>
          <t>Conforms</t>
        </is>
      </c>
      <c r="W144" s="243" t="inlineStr">
        <is>
          <t>227-1-K-26, (11.09.2026) [FHM-K]</t>
        </is>
      </c>
      <c r="X144" s="243" t="inlineStr">
        <is>
          <t>227-1-K-26, (11.09.2026) [FHM-K]</t>
        </is>
      </c>
      <c r="Y144" s="243" t="inlineStr">
        <is>
          <t>— pending —</t>
        </is>
      </c>
      <c r="Z144" s="243" t="inlineStr">
        <is>
          <t>#8, #9, #11, #12 from the initial testing</t>
        </is>
      </c>
      <c r="AA144" s="243" t="inlineStr">
        <is>
          <t>P050142|R2</t>
        </is>
      </c>
      <c r="AB144" s="250" t="inlineStr">
        <is>
          <t>registered — retest 2 · Tranche 3 (sampled 19–21.08.2026), tested 19.08.2026, issued 24.08.2026</t>
        </is>
      </c>
    </row>
    <row r="145">
      <c r="A145" s="243" t="n">
        <v>144</v>
      </c>
      <c r="B145" s="244" t="inlineStr">
        <is>
          <t>iCoA-PP_26-144</t>
        </is>
      </c>
      <c r="C145" s="249" t="inlineStr">
        <is>
          <t>yes</t>
        </is>
      </c>
      <c r="D145" s="245" t="n">
        <v>46258</v>
      </c>
      <c r="E145" s="245" t="n">
        <v>46253</v>
      </c>
      <c r="F145" s="245">
        <f>IFERROR(INDEX('Batch Dates'!$G:$G,MATCH(J145,'Batch Dates'!$C:$C,0)),IFERROR(INDEX('Batch Dates'!$G:$G,MATCH(I145,'Batch Dates'!$B:$B,0)),""))</f>
        <v/>
      </c>
      <c r="G145" s="243" t="inlineStr">
        <is>
          <t>legacy</t>
        </is>
      </c>
      <c r="H145" s="243" t="inlineStr">
        <is>
          <t>retest 2</t>
        </is>
      </c>
      <c r="I145" s="244" t="inlineStr">
        <is>
          <t>GP0824_01</t>
        </is>
      </c>
      <c r="J145" s="243" t="inlineStr">
        <is>
          <t>P050102</t>
        </is>
      </c>
      <c r="K145" s="243" t="inlineStr">
        <is>
          <t>Grape Pie</t>
        </is>
      </c>
      <c r="L145" s="243" t="inlineStr">
        <is>
          <t>Ident A + Ident B + Foreign matter</t>
        </is>
      </c>
      <c r="M145" s="248" t="inlineStr">
        <is>
          <t>—</t>
        </is>
      </c>
      <c r="N145" s="243">
        <f>IFERROR(INDEX('CoQ Register'!$B:$B,MATCH("P050102|R2",'CoQ Register'!$S:$S,0)),"—")</f>
        <v/>
      </c>
      <c r="O145" s="248" t="inlineStr">
        <is>
          <t>—</t>
        </is>
      </c>
      <c r="P145" s="243" t="inlineStr">
        <is>
          <t>17.04.2026</t>
        </is>
      </c>
      <c r="Q145" s="243" t="inlineStr">
        <is>
          <t>20.03.2025 – 21.03.2025</t>
        </is>
      </c>
      <c r="R145" s="243" t="inlineStr">
        <is>
          <t>05.08.2025 – 07.08.2025 (the issuance plan's basis: 17.04.2025)</t>
        </is>
      </c>
      <c r="S145" s="245">
        <f>IFERROR(INDEX('CoQ Register'!$D:$D,MATCH("P050102|R2",'CoQ Register'!$S:$S,0)),"")</f>
        <v/>
      </c>
      <c r="T145" s="243" t="inlineStr">
        <is>
          <t>Conforms</t>
        </is>
      </c>
      <c r="U145" s="243" t="inlineStr">
        <is>
          <t>Conforms</t>
        </is>
      </c>
      <c r="V145" s="243" t="inlineStr">
        <is>
          <t>Conforms</t>
        </is>
      </c>
      <c r="W145" s="243" t="inlineStr">
        <is>
          <t>227-2-K-26, (11.09.2026) [FHM-K]</t>
        </is>
      </c>
      <c r="X145" s="243" t="inlineStr">
        <is>
          <t>227-2-K-26, (11.09.2026) [FHM-K]</t>
        </is>
      </c>
      <c r="Y145" s="243" t="inlineStr">
        <is>
          <t>— pending —</t>
        </is>
      </c>
      <c r="Z145" s="243" t="inlineStr">
        <is>
          <t>#8, #9, #11, #12 from the initial testing</t>
        </is>
      </c>
      <c r="AA145" s="243" t="inlineStr">
        <is>
          <t>P050102|R2</t>
        </is>
      </c>
      <c r="AB145" s="250" t="inlineStr">
        <is>
          <t>registered — retest 2 · Tranche 3 (sampled 19–21.08.2026), tested 19.08.2026, issued 24.08.2026</t>
        </is>
      </c>
    </row>
    <row r="146">
      <c r="A146" s="243" t="n">
        <v>145</v>
      </c>
      <c r="B146" s="244" t="inlineStr">
        <is>
          <t>iCoA-PP_26-145</t>
        </is>
      </c>
      <c r="C146" s="249" t="inlineStr">
        <is>
          <t>yes</t>
        </is>
      </c>
      <c r="D146" s="245" t="n">
        <v>46258</v>
      </c>
      <c r="E146" s="245" t="n">
        <v>46253</v>
      </c>
      <c r="F146" s="245">
        <f>IFERROR(INDEX('Batch Dates'!$G:$G,MATCH(J146,'Batch Dates'!$C:$C,0)),IFERROR(INDEX('Batch Dates'!$G:$G,MATCH(I146,'Batch Dates'!$B:$B,0)),""))</f>
        <v/>
      </c>
      <c r="G146" s="243" t="inlineStr">
        <is>
          <t>legacy</t>
        </is>
      </c>
      <c r="H146" s="243" t="inlineStr">
        <is>
          <t>retest 2</t>
        </is>
      </c>
      <c r="I146" s="244" t="inlineStr">
        <is>
          <t>OPM112501</t>
        </is>
      </c>
      <c r="J146" s="243" t="inlineStr">
        <is>
          <t>P060222</t>
        </is>
      </c>
      <c r="K146" s="243" t="inlineStr">
        <is>
          <t>Orange Punch Mimosa</t>
        </is>
      </c>
      <c r="L146" s="243" t="inlineStr">
        <is>
          <t>Ident A + Ident B + Foreign matter</t>
        </is>
      </c>
      <c r="M146" s="248" t="inlineStr">
        <is>
          <t>—</t>
        </is>
      </c>
      <c r="N146" s="243">
        <f>IFERROR(INDEX('CoQ Register'!$B:$B,MATCH("P060222|R2",'CoQ Register'!$S:$S,0)),"—")</f>
        <v/>
      </c>
      <c r="O146" s="248" t="inlineStr">
        <is>
          <t>—</t>
        </is>
      </c>
      <c r="P146" s="243" t="inlineStr">
        <is>
          <t>05.03.2027</t>
        </is>
      </c>
      <c r="Q146" s="243" t="inlineStr">
        <is>
          <t>05.02.2026</t>
        </is>
      </c>
      <c r="R146" s="243" t="inlineStr">
        <is>
          <t>24.04.2026 (the issuance plan's basis: 05.03.2026)</t>
        </is>
      </c>
      <c r="S146" s="245">
        <f>IFERROR(INDEX('CoQ Register'!$D:$D,MATCH("P060222|R2",'CoQ Register'!$S:$S,0)),"")</f>
        <v/>
      </c>
      <c r="T146" s="243" t="inlineStr">
        <is>
          <t>Conforms</t>
        </is>
      </c>
      <c r="U146" s="243" t="inlineStr">
        <is>
          <t>Conforms</t>
        </is>
      </c>
      <c r="V146" s="243" t="inlineStr">
        <is>
          <t>Conforms</t>
        </is>
      </c>
      <c r="W146" s="243" t="inlineStr">
        <is>
          <t>227-10-K-26, (11.09.2026) [FHM-K]</t>
        </is>
      </c>
      <c r="X146" s="243" t="inlineStr">
        <is>
          <t>227-10-K-26, (11.09.2026) [FHM-K]</t>
        </is>
      </c>
      <c r="Y146" s="243" t="inlineStr">
        <is>
          <t>— pending —</t>
        </is>
      </c>
      <c r="Z146" s="243" t="inlineStr">
        <is>
          <t>#8, #9, #11, #12 from the initial testing</t>
        </is>
      </c>
      <c r="AA146" s="243" t="inlineStr">
        <is>
          <t>P060222|R2</t>
        </is>
      </c>
      <c r="AB146" s="250" t="inlineStr">
        <is>
          <t>registered — retest 2 · Tranche 3 (sampled 19–21.08.2026), tested 19.08.2026, issued 24.08.2026</t>
        </is>
      </c>
    </row>
    <row r="147">
      <c r="A147" s="243" t="n">
        <v>146</v>
      </c>
      <c r="B147" s="244" t="inlineStr">
        <is>
          <t>iCoA-PP_26-146</t>
        </is>
      </c>
      <c r="C147" s="249" t="inlineStr">
        <is>
          <t>yes</t>
        </is>
      </c>
      <c r="D147" s="245" t="n">
        <v>46258</v>
      </c>
      <c r="E147" s="245" t="n">
        <v>46253</v>
      </c>
      <c r="F147" s="245">
        <f>IFERROR(INDEX('Batch Dates'!$G:$G,MATCH(J147,'Batch Dates'!$C:$C,0)),IFERROR(INDEX('Batch Dates'!$G:$G,MATCH(I147,'Batch Dates'!$B:$B,0)),""))</f>
        <v/>
      </c>
      <c r="G147" s="243" t="inlineStr">
        <is>
          <t>legacy</t>
        </is>
      </c>
      <c r="H147" s="243" t="inlineStr">
        <is>
          <t>retest 2</t>
        </is>
      </c>
      <c r="I147" s="244" t="inlineStr">
        <is>
          <t>PM072501</t>
        </is>
      </c>
      <c r="J147" s="243" t="inlineStr">
        <is>
          <t>P050272</t>
        </is>
      </c>
      <c r="K147" s="243" t="inlineStr">
        <is>
          <t>Permanent Marker</t>
        </is>
      </c>
      <c r="L147" s="243" t="inlineStr">
        <is>
          <t>Ident A + Ident B + Foreign matter</t>
        </is>
      </c>
      <c r="M147" s="248" t="inlineStr">
        <is>
          <t>—</t>
        </is>
      </c>
      <c r="N147" s="243">
        <f>IFERROR(INDEX('CoQ Register'!$B:$B,MATCH("P050272|R2",'CoQ Register'!$S:$S,0)),"—")</f>
        <v/>
      </c>
      <c r="O147" s="248" t="inlineStr">
        <is>
          <t>—</t>
        </is>
      </c>
      <c r="P147" s="243" t="inlineStr">
        <is>
          <t>21.01.2027</t>
        </is>
      </c>
      <c r="Q147" s="243" t="inlineStr">
        <is>
          <t>27.10.2025</t>
        </is>
      </c>
      <c r="R147" s="243" t="inlineStr">
        <is>
          <t>02.12.2025 – 03.12.2025 (the issuance plan's basis: 21.01.2026)</t>
        </is>
      </c>
      <c r="S147" s="245">
        <f>IFERROR(INDEX('CoQ Register'!$D:$D,MATCH("P050272|R2",'CoQ Register'!$S:$S,0)),"")</f>
        <v/>
      </c>
      <c r="T147" s="243" t="inlineStr">
        <is>
          <t>Conforms</t>
        </is>
      </c>
      <c r="U147" s="243" t="inlineStr">
        <is>
          <t>Conforms</t>
        </is>
      </c>
      <c r="V147" s="243" t="inlineStr">
        <is>
          <t>Conforms</t>
        </is>
      </c>
      <c r="W147" s="243" t="inlineStr">
        <is>
          <t>227-9-K-26, (11.09.2026) [FHM-K]</t>
        </is>
      </c>
      <c r="X147" s="243" t="inlineStr">
        <is>
          <t>227-9-K-26, (11.09.2026) [FHM-K]</t>
        </is>
      </c>
      <c r="Y147" s="243" t="inlineStr">
        <is>
          <t>— pending —</t>
        </is>
      </c>
      <c r="Z147" s="243" t="inlineStr">
        <is>
          <t>#8, #9, #11, #12 from the initial testing</t>
        </is>
      </c>
      <c r="AA147" s="243" t="inlineStr">
        <is>
          <t>P050272|R2</t>
        </is>
      </c>
      <c r="AB147" s="250" t="inlineStr">
        <is>
          <t>registered — retest 2 · Tranche 3 (sampled 19–21.08.2026), tested 19.08.2026, issued 24.08.2026</t>
        </is>
      </c>
    </row>
    <row r="148">
      <c r="A148" s="243" t="n">
        <v>147</v>
      </c>
      <c r="B148" s="244" t="inlineStr">
        <is>
          <t>iCoA-PP_26-147</t>
        </is>
      </c>
      <c r="C148" s="249" t="inlineStr">
        <is>
          <t>yes</t>
        </is>
      </c>
      <c r="D148" s="245" t="n">
        <v>46258</v>
      </c>
      <c r="E148" s="245" t="n">
        <v>46253</v>
      </c>
      <c r="F148" s="245">
        <f>IFERROR(INDEX('Batch Dates'!$G:$G,MATCH(J148,'Batch Dates'!$C:$C,0)),IFERROR(INDEX('Batch Dates'!$G:$G,MATCH(I148,'Batch Dates'!$B:$B,0)),""))</f>
        <v/>
      </c>
      <c r="G148" s="243" t="inlineStr">
        <is>
          <t>post-SOP</t>
        </is>
      </c>
      <c r="H148" s="243" t="inlineStr">
        <is>
          <t>retest 2</t>
        </is>
      </c>
      <c r="I148" s="244" t="inlineStr">
        <is>
          <t>SCR012601*</t>
        </is>
      </c>
      <c r="J148" s="243" t="inlineStr">
        <is>
          <t>P060342</t>
        </is>
      </c>
      <c r="K148" s="243" t="inlineStr">
        <is>
          <t>Scrambler</t>
        </is>
      </c>
      <c r="L148" s="243" t="inlineStr">
        <is>
          <t>Ident A + Ident B + Foreign matter</t>
        </is>
      </c>
      <c r="M148" s="248" t="inlineStr">
        <is>
          <t>—</t>
        </is>
      </c>
      <c r="N148" s="243">
        <f>IFERROR(INDEX('CoQ Register'!$B:$B,MATCH("P060342|R2",'CoQ Register'!$S:$S,0)),"—")</f>
        <v/>
      </c>
      <c r="O148" s="248" t="inlineStr">
        <is>
          <t>—</t>
        </is>
      </c>
      <c r="P148" s="243" t="inlineStr">
        <is>
          <t>25.05.2027</t>
        </is>
      </c>
      <c r="Q148" s="243" t="inlineStr">
        <is>
          <t>16.04.2026</t>
        </is>
      </c>
      <c r="R148" s="243" t="inlineStr">
        <is>
          <t>25.05.2026</t>
        </is>
      </c>
      <c r="S148" s="245">
        <f>IFERROR(INDEX('CoQ Register'!$D:$D,MATCH("P060342|R2",'CoQ Register'!$S:$S,0)),"")</f>
        <v/>
      </c>
      <c r="T148" s="243" t="inlineStr">
        <is>
          <t>Conforms</t>
        </is>
      </c>
      <c r="U148" s="243" t="inlineStr">
        <is>
          <t>Conforms</t>
        </is>
      </c>
      <c r="V148" s="243" t="inlineStr">
        <is>
          <t>Conforms</t>
        </is>
      </c>
      <c r="W148" s="243" t="inlineStr">
        <is>
          <t>227-8-K-26, (11.09.2026) [FHM-K]</t>
        </is>
      </c>
      <c r="X148" s="243" t="inlineStr">
        <is>
          <t>227-8-K-26, (11.09.2026) [FHM-K]</t>
        </is>
      </c>
      <c r="Y148" s="243" t="inlineStr">
        <is>
          <t>— pending —</t>
        </is>
      </c>
      <c r="Z148" s="243" t="inlineStr">
        <is>
          <t>#8, #9, #11, #12 from the initial testing</t>
        </is>
      </c>
      <c r="AA148" s="243" t="inlineStr">
        <is>
          <t>P060342|R2</t>
        </is>
      </c>
      <c r="AB148" s="250" t="inlineStr">
        <is>
          <t>registered — retest 2 · Tranche 3 (sampled 19–21.08.2026), tested 19.08.2026, issued 24.08.2026</t>
        </is>
      </c>
    </row>
    <row r="149">
      <c r="A149" s="243" t="n">
        <v>148</v>
      </c>
      <c r="B149" s="244" t="inlineStr">
        <is>
          <t>iCoA-PP_26-148</t>
        </is>
      </c>
      <c r="C149" s="249" t="inlineStr">
        <is>
          <t>yes</t>
        </is>
      </c>
      <c r="D149" s="245" t="n">
        <v>46258</v>
      </c>
      <c r="E149" s="245" t="n">
        <v>46253</v>
      </c>
      <c r="F149" s="245">
        <f>IFERROR(INDEX('Batch Dates'!$G:$G,MATCH(J149,'Batch Dates'!$C:$C,0)),IFERROR(INDEX('Batch Dates'!$G:$G,MATCH(I149,'Batch Dates'!$B:$B,0)),""))</f>
        <v/>
      </c>
      <c r="G149" s="243" t="inlineStr">
        <is>
          <t>post-SOP</t>
        </is>
      </c>
      <c r="H149" s="243" t="inlineStr">
        <is>
          <t>retest 2</t>
        </is>
      </c>
      <c r="I149" s="244" t="inlineStr">
        <is>
          <t>SCR022601</t>
        </is>
      </c>
      <c r="J149" s="243" t="inlineStr">
        <is>
          <t>P060442</t>
        </is>
      </c>
      <c r="K149" s="243" t="inlineStr">
        <is>
          <t>Scrambler</t>
        </is>
      </c>
      <c r="L149" s="243" t="inlineStr">
        <is>
          <t>Ident A + Ident B + Foreign matter</t>
        </is>
      </c>
      <c r="M149" s="248" t="inlineStr">
        <is>
          <t>—</t>
        </is>
      </c>
      <c r="N149" s="243">
        <f>IFERROR(INDEX('CoQ Register'!$B:$B,MATCH("P060442|R2",'CoQ Register'!$S:$S,0)),"—")</f>
        <v/>
      </c>
      <c r="O149" s="248" t="inlineStr">
        <is>
          <t>—</t>
        </is>
      </c>
      <c r="P149" s="243" t="inlineStr">
        <is>
          <t>06.07.2027</t>
        </is>
      </c>
      <c r="Q149" s="243" t="inlineStr">
        <is>
          <t>13.05.2026</t>
        </is>
      </c>
      <c r="R149" s="243" t="inlineStr">
        <is>
          <t>18.06.2026 (the issuance plan's basis: 06.07.2026)</t>
        </is>
      </c>
      <c r="S149" s="245">
        <f>IFERROR(INDEX('CoQ Register'!$D:$D,MATCH("P060442|R2",'CoQ Register'!$S:$S,0)),"")</f>
        <v/>
      </c>
      <c r="T149" s="243" t="inlineStr">
        <is>
          <t>CNP ППК26116</t>
        </is>
      </c>
      <c r="U149" s="243" t="inlineStr">
        <is>
          <t>CNP ППК26116</t>
        </is>
      </c>
      <c r="V149" s="243" t="inlineStr">
        <is>
          <t>Conforms</t>
        </is>
      </c>
      <c r="W149" s="243" t="inlineStr">
        <is>
          <t>227-7-K-26, (11.09.2026) [FHM-K]</t>
        </is>
      </c>
      <c r="X149" s="243" t="inlineStr">
        <is>
          <t>227-7-K-26, (11.09.2026) [FHM-K]</t>
        </is>
      </c>
      <c r="Y149" s="243" t="inlineStr">
        <is>
          <t>— pending —</t>
        </is>
      </c>
      <c r="Z149" s="243" t="inlineStr">
        <is>
          <t>#8, #9, #11, #12 from the initial testing</t>
        </is>
      </c>
      <c r="AA149" s="243" t="inlineStr">
        <is>
          <t>P060442|R2</t>
        </is>
      </c>
      <c r="AB149" s="250" t="inlineStr">
        <is>
          <t>registered — retest 2 · Tranche 3 (sampled 19–21.08.2026), tested 19.08.2026, issued 24.08.2026</t>
        </is>
      </c>
    </row>
    <row r="150">
      <c r="A150" s="243" t="n">
        <v>149</v>
      </c>
      <c r="B150" s="244" t="inlineStr">
        <is>
          <t>iCoA-PP_26-149</t>
        </is>
      </c>
      <c r="C150" s="249" t="inlineStr">
        <is>
          <t>yes</t>
        </is>
      </c>
      <c r="D150" s="245" t="n">
        <v>46258</v>
      </c>
      <c r="E150" s="245" t="n">
        <v>46253</v>
      </c>
      <c r="F150" s="245">
        <f>IFERROR(INDEX('Batch Dates'!$G:$G,MATCH(J150,'Batch Dates'!$C:$C,0)),IFERROR(INDEX('Batch Dates'!$G:$G,MATCH(I150,'Batch Dates'!$B:$B,0)),""))</f>
        <v/>
      </c>
      <c r="G150" s="243" t="inlineStr">
        <is>
          <t>legacy</t>
        </is>
      </c>
      <c r="H150" s="243" t="inlineStr">
        <is>
          <t>retest 2</t>
        </is>
      </c>
      <c r="I150" s="244" t="inlineStr">
        <is>
          <t>SJ102501</t>
        </is>
      </c>
      <c r="J150" s="243" t="inlineStr">
        <is>
          <t>P060162</t>
        </is>
      </c>
      <c r="K150" s="243" t="inlineStr">
        <is>
          <t>Sleepy Joe</t>
        </is>
      </c>
      <c r="L150" s="243" t="inlineStr">
        <is>
          <t>Ident A + Ident B + Foreign matter</t>
        </is>
      </c>
      <c r="M150" s="248" t="inlineStr">
        <is>
          <t>—</t>
        </is>
      </c>
      <c r="N150" s="243">
        <f>IFERROR(INDEX('CoQ Register'!$B:$B,MATCH("P060162|R2",'CoQ Register'!$S:$S,0)),"—")</f>
        <v/>
      </c>
      <c r="O150" s="248" t="inlineStr">
        <is>
          <t>—</t>
        </is>
      </c>
      <c r="P150" s="243" t="inlineStr">
        <is>
          <t>04.03.2027</t>
        </is>
      </c>
      <c r="Q150" s="243" t="inlineStr">
        <is>
          <t>20.01.2026</t>
        </is>
      </c>
      <c r="R150" s="243" t="inlineStr">
        <is>
          <t>09.03.2026 (the issuance plan's basis: 04.03.2026)</t>
        </is>
      </c>
      <c r="S150" s="245">
        <f>IFERROR(INDEX('CoQ Register'!$D:$D,MATCH("P060162|R2",'CoQ Register'!$S:$S,0)),"")</f>
        <v/>
      </c>
      <c r="T150" s="243" t="inlineStr">
        <is>
          <t>Conforms</t>
        </is>
      </c>
      <c r="U150" s="243" t="inlineStr">
        <is>
          <t>Conforms</t>
        </is>
      </c>
      <c r="V150" s="243" t="inlineStr">
        <is>
          <t>Conforms</t>
        </is>
      </c>
      <c r="W150" s="243" t="inlineStr">
        <is>
          <t>227-6-K-26, (11.09.2026) [FHM-K]</t>
        </is>
      </c>
      <c r="X150" s="243" t="inlineStr">
        <is>
          <t>227-6-K-26, (11.09.2026) [FHM-K]</t>
        </is>
      </c>
      <c r="Y150" s="243" t="inlineStr">
        <is>
          <t>— pending —</t>
        </is>
      </c>
      <c r="Z150" s="243" t="inlineStr">
        <is>
          <t>#8, #9, #11, #12 from the initial testing</t>
        </is>
      </c>
      <c r="AA150" s="243" t="inlineStr">
        <is>
          <t>P060162|R2</t>
        </is>
      </c>
      <c r="AB150" s="250" t="inlineStr">
        <is>
          <t>registered — retest 2 · Tranche 3 (sampled 19–21.08.2026), tested 19.08.2026, issued 24.08.2026</t>
        </is>
      </c>
    </row>
    <row r="151">
      <c r="A151" s="243" t="n">
        <v>150</v>
      </c>
      <c r="B151" s="244" t="inlineStr">
        <is>
          <t>iCoA-PP_26-150</t>
        </is>
      </c>
      <c r="C151" s="249" t="inlineStr">
        <is>
          <t>yes</t>
        </is>
      </c>
      <c r="D151" s="245" t="n">
        <v>46258</v>
      </c>
      <c r="E151" s="245" t="n">
        <v>46253</v>
      </c>
      <c r="F151" s="245">
        <f>IFERROR(INDEX('Batch Dates'!$G:$G,MATCH(J151,'Batch Dates'!$C:$C,0)),IFERROR(INDEX('Batch Dates'!$G:$G,MATCH(I151,'Batch Dates'!$B:$B,0)),""))</f>
        <v/>
      </c>
      <c r="G151" s="243" t="inlineStr">
        <is>
          <t>legacy</t>
        </is>
      </c>
      <c r="H151" s="243" t="inlineStr">
        <is>
          <t>retest 1</t>
        </is>
      </c>
      <c r="I151" s="244" t="inlineStr">
        <is>
          <t>SJ112501</t>
        </is>
      </c>
      <c r="J151" s="243" t="inlineStr">
        <is>
          <t>P060192</t>
        </is>
      </c>
      <c r="K151" s="243" t="inlineStr">
        <is>
          <t>Sleepy Joe</t>
        </is>
      </c>
      <c r="L151" s="243" t="inlineStr">
        <is>
          <t>Ident A + Ident B + Foreign matter</t>
        </is>
      </c>
      <c r="M151" s="248" t="inlineStr">
        <is>
          <t>—</t>
        </is>
      </c>
      <c r="N151" s="243">
        <f>IFERROR(INDEX('CoQ Register'!$B:$B,MATCH("P060192|R",'CoQ Register'!$S:$S,0)),"—")</f>
        <v/>
      </c>
      <c r="O151" s="248" t="inlineStr">
        <is>
          <t>—</t>
        </is>
      </c>
      <c r="P151" s="243" t="inlineStr">
        <is>
          <t>04.03.2027</t>
        </is>
      </c>
      <c r="Q151" s="243" t="inlineStr">
        <is>
          <t>26.01.2026 – 27.01.2026</t>
        </is>
      </c>
      <c r="R151" s="243" t="inlineStr">
        <is>
          <t>31.03.2026 (the issuance plan's basis: 04.03.2026)</t>
        </is>
      </c>
      <c r="S151" s="245">
        <f>IFERROR(INDEX('CoQ Register'!$D:$D,MATCH("P060192|R",'CoQ Register'!$S:$S,0)),"")</f>
        <v/>
      </c>
      <c r="T151" s="243" t="inlineStr">
        <is>
          <t>Conforms</t>
        </is>
      </c>
      <c r="U151" s="243" t="inlineStr">
        <is>
          <t>Conforms</t>
        </is>
      </c>
      <c r="V151" s="243" t="inlineStr">
        <is>
          <t>Conforms</t>
        </is>
      </c>
      <c r="W151" s="243" t="inlineStr">
        <is>
          <t>227-5-K-26, (11.09.2026) [FHM-K]</t>
        </is>
      </c>
      <c r="X151" s="243" t="inlineStr">
        <is>
          <t>227-5-K-26, (11.09.2026) [FHM-K]</t>
        </is>
      </c>
      <c r="Y151" s="243" t="inlineStr">
        <is>
          <t>— pending —</t>
        </is>
      </c>
      <c r="Z151" s="243" t="inlineStr">
        <is>
          <t>#8, #9, #11, #12 from the initial testing</t>
        </is>
      </c>
      <c r="AA151" s="243" t="inlineStr">
        <is>
          <t>P060192|R</t>
        </is>
      </c>
      <c r="AB151" s="250" t="inlineStr">
        <is>
          <t>registered — retest 1 · Tranche 3 (sampled 19–21.08.2026), tested 19.08.2026, issued 24.08.2026</t>
        </is>
      </c>
    </row>
    <row r="152">
      <c r="A152" s="243" t="n">
        <v>151</v>
      </c>
      <c r="B152" s="244" t="inlineStr">
        <is>
          <t>iCoA-PP_26-151</t>
        </is>
      </c>
      <c r="C152" s="249" t="inlineStr">
        <is>
          <t>yes</t>
        </is>
      </c>
      <c r="D152" s="245" t="n">
        <v>46258</v>
      </c>
      <c r="E152" s="245" t="n">
        <v>46253</v>
      </c>
      <c r="F152" s="245">
        <f>IFERROR(INDEX('Batch Dates'!$G:$G,MATCH(J152,'Batch Dates'!$C:$C,0)),IFERROR(INDEX('Batch Dates'!$G:$G,MATCH(I152,'Batch Dates'!$B:$B,0)),""))</f>
        <v/>
      </c>
      <c r="G152" s="243" t="inlineStr">
        <is>
          <t>legacy</t>
        </is>
      </c>
      <c r="H152" s="243" t="inlineStr">
        <is>
          <t>retest 2</t>
        </is>
      </c>
      <c r="I152" s="244" t="inlineStr">
        <is>
          <t>WC072501</t>
        </is>
      </c>
      <c r="J152" s="243" t="inlineStr">
        <is>
          <t>P050262</t>
        </is>
      </c>
      <c r="K152" s="243" t="inlineStr">
        <is>
          <t>Wedding Crusher</t>
        </is>
      </c>
      <c r="L152" s="243" t="inlineStr">
        <is>
          <t>Ident A + Ident B + Foreign matter</t>
        </is>
      </c>
      <c r="M152" s="248" t="inlineStr">
        <is>
          <t>—</t>
        </is>
      </c>
      <c r="N152" s="243">
        <f>IFERROR(INDEX('CoQ Register'!$B:$B,MATCH("P050262|R2",'CoQ Register'!$S:$S,0)),"—")</f>
        <v/>
      </c>
      <c r="O152" s="248" t="inlineStr">
        <is>
          <t>—</t>
        </is>
      </c>
      <c r="P152" s="243" t="inlineStr">
        <is>
          <t>02.12.2026</t>
        </is>
      </c>
      <c r="Q152" s="243" t="inlineStr">
        <is>
          <t>27.10.2025 – 28.10.2025</t>
        </is>
      </c>
      <c r="R152" s="243" t="inlineStr">
        <is>
          <t>01.12.2025 (the issuance plan's basis: 02.12.2025)</t>
        </is>
      </c>
      <c r="S152" s="245">
        <f>IFERROR(INDEX('CoQ Register'!$D:$D,MATCH("P050262|R2",'CoQ Register'!$S:$S,0)),"")</f>
        <v/>
      </c>
      <c r="T152" s="243" t="inlineStr">
        <is>
          <t>Conforms</t>
        </is>
      </c>
      <c r="U152" s="243" t="inlineStr">
        <is>
          <t>Conforms</t>
        </is>
      </c>
      <c r="V152" s="243" t="inlineStr">
        <is>
          <t>Conforms</t>
        </is>
      </c>
      <c r="W152" s="243" t="inlineStr">
        <is>
          <t>227-3-K-26, (11.09.2026) [FHM-K]</t>
        </is>
      </c>
      <c r="X152" s="243" t="inlineStr">
        <is>
          <t>227-3-K-26, (11.09.2026) [FHM-K]</t>
        </is>
      </c>
      <c r="Y152" s="243" t="inlineStr">
        <is>
          <t>— pending —</t>
        </is>
      </c>
      <c r="Z152" s="243" t="inlineStr">
        <is>
          <t>#8, #9, #11, #12 from the initial testing</t>
        </is>
      </c>
      <c r="AA152" s="243" t="inlineStr">
        <is>
          <t>P050262|R2</t>
        </is>
      </c>
      <c r="AB152" s="250" t="inlineStr">
        <is>
          <t>registered — retest 2 · Tranche 3 (sampled 19–21.08.2026), tested 19.08.2026, issued 24.08.2026</t>
        </is>
      </c>
    </row>
    <row r="153">
      <c r="A153" s="243" t="n">
        <v>152</v>
      </c>
      <c r="B153" s="244" t="inlineStr">
        <is>
          <t>iCoA-PP_26-152</t>
        </is>
      </c>
      <c r="C153" s="249" t="inlineStr">
        <is>
          <t>yes</t>
        </is>
      </c>
      <c r="D153" s="245" t="n">
        <v>46258</v>
      </c>
      <c r="E153" s="245" t="n">
        <v>46253</v>
      </c>
      <c r="F153" s="245">
        <f>IFERROR(INDEX('Batch Dates'!$G:$G,MATCH(J153,'Batch Dates'!$C:$C,0)),IFERROR(INDEX('Batch Dates'!$G:$G,MATCH(I153,'Batch Dates'!$B:$B,0)),""))</f>
        <v/>
      </c>
      <c r="G153" s="243" t="inlineStr">
        <is>
          <t>legacy</t>
        </is>
      </c>
      <c r="H153" s="243" t="inlineStr">
        <is>
          <t>retest 2</t>
        </is>
      </c>
      <c r="I153" s="244" t="inlineStr">
        <is>
          <t>WED102501</t>
        </is>
      </c>
      <c r="J153" s="243" t="inlineStr">
        <is>
          <t>P060102</t>
        </is>
      </c>
      <c r="K153" s="243" t="inlineStr">
        <is>
          <t>Wedding Cake</t>
        </is>
      </c>
      <c r="L153" s="243" t="inlineStr">
        <is>
          <t>Ident A + Ident B + Foreign matter</t>
        </is>
      </c>
      <c r="M153" s="248" t="inlineStr">
        <is>
          <t>—</t>
        </is>
      </c>
      <c r="N153" s="243">
        <f>IFERROR(INDEX('CoQ Register'!$B:$B,MATCH("P060102|R2",'CoQ Register'!$S:$S,0)),"—")</f>
        <v/>
      </c>
      <c r="O153" s="248" t="inlineStr">
        <is>
          <t>—</t>
        </is>
      </c>
      <c r="P153" s="243" t="inlineStr">
        <is>
          <t>16.02.2027</t>
        </is>
      </c>
      <c r="Q153" s="243" t="inlineStr">
        <is>
          <t>08.01.2026</t>
        </is>
      </c>
      <c r="R153" s="243" t="inlineStr">
        <is>
          <t>16.02.2026</t>
        </is>
      </c>
      <c r="S153" s="245">
        <f>IFERROR(INDEX('CoQ Register'!$D:$D,MATCH("P060102|R2",'CoQ Register'!$S:$S,0)),"")</f>
        <v/>
      </c>
      <c r="T153" s="243" t="inlineStr">
        <is>
          <t>Conforms</t>
        </is>
      </c>
      <c r="U153" s="243" t="inlineStr">
        <is>
          <t>Conforms</t>
        </is>
      </c>
      <c r="V153" s="243" t="inlineStr">
        <is>
          <t>Conforms</t>
        </is>
      </c>
      <c r="W153" s="243" t="inlineStr">
        <is>
          <t>227-4-K-26, (11.09.2026) [FHM-K]</t>
        </is>
      </c>
      <c r="X153" s="243" t="inlineStr">
        <is>
          <t>227-4-K-26, (11.09.2026) [FHM-K]</t>
        </is>
      </c>
      <c r="Y153" s="243" t="inlineStr">
        <is>
          <t>— pending —</t>
        </is>
      </c>
      <c r="Z153" s="243" t="inlineStr">
        <is>
          <t>#8, #9, #11, #12 from the initial testing</t>
        </is>
      </c>
      <c r="AA153" s="243" t="inlineStr">
        <is>
          <t>P060102|R2</t>
        </is>
      </c>
      <c r="AB153" s="250" t="inlineStr">
        <is>
          <t>registered — retest 2 · Tranche 3 (sampled 19–21.08.2026), tested 19.08.2026, issued 24.08.2026</t>
        </is>
      </c>
    </row>
    <row r="154">
      <c r="A154" s="243" t="n">
        <v>153</v>
      </c>
      <c r="B154" s="244" t="inlineStr">
        <is>
          <t>iCoA-PP_26-153</t>
        </is>
      </c>
      <c r="C154" s="249" t="inlineStr">
        <is>
          <t>yes</t>
        </is>
      </c>
      <c r="D154" s="245" t="n">
        <v>46258</v>
      </c>
      <c r="E154" s="245" t="n">
        <v>46254</v>
      </c>
      <c r="F154" s="245">
        <f>IFERROR(INDEX('Batch Dates'!$G:$G,MATCH(J154,'Batch Dates'!$C:$C,0)),IFERROR(INDEX('Batch Dates'!$G:$G,MATCH(I154,'Batch Dates'!$B:$B,0)),""))</f>
        <v/>
      </c>
      <c r="G154" s="243" t="inlineStr">
        <is>
          <t>legacy</t>
        </is>
      </c>
      <c r="H154" s="243" t="inlineStr">
        <is>
          <t>retest 2</t>
        </is>
      </c>
      <c r="I154" s="244" t="inlineStr">
        <is>
          <t>GG1024_02</t>
        </is>
      </c>
      <c r="J154" s="243" t="inlineStr">
        <is>
          <t>P050012</t>
        </is>
      </c>
      <c r="K154" s="243" t="inlineStr">
        <is>
          <t>Gorilla Glue</t>
        </is>
      </c>
      <c r="L154" s="243" t="inlineStr">
        <is>
          <t>Ident A + Ident B + Foreign matter</t>
        </is>
      </c>
      <c r="M154" s="248" t="inlineStr">
        <is>
          <t>—</t>
        </is>
      </c>
      <c r="N154" s="243">
        <f>IFERROR(INDEX('CoQ Register'!$B:$B,MATCH("P050012|R2",'CoQ Register'!$S:$S,0)),"—")</f>
        <v/>
      </c>
      <c r="O154" s="248" t="inlineStr">
        <is>
          <t>—</t>
        </is>
      </c>
      <c r="P154" s="243" t="inlineStr">
        <is>
          <t>30.05.2026</t>
        </is>
      </c>
      <c r="Q154" s="243" t="inlineStr">
        <is>
          <t>14.04.2025 – 15.04.2025</t>
        </is>
      </c>
      <c r="R154" s="243" t="inlineStr">
        <is>
          <t>11.06.2025 – 16.06.2025 (the issuance plan's basis: 30.05.2025)</t>
        </is>
      </c>
      <c r="S154" s="245">
        <f>IFERROR(INDEX('CoQ Register'!$D:$D,MATCH("P050012|R2",'CoQ Register'!$S:$S,0)),"")</f>
        <v/>
      </c>
      <c r="T154" s="243" t="inlineStr">
        <is>
          <t>Conforms</t>
        </is>
      </c>
      <c r="U154" s="243" t="inlineStr">
        <is>
          <t>Conforms</t>
        </is>
      </c>
      <c r="V154" s="243" t="inlineStr">
        <is>
          <t>Conforms</t>
        </is>
      </c>
      <c r="W154" s="243" t="inlineStr">
        <is>
          <t>227-19-K-26, (11.09.2026) [FHM-K]</t>
        </is>
      </c>
      <c r="X154" s="243" t="inlineStr">
        <is>
          <t>227-19-K-26, (11.09.2026) [FHM-K]</t>
        </is>
      </c>
      <c r="Y154" s="243" t="inlineStr">
        <is>
          <t>— pending —</t>
        </is>
      </c>
      <c r="Z154" s="243" t="inlineStr">
        <is>
          <t>#8, #9, #11, #12 from the initial testing</t>
        </is>
      </c>
      <c r="AA154" s="243" t="inlineStr">
        <is>
          <t>P050012|R2</t>
        </is>
      </c>
      <c r="AB154" s="250" t="inlineStr">
        <is>
          <t>registered — retest 2 · Tranche 3 (sampled 19–21.08.2026), tested 20.08.2026, issued 24.08.2026</t>
        </is>
      </c>
    </row>
    <row r="155">
      <c r="A155" s="243" t="n">
        <v>154</v>
      </c>
      <c r="B155" s="244" t="inlineStr">
        <is>
          <t>iCoA-PP_26-154</t>
        </is>
      </c>
      <c r="C155" s="249" t="inlineStr">
        <is>
          <t>yes</t>
        </is>
      </c>
      <c r="D155" s="245" t="n">
        <v>46258</v>
      </c>
      <c r="E155" s="245" t="n">
        <v>46254</v>
      </c>
      <c r="F155" s="245">
        <f>IFERROR(INDEX('Batch Dates'!$G:$G,MATCH(J155,'Batch Dates'!$C:$C,0)),IFERROR(INDEX('Batch Dates'!$G:$G,MATCH(I155,'Batch Dates'!$B:$B,0)),""))</f>
        <v/>
      </c>
      <c r="G155" s="243" t="inlineStr">
        <is>
          <t>legacy</t>
        </is>
      </c>
      <c r="H155" s="243" t="inlineStr">
        <is>
          <t>retest 2</t>
        </is>
      </c>
      <c r="I155" s="244" t="inlineStr">
        <is>
          <t>GG112501</t>
        </is>
      </c>
      <c r="J155" s="243" t="inlineStr">
        <is>
          <t>P060252</t>
        </is>
      </c>
      <c r="K155" s="243" t="inlineStr">
        <is>
          <t>Gorilla Glue</t>
        </is>
      </c>
      <c r="L155" s="243" t="inlineStr">
        <is>
          <t>Ident A + Ident B + Foreign matter</t>
        </is>
      </c>
      <c r="M155" s="248" t="inlineStr">
        <is>
          <t>—</t>
        </is>
      </c>
      <c r="N155" s="243">
        <f>IFERROR(INDEX('CoQ Register'!$B:$B,MATCH("P060252|R2",'CoQ Register'!$S:$S,0)),"—")</f>
        <v/>
      </c>
      <c r="O155" s="248" t="inlineStr">
        <is>
          <t>—</t>
        </is>
      </c>
      <c r="P155" s="243" t="inlineStr">
        <is>
          <t>11.05.2027</t>
        </is>
      </c>
      <c r="Q155" s="243" t="inlineStr">
        <is>
          <t>25.03.2026</t>
        </is>
      </c>
      <c r="R155" s="243" t="inlineStr">
        <is>
          <t>05.05.2026 (the issuance plan's basis: 11.05.2026)</t>
        </is>
      </c>
      <c r="S155" s="245">
        <f>IFERROR(INDEX('CoQ Register'!$D:$D,MATCH("P060252|R2",'CoQ Register'!$S:$S,0)),"")</f>
        <v/>
      </c>
      <c r="T155" s="243" t="inlineStr">
        <is>
          <t>Conforms</t>
        </is>
      </c>
      <c r="U155" s="243" t="inlineStr">
        <is>
          <t>Conforms</t>
        </is>
      </c>
      <c r="V155" s="243" t="inlineStr">
        <is>
          <t>Conforms</t>
        </is>
      </c>
      <c r="W155" s="243" t="inlineStr">
        <is>
          <t>227-20-K-26, (11.09.2026) [FHM-K]</t>
        </is>
      </c>
      <c r="X155" s="243" t="inlineStr">
        <is>
          <t>227-20-K-26, (11.09.2026) [FHM-K]</t>
        </is>
      </c>
      <c r="Y155" s="243" t="inlineStr">
        <is>
          <t>— pending —</t>
        </is>
      </c>
      <c r="Z155" s="243" t="inlineStr">
        <is>
          <t>#8, #9, #11, #12 from the initial testing</t>
        </is>
      </c>
      <c r="AA155" s="243" t="inlineStr">
        <is>
          <t>P060252|R2</t>
        </is>
      </c>
      <c r="AB155" s="250" t="inlineStr">
        <is>
          <t>registered — retest 2 · Tranche 3 (sampled 19–21.08.2026), tested 20.08.2026, issued 24.08.2026</t>
        </is>
      </c>
    </row>
    <row r="156">
      <c r="A156" s="243" t="n">
        <v>155</v>
      </c>
      <c r="B156" s="244" t="inlineStr">
        <is>
          <t>iCoA-PP_26-155</t>
        </is>
      </c>
      <c r="C156" s="249" t="inlineStr">
        <is>
          <t>yes</t>
        </is>
      </c>
      <c r="D156" s="245" t="n">
        <v>46258</v>
      </c>
      <c r="E156" s="245" t="n">
        <v>46254</v>
      </c>
      <c r="F156" s="245">
        <f>IFERROR(INDEX('Batch Dates'!$G:$G,MATCH(J156,'Batch Dates'!$C:$C,0)),IFERROR(INDEX('Batch Dates'!$G:$G,MATCH(I156,'Batch Dates'!$B:$B,0)),""))</f>
        <v/>
      </c>
      <c r="G156" s="243" t="inlineStr">
        <is>
          <t>legacy</t>
        </is>
      </c>
      <c r="H156" s="243" t="inlineStr">
        <is>
          <t>retest 5</t>
        </is>
      </c>
      <c r="I156" s="244" t="inlineStr">
        <is>
          <t>GP062501</t>
        </is>
      </c>
      <c r="J156" s="243" t="inlineStr">
        <is>
          <t>P050202</t>
        </is>
      </c>
      <c r="K156" s="243" t="inlineStr">
        <is>
          <t>Grape Pie</t>
        </is>
      </c>
      <c r="L156" s="243" t="inlineStr">
        <is>
          <t>Ident A + Ident B + Foreign matter</t>
        </is>
      </c>
      <c r="M156" s="248" t="inlineStr">
        <is>
          <t>—</t>
        </is>
      </c>
      <c r="N156" s="243">
        <f>IFERROR(INDEX('CoQ Register'!$B:$B,MATCH("P050202|R5",'CoQ Register'!$S:$S,0)),"—")</f>
        <v/>
      </c>
      <c r="O156" s="248" t="inlineStr">
        <is>
          <t>—</t>
        </is>
      </c>
      <c r="P156" s="243" t="inlineStr">
        <is>
          <t>11.05.2027</t>
        </is>
      </c>
      <c r="Q156" s="243" t="inlineStr">
        <is>
          <t>15.09.2025 – 17.09.2025</t>
        </is>
      </c>
      <c r="R156" s="243" t="inlineStr">
        <is>
          <t>30.10.2025 – 07.11.2025 (the issuance plan's basis: 11.05.2026)</t>
        </is>
      </c>
      <c r="S156" s="245">
        <f>IFERROR(INDEX('CoQ Register'!$D:$D,MATCH("P050202|R5",'CoQ Register'!$S:$S,0)),"")</f>
        <v/>
      </c>
      <c r="T156" s="243" t="inlineStr">
        <is>
          <t>Conforms</t>
        </is>
      </c>
      <c r="U156" s="243" t="inlineStr">
        <is>
          <t>Conforms</t>
        </is>
      </c>
      <c r="V156" s="243" t="inlineStr">
        <is>
          <t>Conforms</t>
        </is>
      </c>
      <c r="W156" s="243" t="inlineStr">
        <is>
          <t>227-18-K-26, (11.09.2026) [FHM-K]</t>
        </is>
      </c>
      <c r="X156" s="243" t="inlineStr">
        <is>
          <t>227-18-K-26, (11.09.2026) [FHM-K]</t>
        </is>
      </c>
      <c r="Y156" s="243" t="inlineStr">
        <is>
          <t>— pending —</t>
        </is>
      </c>
      <c r="Z156" s="243" t="inlineStr">
        <is>
          <t>#8, #9, #11, #12 from the initial testing</t>
        </is>
      </c>
      <c r="AA156" s="243" t="inlineStr">
        <is>
          <t>P050202|R5</t>
        </is>
      </c>
      <c r="AB156" s="250" t="inlineStr">
        <is>
          <t>registered — retest 5 · Tranche 3 (sampled 19–21.08.2026), tested 20.08.2026, issued 24.08.2026</t>
        </is>
      </c>
    </row>
    <row r="157">
      <c r="A157" s="243" t="n">
        <v>156</v>
      </c>
      <c r="B157" s="244" t="inlineStr">
        <is>
          <t>iCoA-PP_26-156</t>
        </is>
      </c>
      <c r="C157" s="249" t="inlineStr">
        <is>
          <t>yes</t>
        </is>
      </c>
      <c r="D157" s="245" t="n">
        <v>46258</v>
      </c>
      <c r="E157" s="245" t="n">
        <v>46254</v>
      </c>
      <c r="F157" s="245">
        <f>IFERROR(INDEX('Batch Dates'!$G:$G,MATCH(J157,'Batch Dates'!$C:$C,0)),IFERROR(INDEX('Batch Dates'!$G:$G,MATCH(I157,'Batch Dates'!$B:$B,0)),""))</f>
        <v/>
      </c>
      <c r="G157" s="243" t="inlineStr">
        <is>
          <t>legacy</t>
        </is>
      </c>
      <c r="H157" s="243" t="inlineStr">
        <is>
          <t>retest 2</t>
        </is>
      </c>
      <c r="I157" s="244" t="inlineStr">
        <is>
          <t>GP072501/1</t>
        </is>
      </c>
      <c r="J157" s="243" t="inlineStr">
        <is>
          <t>P050292</t>
        </is>
      </c>
      <c r="K157" s="243" t="inlineStr">
        <is>
          <t>Grape Pie</t>
        </is>
      </c>
      <c r="L157" s="243" t="inlineStr">
        <is>
          <t>Ident A + Ident B + Foreign matter</t>
        </is>
      </c>
      <c r="M157" s="248" t="inlineStr">
        <is>
          <t>—</t>
        </is>
      </c>
      <c r="N157" s="243">
        <f>IFERROR(INDEX('CoQ Register'!$B:$B,MATCH("P050292|R2",'CoQ Register'!$S:$S,0)),"—")</f>
        <v/>
      </c>
      <c r="O157" s="248" t="inlineStr">
        <is>
          <t>—</t>
        </is>
      </c>
      <c r="P157" s="243" t="inlineStr">
        <is>
          <t>21.01.2027</t>
        </is>
      </c>
      <c r="Q157" s="243" t="inlineStr">
        <is>
          <t>11.11.2025 – 13.11.2025</t>
        </is>
      </c>
      <c r="R157" s="243" t="inlineStr">
        <is>
          <t>15.12.2025 – 21.12.2025 (the issuance plan's basis: 21.01.2026)</t>
        </is>
      </c>
      <c r="S157" s="245">
        <f>IFERROR(INDEX('CoQ Register'!$D:$D,MATCH("P050292|R2",'CoQ Register'!$S:$S,0)),"")</f>
        <v/>
      </c>
      <c r="T157" s="243" t="inlineStr">
        <is>
          <t>Conforms</t>
        </is>
      </c>
      <c r="U157" s="243" t="inlineStr">
        <is>
          <t>Conforms</t>
        </is>
      </c>
      <c r="V157" s="243" t="inlineStr">
        <is>
          <t>Conforms</t>
        </is>
      </c>
      <c r="W157" s="243" t="inlineStr">
        <is>
          <t>227-17-K-26, (11.09.2026) [FHM-K]</t>
        </is>
      </c>
      <c r="X157" s="243" t="inlineStr">
        <is>
          <t>227-17-K-26, (11.09.2026) [FHM-K]</t>
        </is>
      </c>
      <c r="Y157" s="243" t="inlineStr">
        <is>
          <t>— pending —</t>
        </is>
      </c>
      <c r="Z157" s="243" t="inlineStr">
        <is>
          <t>#8, #9, #11, #12 from the initial testing</t>
        </is>
      </c>
      <c r="AA157" s="243" t="inlineStr">
        <is>
          <t>P050292|R2</t>
        </is>
      </c>
      <c r="AB157" s="250" t="inlineStr">
        <is>
          <t>registered — retest 2 · Tranche 3 (sampled 19–21.08.2026), tested 20.08.2026, issued 24.08.2026</t>
        </is>
      </c>
    </row>
    <row r="158">
      <c r="A158" s="243" t="n">
        <v>157</v>
      </c>
      <c r="B158" s="244" t="inlineStr">
        <is>
          <t>iCoA-PP_26-157</t>
        </is>
      </c>
      <c r="C158" s="249" t="inlineStr">
        <is>
          <t>yes</t>
        </is>
      </c>
      <c r="D158" s="245" t="n">
        <v>46258</v>
      </c>
      <c r="E158" s="245" t="n">
        <v>46254</v>
      </c>
      <c r="F158" s="245">
        <f>IFERROR(INDEX('Batch Dates'!$G:$G,MATCH(J158,'Batch Dates'!$C:$C,0)),IFERROR(INDEX('Batch Dates'!$G:$G,MATCH(I158,'Batch Dates'!$B:$B,0)),""))</f>
        <v/>
      </c>
      <c r="G158" s="243" t="inlineStr">
        <is>
          <t>legacy</t>
        </is>
      </c>
      <c r="H158" s="243" t="inlineStr">
        <is>
          <t>retest 2</t>
        </is>
      </c>
      <c r="I158" s="244" t="inlineStr">
        <is>
          <t>GRC102501</t>
        </is>
      </c>
      <c r="J158" s="243" t="inlineStr">
        <is>
          <t>P060142</t>
        </is>
      </c>
      <c r="K158" s="243" t="inlineStr">
        <is>
          <t>Grapes And Cream</t>
        </is>
      </c>
      <c r="L158" s="243" t="inlineStr">
        <is>
          <t>Ident A + Ident B + Foreign matter</t>
        </is>
      </c>
      <c r="M158" s="248" t="inlineStr">
        <is>
          <t>—</t>
        </is>
      </c>
      <c r="N158" s="243">
        <f>IFERROR(INDEX('CoQ Register'!$B:$B,MATCH("P060142|R2",'CoQ Register'!$S:$S,0)),"—")</f>
        <v/>
      </c>
      <c r="O158" s="248" t="inlineStr">
        <is>
          <t>—</t>
        </is>
      </c>
      <c r="P158" s="243" t="inlineStr">
        <is>
          <t>23.02.2027</t>
        </is>
      </c>
      <c r="Q158" s="243" t="inlineStr">
        <is>
          <t>09.01.2026</t>
        </is>
      </c>
      <c r="R158" s="243" t="inlineStr">
        <is>
          <t>23.02.2026</t>
        </is>
      </c>
      <c r="S158" s="245">
        <f>IFERROR(INDEX('CoQ Register'!$D:$D,MATCH("P060142|R2",'CoQ Register'!$S:$S,0)),"")</f>
        <v/>
      </c>
      <c r="T158" s="243" t="inlineStr">
        <is>
          <t>Conforms</t>
        </is>
      </c>
      <c r="U158" s="243" t="inlineStr">
        <is>
          <t>Conforms</t>
        </is>
      </c>
      <c r="V158" s="243" t="inlineStr">
        <is>
          <t>Conforms</t>
        </is>
      </c>
      <c r="W158" s="243" t="inlineStr">
        <is>
          <t>227-16-K-26, (11.09.2026) [FHM-K]</t>
        </is>
      </c>
      <c r="X158" s="243" t="inlineStr">
        <is>
          <t>227-16-K-26, (11.09.2026) [FHM-K]</t>
        </is>
      </c>
      <c r="Y158" s="243" t="inlineStr">
        <is>
          <t>— pending —</t>
        </is>
      </c>
      <c r="Z158" s="243" t="inlineStr">
        <is>
          <t>#8, #9, #11, #12 from the initial testing</t>
        </is>
      </c>
      <c r="AA158" s="243" t="inlineStr">
        <is>
          <t>P060142|R2</t>
        </is>
      </c>
      <c r="AB158" s="250" t="inlineStr">
        <is>
          <t>registered — retest 2 · Tranche 3 (sampled 19–21.08.2026), tested 20.08.2026, issued 24.08.2026</t>
        </is>
      </c>
    </row>
    <row r="159">
      <c r="A159" s="243" t="n">
        <v>158</v>
      </c>
      <c r="B159" s="244" t="inlineStr">
        <is>
          <t>iCoA-PP_26-158</t>
        </is>
      </c>
      <c r="C159" s="249" t="inlineStr">
        <is>
          <t>yes</t>
        </is>
      </c>
      <c r="D159" s="245" t="n">
        <v>46258</v>
      </c>
      <c r="E159" s="245" t="n">
        <v>46254</v>
      </c>
      <c r="F159" s="245">
        <f>IFERROR(INDEX('Batch Dates'!$G:$G,MATCH(J159,'Batch Dates'!$C:$C,0)),IFERROR(INDEX('Batch Dates'!$G:$G,MATCH(I159,'Batch Dates'!$B:$B,0)),""))</f>
        <v/>
      </c>
      <c r="G159" s="243" t="inlineStr">
        <is>
          <t>legacy</t>
        </is>
      </c>
      <c r="H159" s="243" t="inlineStr">
        <is>
          <t>retest 2</t>
        </is>
      </c>
      <c r="I159" s="244" t="inlineStr">
        <is>
          <t>J31112501</t>
        </is>
      </c>
      <c r="J159" s="243" t="inlineStr">
        <is>
          <t>P060202</t>
        </is>
      </c>
      <c r="K159" s="243" t="inlineStr">
        <is>
          <t>Jokerz 31</t>
        </is>
      </c>
      <c r="L159" s="243" t="inlineStr">
        <is>
          <t>Ident A + Ident B + Foreign matter</t>
        </is>
      </c>
      <c r="M159" s="248" t="inlineStr">
        <is>
          <t>—</t>
        </is>
      </c>
      <c r="N159" s="243">
        <f>IFERROR(INDEX('CoQ Register'!$B:$B,MATCH("P060202|R2",'CoQ Register'!$S:$S,0)),"—")</f>
        <v/>
      </c>
      <c r="O159" s="248" t="inlineStr">
        <is>
          <t>—</t>
        </is>
      </c>
      <c r="P159" s="243" t="inlineStr">
        <is>
          <t>09.04.2027</t>
        </is>
      </c>
      <c r="Q159" s="243" t="inlineStr">
        <is>
          <t>26.01.2026</t>
        </is>
      </c>
      <c r="R159" s="243" t="inlineStr">
        <is>
          <t>17.04.2026 (the issuance plan's basis: 09.04.2026)</t>
        </is>
      </c>
      <c r="S159" s="245">
        <f>IFERROR(INDEX('CoQ Register'!$D:$D,MATCH("P060202|R2",'CoQ Register'!$S:$S,0)),"")</f>
        <v/>
      </c>
      <c r="T159" s="243" t="inlineStr">
        <is>
          <t>Conforms</t>
        </is>
      </c>
      <c r="U159" s="243" t="inlineStr">
        <is>
          <t>Conforms</t>
        </is>
      </c>
      <c r="V159" s="243" t="inlineStr">
        <is>
          <t>Conforms</t>
        </is>
      </c>
      <c r="W159" s="243" t="inlineStr">
        <is>
          <t>227-14-K-26, (11.09.2026) [FHM-K]</t>
        </is>
      </c>
      <c r="X159" s="243" t="inlineStr">
        <is>
          <t>227-14-K-26, (11.09.2026) [FHM-K]</t>
        </is>
      </c>
      <c r="Y159" s="243" t="inlineStr">
        <is>
          <t>— pending —</t>
        </is>
      </c>
      <c r="Z159" s="243" t="inlineStr">
        <is>
          <t>#8, #9, #11, #12 from the initial testing</t>
        </is>
      </c>
      <c r="AA159" s="243" t="inlineStr">
        <is>
          <t>P060202|R2</t>
        </is>
      </c>
      <c r="AB159" s="250" t="inlineStr">
        <is>
          <t>registered — retest 2 · Tranche 3 (sampled 19–21.08.2026), tested 20.08.2026, issued 24.08.2026</t>
        </is>
      </c>
    </row>
    <row r="160">
      <c r="A160" s="243" t="n">
        <v>159</v>
      </c>
      <c r="B160" s="244" t="inlineStr">
        <is>
          <t>iCoA-PP_26-159</t>
        </is>
      </c>
      <c r="C160" s="249" t="inlineStr">
        <is>
          <t>yes</t>
        </is>
      </c>
      <c r="D160" s="245" t="n">
        <v>46258</v>
      </c>
      <c r="E160" s="245" t="n">
        <v>46254</v>
      </c>
      <c r="F160" s="245">
        <f>IFERROR(INDEX('Batch Dates'!$G:$G,MATCH(J160,'Batch Dates'!$C:$C,0)),IFERROR(INDEX('Batch Dates'!$G:$G,MATCH(I160,'Batch Dates'!$B:$B,0)),""))</f>
        <v/>
      </c>
      <c r="G160" s="243" t="inlineStr">
        <is>
          <t>post-SOP</t>
        </is>
      </c>
      <c r="H160" s="243" t="inlineStr">
        <is>
          <t>retest 2</t>
        </is>
      </c>
      <c r="I160" s="244" t="inlineStr">
        <is>
          <t>J31122501</t>
        </is>
      </c>
      <c r="J160" s="243" t="inlineStr">
        <is>
          <t>P060262</t>
        </is>
      </c>
      <c r="K160" s="243" t="inlineStr">
        <is>
          <t>Jokerz 31</t>
        </is>
      </c>
      <c r="L160" s="243" t="inlineStr">
        <is>
          <t>Ident A + Ident B + Foreign matter</t>
        </is>
      </c>
      <c r="M160" s="248" t="inlineStr">
        <is>
          <t>—</t>
        </is>
      </c>
      <c r="N160" s="243">
        <f>IFERROR(INDEX('CoQ Register'!$B:$B,MATCH("P060262|R2",'CoQ Register'!$S:$S,0)),"—")</f>
        <v/>
      </c>
      <c r="O160" s="248" t="inlineStr">
        <is>
          <t>—</t>
        </is>
      </c>
      <c r="P160" s="243" t="inlineStr">
        <is>
          <t>23.04.2027</t>
        </is>
      </c>
      <c r="Q160" s="243" t="inlineStr">
        <is>
          <t>04.03.2026</t>
        </is>
      </c>
      <c r="R160" s="243" t="inlineStr">
        <is>
          <t>14.05.2026 (the issuance plan's basis: 23.04.2026)</t>
        </is>
      </c>
      <c r="S160" s="245">
        <f>IFERROR(INDEX('CoQ Register'!$D:$D,MATCH("P060262|R2",'CoQ Register'!$S:$S,0)),"")</f>
        <v/>
      </c>
      <c r="T160" s="243" t="inlineStr">
        <is>
          <t>Conforms</t>
        </is>
      </c>
      <c r="U160" s="243" t="inlineStr">
        <is>
          <t>Conforms</t>
        </is>
      </c>
      <c r="V160" s="243" t="inlineStr">
        <is>
          <t>Conforms</t>
        </is>
      </c>
      <c r="W160" s="243" t="inlineStr">
        <is>
          <t>— retest assay not yet on file —</t>
        </is>
      </c>
      <c r="X160" s="243" t="inlineStr">
        <is>
          <t>— pending —</t>
        </is>
      </c>
      <c r="Y160" s="243" t="inlineStr">
        <is>
          <t>— pending —</t>
        </is>
      </c>
      <c r="Z160" s="243" t="inlineStr">
        <is>
          <t>#8, #9, #11, #12 from the initial testing</t>
        </is>
      </c>
      <c r="AA160" s="243" t="inlineStr">
        <is>
          <t>P060262|R2</t>
        </is>
      </c>
      <c r="AB160" s="250" t="inlineStr">
        <is>
          <t>registered — retest 2 · Tranche 3 (sampled 19–21.08.2026), tested 20.08.2026, issued 24.08.2026</t>
        </is>
      </c>
    </row>
    <row r="161">
      <c r="A161" s="243" t="n">
        <v>160</v>
      </c>
      <c r="B161" s="244" t="inlineStr">
        <is>
          <t>iCoA-PP_26-160</t>
        </is>
      </c>
      <c r="C161" s="249" t="inlineStr">
        <is>
          <t>yes</t>
        </is>
      </c>
      <c r="D161" s="245" t="n">
        <v>46258</v>
      </c>
      <c r="E161" s="245" t="n">
        <v>46254</v>
      </c>
      <c r="F161" s="245">
        <f>IFERROR(INDEX('Batch Dates'!$G:$G,MATCH(J161,'Batch Dates'!$C:$C,0)),IFERROR(INDEX('Batch Dates'!$G:$G,MATCH(I161,'Batch Dates'!$B:$B,0)),""))</f>
        <v/>
      </c>
      <c r="G161" s="243" t="inlineStr">
        <is>
          <t>post-SOP</t>
        </is>
      </c>
      <c r="H161" s="243" t="inlineStr">
        <is>
          <t>retest 2</t>
        </is>
      </c>
      <c r="I161" s="244" t="inlineStr">
        <is>
          <t>JD012601＊</t>
        </is>
      </c>
      <c r="J161" s="243" t="inlineStr">
        <is>
          <t>P060312</t>
        </is>
      </c>
      <c r="K161" s="243" t="inlineStr">
        <is>
          <t>Jelly Donuts</t>
        </is>
      </c>
      <c r="L161" s="243" t="inlineStr">
        <is>
          <t>Ident A + Ident B + Foreign matter</t>
        </is>
      </c>
      <c r="M161" s="248" t="inlineStr">
        <is>
          <t>—</t>
        </is>
      </c>
      <c r="N161" s="243">
        <f>IFERROR(INDEX('CoQ Register'!$B:$B,MATCH("P060312|R2",'CoQ Register'!$S:$S,0)),"—")</f>
        <v/>
      </c>
      <c r="O161" s="248" t="inlineStr">
        <is>
          <t>—</t>
        </is>
      </c>
      <c r="P161" s="243" t="inlineStr">
        <is>
          <t>11.05.2027</t>
        </is>
      </c>
      <c r="Q161" s="243" t="inlineStr">
        <is>
          <t>27.03.2026</t>
        </is>
      </c>
      <c r="R161" s="243" t="inlineStr">
        <is>
          <t>21.05.2026 (the issuance plan's basis: 11.05.2026)</t>
        </is>
      </c>
      <c r="S161" s="245">
        <f>IFERROR(INDEX('CoQ Register'!$D:$D,MATCH("P060312|R2",'CoQ Register'!$S:$S,0)),"")</f>
        <v/>
      </c>
      <c r="T161" s="243" t="inlineStr">
        <is>
          <t>Conforms</t>
        </is>
      </c>
      <c r="U161" s="243" t="inlineStr">
        <is>
          <t>Conforms</t>
        </is>
      </c>
      <c r="V161" s="243" t="inlineStr">
        <is>
          <t>Conforms</t>
        </is>
      </c>
      <c r="W161" s="243" t="inlineStr">
        <is>
          <t>227-15-K-26, (11.09.2026) [FHM-K]</t>
        </is>
      </c>
      <c r="X161" s="243" t="inlineStr">
        <is>
          <t>227-15-K-26, (11.09.2026) [FHM-K]</t>
        </is>
      </c>
      <c r="Y161" s="243" t="inlineStr">
        <is>
          <t>— pending —</t>
        </is>
      </c>
      <c r="Z161" s="243" t="inlineStr">
        <is>
          <t>#8, #9, #11, #12 from the initial testing</t>
        </is>
      </c>
      <c r="AA161" s="243" t="inlineStr">
        <is>
          <t>P060312|R2</t>
        </is>
      </c>
      <c r="AB161" s="250" t="inlineStr">
        <is>
          <t>registered — retest 2 · Tranche 3 (sampled 19–21.08.2026), tested 20.08.2026, issued 24.08.2026</t>
        </is>
      </c>
    </row>
    <row r="162">
      <c r="A162" s="243" t="n">
        <v>161</v>
      </c>
      <c r="B162" s="244" t="inlineStr">
        <is>
          <t>iCoA-PP_26-161</t>
        </is>
      </c>
      <c r="C162" s="249" t="inlineStr">
        <is>
          <t>yes</t>
        </is>
      </c>
      <c r="D162" s="245" t="n">
        <v>46258</v>
      </c>
      <c r="E162" s="245" t="n">
        <v>46254</v>
      </c>
      <c r="F162" s="245">
        <f>IFERROR(INDEX('Batch Dates'!$G:$G,MATCH(J162,'Batch Dates'!$C:$C,0)),IFERROR(INDEX('Batch Dates'!$G:$G,MATCH(I162,'Batch Dates'!$B:$B,0)),""))</f>
        <v/>
      </c>
      <c r="G162" s="243" t="inlineStr">
        <is>
          <t>legacy</t>
        </is>
      </c>
      <c r="H162" s="243" t="inlineStr">
        <is>
          <t>retest 2</t>
        </is>
      </c>
      <c r="I162" s="244" t="inlineStr">
        <is>
          <t>MB0824_04</t>
        </is>
      </c>
      <c r="J162" s="243" t="inlineStr">
        <is>
          <t>P050032</t>
        </is>
      </c>
      <c r="K162" s="243" t="inlineStr">
        <is>
          <t>Motor Breath</t>
        </is>
      </c>
      <c r="L162" s="243" t="inlineStr">
        <is>
          <t>Ident A + Ident B + Foreign matter</t>
        </is>
      </c>
      <c r="M162" s="248" t="inlineStr">
        <is>
          <t>—</t>
        </is>
      </c>
      <c r="N162" s="243">
        <f>IFERROR(INDEX('CoQ Register'!$B:$B,MATCH("P050032|R2",'CoQ Register'!$S:$S,0)),"—")</f>
        <v/>
      </c>
      <c r="O162" s="248" t="inlineStr">
        <is>
          <t>—</t>
        </is>
      </c>
      <c r="P162" s="243" t="inlineStr">
        <is>
          <t>07.05.2026</t>
        </is>
      </c>
      <c r="Q162" s="243" t="inlineStr">
        <is>
          <t>02.04.2025 – 03.04.2025</t>
        </is>
      </c>
      <c r="R162" s="243" t="inlineStr">
        <is>
          <t>16.06.2025 – 19.06.2025 (the issuance plan's basis: 07.05.2025)</t>
        </is>
      </c>
      <c r="S162" s="245">
        <f>IFERROR(INDEX('CoQ Register'!$D:$D,MATCH("P050032|R2",'CoQ Register'!$S:$S,0)),"")</f>
        <v/>
      </c>
      <c r="T162" s="243" t="inlineStr">
        <is>
          <t>Conforms</t>
        </is>
      </c>
      <c r="U162" s="243" t="inlineStr">
        <is>
          <t>Conforms</t>
        </is>
      </c>
      <c r="V162" s="243" t="inlineStr">
        <is>
          <t>Conforms</t>
        </is>
      </c>
      <c r="W162" s="243" t="inlineStr">
        <is>
          <t>227-12-K-26, (11.09.2026) [FHM-K]</t>
        </is>
      </c>
      <c r="X162" s="243" t="inlineStr">
        <is>
          <t>227-12-K-26, (11.09.2026) [FHM-K]</t>
        </is>
      </c>
      <c r="Y162" s="243" t="inlineStr">
        <is>
          <t>— pending —</t>
        </is>
      </c>
      <c r="Z162" s="243" t="inlineStr">
        <is>
          <t>#8, #9, #11, #12 from the initial testing</t>
        </is>
      </c>
      <c r="AA162" s="243" t="inlineStr">
        <is>
          <t>P050032|R2</t>
        </is>
      </c>
      <c r="AB162" s="250" t="inlineStr">
        <is>
          <t>registered — retest 2 · Tranche 3 (sampled 19–21.08.2026), tested 20.08.2026, issued 24.08.2026</t>
        </is>
      </c>
    </row>
    <row r="163">
      <c r="A163" s="243" t="n">
        <v>162</v>
      </c>
      <c r="B163" s="244" t="inlineStr">
        <is>
          <t>iCoA-PP_26-162</t>
        </is>
      </c>
      <c r="C163" s="249" t="inlineStr">
        <is>
          <t>yes</t>
        </is>
      </c>
      <c r="D163" s="245" t="n">
        <v>46258</v>
      </c>
      <c r="E163" s="245" t="n">
        <v>46254</v>
      </c>
      <c r="F163" s="245">
        <f>IFERROR(INDEX('Batch Dates'!$G:$G,MATCH(J163,'Batch Dates'!$C:$C,0)),IFERROR(INDEX('Batch Dates'!$G:$G,MATCH(I163,'Batch Dates'!$B:$B,0)),""))</f>
        <v/>
      </c>
      <c r="G163" s="243" t="inlineStr">
        <is>
          <t>legacy</t>
        </is>
      </c>
      <c r="H163" s="243" t="inlineStr">
        <is>
          <t>retest 2</t>
        </is>
      </c>
      <c r="I163" s="244" t="inlineStr">
        <is>
          <t>OPM052501</t>
        </is>
      </c>
      <c r="J163" s="243" t="inlineStr">
        <is>
          <t>P050132</t>
        </is>
      </c>
      <c r="K163" s="243" t="inlineStr">
        <is>
          <t>Orange Punch Mimosa</t>
        </is>
      </c>
      <c r="L163" s="243" t="inlineStr">
        <is>
          <t>Ident A + Ident B + Foreign matter</t>
        </is>
      </c>
      <c r="M163" s="248" t="inlineStr">
        <is>
          <t>—</t>
        </is>
      </c>
      <c r="N163" s="243">
        <f>IFERROR(INDEX('CoQ Register'!$B:$B,MATCH("P050132|R2",'CoQ Register'!$S:$S,0)),"—")</f>
        <v/>
      </c>
      <c r="O163" s="248" t="inlineStr">
        <is>
          <t>—</t>
        </is>
      </c>
      <c r="P163" s="243" t="inlineStr">
        <is>
          <t>05.09.2026</t>
        </is>
      </c>
      <c r="Q163" s="243" t="inlineStr">
        <is>
          <t>11.08.2025 – 13.08.2025</t>
        </is>
      </c>
      <c r="R163" s="243" t="inlineStr">
        <is>
          <t>09.09.2025 – 15.09.2025 (the issuance plan's basis: 05.09.2025)</t>
        </is>
      </c>
      <c r="S163" s="245">
        <f>IFERROR(INDEX('CoQ Register'!$D:$D,MATCH("P050132|R2",'CoQ Register'!$S:$S,0)),"")</f>
        <v/>
      </c>
      <c r="T163" s="243" t="inlineStr">
        <is>
          <t>Conforms</t>
        </is>
      </c>
      <c r="U163" s="243" t="inlineStr">
        <is>
          <t>Conforms</t>
        </is>
      </c>
      <c r="V163" s="243" t="inlineStr">
        <is>
          <t>Conforms</t>
        </is>
      </c>
      <c r="W163" s="243" t="inlineStr">
        <is>
          <t>227-11-K-26, (11.09.2026) [FHM-K]</t>
        </is>
      </c>
      <c r="X163" s="243" t="inlineStr">
        <is>
          <t>227-11-K-26, (11.09.2026) [FHM-K]</t>
        </is>
      </c>
      <c r="Y163" s="243" t="inlineStr">
        <is>
          <t>— pending —</t>
        </is>
      </c>
      <c r="Z163" s="243" t="inlineStr">
        <is>
          <t>#8, #9, #11, #12 from the initial testing</t>
        </is>
      </c>
      <c r="AA163" s="243" t="inlineStr">
        <is>
          <t>P050132|R2</t>
        </is>
      </c>
      <c r="AB163" s="250" t="inlineStr">
        <is>
          <t>registered — retest 2 · Tranche 3 (sampled 19–21.08.2026), tested 20.08.2026, issued 24.08.2026</t>
        </is>
      </c>
    </row>
    <row r="164">
      <c r="A164" s="243" t="n">
        <v>163</v>
      </c>
      <c r="B164" s="244" t="inlineStr">
        <is>
          <t>iCoA-PP_26-163</t>
        </is>
      </c>
      <c r="C164" s="249" t="inlineStr">
        <is>
          <t>yes</t>
        </is>
      </c>
      <c r="D164" s="245" t="n">
        <v>46258</v>
      </c>
      <c r="E164" s="245" t="n">
        <v>46255</v>
      </c>
      <c r="F164" s="245">
        <f>IFERROR(INDEX('Batch Dates'!$G:$G,MATCH(J164,'Batch Dates'!$C:$C,0)),IFERROR(INDEX('Batch Dates'!$G:$G,MATCH(I164,'Batch Dates'!$B:$B,0)),""))</f>
        <v/>
      </c>
      <c r="G164" s="243" t="inlineStr">
        <is>
          <t>legacy</t>
        </is>
      </c>
      <c r="H164" s="243" t="inlineStr">
        <is>
          <t>retest 2</t>
        </is>
      </c>
      <c r="I164" s="244" t="inlineStr">
        <is>
          <t>AB092501</t>
        </is>
      </c>
      <c r="J164" s="243" t="inlineStr">
        <is>
          <t>P060052</t>
        </is>
      </c>
      <c r="K164" s="243" t="inlineStr">
        <is>
          <t>Apple and Banana</t>
        </is>
      </c>
      <c r="L164" s="243" t="inlineStr">
        <is>
          <t>Ident A + Ident B + Foreign matter</t>
        </is>
      </c>
      <c r="M164" s="248" t="inlineStr">
        <is>
          <t>—</t>
        </is>
      </c>
      <c r="N164" s="243">
        <f>IFERROR(INDEX('CoQ Register'!$B:$B,MATCH("P060052|R2",'CoQ Register'!$S:$S,0)),"—")</f>
        <v/>
      </c>
      <c r="O164" s="248" t="inlineStr">
        <is>
          <t>—</t>
        </is>
      </c>
      <c r="P164" s="243" t="inlineStr">
        <is>
          <t>20.02.2027</t>
        </is>
      </c>
      <c r="Q164" s="243" t="inlineStr">
        <is>
          <t>11.12.2025</t>
        </is>
      </c>
      <c r="R164" s="243" t="inlineStr">
        <is>
          <t>30.01.2026 (the issuance plan's basis: 20.02.2026)</t>
        </is>
      </c>
      <c r="S164" s="245">
        <f>IFERROR(INDEX('CoQ Register'!$D:$D,MATCH("P060052|R2",'CoQ Register'!$S:$S,0)),"")</f>
        <v/>
      </c>
      <c r="T164" s="243" t="inlineStr">
        <is>
          <t>Conforms</t>
        </is>
      </c>
      <c r="U164" s="243" t="inlineStr">
        <is>
          <t>Conforms</t>
        </is>
      </c>
      <c r="V164" s="243" t="inlineStr">
        <is>
          <t>Conforms</t>
        </is>
      </c>
      <c r="W164" s="243" t="inlineStr">
        <is>
          <t>227-30-K-26, (11.09.2026) [FHM-K]</t>
        </is>
      </c>
      <c r="X164" s="243" t="inlineStr">
        <is>
          <t>227-30-K-26, (11.09.2026) [FHM-K]</t>
        </is>
      </c>
      <c r="Y164" s="243" t="inlineStr">
        <is>
          <t>— pending —</t>
        </is>
      </c>
      <c r="Z164" s="243" t="inlineStr">
        <is>
          <t>#8, #9, #11, #12 from the initial testing</t>
        </is>
      </c>
      <c r="AA164" s="243" t="inlineStr">
        <is>
          <t>P060052|R2</t>
        </is>
      </c>
      <c r="AB164" s="250" t="inlineStr">
        <is>
          <t>registered — retest 2 · Tranche 3 (sampled 19–21.08.2026), tested 21.08.2026, issued 24.08.2026</t>
        </is>
      </c>
    </row>
    <row r="165">
      <c r="A165" s="243" t="n">
        <v>164</v>
      </c>
      <c r="B165" s="244" t="inlineStr">
        <is>
          <t>iCoA-PP_26-164</t>
        </is>
      </c>
      <c r="C165" s="249" t="inlineStr">
        <is>
          <t>yes</t>
        </is>
      </c>
      <c r="D165" s="245" t="n">
        <v>46258</v>
      </c>
      <c r="E165" s="245" t="n">
        <v>46255</v>
      </c>
      <c r="F165" s="245">
        <f>IFERROR(INDEX('Batch Dates'!$G:$G,MATCH(J165,'Batch Dates'!$C:$C,0)),IFERROR(INDEX('Batch Dates'!$G:$G,MATCH(I165,'Batch Dates'!$B:$B,0)),""))</f>
        <v/>
      </c>
      <c r="G165" s="243" t="inlineStr">
        <is>
          <t>legacy</t>
        </is>
      </c>
      <c r="H165" s="243" t="inlineStr">
        <is>
          <t>retest 2</t>
        </is>
      </c>
      <c r="I165" s="244" t="inlineStr">
        <is>
          <t>BSS1024_01/1</t>
        </is>
      </c>
      <c r="J165" s="243" t="inlineStr">
        <is>
          <t>P050122</t>
        </is>
      </c>
      <c r="K165" s="243" t="inlineStr">
        <is>
          <t>Blue Sunset Sherbet</t>
        </is>
      </c>
      <c r="L165" s="243" t="inlineStr">
        <is>
          <t>Ident A + Ident B + Foreign matter</t>
        </is>
      </c>
      <c r="M165" s="248" t="inlineStr">
        <is>
          <t>—</t>
        </is>
      </c>
      <c r="N165" s="243">
        <f>IFERROR(INDEX('CoQ Register'!$B:$B,MATCH("P050122|R2",'CoQ Register'!$S:$S,0)),"—")</f>
        <v/>
      </c>
      <c r="O165" s="248" t="inlineStr">
        <is>
          <t>—</t>
        </is>
      </c>
      <c r="P165" s="243" t="inlineStr">
        <is>
          <t>10.07.2026</t>
        </is>
      </c>
      <c r="Q165" s="243" t="inlineStr">
        <is>
          <t>04.06.2025 – 05.06.2025</t>
        </is>
      </c>
      <c r="R165" s="243" t="inlineStr">
        <is>
          <t>01.09.2025 – 09.09.2025 (the issuance plan's basis: 10.07.2025)</t>
        </is>
      </c>
      <c r="S165" s="245">
        <f>IFERROR(INDEX('CoQ Register'!$D:$D,MATCH("P050122|R2",'CoQ Register'!$S:$S,0)),"")</f>
        <v/>
      </c>
      <c r="T165" s="243" t="inlineStr">
        <is>
          <t>Conforms</t>
        </is>
      </c>
      <c r="U165" s="243" t="inlineStr">
        <is>
          <t>Conforms</t>
        </is>
      </c>
      <c r="V165" s="243" t="inlineStr">
        <is>
          <t>Conforms</t>
        </is>
      </c>
      <c r="W165" s="243" t="inlineStr">
        <is>
          <t>227-29-K-26, (11.09.2026) [FHM-K]</t>
        </is>
      </c>
      <c r="X165" s="243" t="inlineStr">
        <is>
          <t>227-29-K-26, (11.09.2026) [FHM-K]</t>
        </is>
      </c>
      <c r="Y165" s="243" t="inlineStr">
        <is>
          <t>— pending —</t>
        </is>
      </c>
      <c r="Z165" s="243" t="inlineStr">
        <is>
          <t>#8, #9, #11, #12 from the initial testing</t>
        </is>
      </c>
      <c r="AA165" s="243" t="inlineStr">
        <is>
          <t>P050122|R2</t>
        </is>
      </c>
      <c r="AB165" s="250" t="inlineStr">
        <is>
          <t>registered — retest 2 · Tranche 3 (sampled 19–21.08.2026), tested 21.08.2026, issued 24.08.2026</t>
        </is>
      </c>
    </row>
    <row r="166">
      <c r="A166" s="243" t="n">
        <v>165</v>
      </c>
      <c r="B166" s="244" t="inlineStr">
        <is>
          <t>iCoA-PP_26-165</t>
        </is>
      </c>
      <c r="C166" s="249" t="inlineStr">
        <is>
          <t>yes</t>
        </is>
      </c>
      <c r="D166" s="245" t="n">
        <v>46258</v>
      </c>
      <c r="E166" s="245" t="n">
        <v>46255</v>
      </c>
      <c r="F166" s="245">
        <f>IFERROR(INDEX('Batch Dates'!$G:$G,MATCH(J166,'Batch Dates'!$C:$C,0)),IFERROR(INDEX('Batch Dates'!$G:$G,MATCH(I166,'Batch Dates'!$B:$B,0)),""))</f>
        <v/>
      </c>
      <c r="G166" s="243" t="inlineStr">
        <is>
          <t>post-SOP</t>
        </is>
      </c>
      <c r="H166" s="243" t="inlineStr">
        <is>
          <t>retest 2</t>
        </is>
      </c>
      <c r="I166" s="244" t="inlineStr">
        <is>
          <t>CC112501</t>
        </is>
      </c>
      <c r="J166" s="243" t="inlineStr">
        <is>
          <t>P060272</t>
        </is>
      </c>
      <c r="K166" s="243" t="inlineStr">
        <is>
          <t>Cash Cow</t>
        </is>
      </c>
      <c r="L166" s="243" t="inlineStr">
        <is>
          <t>Ident A + Ident B + Foreign matter</t>
        </is>
      </c>
      <c r="M166" s="248" t="inlineStr">
        <is>
          <t>—</t>
        </is>
      </c>
      <c r="N166" s="243">
        <f>IFERROR(INDEX('CoQ Register'!$B:$B,MATCH("P060272|R2",'CoQ Register'!$S:$S,0)),"—")</f>
        <v/>
      </c>
      <c r="O166" s="248" t="inlineStr">
        <is>
          <t>—</t>
        </is>
      </c>
      <c r="P166" s="243" t="inlineStr">
        <is>
          <t>11.05.2027</t>
        </is>
      </c>
      <c r="Q166" s="243" t="inlineStr">
        <is>
          <t>25.03.2026</t>
        </is>
      </c>
      <c r="R166" s="243" t="inlineStr">
        <is>
          <t>18.05.2026 (the issuance plan's basis: 11.05.2026)</t>
        </is>
      </c>
      <c r="S166" s="245">
        <f>IFERROR(INDEX('CoQ Register'!$D:$D,MATCH("P060272|R2",'CoQ Register'!$S:$S,0)),"")</f>
        <v/>
      </c>
      <c r="T166" s="243" t="inlineStr">
        <is>
          <t>Conforms</t>
        </is>
      </c>
      <c r="U166" s="243" t="inlineStr">
        <is>
          <t>Conforms</t>
        </is>
      </c>
      <c r="V166" s="243" t="inlineStr">
        <is>
          <t>Conforms</t>
        </is>
      </c>
      <c r="W166" s="243" t="inlineStr">
        <is>
          <t>227-25-K-26, (11.09.2026) [FHM-K]</t>
        </is>
      </c>
      <c r="X166" s="243" t="inlineStr">
        <is>
          <t>227-25-K-26, (11.09.2026) [FHM-K]</t>
        </is>
      </c>
      <c r="Y166" s="243" t="inlineStr">
        <is>
          <t>— pending —</t>
        </is>
      </c>
      <c r="Z166" s="243" t="inlineStr">
        <is>
          <t>#8, #9, #11, #12 from the initial testing</t>
        </is>
      </c>
      <c r="AA166" s="243" t="inlineStr">
        <is>
          <t>P060272|R2</t>
        </is>
      </c>
      <c r="AB166" s="250" t="inlineStr">
        <is>
          <t>registered — retest 2 · Tranche 3 (sampled 19–21.08.2026), tested 21.08.2026, issued 24.08.2026</t>
        </is>
      </c>
    </row>
    <row r="167">
      <c r="A167" s="243" t="n">
        <v>166</v>
      </c>
      <c r="B167" s="244" t="inlineStr">
        <is>
          <t>iCoA-PP_26-166</t>
        </is>
      </c>
      <c r="C167" s="249" t="inlineStr">
        <is>
          <t>yes</t>
        </is>
      </c>
      <c r="D167" s="245" t="n">
        <v>46258</v>
      </c>
      <c r="E167" s="245" t="n">
        <v>46255</v>
      </c>
      <c r="F167" s="245">
        <f>IFERROR(INDEX('Batch Dates'!$G:$G,MATCH(J167,'Batch Dates'!$C:$C,0)),IFERROR(INDEX('Batch Dates'!$G:$G,MATCH(I167,'Batch Dates'!$B:$B,0)),""))</f>
        <v/>
      </c>
      <c r="G167" s="243" t="inlineStr">
        <is>
          <t>legacy</t>
        </is>
      </c>
      <c r="H167" s="243" t="inlineStr">
        <is>
          <t>retest 2</t>
        </is>
      </c>
      <c r="I167" s="244" t="inlineStr">
        <is>
          <t>CJ052501/02</t>
        </is>
      </c>
      <c r="J167" s="243" t="inlineStr">
        <is>
          <t>P050172</t>
        </is>
      </c>
      <c r="K167" s="243" t="inlineStr">
        <is>
          <t>Cap Junky</t>
        </is>
      </c>
      <c r="L167" s="243" t="inlineStr">
        <is>
          <t>Ident A + Ident B + Foreign matter</t>
        </is>
      </c>
      <c r="M167" s="248" t="inlineStr">
        <is>
          <t>—</t>
        </is>
      </c>
      <c r="N167" s="243">
        <f>IFERROR(INDEX('CoQ Register'!$B:$B,MATCH("P050172|R2",'CoQ Register'!$S:$S,0)),"—")</f>
        <v/>
      </c>
      <c r="O167" s="248" t="inlineStr">
        <is>
          <t>—</t>
        </is>
      </c>
      <c r="P167" s="243" t="inlineStr">
        <is>
          <t>17.09.2026</t>
        </is>
      </c>
      <c r="Q167" s="243" t="inlineStr">
        <is>
          <t>20.08.2025</t>
        </is>
      </c>
      <c r="R167" s="243" t="inlineStr">
        <is>
          <t>01.10.2025 – 02.10.2025 (the issuance plan's basis: 17.09.2025)</t>
        </is>
      </c>
      <c r="S167" s="245">
        <f>IFERROR(INDEX('CoQ Register'!$D:$D,MATCH("P050172|R2",'CoQ Register'!$S:$S,0)),"")</f>
        <v/>
      </c>
      <c r="T167" s="243" t="inlineStr">
        <is>
          <t>Conforms</t>
        </is>
      </c>
      <c r="U167" s="243" t="inlineStr">
        <is>
          <t>Conforms</t>
        </is>
      </c>
      <c r="V167" s="243" t="inlineStr">
        <is>
          <t>Conforms</t>
        </is>
      </c>
      <c r="W167" s="243" t="inlineStr">
        <is>
          <t>227-28-K-26, (11.09.2026) [FHM-K]</t>
        </is>
      </c>
      <c r="X167" s="243" t="inlineStr">
        <is>
          <t>227-28-K-26, (11.09.2026) [FHM-K]</t>
        </is>
      </c>
      <c r="Y167" s="243" t="inlineStr">
        <is>
          <t>— pending —</t>
        </is>
      </c>
      <c r="Z167" s="243" t="inlineStr">
        <is>
          <t>#8, #9, #11, #12 from the initial testing</t>
        </is>
      </c>
      <c r="AA167" s="243" t="inlineStr">
        <is>
          <t>P050172|R2</t>
        </is>
      </c>
      <c r="AB167" s="250" t="inlineStr">
        <is>
          <t>registered — retest 2 · Tranche 3 (sampled 19–21.08.2026), tested 21.08.2026, issued 24.08.2026</t>
        </is>
      </c>
    </row>
    <row r="168">
      <c r="A168" s="243" t="n">
        <v>167</v>
      </c>
      <c r="B168" s="244" t="inlineStr">
        <is>
          <t>iCoA-PP_26-167</t>
        </is>
      </c>
      <c r="C168" s="249" t="inlineStr">
        <is>
          <t>yes</t>
        </is>
      </c>
      <c r="D168" s="245" t="n">
        <v>46258</v>
      </c>
      <c r="E168" s="245" t="n">
        <v>46255</v>
      </c>
      <c r="F168" s="245">
        <f>IFERROR(INDEX('Batch Dates'!$G:$G,MATCH(J168,'Batch Dates'!$C:$C,0)),IFERROR(INDEX('Batch Dates'!$G:$G,MATCH(I168,'Batch Dates'!$B:$B,0)),""))</f>
        <v/>
      </c>
      <c r="G168" s="243" t="inlineStr">
        <is>
          <t>legacy</t>
        </is>
      </c>
      <c r="H168" s="243" t="inlineStr">
        <is>
          <t>retest 2</t>
        </is>
      </c>
      <c r="I168" s="244" t="inlineStr">
        <is>
          <t>CJ072501</t>
        </is>
      </c>
      <c r="J168" s="243" t="inlineStr">
        <is>
          <t>P050252</t>
        </is>
      </c>
      <c r="K168" s="243" t="inlineStr">
        <is>
          <t>Cap Junky</t>
        </is>
      </c>
      <c r="L168" s="243" t="inlineStr">
        <is>
          <t>Ident A + Ident B + Foreign matter</t>
        </is>
      </c>
      <c r="M168" s="248" t="inlineStr">
        <is>
          <t>—</t>
        </is>
      </c>
      <c r="N168" s="243">
        <f>IFERROR(INDEX('CoQ Register'!$B:$B,MATCH("P050252|R2",'CoQ Register'!$S:$S,0)),"—")</f>
        <v/>
      </c>
      <c r="O168" s="248" t="inlineStr">
        <is>
          <t>—</t>
        </is>
      </c>
      <c r="P168" s="243" t="inlineStr">
        <is>
          <t>02.12.2026</t>
        </is>
      </c>
      <c r="Q168" s="243" t="inlineStr">
        <is>
          <t>27.10.2025</t>
        </is>
      </c>
      <c r="R168" s="243" t="inlineStr">
        <is>
          <t>27.11.2025 – 28.11.2025 (the issuance plan's basis: 02.12.2025)</t>
        </is>
      </c>
      <c r="S168" s="245">
        <f>IFERROR(INDEX('CoQ Register'!$D:$D,MATCH("P050252|R2",'CoQ Register'!$S:$S,0)),"")</f>
        <v/>
      </c>
      <c r="T168" s="243" t="inlineStr">
        <is>
          <t>Conforms</t>
        </is>
      </c>
      <c r="U168" s="243" t="inlineStr">
        <is>
          <t>Conforms</t>
        </is>
      </c>
      <c r="V168" s="243" t="inlineStr">
        <is>
          <t>Conforms</t>
        </is>
      </c>
      <c r="W168" s="243" t="inlineStr">
        <is>
          <t>227-27-K-26, (11.09.2026) [FHM-K]</t>
        </is>
      </c>
      <c r="X168" s="243" t="inlineStr">
        <is>
          <t>227-27-K-26, (11.09.2026) [FHM-K]</t>
        </is>
      </c>
      <c r="Y168" s="243" t="inlineStr">
        <is>
          <t>— pending —</t>
        </is>
      </c>
      <c r="Z168" s="243" t="inlineStr">
        <is>
          <t>#8, #9, #11, #12 from the initial testing</t>
        </is>
      </c>
      <c r="AA168" s="243" t="inlineStr">
        <is>
          <t>P050252|R2</t>
        </is>
      </c>
      <c r="AB168" s="250" t="inlineStr">
        <is>
          <t>registered — retest 2 · Tranche 3 (sampled 19–21.08.2026), tested 21.08.2026, issued 24.08.2026</t>
        </is>
      </c>
    </row>
    <row r="169">
      <c r="A169" s="243" t="n">
        <v>168</v>
      </c>
      <c r="B169" s="244" t="inlineStr">
        <is>
          <t>iCoA-PP_26-168</t>
        </is>
      </c>
      <c r="C169" s="249" t="inlineStr">
        <is>
          <t>yes</t>
        </is>
      </c>
      <c r="D169" s="245" t="n">
        <v>46258</v>
      </c>
      <c r="E169" s="245" t="n">
        <v>46255</v>
      </c>
      <c r="F169" s="245">
        <f>IFERROR(INDEX('Batch Dates'!$G:$G,MATCH(J169,'Batch Dates'!$C:$C,0)),IFERROR(INDEX('Batch Dates'!$G:$G,MATCH(I169,'Batch Dates'!$B:$B,0)),""))</f>
        <v/>
      </c>
      <c r="G169" s="243" t="inlineStr">
        <is>
          <t>legacy</t>
        </is>
      </c>
      <c r="H169" s="243" t="inlineStr">
        <is>
          <t>retest 2</t>
        </is>
      </c>
      <c r="I169" s="244" t="inlineStr">
        <is>
          <t>CJ1024</t>
        </is>
      </c>
      <c r="J169" s="243" t="inlineStr">
        <is>
          <t>N/A — no P batch assigned</t>
        </is>
      </c>
      <c r="K169" s="243" t="inlineStr">
        <is>
          <t>Cap Junky</t>
        </is>
      </c>
      <c r="L169" s="243" t="inlineStr">
        <is>
          <t>Ident A + Ident B + Foreign matter</t>
        </is>
      </c>
      <c r="M169" s="248" t="inlineStr">
        <is>
          <t>—</t>
        </is>
      </c>
      <c r="N169" s="243">
        <f>IFERROR(INDEX('CoQ Register'!$B:$B,MATCH("CJ1024|R2",'CoQ Register'!$S:$S,0)),"—")</f>
        <v/>
      </c>
      <c r="O169" s="248" t="inlineStr">
        <is>
          <t>—</t>
        </is>
      </c>
      <c r="P169" s="243" t="inlineStr">
        <is>
          <t>27.02.2026</t>
        </is>
      </c>
      <c r="Q169" s="243" t="inlineStr">
        <is>
          <t>20.01.2025</t>
        </is>
      </c>
      <c r="R169" s="243" t="inlineStr">
        <is>
          <t>03.03.2025 (the issuance plan's basis: 27.02.2025)</t>
        </is>
      </c>
      <c r="S169" s="245">
        <f>IFERROR(INDEX('CoQ Register'!$D:$D,MATCH("CJ1024|R2",'CoQ Register'!$S:$S,0)),"")</f>
        <v/>
      </c>
      <c r="T169" s="243" t="inlineStr">
        <is>
          <t>Conforms</t>
        </is>
      </c>
      <c r="U169" s="243" t="inlineStr">
        <is>
          <t>Conforms</t>
        </is>
      </c>
      <c r="V169" s="243" t="inlineStr">
        <is>
          <t>Conforms</t>
        </is>
      </c>
      <c r="W169" s="243" t="inlineStr">
        <is>
          <t>227-26-K-26, (11.09.2026) [FHM-K]</t>
        </is>
      </c>
      <c r="X169" s="243" t="inlineStr">
        <is>
          <t>227-26-K-26, (11.09.2026) [FHM-K]</t>
        </is>
      </c>
      <c r="Y169" s="243" t="inlineStr">
        <is>
          <t>— pending —</t>
        </is>
      </c>
      <c r="Z169" s="243" t="inlineStr">
        <is>
          <t>#8, #9, #11, #12 from the initial testing</t>
        </is>
      </c>
      <c r="AA169" s="243" t="inlineStr">
        <is>
          <t>CJ1024|R2</t>
        </is>
      </c>
      <c r="AB169" s="250" t="inlineStr">
        <is>
          <t>registered — retest 2 · Tranche 3 (sampled 19–21.08.2026), tested 21.08.2026, issued 24.08.2026</t>
        </is>
      </c>
    </row>
    <row r="170">
      <c r="A170" s="243" t="n">
        <v>169</v>
      </c>
      <c r="B170" s="244" t="inlineStr">
        <is>
          <t>iCoA-PP_26-169</t>
        </is>
      </c>
      <c r="C170" s="249" t="inlineStr">
        <is>
          <t>yes</t>
        </is>
      </c>
      <c r="D170" s="245" t="n">
        <v>46258</v>
      </c>
      <c r="E170" s="245" t="n">
        <v>46255</v>
      </c>
      <c r="F170" s="245">
        <f>IFERROR(INDEX('Batch Dates'!$G:$G,MATCH(J170,'Batch Dates'!$C:$C,0)),IFERROR(INDEX('Batch Dates'!$G:$G,MATCH(I170,'Batch Dates'!$B:$B,0)),""))</f>
        <v/>
      </c>
      <c r="G170" s="243" t="inlineStr">
        <is>
          <t>post-SOP</t>
        </is>
      </c>
      <c r="H170" s="243" t="inlineStr">
        <is>
          <t>retest 2</t>
        </is>
      </c>
      <c r="I170" s="244" t="inlineStr">
        <is>
          <t>FB012603</t>
        </is>
      </c>
      <c r="J170" s="243" t="inlineStr">
        <is>
          <t>P060432</t>
        </is>
      </c>
      <c r="K170" s="243" t="inlineStr">
        <is>
          <t>Fat Bastard</t>
        </is>
      </c>
      <c r="L170" s="243" t="inlineStr">
        <is>
          <t>Ident A + Ident B + Foreign matter</t>
        </is>
      </c>
      <c r="M170" s="248" t="inlineStr">
        <is>
          <t>—</t>
        </is>
      </c>
      <c r="N170" s="243">
        <f>IFERROR(INDEX('CoQ Register'!$B:$B,MATCH("P060432|R2",'CoQ Register'!$S:$S,0)),"—")</f>
        <v/>
      </c>
      <c r="O170" s="248" t="inlineStr">
        <is>
          <t>—</t>
        </is>
      </c>
      <c r="P170" s="243" t="inlineStr">
        <is>
          <t>30.06.2027</t>
        </is>
      </c>
      <c r="Q170" s="243" t="inlineStr">
        <is>
          <t>04.05.2026</t>
        </is>
      </c>
      <c r="R170" s="243" t="inlineStr">
        <is>
          <t>15.06.2026 (the issuance plan's basis: 30.06.2026)</t>
        </is>
      </c>
      <c r="S170" s="245">
        <f>IFERROR(INDEX('CoQ Register'!$D:$D,MATCH("P060432|R2",'CoQ Register'!$S:$S,0)),"")</f>
        <v/>
      </c>
      <c r="T170" s="243" t="inlineStr">
        <is>
          <t>CNP ППК26112</t>
        </is>
      </c>
      <c r="U170" s="243" t="inlineStr">
        <is>
          <t>CNP ППК26112</t>
        </is>
      </c>
      <c r="V170" s="243" t="inlineStr">
        <is>
          <t>Conforms</t>
        </is>
      </c>
      <c r="W170" s="243" t="inlineStr">
        <is>
          <t>227-24-K-26, (11.09.2026) [FHM-K]</t>
        </is>
      </c>
      <c r="X170" s="243" t="inlineStr">
        <is>
          <t>227-24-K-26, (11.09.2026) [FHM-K]</t>
        </is>
      </c>
      <c r="Y170" s="243" t="inlineStr">
        <is>
          <t>— pending —</t>
        </is>
      </c>
      <c r="Z170" s="243" t="inlineStr">
        <is>
          <t>#8, #9, #11, #12 from the initial testing</t>
        </is>
      </c>
      <c r="AA170" s="243" t="inlineStr">
        <is>
          <t>P060432|R2</t>
        </is>
      </c>
      <c r="AB170" s="250" t="inlineStr">
        <is>
          <t>registered — retest 2 · Tranche 3 (sampled 19–21.08.2026), tested 21.08.2026, issued 24.08.2026</t>
        </is>
      </c>
    </row>
    <row r="171">
      <c r="A171" s="243" t="n">
        <v>170</v>
      </c>
      <c r="B171" s="244" t="inlineStr">
        <is>
          <t>iCoA-PP_26-170</t>
        </is>
      </c>
      <c r="C171" s="249" t="inlineStr">
        <is>
          <t>yes</t>
        </is>
      </c>
      <c r="D171" s="245" t="n">
        <v>46258</v>
      </c>
      <c r="E171" s="245" t="n">
        <v>46255</v>
      </c>
      <c r="F171" s="245">
        <f>IFERROR(INDEX('Batch Dates'!$G:$G,MATCH(J171,'Batch Dates'!$C:$C,0)),IFERROR(INDEX('Batch Dates'!$G:$G,MATCH(I171,'Batch Dates'!$B:$B,0)),""))</f>
        <v/>
      </c>
      <c r="G171" s="243" t="inlineStr">
        <is>
          <t>post-SOP</t>
        </is>
      </c>
      <c r="H171" s="243" t="inlineStr">
        <is>
          <t>retest 2</t>
        </is>
      </c>
      <c r="I171" s="244" t="inlineStr">
        <is>
          <t>FB012603V</t>
        </is>
      </c>
      <c r="J171" s="243" t="inlineStr">
        <is>
          <t>P060392</t>
        </is>
      </c>
      <c r="K171" s="243" t="inlineStr">
        <is>
          <t>Fat Bastard</t>
        </is>
      </c>
      <c r="L171" s="243" t="inlineStr">
        <is>
          <t>Ident A + Ident B + Foreign matter</t>
        </is>
      </c>
      <c r="M171" s="248" t="inlineStr">
        <is>
          <t>—</t>
        </is>
      </c>
      <c r="N171" s="243">
        <f>IFERROR(INDEX('CoQ Register'!$B:$B,MATCH("P060392|R2",'CoQ Register'!$S:$S,0)),"—")</f>
        <v/>
      </c>
      <c r="O171" s="248" t="inlineStr">
        <is>
          <t>—</t>
        </is>
      </c>
      <c r="P171" s="243" t="inlineStr">
        <is>
          <t>30.06.2027</t>
        </is>
      </c>
      <c r="Q171" s="243" t="inlineStr">
        <is>
          <t>29.04.2026</t>
        </is>
      </c>
      <c r="R171" s="243" t="inlineStr">
        <is>
          <t>23.05.2026 (the issuance plan's basis: 30.06.2026)</t>
        </is>
      </c>
      <c r="S171" s="245">
        <f>IFERROR(INDEX('CoQ Register'!$D:$D,MATCH("P060392|R2",'CoQ Register'!$S:$S,0)),"")</f>
        <v/>
      </c>
      <c r="T171" s="243" t="inlineStr">
        <is>
          <t>CNP ППК26110</t>
        </is>
      </c>
      <c r="U171" s="243" t="inlineStr">
        <is>
          <t>CNP ППК26110</t>
        </is>
      </c>
      <c r="V171" s="243" t="inlineStr">
        <is>
          <t>Conforms</t>
        </is>
      </c>
      <c r="W171" s="243" t="inlineStr">
        <is>
          <t>227-23-K-26, (11.09.2026) [FHM-K]</t>
        </is>
      </c>
      <c r="X171" s="243" t="inlineStr">
        <is>
          <t>227-23-K-26, (11.09.2026) [FHM-K]</t>
        </is>
      </c>
      <c r="Y171" s="243" t="inlineStr">
        <is>
          <t>— pending —</t>
        </is>
      </c>
      <c r="Z171" s="243" t="inlineStr">
        <is>
          <t>#8, #9, #11, #12 from the initial testing</t>
        </is>
      </c>
      <c r="AA171" s="243" t="inlineStr">
        <is>
          <t>P060392|R2</t>
        </is>
      </c>
      <c r="AB171" s="250" t="inlineStr">
        <is>
          <t>registered — retest 2 · Tranche 3 (sampled 19–21.08.2026), tested 21.08.2026, issued 24.08.2026</t>
        </is>
      </c>
    </row>
    <row r="172">
      <c r="A172" s="243" t="n">
        <v>171</v>
      </c>
      <c r="B172" s="244" t="inlineStr">
        <is>
          <t>iCoA-PP_26-171</t>
        </is>
      </c>
      <c r="C172" s="249" t="inlineStr">
        <is>
          <t>yes</t>
        </is>
      </c>
      <c r="D172" s="245" t="n">
        <v>46258</v>
      </c>
      <c r="E172" s="245" t="n">
        <v>46255</v>
      </c>
      <c r="F172" s="245">
        <f>IFERROR(INDEX('Batch Dates'!$G:$G,MATCH(J172,'Batch Dates'!$C:$C,0)),IFERROR(INDEX('Batch Dates'!$G:$G,MATCH(I172,'Batch Dates'!$B:$B,0)),""))</f>
        <v/>
      </c>
      <c r="G172" s="243" t="inlineStr">
        <is>
          <t>post-SOP</t>
        </is>
      </c>
      <c r="H172" s="243" t="inlineStr">
        <is>
          <t>retest 2</t>
        </is>
      </c>
      <c r="I172" s="244" t="inlineStr">
        <is>
          <t>FB112501</t>
        </is>
      </c>
      <c r="J172" s="243" t="inlineStr">
        <is>
          <t>P060292</t>
        </is>
      </c>
      <c r="K172" s="243" t="inlineStr">
        <is>
          <t>Fat Bastard</t>
        </is>
      </c>
      <c r="L172" s="243" t="inlineStr">
        <is>
          <t>Ident A + Ident B + Foreign matter</t>
        </is>
      </c>
      <c r="M172" s="248" t="inlineStr">
        <is>
          <t>—</t>
        </is>
      </c>
      <c r="N172" s="243">
        <f>IFERROR(INDEX('CoQ Register'!$B:$B,MATCH("P060292|R2",'CoQ Register'!$S:$S,0)),"—")</f>
        <v/>
      </c>
      <c r="O172" s="248" t="inlineStr">
        <is>
          <t>—</t>
        </is>
      </c>
      <c r="P172" s="243" t="inlineStr">
        <is>
          <t>11.05.2027</t>
        </is>
      </c>
      <c r="Q172" s="243" t="inlineStr">
        <is>
          <t>25.03.2026</t>
        </is>
      </c>
      <c r="R172" s="243" t="inlineStr">
        <is>
          <t>19.05.2026 (the issuance plan's basis: 11.05.2026)</t>
        </is>
      </c>
      <c r="S172" s="245">
        <f>IFERROR(INDEX('CoQ Register'!$D:$D,MATCH("P060292|R2",'CoQ Register'!$S:$S,0)),"")</f>
        <v/>
      </c>
      <c r="T172" s="243" t="inlineStr">
        <is>
          <t>Conforms</t>
        </is>
      </c>
      <c r="U172" s="243" t="inlineStr">
        <is>
          <t>Conforms</t>
        </is>
      </c>
      <c r="V172" s="243" t="inlineStr">
        <is>
          <t>Conforms</t>
        </is>
      </c>
      <c r="W172" s="243" t="inlineStr">
        <is>
          <t>227-22-K-26, (11.09.2026) [FHM-K]</t>
        </is>
      </c>
      <c r="X172" s="243" t="inlineStr">
        <is>
          <t>227-22-K-26, (11.09.2026) [FHM-K]</t>
        </is>
      </c>
      <c r="Y172" s="243" t="inlineStr">
        <is>
          <t>— pending —</t>
        </is>
      </c>
      <c r="Z172" s="243" t="inlineStr">
        <is>
          <t>#8, #9, #11, #12 from the initial testing</t>
        </is>
      </c>
      <c r="AA172" s="243" t="inlineStr">
        <is>
          <t>P060292|R2</t>
        </is>
      </c>
      <c r="AB172" s="250" t="inlineStr">
        <is>
          <t>registered — retest 2 · Tranche 3 (sampled 19–21.08.2026), tested 21.08.2026, issued 24.08.2026</t>
        </is>
      </c>
    </row>
    <row r="173">
      <c r="A173" s="243" t="n">
        <v>172</v>
      </c>
      <c r="B173" s="244" t="inlineStr">
        <is>
          <t>iCoA-PP_26-172</t>
        </is>
      </c>
      <c r="C173" s="249" t="inlineStr">
        <is>
          <t>yes</t>
        </is>
      </c>
      <c r="D173" s="245" t="n">
        <v>46258</v>
      </c>
      <c r="E173" s="245" t="n">
        <v>46255</v>
      </c>
      <c r="F173" s="245">
        <f>IFERROR(INDEX('Batch Dates'!$G:$G,MATCH(J173,'Batch Dates'!$C:$C,0)),IFERROR(INDEX('Batch Dates'!$G:$G,MATCH(I173,'Batch Dates'!$B:$B,0)),""))</f>
        <v/>
      </c>
      <c r="G173" s="243" t="inlineStr">
        <is>
          <t>post-SOP</t>
        </is>
      </c>
      <c r="H173" s="243" t="inlineStr">
        <is>
          <t>retest 2</t>
        </is>
      </c>
      <c r="I173" s="244" t="inlineStr">
        <is>
          <t>GG012601＊</t>
        </is>
      </c>
      <c r="J173" s="243" t="inlineStr">
        <is>
          <t>P060302</t>
        </is>
      </c>
      <c r="K173" s="243" t="inlineStr">
        <is>
          <t>Gorilla Glue</t>
        </is>
      </c>
      <c r="L173" s="243" t="inlineStr">
        <is>
          <t>Ident A + Ident B + Foreign matter</t>
        </is>
      </c>
      <c r="M173" s="248" t="inlineStr">
        <is>
          <t>—</t>
        </is>
      </c>
      <c r="N173" s="243">
        <f>IFERROR(INDEX('CoQ Register'!$B:$B,MATCH("P060302|R2",'CoQ Register'!$S:$S,0)),"—")</f>
        <v/>
      </c>
      <c r="O173" s="248" t="inlineStr">
        <is>
          <t>—</t>
        </is>
      </c>
      <c r="P173" s="243" t="inlineStr">
        <is>
          <t>11.05.2027</t>
        </is>
      </c>
      <c r="Q173" s="243" t="inlineStr">
        <is>
          <t>27.03.2026</t>
        </is>
      </c>
      <c r="R173" s="243" t="inlineStr">
        <is>
          <t>20.05.2026 (the issuance plan's basis: 11.05.2026)</t>
        </is>
      </c>
      <c r="S173" s="245">
        <f>IFERROR(INDEX('CoQ Register'!$D:$D,MATCH("P060302|R2",'CoQ Register'!$S:$S,0)),"")</f>
        <v/>
      </c>
      <c r="T173" s="243" t="inlineStr">
        <is>
          <t>Conforms</t>
        </is>
      </c>
      <c r="U173" s="243" t="inlineStr">
        <is>
          <t>Conforms</t>
        </is>
      </c>
      <c r="V173" s="243" t="inlineStr">
        <is>
          <t>Conforms</t>
        </is>
      </c>
      <c r="W173" s="243" t="inlineStr">
        <is>
          <t>227-21-K-26, (11.09.2026) [FHM-K]</t>
        </is>
      </c>
      <c r="X173" s="243" t="inlineStr">
        <is>
          <t>227-21-K-26, (11.09.2026) [FHM-K]</t>
        </is>
      </c>
      <c r="Y173" s="243" t="inlineStr">
        <is>
          <t>— pending —</t>
        </is>
      </c>
      <c r="Z173" s="243" t="inlineStr">
        <is>
          <t>#8, #9, #11, #12 from the initial testing</t>
        </is>
      </c>
      <c r="AA173" s="243" t="inlineStr">
        <is>
          <t>P060302|R2</t>
        </is>
      </c>
      <c r="AB173" s="250" t="inlineStr">
        <is>
          <t>registered — retest 2 · Tranche 3 (sampled 19–21.08.2026), tested 21.08.2026, issued 24.08.2026</t>
        </is>
      </c>
    </row>
    <row r="174">
      <c r="A174" s="243" t="inlineStr"/>
      <c r="B174" s="244" t="inlineStr">
        <is>
          <t>— at issue —</t>
        </is>
      </c>
      <c r="C174" s="248" t="inlineStr">
        <is>
          <t>no</t>
        </is>
      </c>
      <c r="D174" s="245">
        <f>IF(A174="","",IF(ISNUMBER(E174),MAX(DATE(2026,6,3),E174),DATE(2026,6,3)))</f>
        <v/>
      </c>
      <c r="E174" s="245" t="inlineStr">
        <is>
          <t>— at the retest sampling —</t>
        </is>
      </c>
      <c r="F174" s="245">
        <f>IFERROR(INDEX('Batch Dates'!$G:$G,MATCH(J174,'Batch Dates'!$C:$C,0)),IFERROR(INDEX('Batch Dates'!$G:$G,MATCH(I174,'Batch Dates'!$B:$B,0)),""))</f>
        <v/>
      </c>
      <c r="G174" s="243" t="inlineStr">
        <is>
          <t>legacy</t>
        </is>
      </c>
      <c r="H174" s="243" t="inlineStr">
        <is>
          <t>retest — Tranche 1 (sampled 21–24.07.2026)</t>
        </is>
      </c>
      <c r="I174" s="244" t="inlineStr">
        <is>
          <t>GP0824_02</t>
        </is>
      </c>
      <c r="J174" s="243" t="inlineStr">
        <is>
          <t>P050022</t>
        </is>
      </c>
      <c r="K174" s="243" t="inlineStr">
        <is>
          <t>Grape Pie</t>
        </is>
      </c>
      <c r="L174" s="243" t="inlineStr">
        <is>
          <t>Ident A + Ident B + Foreign matter</t>
        </is>
      </c>
      <c r="M174" s="248" t="inlineStr">
        <is>
          <t>—</t>
        </is>
      </c>
      <c r="N174" s="243">
        <f>IFERROR(INDEX('CoQ Register'!$B:$B,MATCH("P050022|R",'CoQ Register'!$S:$S,0)),"—")</f>
        <v/>
      </c>
      <c r="O174" s="248" t="inlineStr">
        <is>
          <t>—</t>
        </is>
      </c>
      <c r="P174" s="243" t="inlineStr">
        <is>
          <t>03.06.2026</t>
        </is>
      </c>
      <c r="Q174" s="243" t="inlineStr">
        <is>
          <t>22.04.2025 – 23.04.2025</t>
        </is>
      </c>
      <c r="R174" s="243" t="inlineStr">
        <is>
          <t>03.06.2025 – 11.06.2025</t>
        </is>
      </c>
      <c r="S174" s="245">
        <f>IFERROR(INDEX('CoQ Register'!$D:$D,MATCH("P050022|R",'CoQ Register'!$S:$S,0)),"")</f>
        <v/>
      </c>
      <c r="T174" s="243" t="inlineStr">
        <is>
          <t>Conforms</t>
        </is>
      </c>
      <c r="U174" s="243" t="inlineStr">
        <is>
          <t>Conforms</t>
        </is>
      </c>
      <c r="V174" s="243" t="inlineStr">
        <is>
          <t>Conforms</t>
        </is>
      </c>
      <c r="W174" s="243" t="inlineStr">
        <is>
          <t>197-11-K-26, (07.08.2026) [FHM-K]</t>
        </is>
      </c>
      <c r="X174" s="243" t="inlineStr">
        <is>
          <t>197-11-K-26, (07.08.2026) [FHM-K]</t>
        </is>
      </c>
      <c r="Y174" s="243" t="inlineStr">
        <is>
          <t>197-11-M-26, (10.08.2026) [FHM-M]</t>
        </is>
      </c>
      <c r="Z174" s="243" t="inlineStr">
        <is>
          <t>#8, #9, #11, #12 from the initial testing</t>
        </is>
      </c>
      <c r="AA174" s="243" t="inlineStr">
        <is>
          <t>P050022|R</t>
        </is>
      </c>
      <c r="AB174" s="251" t="inlineStr">
        <is>
          <t>not yet issuable — sampled 22.07.2026 — the series numbers it</t>
        </is>
      </c>
    </row>
    <row r="175">
      <c r="A175" s="243" t="inlineStr"/>
      <c r="B175" s="244" t="inlineStr">
        <is>
          <t>— at issue —</t>
        </is>
      </c>
      <c r="C175" s="248" t="inlineStr">
        <is>
          <t>no</t>
        </is>
      </c>
      <c r="D175" s="245">
        <f>IF(A175="","",IF(ISNUMBER(E175),MAX(DATE(2026,6,3),E175),DATE(2026,6,3)))</f>
        <v/>
      </c>
      <c r="E175" s="245" t="inlineStr">
        <is>
          <t>— at the retest sampling —</t>
        </is>
      </c>
      <c r="F175" s="245">
        <f>IFERROR(INDEX('Batch Dates'!$G:$G,MATCH(J175,'Batch Dates'!$C:$C,0)),IFERROR(INDEX('Batch Dates'!$G:$G,MATCH(I175,'Batch Dates'!$B:$B,0)),""))</f>
        <v/>
      </c>
      <c r="G175" s="243" t="inlineStr">
        <is>
          <t>legacy</t>
        </is>
      </c>
      <c r="H175" s="243" t="inlineStr">
        <is>
          <t>retest — Tranche 2 (sampled 12–14.08.2026)</t>
        </is>
      </c>
      <c r="I175" s="244" t="inlineStr">
        <is>
          <t>OMP1024_01</t>
        </is>
      </c>
      <c r="J175" s="243" t="inlineStr">
        <is>
          <t>P050042</t>
        </is>
      </c>
      <c r="K175" s="243" t="inlineStr">
        <is>
          <t>Orange Punch Mimosa</t>
        </is>
      </c>
      <c r="L175" s="243" t="inlineStr">
        <is>
          <t>Ident A + Ident B + Foreign matter</t>
        </is>
      </c>
      <c r="M175" s="248" t="inlineStr">
        <is>
          <t>—</t>
        </is>
      </c>
      <c r="N175" s="243">
        <f>IFERROR(INDEX('CoQ Register'!$B:$B,MATCH("P050042|R",'CoQ Register'!$S:$S,0)),"—")</f>
        <v/>
      </c>
      <c r="O175" s="248" t="inlineStr">
        <is>
          <t>—</t>
        </is>
      </c>
      <c r="P175" s="243" t="inlineStr">
        <is>
          <t>20.06.2026</t>
        </is>
      </c>
      <c r="Q175" s="243" t="inlineStr">
        <is>
          <t>26.03.2025 – 27.03.2025</t>
        </is>
      </c>
      <c r="R175" s="243" t="inlineStr">
        <is>
          <t>20.06.2025</t>
        </is>
      </c>
      <c r="S175" s="245">
        <f>IFERROR(INDEX('CoQ Register'!$D:$D,MATCH("P050042|R",'CoQ Register'!$S:$S,0)),"")</f>
        <v/>
      </c>
      <c r="T175" s="243" t="inlineStr">
        <is>
          <t>Conforms</t>
        </is>
      </c>
      <c r="U175" s="243" t="inlineStr">
        <is>
          <t>Conforms</t>
        </is>
      </c>
      <c r="V175" s="243" t="inlineStr">
        <is>
          <t>Conforms</t>
        </is>
      </c>
      <c r="W175" s="243" t="inlineStr">
        <is>
          <t>220-21-K-26, (26.08.2026) [FHM-K]</t>
        </is>
      </c>
      <c r="X175" s="243" t="inlineStr">
        <is>
          <t>220-21-K-26, (26.08.2026) [FHM-K]</t>
        </is>
      </c>
      <c r="Y175" s="243" t="inlineStr">
        <is>
          <t>220-21-M-26, (11.09.2026) [FHM-M]</t>
        </is>
      </c>
      <c r="Z175" s="243" t="inlineStr">
        <is>
          <t>#8, #9, #11, #12 from the initial testing</t>
        </is>
      </c>
      <c r="AA175" s="243" t="inlineStr">
        <is>
          <t>P050042|R</t>
        </is>
      </c>
      <c r="AB175" s="251" t="inlineStr">
        <is>
          <t>not yet issuable — sampled 13.08.2026 — the series numbers it</t>
        </is>
      </c>
    </row>
    <row r="176">
      <c r="A176" s="243" t="inlineStr"/>
      <c r="B176" s="244" t="inlineStr">
        <is>
          <t>— at issue —</t>
        </is>
      </c>
      <c r="C176" s="248" t="inlineStr">
        <is>
          <t>no</t>
        </is>
      </c>
      <c r="D176" s="245">
        <f>IF(A176="","",IF(ISNUMBER(E176),MAX(DATE(2026,6,3),E176),DATE(2026,6,3)))</f>
        <v/>
      </c>
      <c r="E176" s="245" t="inlineStr">
        <is>
          <t>— at the retest sampling —</t>
        </is>
      </c>
      <c r="F176" s="245">
        <f>IFERROR(INDEX('Batch Dates'!$G:$G,MATCH(J176,'Batch Dates'!$C:$C,0)),IFERROR(INDEX('Batch Dates'!$G:$G,MATCH(I176,'Batch Dates'!$B:$B,0)),""))</f>
        <v/>
      </c>
      <c r="G176" s="243" t="inlineStr">
        <is>
          <t>legacy</t>
        </is>
      </c>
      <c r="H176" s="243" t="inlineStr">
        <is>
          <t>retest — Tranche 2 (sampled 12–14.08.2026)</t>
        </is>
      </c>
      <c r="I176" s="244" t="inlineStr">
        <is>
          <t>GP0824_03</t>
        </is>
      </c>
      <c r="J176" s="243" t="inlineStr">
        <is>
          <t>P050072</t>
        </is>
      </c>
      <c r="K176" s="243" t="inlineStr">
        <is>
          <t>Grape Pie</t>
        </is>
      </c>
      <c r="L176" s="243" t="inlineStr">
        <is>
          <t>Ident A + Ident B + Foreign matter</t>
        </is>
      </c>
      <c r="M176" s="248" t="inlineStr">
        <is>
          <t>—</t>
        </is>
      </c>
      <c r="N176" s="243">
        <f>IFERROR(INDEX('CoQ Register'!$B:$B,MATCH("P050072|R",'CoQ Register'!$S:$S,0)),"—")</f>
        <v/>
      </c>
      <c r="O176" s="248" t="inlineStr">
        <is>
          <t>—</t>
        </is>
      </c>
      <c r="P176" s="243" t="inlineStr">
        <is>
          <t>14.07.2026</t>
        </is>
      </c>
      <c r="Q176" s="243" t="inlineStr">
        <is>
          <t>09.06.2025 – 10.06.2025</t>
        </is>
      </c>
      <c r="R176" s="243" t="inlineStr">
        <is>
          <t>14.07.2025 – 17.07.2025</t>
        </is>
      </c>
      <c r="S176" s="245">
        <f>IFERROR(INDEX('CoQ Register'!$D:$D,MATCH("P050072|R",'CoQ Register'!$S:$S,0)),"")</f>
        <v/>
      </c>
      <c r="T176" s="243" t="inlineStr">
        <is>
          <t>Conforms</t>
        </is>
      </c>
      <c r="U176" s="243" t="inlineStr">
        <is>
          <t>Conforms</t>
        </is>
      </c>
      <c r="V176" s="243" t="inlineStr">
        <is>
          <t>Conforms</t>
        </is>
      </c>
      <c r="W176" s="243" t="inlineStr">
        <is>
          <t>220-11-K-26, (25.08.2026) [FHM-K]</t>
        </is>
      </c>
      <c r="X176" s="243" t="inlineStr">
        <is>
          <t>220-11-K-26, (25.08.2026) [FHM-K]</t>
        </is>
      </c>
      <c r="Y176" s="243" t="inlineStr">
        <is>
          <t>220-11-M-26, (11.09.2026) [FHM-M]</t>
        </is>
      </c>
      <c r="Z176" s="243" t="inlineStr">
        <is>
          <t>#8, #9, #11, #12 from the initial testing</t>
        </is>
      </c>
      <c r="AA176" s="243" t="inlineStr">
        <is>
          <t>P050072|R</t>
        </is>
      </c>
      <c r="AB176" s="251" t="inlineStr">
        <is>
          <t>not yet issuable — sampled 12.08.2026 — the series numbers it</t>
        </is>
      </c>
    </row>
    <row r="177">
      <c r="A177" s="243" t="inlineStr"/>
      <c r="B177" s="244" t="inlineStr">
        <is>
          <t>— at issue —</t>
        </is>
      </c>
      <c r="C177" s="248" t="inlineStr">
        <is>
          <t>no</t>
        </is>
      </c>
      <c r="D177" s="245">
        <f>IF(A177="","",IF(ISNUMBER(E177),MAX(DATE(2026,6,3),E177),DATE(2026,6,3)))</f>
        <v/>
      </c>
      <c r="E177" s="245" t="inlineStr">
        <is>
          <t>— at the retest sampling —</t>
        </is>
      </c>
      <c r="F177" s="245">
        <f>IFERROR(INDEX('Batch Dates'!$G:$G,MATCH(J177,'Batch Dates'!$C:$C,0)),IFERROR(INDEX('Batch Dates'!$G:$G,MATCH(I177,'Batch Dates'!$B:$B,0)),""))</f>
        <v/>
      </c>
      <c r="G177" s="243" t="inlineStr">
        <is>
          <t>legacy</t>
        </is>
      </c>
      <c r="H177" s="243" t="inlineStr">
        <is>
          <t>retest — Tranche 2 (sampled 12–14.08.2026)</t>
        </is>
      </c>
      <c r="I177" s="244" t="inlineStr">
        <is>
          <t>CJ062501/1</t>
        </is>
      </c>
      <c r="J177" s="243" t="inlineStr">
        <is>
          <t>P050222</t>
        </is>
      </c>
      <c r="K177" s="243" t="inlineStr">
        <is>
          <t>Cap Junky</t>
        </is>
      </c>
      <c r="L177" s="243" t="inlineStr">
        <is>
          <t>Ident A + Ident B + Foreign matter</t>
        </is>
      </c>
      <c r="M177" s="248" t="inlineStr">
        <is>
          <t>—</t>
        </is>
      </c>
      <c r="N177" s="243">
        <f>IFERROR(INDEX('CoQ Register'!$B:$B,MATCH("P050222|R",'CoQ Register'!$S:$S,0)),"—")</f>
        <v/>
      </c>
      <c r="O177" s="248" t="inlineStr">
        <is>
          <t>—</t>
        </is>
      </c>
      <c r="P177" s="243" t="inlineStr">
        <is>
          <t>24.11.2026</t>
        </is>
      </c>
      <c r="Q177" s="243" t="inlineStr">
        <is>
          <t>23.09.2025</t>
        </is>
      </c>
      <c r="R177" s="243" t="inlineStr">
        <is>
          <t>24.11.2025 – 25.11.2025</t>
        </is>
      </c>
      <c r="S177" s="245">
        <f>IFERROR(INDEX('CoQ Register'!$D:$D,MATCH("P050222|R",'CoQ Register'!$S:$S,0)),"")</f>
        <v/>
      </c>
      <c r="T177" s="243" t="inlineStr">
        <is>
          <t>Conforms</t>
        </is>
      </c>
      <c r="U177" s="243" t="inlineStr">
        <is>
          <t>Conforms</t>
        </is>
      </c>
      <c r="V177" s="243" t="inlineStr">
        <is>
          <t>Conforms</t>
        </is>
      </c>
      <c r="W177" s="243" t="inlineStr">
        <is>
          <t>220-3-K-26, (25.08.2026) [FHM-K]</t>
        </is>
      </c>
      <c r="X177" s="243" t="inlineStr">
        <is>
          <t>220-3-K-26, (25.08.2026) [FHM-K]</t>
        </is>
      </c>
      <c r="Y177" s="243" t="inlineStr">
        <is>
          <t>220-3-M-26, (11.09.2026) [FHM-M]</t>
        </is>
      </c>
      <c r="Z177" s="243" t="inlineStr">
        <is>
          <t>#8, #9, #11, #12 from the initial testing</t>
        </is>
      </c>
      <c r="AA177" s="243" t="inlineStr">
        <is>
          <t>P050222|R</t>
        </is>
      </c>
      <c r="AB177" s="251" t="inlineStr">
        <is>
          <t>not yet issuable — sampled 12.08.2026 — the series numbers it</t>
        </is>
      </c>
    </row>
    <row r="178">
      <c r="A178" s="243" t="inlineStr"/>
      <c r="B178" s="244" t="inlineStr">
        <is>
          <t>— at issue —</t>
        </is>
      </c>
      <c r="C178" s="248" t="inlineStr">
        <is>
          <t>no</t>
        </is>
      </c>
      <c r="D178" s="245">
        <f>IF(A178="","",IF(ISNUMBER(E178),MAX(DATE(2026,6,3),E178),DATE(2026,6,3)))</f>
        <v/>
      </c>
      <c r="E178" s="245" t="inlineStr">
        <is>
          <t>— at the retest sampling —</t>
        </is>
      </c>
      <c r="F178" s="245">
        <f>IFERROR(INDEX('Batch Dates'!$G:$G,MATCH(J178,'Batch Dates'!$C:$C,0)),IFERROR(INDEX('Batch Dates'!$G:$G,MATCH(I178,'Batch Dates'!$B:$B,0)),""))</f>
        <v/>
      </c>
      <c r="G178" s="243" t="inlineStr">
        <is>
          <t>legacy</t>
        </is>
      </c>
      <c r="H178" s="243" t="inlineStr">
        <is>
          <t>retest — Tranche 1 (sampled 21–24.07.2026)</t>
        </is>
      </c>
      <c r="I178" s="244" t="inlineStr">
        <is>
          <t>CJ062501/2</t>
        </is>
      </c>
      <c r="J178" s="243" t="inlineStr">
        <is>
          <t>P050212</t>
        </is>
      </c>
      <c r="K178" s="243" t="inlineStr">
        <is>
          <t>Cap Junky</t>
        </is>
      </c>
      <c r="L178" s="243" t="inlineStr">
        <is>
          <t>Ident A + Ident B + Foreign matter</t>
        </is>
      </c>
      <c r="M178" s="248" t="inlineStr">
        <is>
          <t>—</t>
        </is>
      </c>
      <c r="N178" s="243">
        <f>IFERROR(INDEX('CoQ Register'!$B:$B,MATCH("P050212|R",'CoQ Register'!$S:$S,0)),"—")</f>
        <v/>
      </c>
      <c r="O178" s="248" t="inlineStr">
        <is>
          <t>—</t>
        </is>
      </c>
      <c r="P178" s="243" t="inlineStr">
        <is>
          <t>24.01.2027</t>
        </is>
      </c>
      <c r="Q178" s="243" t="inlineStr">
        <is>
          <t>23.09.2025 – 24.09.2025</t>
        </is>
      </c>
      <c r="R178" s="243" t="inlineStr">
        <is>
          <t>18.11.2025 – 24.11.2025 (the issuance plan's basis: 24.01.2026)</t>
        </is>
      </c>
      <c r="S178" s="245">
        <f>IFERROR(INDEX('CoQ Register'!$D:$D,MATCH("P050212|R",'CoQ Register'!$S:$S,0)),"")</f>
        <v/>
      </c>
      <c r="T178" s="243" t="inlineStr">
        <is>
          <t>Conforms</t>
        </is>
      </c>
      <c r="U178" s="243" t="inlineStr">
        <is>
          <t>Conforms</t>
        </is>
      </c>
      <c r="V178" s="243" t="inlineStr">
        <is>
          <t>Conforms</t>
        </is>
      </c>
      <c r="W178" s="243" t="inlineStr">
        <is>
          <t>197-4-K-26, (07.08.2026) [FHM-K]</t>
        </is>
      </c>
      <c r="X178" s="243" t="inlineStr">
        <is>
          <t>197-4-K-26, (07.08.2026) [FHM-K]</t>
        </is>
      </c>
      <c r="Y178" s="243" t="inlineStr">
        <is>
          <t>197-4-M-26, (10.08.2026) [FHM-M]</t>
        </is>
      </c>
      <c r="Z178" s="243" t="inlineStr">
        <is>
          <t>#8, #9, #11, #12 from the initial testing</t>
        </is>
      </c>
      <c r="AA178" s="243" t="inlineStr">
        <is>
          <t>P050212|R</t>
        </is>
      </c>
      <c r="AB178" s="251" t="inlineStr">
        <is>
          <t>not yet issuable — sampled 21.07.2026 — the series numbers it</t>
        </is>
      </c>
    </row>
    <row r="179">
      <c r="A179" s="243" t="inlineStr"/>
      <c r="B179" s="244" t="inlineStr">
        <is>
          <t>— at issue —</t>
        </is>
      </c>
      <c r="C179" s="248" t="inlineStr">
        <is>
          <t>no</t>
        </is>
      </c>
      <c r="D179" s="245">
        <f>IF(A179="","",IF(ISNUMBER(E179),MAX(DATE(2026,6,3),E179),DATE(2026,6,3)))</f>
        <v/>
      </c>
      <c r="E179" s="245" t="inlineStr">
        <is>
          <t>— at the retest sampling —</t>
        </is>
      </c>
      <c r="F179" s="245">
        <f>IFERROR(INDEX('Batch Dates'!$G:$G,MATCH(J179,'Batch Dates'!$C:$C,0)),IFERROR(INDEX('Batch Dates'!$G:$G,MATCH(I179,'Batch Dates'!$B:$B,0)),""))</f>
        <v/>
      </c>
      <c r="G179" s="243" t="inlineStr">
        <is>
          <t>legacy</t>
        </is>
      </c>
      <c r="H179" s="243" t="inlineStr">
        <is>
          <t>retest — Tranche 2 (sampled 12–14.08.2026)</t>
        </is>
      </c>
      <c r="I179" s="244" t="inlineStr">
        <is>
          <t>GRC102501</t>
        </is>
      </c>
      <c r="J179" s="243" t="inlineStr">
        <is>
          <t>P060182</t>
        </is>
      </c>
      <c r="K179" s="243" t="inlineStr">
        <is>
          <t>Grapes And Cream</t>
        </is>
      </c>
      <c r="L179" s="243" t="inlineStr">
        <is>
          <t>Ident A + Ident B + Foreign matter</t>
        </is>
      </c>
      <c r="M179" s="248" t="inlineStr">
        <is>
          <t>—</t>
        </is>
      </c>
      <c r="N179" s="243">
        <f>IFERROR(INDEX('CoQ Register'!$B:$B,MATCH("P060182|R",'CoQ Register'!$S:$S,0)),"—")</f>
        <v/>
      </c>
      <c r="O179" s="248" t="inlineStr">
        <is>
          <t>—</t>
        </is>
      </c>
      <c r="P179" s="243" t="inlineStr">
        <is>
          <t>14.03.2027</t>
        </is>
      </c>
      <c r="Q179" s="243" t="inlineStr">
        <is>
          <t>20.01.2026</t>
        </is>
      </c>
      <c r="R179" s="243" t="inlineStr">
        <is>
          <t>14.03.2026</t>
        </is>
      </c>
      <c r="S179" s="245">
        <f>IFERROR(INDEX('CoQ Register'!$D:$D,MATCH("P060182|R",'CoQ Register'!$S:$S,0)),"")</f>
        <v/>
      </c>
      <c r="T179" s="243" t="inlineStr">
        <is>
          <t>Conforms</t>
        </is>
      </c>
      <c r="U179" s="243" t="inlineStr">
        <is>
          <t>Conforms</t>
        </is>
      </c>
      <c r="V179" s="243" t="inlineStr">
        <is>
          <t>Conforms</t>
        </is>
      </c>
      <c r="W179" s="243" t="inlineStr">
        <is>
          <t>220-14-K-26, (25.08.2026) [FHM-K]</t>
        </is>
      </c>
      <c r="X179" s="243" t="inlineStr">
        <is>
          <t>220-14-K-26, (25.08.2026) [FHM-K]</t>
        </is>
      </c>
      <c r="Y179" s="243" t="inlineStr">
        <is>
          <t>220-14-M-26, (11.09.2026) [FHM-M]</t>
        </is>
      </c>
      <c r="Z179" s="243" t="inlineStr">
        <is>
          <t>#8, #9, #11, #12 from the initial testing</t>
        </is>
      </c>
      <c r="AA179" s="243" t="inlineStr">
        <is>
          <t>P060182|R</t>
        </is>
      </c>
      <c r="AB179" s="251" t="inlineStr">
        <is>
          <t>not yet issuable — sampled 13.08.2026 — the series numbers it</t>
        </is>
      </c>
    </row>
    <row r="180">
      <c r="A180" s="243" t="inlineStr"/>
      <c r="B180" s="244" t="inlineStr">
        <is>
          <t>— at issue —</t>
        </is>
      </c>
      <c r="C180" s="248" t="inlineStr">
        <is>
          <t>no</t>
        </is>
      </c>
      <c r="D180" s="245">
        <f>IF(A180="","",IF(ISNUMBER(E180),MAX(DATE(2026,6,3),E180),DATE(2026,6,3)))</f>
        <v/>
      </c>
      <c r="E180" s="245" t="inlineStr">
        <is>
          <t>— at the retest sampling —</t>
        </is>
      </c>
      <c r="F180" s="245">
        <f>IFERROR(INDEX('Batch Dates'!$G:$G,MATCH(J180,'Batch Dates'!$C:$C,0)),IFERROR(INDEX('Batch Dates'!$G:$G,MATCH(I180,'Batch Dates'!$B:$B,0)),""))</f>
        <v/>
      </c>
      <c r="G180" s="243" t="inlineStr">
        <is>
          <t>legacy</t>
        </is>
      </c>
      <c r="H180" s="243" t="inlineStr">
        <is>
          <t>retest — Tranche 3 (sampled 19–21.08.2026)</t>
        </is>
      </c>
      <c r="I180" s="244" t="inlineStr">
        <is>
          <t>CJ1024</t>
        </is>
      </c>
      <c r="J180" s="243" t="inlineStr">
        <is>
          <t>N/A — no P batch assigned</t>
        </is>
      </c>
      <c r="K180" s="243" t="inlineStr">
        <is>
          <t>Cap Junky</t>
        </is>
      </c>
      <c r="L180" s="243" t="inlineStr">
        <is>
          <t>Ident A + Ident B + Foreign matter</t>
        </is>
      </c>
      <c r="M180" s="248" t="inlineStr">
        <is>
          <t>—</t>
        </is>
      </c>
      <c r="N180" s="243">
        <f>IFERROR(INDEX('CoQ Register'!$B:$B,MATCH("CJ1024|R",'CoQ Register'!$S:$S,0)),"—")</f>
        <v/>
      </c>
      <c r="O180" s="248" t="inlineStr">
        <is>
          <t>—</t>
        </is>
      </c>
      <c r="P180" s="243" t="inlineStr">
        <is>
          <t>27.02.2026</t>
        </is>
      </c>
      <c r="Q180" s="243" t="inlineStr">
        <is>
          <t>20.01.2025</t>
        </is>
      </c>
      <c r="R180" s="243" t="inlineStr">
        <is>
          <t>03.03.2025 (the issuance plan's basis: 27.02.2025)</t>
        </is>
      </c>
      <c r="S180" s="245">
        <f>IFERROR(INDEX('CoQ Register'!$D:$D,MATCH("CJ1024|R",'CoQ Register'!$S:$S,0)),"")</f>
        <v/>
      </c>
      <c r="T180" s="243" t="inlineStr">
        <is>
          <t>Conforms</t>
        </is>
      </c>
      <c r="U180" s="243" t="inlineStr">
        <is>
          <t>Conforms</t>
        </is>
      </c>
      <c r="V180" s="243" t="inlineStr">
        <is>
          <t>Conforms</t>
        </is>
      </c>
      <c r="W180" s="243" t="inlineStr">
        <is>
          <t>227-26-K-26, (11.09.2026) [FHM-K]</t>
        </is>
      </c>
      <c r="X180" s="243" t="inlineStr">
        <is>
          <t>227-26-K-26, (11.09.2026) [FHM-K]</t>
        </is>
      </c>
      <c r="Y180" s="243" t="inlineStr">
        <is>
          <t>— pending —</t>
        </is>
      </c>
      <c r="Z180" s="243" t="inlineStr">
        <is>
          <t>#8, #9, #11, #12 from the initial testing</t>
        </is>
      </c>
      <c r="AA180" s="243" t="inlineStr">
        <is>
          <t>CJ1024|R</t>
        </is>
      </c>
      <c r="AB180" s="251" t="inlineStr">
        <is>
          <t>not yet issuable — sampled 21.08.2026 — the series numbers it</t>
        </is>
      </c>
    </row>
    <row r="181">
      <c r="A181" s="243" t="inlineStr"/>
      <c r="B181" s="244" t="inlineStr">
        <is>
          <t>— at issue —</t>
        </is>
      </c>
      <c r="C181" s="248" t="inlineStr">
        <is>
          <t>no</t>
        </is>
      </c>
      <c r="D181" s="245">
        <f>IF(A181="","",IF(ISNUMBER(E181),MAX(DATE(2026,6,3),E181),DATE(2026,6,3)))</f>
        <v/>
      </c>
      <c r="E181" s="245" t="inlineStr">
        <is>
          <t>— at the retest sampling —</t>
        </is>
      </c>
      <c r="F181" s="245">
        <f>IFERROR(INDEX('Batch Dates'!$G:$G,MATCH(J181,'Batch Dates'!$C:$C,0)),IFERROR(INDEX('Batch Dates'!$G:$G,MATCH(I181,'Batch Dates'!$B:$B,0)),""))</f>
        <v/>
      </c>
      <c r="G181" s="243" t="inlineStr">
        <is>
          <t>legacy</t>
        </is>
      </c>
      <c r="H181" s="243" t="inlineStr">
        <is>
          <t>retest — Tranche 3 (sampled 19–21.08.2026)</t>
        </is>
      </c>
      <c r="I181" s="244" t="inlineStr">
        <is>
          <t>GP0824_01</t>
        </is>
      </c>
      <c r="J181" s="243" t="inlineStr">
        <is>
          <t>P050102</t>
        </is>
      </c>
      <c r="K181" s="243" t="inlineStr">
        <is>
          <t>Grape Pie</t>
        </is>
      </c>
      <c r="L181" s="243" t="inlineStr">
        <is>
          <t>Ident A + Ident B + Foreign matter</t>
        </is>
      </c>
      <c r="M181" s="248" t="inlineStr">
        <is>
          <t>—</t>
        </is>
      </c>
      <c r="N181" s="243">
        <f>IFERROR(INDEX('CoQ Register'!$B:$B,MATCH("P050102|R",'CoQ Register'!$S:$S,0)),"—")</f>
        <v/>
      </c>
      <c r="O181" s="248" t="inlineStr">
        <is>
          <t>—</t>
        </is>
      </c>
      <c r="P181" s="243" t="inlineStr">
        <is>
          <t>17.04.2026</t>
        </is>
      </c>
      <c r="Q181" s="243" t="inlineStr">
        <is>
          <t>20.03.2025 – 21.03.2025</t>
        </is>
      </c>
      <c r="R181" s="243" t="inlineStr">
        <is>
          <t>05.08.2025 – 07.08.2025 (the issuance plan's basis: 17.04.2025)</t>
        </is>
      </c>
      <c r="S181" s="245">
        <f>IFERROR(INDEX('CoQ Register'!$D:$D,MATCH("P050102|R",'CoQ Register'!$S:$S,0)),"")</f>
        <v/>
      </c>
      <c r="T181" s="243" t="inlineStr">
        <is>
          <t>Conforms</t>
        </is>
      </c>
      <c r="U181" s="243" t="inlineStr">
        <is>
          <t>Conforms</t>
        </is>
      </c>
      <c r="V181" s="243" t="inlineStr">
        <is>
          <t>Conforms</t>
        </is>
      </c>
      <c r="W181" s="243" t="inlineStr">
        <is>
          <t>227-2-K-26, (11.09.2026) [FHM-K]</t>
        </is>
      </c>
      <c r="X181" s="243" t="inlineStr">
        <is>
          <t>227-2-K-26, (11.09.2026) [FHM-K]</t>
        </is>
      </c>
      <c r="Y181" s="243" t="inlineStr">
        <is>
          <t>— pending —</t>
        </is>
      </c>
      <c r="Z181" s="243" t="inlineStr">
        <is>
          <t>#8, #9, #11, #12 from the initial testing</t>
        </is>
      </c>
      <c r="AA181" s="243" t="inlineStr">
        <is>
          <t>P050102|R</t>
        </is>
      </c>
      <c r="AB181" s="251" t="inlineStr">
        <is>
          <t>not yet issuable — sampled 19.08.2026 — the series numbers it</t>
        </is>
      </c>
    </row>
    <row r="182">
      <c r="A182" s="243" t="inlineStr"/>
      <c r="B182" s="244" t="inlineStr">
        <is>
          <t>— at issue —</t>
        </is>
      </c>
      <c r="C182" s="248" t="inlineStr">
        <is>
          <t>no</t>
        </is>
      </c>
      <c r="D182" s="245">
        <f>IF(A182="","",IF(ISNUMBER(E182),MAX(DATE(2026,6,3),E182),DATE(2026,6,3)))</f>
        <v/>
      </c>
      <c r="E182" s="245" t="inlineStr">
        <is>
          <t>— at the retest sampling —</t>
        </is>
      </c>
      <c r="F182" s="245">
        <f>IFERROR(INDEX('Batch Dates'!$G:$G,MATCH(J182,'Batch Dates'!$C:$C,0)),IFERROR(INDEX('Batch Dates'!$G:$G,MATCH(I182,'Batch Dates'!$B:$B,0)),""))</f>
        <v/>
      </c>
      <c r="G182" s="243" t="inlineStr">
        <is>
          <t>legacy</t>
        </is>
      </c>
      <c r="H182" s="243" t="inlineStr">
        <is>
          <t>retest — Tranche 3 (sampled 19–21.08.2026)</t>
        </is>
      </c>
      <c r="I182" s="244" t="inlineStr">
        <is>
          <t>MB0824_04</t>
        </is>
      </c>
      <c r="J182" s="243" t="inlineStr">
        <is>
          <t>P050032</t>
        </is>
      </c>
      <c r="K182" s="243" t="inlineStr">
        <is>
          <t>Motor Breath</t>
        </is>
      </c>
      <c r="L182" s="243" t="inlineStr">
        <is>
          <t>Ident A + Ident B + Foreign matter</t>
        </is>
      </c>
      <c r="M182" s="248" t="inlineStr">
        <is>
          <t>—</t>
        </is>
      </c>
      <c r="N182" s="243">
        <f>IFERROR(INDEX('CoQ Register'!$B:$B,MATCH("P050032|R",'CoQ Register'!$S:$S,0)),"—")</f>
        <v/>
      </c>
      <c r="O182" s="248" t="inlineStr">
        <is>
          <t>—</t>
        </is>
      </c>
      <c r="P182" s="243" t="inlineStr">
        <is>
          <t>07.05.2026</t>
        </is>
      </c>
      <c r="Q182" s="243" t="inlineStr">
        <is>
          <t>02.04.2025 – 03.04.2025</t>
        </is>
      </c>
      <c r="R182" s="243" t="inlineStr">
        <is>
          <t>16.06.2025 – 19.06.2025 (the issuance plan's basis: 07.05.2025)</t>
        </is>
      </c>
      <c r="S182" s="245">
        <f>IFERROR(INDEX('CoQ Register'!$D:$D,MATCH("P050032|R",'CoQ Register'!$S:$S,0)),"")</f>
        <v/>
      </c>
      <c r="T182" s="243" t="inlineStr">
        <is>
          <t>Conforms</t>
        </is>
      </c>
      <c r="U182" s="243" t="inlineStr">
        <is>
          <t>Conforms</t>
        </is>
      </c>
      <c r="V182" s="243" t="inlineStr">
        <is>
          <t>Conforms</t>
        </is>
      </c>
      <c r="W182" s="243" t="inlineStr">
        <is>
          <t>227-12-K-26, (11.09.2026) [FHM-K]</t>
        </is>
      </c>
      <c r="X182" s="243" t="inlineStr">
        <is>
          <t>227-12-K-26, (11.09.2026) [FHM-K]</t>
        </is>
      </c>
      <c r="Y182" s="243" t="inlineStr">
        <is>
          <t>— pending —</t>
        </is>
      </c>
      <c r="Z182" s="243" t="inlineStr">
        <is>
          <t>#8, #9, #11, #12 from the initial testing</t>
        </is>
      </c>
      <c r="AA182" s="243" t="inlineStr">
        <is>
          <t>P050032|R</t>
        </is>
      </c>
      <c r="AB182" s="251" t="inlineStr">
        <is>
          <t>not yet issuable — sampled 20.08.2026 — the series numbers it</t>
        </is>
      </c>
    </row>
    <row r="183">
      <c r="A183" s="243" t="inlineStr"/>
      <c r="B183" s="244" t="inlineStr">
        <is>
          <t>— at issue —</t>
        </is>
      </c>
      <c r="C183" s="248" t="inlineStr">
        <is>
          <t>no</t>
        </is>
      </c>
      <c r="D183" s="245">
        <f>IF(A183="","",IF(ISNUMBER(E183),MAX(DATE(2026,6,3),E183),DATE(2026,6,3)))</f>
        <v/>
      </c>
      <c r="E183" s="245" t="inlineStr">
        <is>
          <t>— at the retest sampling —</t>
        </is>
      </c>
      <c r="F183" s="245">
        <f>IFERROR(INDEX('Batch Dates'!$G:$G,MATCH(J183,'Batch Dates'!$C:$C,0)),IFERROR(INDEX('Batch Dates'!$G:$G,MATCH(I183,'Batch Dates'!$B:$B,0)),""))</f>
        <v/>
      </c>
      <c r="G183" s="243" t="inlineStr">
        <is>
          <t>legacy</t>
        </is>
      </c>
      <c r="H183" s="243" t="inlineStr">
        <is>
          <t>retest — Tranche 3 (sampled 19–21.08.2026)</t>
        </is>
      </c>
      <c r="I183" s="244" t="inlineStr">
        <is>
          <t>GG1024_02</t>
        </is>
      </c>
      <c r="J183" s="243" t="inlineStr">
        <is>
          <t>P050012</t>
        </is>
      </c>
      <c r="K183" s="243" t="inlineStr">
        <is>
          <t>Gorilla Glue</t>
        </is>
      </c>
      <c r="L183" s="243" t="inlineStr">
        <is>
          <t>Ident A + Ident B + Foreign matter</t>
        </is>
      </c>
      <c r="M183" s="248" t="inlineStr">
        <is>
          <t>—</t>
        </is>
      </c>
      <c r="N183" s="243">
        <f>IFERROR(INDEX('CoQ Register'!$B:$B,MATCH("P050012|R",'CoQ Register'!$S:$S,0)),"—")</f>
        <v/>
      </c>
      <c r="O183" s="248" t="inlineStr">
        <is>
          <t>—</t>
        </is>
      </c>
      <c r="P183" s="243" t="inlineStr">
        <is>
          <t>30.05.2026</t>
        </is>
      </c>
      <c r="Q183" s="243" t="inlineStr">
        <is>
          <t>14.04.2025 – 15.04.2025</t>
        </is>
      </c>
      <c r="R183" s="243" t="inlineStr">
        <is>
          <t>11.06.2025 – 16.06.2025 (the issuance plan's basis: 30.05.2025)</t>
        </is>
      </c>
      <c r="S183" s="245">
        <f>IFERROR(INDEX('CoQ Register'!$D:$D,MATCH("P050012|R",'CoQ Register'!$S:$S,0)),"")</f>
        <v/>
      </c>
      <c r="T183" s="243" t="inlineStr">
        <is>
          <t>Conforms</t>
        </is>
      </c>
      <c r="U183" s="243" t="inlineStr">
        <is>
          <t>Conforms</t>
        </is>
      </c>
      <c r="V183" s="243" t="inlineStr">
        <is>
          <t>Conforms</t>
        </is>
      </c>
      <c r="W183" s="243" t="inlineStr">
        <is>
          <t>227-19-K-26, (11.09.2026) [FHM-K]</t>
        </is>
      </c>
      <c r="X183" s="243" t="inlineStr">
        <is>
          <t>227-19-K-26, (11.09.2026) [FHM-K]</t>
        </is>
      </c>
      <c r="Y183" s="243" t="inlineStr">
        <is>
          <t>— pending —</t>
        </is>
      </c>
      <c r="Z183" s="243" t="inlineStr">
        <is>
          <t>#8, #9, #11, #12 from the initial testing</t>
        </is>
      </c>
      <c r="AA183" s="243" t="inlineStr">
        <is>
          <t>P050012|R</t>
        </is>
      </c>
      <c r="AB183" s="251" t="inlineStr">
        <is>
          <t>not yet issuable — sampled 20.08.2026 — the series numbers it</t>
        </is>
      </c>
    </row>
    <row r="184">
      <c r="A184" s="243" t="inlineStr"/>
      <c r="B184" s="244" t="inlineStr">
        <is>
          <t>— at issue —</t>
        </is>
      </c>
      <c r="C184" s="248" t="inlineStr">
        <is>
          <t>no</t>
        </is>
      </c>
      <c r="D184" s="245">
        <f>IF(A184="","",IF(ISNUMBER(E184),MAX(DATE(2026,6,3),E184),DATE(2026,6,3)))</f>
        <v/>
      </c>
      <c r="E184" s="245" t="inlineStr">
        <is>
          <t>— at the retest sampling —</t>
        </is>
      </c>
      <c r="F184" s="245">
        <f>IFERROR(INDEX('Batch Dates'!$G:$G,MATCH(J184,'Batch Dates'!$C:$C,0)),IFERROR(INDEX('Batch Dates'!$G:$G,MATCH(I184,'Batch Dates'!$B:$B,0)),""))</f>
        <v/>
      </c>
      <c r="G184" s="243" t="inlineStr">
        <is>
          <t>legacy</t>
        </is>
      </c>
      <c r="H184" s="243" t="inlineStr">
        <is>
          <t>retest — Tranche 3 (sampled 19–21.08.2026)</t>
        </is>
      </c>
      <c r="I184" s="244" t="inlineStr">
        <is>
          <t>BSS1024_01/1</t>
        </is>
      </c>
      <c r="J184" s="243" t="inlineStr">
        <is>
          <t>P050122</t>
        </is>
      </c>
      <c r="K184" s="243" t="inlineStr">
        <is>
          <t>Blue Sunset Sherbet</t>
        </is>
      </c>
      <c r="L184" s="243" t="inlineStr">
        <is>
          <t>Ident A + Ident B + Foreign matter</t>
        </is>
      </c>
      <c r="M184" s="248" t="inlineStr">
        <is>
          <t>—</t>
        </is>
      </c>
      <c r="N184" s="243">
        <f>IFERROR(INDEX('CoQ Register'!$B:$B,MATCH("P050122|R",'CoQ Register'!$S:$S,0)),"—")</f>
        <v/>
      </c>
      <c r="O184" s="248" t="inlineStr">
        <is>
          <t>—</t>
        </is>
      </c>
      <c r="P184" s="243" t="inlineStr">
        <is>
          <t>10.07.2026</t>
        </is>
      </c>
      <c r="Q184" s="243" t="inlineStr">
        <is>
          <t>04.06.2025 – 05.06.2025</t>
        </is>
      </c>
      <c r="R184" s="243" t="inlineStr">
        <is>
          <t>01.09.2025 – 09.09.2025 (the issuance plan's basis: 10.07.2025)</t>
        </is>
      </c>
      <c r="S184" s="245">
        <f>IFERROR(INDEX('CoQ Register'!$D:$D,MATCH("P050122|R",'CoQ Register'!$S:$S,0)),"")</f>
        <v/>
      </c>
      <c r="T184" s="243" t="inlineStr">
        <is>
          <t>Conforms</t>
        </is>
      </c>
      <c r="U184" s="243" t="inlineStr">
        <is>
          <t>Conforms</t>
        </is>
      </c>
      <c r="V184" s="243" t="inlineStr">
        <is>
          <t>Conforms</t>
        </is>
      </c>
      <c r="W184" s="243" t="inlineStr">
        <is>
          <t>227-29-K-26, (11.09.2026) [FHM-K]</t>
        </is>
      </c>
      <c r="X184" s="243" t="inlineStr">
        <is>
          <t>227-29-K-26, (11.09.2026) [FHM-K]</t>
        </is>
      </c>
      <c r="Y184" s="243" t="inlineStr">
        <is>
          <t>— pending —</t>
        </is>
      </c>
      <c r="Z184" s="243" t="inlineStr">
        <is>
          <t>#8, #9, #11, #12 from the initial testing</t>
        </is>
      </c>
      <c r="AA184" s="243" t="inlineStr">
        <is>
          <t>P050122|R</t>
        </is>
      </c>
      <c r="AB184" s="251" t="inlineStr">
        <is>
          <t>not yet issuable — sampled 21.08.2026 — the series numbers it</t>
        </is>
      </c>
    </row>
    <row r="185">
      <c r="A185" s="243" t="inlineStr"/>
      <c r="B185" s="244" t="inlineStr">
        <is>
          <t>— at issue —</t>
        </is>
      </c>
      <c r="C185" s="248" t="inlineStr">
        <is>
          <t>no</t>
        </is>
      </c>
      <c r="D185" s="245">
        <f>IF(A185="","",IF(ISNUMBER(E185),MAX(DATE(2026,6,3),E185),DATE(2026,6,3)))</f>
        <v/>
      </c>
      <c r="E185" s="245" t="inlineStr">
        <is>
          <t>— at the retest sampling —</t>
        </is>
      </c>
      <c r="F185" s="245">
        <f>IFERROR(INDEX('Batch Dates'!$G:$G,MATCH(J185,'Batch Dates'!$C:$C,0)),IFERROR(INDEX('Batch Dates'!$G:$G,MATCH(I185,'Batch Dates'!$B:$B,0)),""))</f>
        <v/>
      </c>
      <c r="G185" s="243" t="inlineStr">
        <is>
          <t>legacy</t>
        </is>
      </c>
      <c r="H185" s="243" t="inlineStr">
        <is>
          <t>retest — Tranche 3 (sampled 19–21.08.2026)</t>
        </is>
      </c>
      <c r="I185" s="244" t="inlineStr">
        <is>
          <t>OPM052501</t>
        </is>
      </c>
      <c r="J185" s="243" t="inlineStr">
        <is>
          <t>P050132</t>
        </is>
      </c>
      <c r="K185" s="243" t="inlineStr">
        <is>
          <t>Orange Punch Mimosa</t>
        </is>
      </c>
      <c r="L185" s="243" t="inlineStr">
        <is>
          <t>Ident A + Ident B + Foreign matter</t>
        </is>
      </c>
      <c r="M185" s="248" t="inlineStr">
        <is>
          <t>—</t>
        </is>
      </c>
      <c r="N185" s="243">
        <f>IFERROR(INDEX('CoQ Register'!$B:$B,MATCH("P050132|R",'CoQ Register'!$S:$S,0)),"—")</f>
        <v/>
      </c>
      <c r="O185" s="248" t="inlineStr">
        <is>
          <t>—</t>
        </is>
      </c>
      <c r="P185" s="243" t="inlineStr">
        <is>
          <t>05.09.2026</t>
        </is>
      </c>
      <c r="Q185" s="243" t="inlineStr">
        <is>
          <t>11.08.2025 – 13.08.2025</t>
        </is>
      </c>
      <c r="R185" s="243" t="inlineStr">
        <is>
          <t>09.09.2025 – 15.09.2025 (the issuance plan's basis: 05.09.2025)</t>
        </is>
      </c>
      <c r="S185" s="245">
        <f>IFERROR(INDEX('CoQ Register'!$D:$D,MATCH("P050132|R",'CoQ Register'!$S:$S,0)),"")</f>
        <v/>
      </c>
      <c r="T185" s="243" t="inlineStr">
        <is>
          <t>Conforms</t>
        </is>
      </c>
      <c r="U185" s="243" t="inlineStr">
        <is>
          <t>Conforms</t>
        </is>
      </c>
      <c r="V185" s="243" t="inlineStr">
        <is>
          <t>Conforms</t>
        </is>
      </c>
      <c r="W185" s="243" t="inlineStr">
        <is>
          <t>227-11-K-26, (11.09.2026) [FHM-K]</t>
        </is>
      </c>
      <c r="X185" s="243" t="inlineStr">
        <is>
          <t>227-11-K-26, (11.09.2026) [FHM-K]</t>
        </is>
      </c>
      <c r="Y185" s="243" t="inlineStr">
        <is>
          <t>— pending —</t>
        </is>
      </c>
      <c r="Z185" s="243" t="inlineStr">
        <is>
          <t>#8, #9, #11, #12 from the initial testing</t>
        </is>
      </c>
      <c r="AA185" s="243" t="inlineStr">
        <is>
          <t>P050132|R</t>
        </is>
      </c>
      <c r="AB185" s="251" t="inlineStr">
        <is>
          <t>not yet issuable — sampled 20.08.2026 — the series numbers it</t>
        </is>
      </c>
    </row>
    <row r="186">
      <c r="A186" s="243" t="inlineStr"/>
      <c r="B186" s="244" t="inlineStr">
        <is>
          <t>— at issue —</t>
        </is>
      </c>
      <c r="C186" s="248" t="inlineStr">
        <is>
          <t>no</t>
        </is>
      </c>
      <c r="D186" s="245">
        <f>IF(A186="","",IF(ISNUMBER(E186),MAX(DATE(2026,6,3),E186),DATE(2026,6,3)))</f>
        <v/>
      </c>
      <c r="E186" s="245" t="inlineStr">
        <is>
          <t>— at the retest sampling —</t>
        </is>
      </c>
      <c r="F186" s="245">
        <f>IFERROR(INDEX('Batch Dates'!$G:$G,MATCH(J186,'Batch Dates'!$C:$C,0)),IFERROR(INDEX('Batch Dates'!$G:$G,MATCH(I186,'Batch Dates'!$B:$B,0)),""))</f>
        <v/>
      </c>
      <c r="G186" s="243" t="inlineStr">
        <is>
          <t>legacy</t>
        </is>
      </c>
      <c r="H186" s="243" t="inlineStr">
        <is>
          <t>retest — Tranche 3 (sampled 19–21.08.2026)</t>
        </is>
      </c>
      <c r="I186" s="244" t="inlineStr">
        <is>
          <t>CJ052501/02</t>
        </is>
      </c>
      <c r="J186" s="243" t="inlineStr">
        <is>
          <t>P050172</t>
        </is>
      </c>
      <c r="K186" s="243" t="inlineStr">
        <is>
          <t>Cap Junky</t>
        </is>
      </c>
      <c r="L186" s="243" t="inlineStr">
        <is>
          <t>Ident A + Ident B + Foreign matter</t>
        </is>
      </c>
      <c r="M186" s="248" t="inlineStr">
        <is>
          <t>—</t>
        </is>
      </c>
      <c r="N186" s="243">
        <f>IFERROR(INDEX('CoQ Register'!$B:$B,MATCH("P050172|R",'CoQ Register'!$S:$S,0)),"—")</f>
        <v/>
      </c>
      <c r="O186" s="248" t="inlineStr">
        <is>
          <t>—</t>
        </is>
      </c>
      <c r="P186" s="243" t="inlineStr">
        <is>
          <t>17.09.2026</t>
        </is>
      </c>
      <c r="Q186" s="243" t="inlineStr">
        <is>
          <t>20.08.2025</t>
        </is>
      </c>
      <c r="R186" s="243" t="inlineStr">
        <is>
          <t>01.10.2025 – 02.10.2025 (the issuance plan's basis: 17.09.2025)</t>
        </is>
      </c>
      <c r="S186" s="245">
        <f>IFERROR(INDEX('CoQ Register'!$D:$D,MATCH("P050172|R",'CoQ Register'!$S:$S,0)),"")</f>
        <v/>
      </c>
      <c r="T186" s="243" t="inlineStr">
        <is>
          <t>Conforms</t>
        </is>
      </c>
      <c r="U186" s="243" t="inlineStr">
        <is>
          <t>Conforms</t>
        </is>
      </c>
      <c r="V186" s="243" t="inlineStr">
        <is>
          <t>Conforms</t>
        </is>
      </c>
      <c r="W186" s="243" t="inlineStr">
        <is>
          <t>227-28-K-26, (11.09.2026) [FHM-K]</t>
        </is>
      </c>
      <c r="X186" s="243" t="inlineStr">
        <is>
          <t>227-28-K-26, (11.09.2026) [FHM-K]</t>
        </is>
      </c>
      <c r="Y186" s="243" t="inlineStr">
        <is>
          <t>— pending —</t>
        </is>
      </c>
      <c r="Z186" s="243" t="inlineStr">
        <is>
          <t>#8, #9, #11, #12 from the initial testing</t>
        </is>
      </c>
      <c r="AA186" s="243" t="inlineStr">
        <is>
          <t>P050172|R</t>
        </is>
      </c>
      <c r="AB186" s="251" t="inlineStr">
        <is>
          <t>not yet issuable — sampled 21.08.2026 — the series numbers it</t>
        </is>
      </c>
    </row>
    <row r="187">
      <c r="A187" s="243" t="inlineStr"/>
      <c r="B187" s="244" t="inlineStr">
        <is>
          <t>— at issue —</t>
        </is>
      </c>
      <c r="C187" s="248" t="inlineStr">
        <is>
          <t>no</t>
        </is>
      </c>
      <c r="D187" s="245">
        <f>IF(A187="","",IF(ISNUMBER(E187),MAX(DATE(2026,6,3),E187),DATE(2026,6,3)))</f>
        <v/>
      </c>
      <c r="E187" s="245" t="inlineStr">
        <is>
          <t>— at the retest sampling —</t>
        </is>
      </c>
      <c r="F187" s="245">
        <f>IFERROR(INDEX('Batch Dates'!$G:$G,MATCH(J187,'Batch Dates'!$C:$C,0)),IFERROR(INDEX('Batch Dates'!$G:$G,MATCH(I187,'Batch Dates'!$B:$B,0)),""))</f>
        <v/>
      </c>
      <c r="G187" s="243" t="inlineStr">
        <is>
          <t>legacy</t>
        </is>
      </c>
      <c r="H187" s="243" t="inlineStr">
        <is>
          <t>retest — Tranche 3 (sampled 19–21.08.2026)</t>
        </is>
      </c>
      <c r="I187" s="244" t="inlineStr">
        <is>
          <t>BSS1024_01/2</t>
        </is>
      </c>
      <c r="J187" s="243" t="inlineStr">
        <is>
          <t>P050142</t>
        </is>
      </c>
      <c r="K187" s="243" t="inlineStr">
        <is>
          <t>Blue Sunset Sherbet</t>
        </is>
      </c>
      <c r="L187" s="243" t="inlineStr">
        <is>
          <t>Ident A + Ident B + Foreign matter</t>
        </is>
      </c>
      <c r="M187" s="248" t="inlineStr">
        <is>
          <t>—</t>
        </is>
      </c>
      <c r="N187" s="243">
        <f>IFERROR(INDEX('CoQ Register'!$B:$B,MATCH("P050142|R",'CoQ Register'!$S:$S,0)),"—")</f>
        <v/>
      </c>
      <c r="O187" s="248" t="inlineStr">
        <is>
          <t>—</t>
        </is>
      </c>
      <c r="P187" s="243" t="inlineStr">
        <is>
          <t>30.09.2026</t>
        </is>
      </c>
      <c r="Q187" s="243" t="inlineStr">
        <is>
          <t>— not given —</t>
        </is>
      </c>
      <c r="R187" s="243" t="inlineStr">
        <is>
          <t>30.09.2025</t>
        </is>
      </c>
      <c r="S187" s="245">
        <f>IFERROR(INDEX('CoQ Register'!$D:$D,MATCH("P050142|R",'CoQ Register'!$S:$S,0)),"")</f>
        <v/>
      </c>
      <c r="T187" s="243" t="inlineStr">
        <is>
          <t>Conforms</t>
        </is>
      </c>
      <c r="U187" s="243" t="inlineStr">
        <is>
          <t>Conforms</t>
        </is>
      </c>
      <c r="V187" s="243" t="inlineStr">
        <is>
          <t>Conforms</t>
        </is>
      </c>
      <c r="W187" s="243" t="inlineStr">
        <is>
          <t>227-1-K-26, (11.09.2026) [FHM-K]</t>
        </is>
      </c>
      <c r="X187" s="243" t="inlineStr">
        <is>
          <t>227-1-K-26, (11.09.2026) [FHM-K]</t>
        </is>
      </c>
      <c r="Y187" s="243" t="inlineStr">
        <is>
          <t>— pending —</t>
        </is>
      </c>
      <c r="Z187" s="243" t="inlineStr">
        <is>
          <t>#8, #9, #11, #12 from the initial testing</t>
        </is>
      </c>
      <c r="AA187" s="243" t="inlineStr">
        <is>
          <t>P050142|R</t>
        </is>
      </c>
      <c r="AB187" s="251" t="inlineStr">
        <is>
          <t>not yet issuable — sampled 19.08.2026 — the series numbers it</t>
        </is>
      </c>
    </row>
    <row r="188">
      <c r="A188" s="243" t="inlineStr"/>
      <c r="B188" s="244" t="inlineStr">
        <is>
          <t>— at issue —</t>
        </is>
      </c>
      <c r="C188" s="248" t="inlineStr">
        <is>
          <t>no</t>
        </is>
      </c>
      <c r="D188" s="245">
        <f>IF(A188="","",IF(ISNUMBER(E188),MAX(DATE(2026,6,3),E188),DATE(2026,6,3)))</f>
        <v/>
      </c>
      <c r="E188" s="245" t="inlineStr">
        <is>
          <t>— at the retest sampling —</t>
        </is>
      </c>
      <c r="F188" s="245">
        <f>IFERROR(INDEX('Batch Dates'!$G:$G,MATCH(J188,'Batch Dates'!$C:$C,0)),IFERROR(INDEX('Batch Dates'!$G:$G,MATCH(I188,'Batch Dates'!$B:$B,0)),""))</f>
        <v/>
      </c>
      <c r="G188" s="243" t="inlineStr">
        <is>
          <t>legacy</t>
        </is>
      </c>
      <c r="H188" s="243" t="inlineStr">
        <is>
          <t>retest — Tranche 3 (sampled 19–21.08.2026)</t>
        </is>
      </c>
      <c r="I188" s="244" t="inlineStr">
        <is>
          <t>CJ072501</t>
        </is>
      </c>
      <c r="J188" s="243" t="inlineStr">
        <is>
          <t>P050252</t>
        </is>
      </c>
      <c r="K188" s="243" t="inlineStr">
        <is>
          <t>Cap Junky</t>
        </is>
      </c>
      <c r="L188" s="243" t="inlineStr">
        <is>
          <t>Ident A + Ident B + Foreign matter</t>
        </is>
      </c>
      <c r="M188" s="248" t="inlineStr">
        <is>
          <t>—</t>
        </is>
      </c>
      <c r="N188" s="243">
        <f>IFERROR(INDEX('CoQ Register'!$B:$B,MATCH("P050252|R",'CoQ Register'!$S:$S,0)),"—")</f>
        <v/>
      </c>
      <c r="O188" s="248" t="inlineStr">
        <is>
          <t>—</t>
        </is>
      </c>
      <c r="P188" s="243" t="inlineStr">
        <is>
          <t>02.12.2026</t>
        </is>
      </c>
      <c r="Q188" s="243" t="inlineStr">
        <is>
          <t>27.10.2025</t>
        </is>
      </c>
      <c r="R188" s="243" t="inlineStr">
        <is>
          <t>27.11.2025 – 28.11.2025 (the issuance plan's basis: 02.12.2025)</t>
        </is>
      </c>
      <c r="S188" s="245">
        <f>IFERROR(INDEX('CoQ Register'!$D:$D,MATCH("P050252|R",'CoQ Register'!$S:$S,0)),"")</f>
        <v/>
      </c>
      <c r="T188" s="243" t="inlineStr">
        <is>
          <t>Conforms</t>
        </is>
      </c>
      <c r="U188" s="243" t="inlineStr">
        <is>
          <t>Conforms</t>
        </is>
      </c>
      <c r="V188" s="243" t="inlineStr">
        <is>
          <t>Conforms</t>
        </is>
      </c>
      <c r="W188" s="243" t="inlineStr">
        <is>
          <t>227-27-K-26, (11.09.2026) [FHM-K]</t>
        </is>
      </c>
      <c r="X188" s="243" t="inlineStr">
        <is>
          <t>227-27-K-26, (11.09.2026) [FHM-K]</t>
        </is>
      </c>
      <c r="Y188" s="243" t="inlineStr">
        <is>
          <t>— pending —</t>
        </is>
      </c>
      <c r="Z188" s="243" t="inlineStr">
        <is>
          <t>#8, #9, #11, #12 from the initial testing</t>
        </is>
      </c>
      <c r="AA188" s="243" t="inlineStr">
        <is>
          <t>P050252|R</t>
        </is>
      </c>
      <c r="AB188" s="251" t="inlineStr">
        <is>
          <t>not yet issuable — sampled 21.08.2026 — the series numbers it</t>
        </is>
      </c>
    </row>
    <row r="189">
      <c r="A189" s="243" t="inlineStr"/>
      <c r="B189" s="244" t="inlineStr">
        <is>
          <t>— at issue —</t>
        </is>
      </c>
      <c r="C189" s="248" t="inlineStr">
        <is>
          <t>no</t>
        </is>
      </c>
      <c r="D189" s="245">
        <f>IF(A189="","",IF(ISNUMBER(E189),MAX(DATE(2026,6,3),E189),DATE(2026,6,3)))</f>
        <v/>
      </c>
      <c r="E189" s="245" t="inlineStr">
        <is>
          <t>— at the retest sampling —</t>
        </is>
      </c>
      <c r="F189" s="245">
        <f>IFERROR(INDEX('Batch Dates'!$G:$G,MATCH(J189,'Batch Dates'!$C:$C,0)),IFERROR(INDEX('Batch Dates'!$G:$G,MATCH(I189,'Batch Dates'!$B:$B,0)),""))</f>
        <v/>
      </c>
      <c r="G189" s="243" t="inlineStr">
        <is>
          <t>legacy</t>
        </is>
      </c>
      <c r="H189" s="243" t="inlineStr">
        <is>
          <t>retest — Tranche 3 (sampled 19–21.08.2026)</t>
        </is>
      </c>
      <c r="I189" s="244" t="inlineStr">
        <is>
          <t>WC072501</t>
        </is>
      </c>
      <c r="J189" s="243" t="inlineStr">
        <is>
          <t>P050262</t>
        </is>
      </c>
      <c r="K189" s="243" t="inlineStr">
        <is>
          <t>Wedding Crusher</t>
        </is>
      </c>
      <c r="L189" s="243" t="inlineStr">
        <is>
          <t>Ident A + Ident B + Foreign matter</t>
        </is>
      </c>
      <c r="M189" s="248" t="inlineStr">
        <is>
          <t>—</t>
        </is>
      </c>
      <c r="N189" s="243">
        <f>IFERROR(INDEX('CoQ Register'!$B:$B,MATCH("P050262|R",'CoQ Register'!$S:$S,0)),"—")</f>
        <v/>
      </c>
      <c r="O189" s="248" t="inlineStr">
        <is>
          <t>—</t>
        </is>
      </c>
      <c r="P189" s="243" t="inlineStr">
        <is>
          <t>02.12.2026</t>
        </is>
      </c>
      <c r="Q189" s="243" t="inlineStr">
        <is>
          <t>27.10.2025 – 28.10.2025</t>
        </is>
      </c>
      <c r="R189" s="243" t="inlineStr">
        <is>
          <t>01.12.2025 (the issuance plan's basis: 02.12.2025)</t>
        </is>
      </c>
      <c r="S189" s="245">
        <f>IFERROR(INDEX('CoQ Register'!$D:$D,MATCH("P050262|R",'CoQ Register'!$S:$S,0)),"")</f>
        <v/>
      </c>
      <c r="T189" s="243" t="inlineStr">
        <is>
          <t>Conforms</t>
        </is>
      </c>
      <c r="U189" s="243" t="inlineStr">
        <is>
          <t>Conforms</t>
        </is>
      </c>
      <c r="V189" s="243" t="inlineStr">
        <is>
          <t>Conforms</t>
        </is>
      </c>
      <c r="W189" s="243" t="inlineStr">
        <is>
          <t>227-3-K-26, (11.09.2026) [FHM-K]</t>
        </is>
      </c>
      <c r="X189" s="243" t="inlineStr">
        <is>
          <t>227-3-K-26, (11.09.2026) [FHM-K]</t>
        </is>
      </c>
      <c r="Y189" s="243" t="inlineStr">
        <is>
          <t>— pending —</t>
        </is>
      </c>
      <c r="Z189" s="243" t="inlineStr">
        <is>
          <t>#8, #9, #11, #12 from the initial testing</t>
        </is>
      </c>
      <c r="AA189" s="243" t="inlineStr">
        <is>
          <t>P050262|R</t>
        </is>
      </c>
      <c r="AB189" s="251" t="inlineStr">
        <is>
          <t>not yet issuable — sampled 19.08.2026 — the series numbers it</t>
        </is>
      </c>
    </row>
    <row r="190">
      <c r="A190" s="243" t="inlineStr"/>
      <c r="B190" s="244" t="inlineStr">
        <is>
          <t>— at issue —</t>
        </is>
      </c>
      <c r="C190" s="248" t="inlineStr">
        <is>
          <t>no</t>
        </is>
      </c>
      <c r="D190" s="245">
        <f>IF(A190="","",IF(ISNUMBER(E190),MAX(DATE(2026,6,3),E190),DATE(2026,6,3)))</f>
        <v/>
      </c>
      <c r="E190" s="245" t="inlineStr">
        <is>
          <t>— at the retest sampling —</t>
        </is>
      </c>
      <c r="F190" s="245">
        <f>IFERROR(INDEX('Batch Dates'!$G:$G,MATCH(J190,'Batch Dates'!$C:$C,0)),IFERROR(INDEX('Batch Dates'!$G:$G,MATCH(I190,'Batch Dates'!$B:$B,0)),""))</f>
        <v/>
      </c>
      <c r="G190" s="243" t="inlineStr">
        <is>
          <t>legacy</t>
        </is>
      </c>
      <c r="H190" s="243" t="inlineStr">
        <is>
          <t>retest — Tranche 3 (sampled 19–21.08.2026)</t>
        </is>
      </c>
      <c r="I190" s="244" t="inlineStr">
        <is>
          <t>GP072501/1</t>
        </is>
      </c>
      <c r="J190" s="243" t="inlineStr">
        <is>
          <t>P050292</t>
        </is>
      </c>
      <c r="K190" s="243" t="inlineStr">
        <is>
          <t>Grape Pie</t>
        </is>
      </c>
      <c r="L190" s="243" t="inlineStr">
        <is>
          <t>Ident A + Ident B + Foreign matter</t>
        </is>
      </c>
      <c r="M190" s="248" t="inlineStr">
        <is>
          <t>—</t>
        </is>
      </c>
      <c r="N190" s="243">
        <f>IFERROR(INDEX('CoQ Register'!$B:$B,MATCH("P050292|R",'CoQ Register'!$S:$S,0)),"—")</f>
        <v/>
      </c>
      <c r="O190" s="248" t="inlineStr">
        <is>
          <t>—</t>
        </is>
      </c>
      <c r="P190" s="243" t="inlineStr">
        <is>
          <t>21.01.2027</t>
        </is>
      </c>
      <c r="Q190" s="243" t="inlineStr">
        <is>
          <t>11.11.2025 – 13.11.2025</t>
        </is>
      </c>
      <c r="R190" s="243" t="inlineStr">
        <is>
          <t>15.12.2025 – 21.12.2025 (the issuance plan's basis: 21.01.2026)</t>
        </is>
      </c>
      <c r="S190" s="245">
        <f>IFERROR(INDEX('CoQ Register'!$D:$D,MATCH("P050292|R",'CoQ Register'!$S:$S,0)),"")</f>
        <v/>
      </c>
      <c r="T190" s="243" t="inlineStr">
        <is>
          <t>Conforms</t>
        </is>
      </c>
      <c r="U190" s="243" t="inlineStr">
        <is>
          <t>Conforms</t>
        </is>
      </c>
      <c r="V190" s="243" t="inlineStr">
        <is>
          <t>Conforms</t>
        </is>
      </c>
      <c r="W190" s="243" t="inlineStr">
        <is>
          <t>227-17-K-26, (11.09.2026) [FHM-K]</t>
        </is>
      </c>
      <c r="X190" s="243" t="inlineStr">
        <is>
          <t>227-17-K-26, (11.09.2026) [FHM-K]</t>
        </is>
      </c>
      <c r="Y190" s="243" t="inlineStr">
        <is>
          <t>— pending —</t>
        </is>
      </c>
      <c r="Z190" s="243" t="inlineStr">
        <is>
          <t>#8, #9, #11, #12 from the initial testing</t>
        </is>
      </c>
      <c r="AA190" s="243" t="inlineStr">
        <is>
          <t>P050292|R</t>
        </is>
      </c>
      <c r="AB190" s="251" t="inlineStr">
        <is>
          <t>not yet issuable — sampled 20.08.2026 — the series numbers it</t>
        </is>
      </c>
    </row>
    <row r="191">
      <c r="A191" s="243" t="inlineStr"/>
      <c r="B191" s="244" t="inlineStr">
        <is>
          <t>— at issue —</t>
        </is>
      </c>
      <c r="C191" s="248" t="inlineStr">
        <is>
          <t>no</t>
        </is>
      </c>
      <c r="D191" s="245">
        <f>IF(A191="","",IF(ISNUMBER(E191),MAX(DATE(2026,6,3),E191),DATE(2026,6,3)))</f>
        <v/>
      </c>
      <c r="E191" s="245" t="inlineStr">
        <is>
          <t>— at the retest sampling —</t>
        </is>
      </c>
      <c r="F191" s="245">
        <f>IFERROR(INDEX('Batch Dates'!$G:$G,MATCH(J191,'Batch Dates'!$C:$C,0)),IFERROR(INDEX('Batch Dates'!$G:$G,MATCH(I191,'Batch Dates'!$B:$B,0)),""))</f>
        <v/>
      </c>
      <c r="G191" s="243" t="inlineStr">
        <is>
          <t>legacy</t>
        </is>
      </c>
      <c r="H191" s="243" t="inlineStr">
        <is>
          <t>retest — Tranche 3 (sampled 19–21.08.2026)</t>
        </is>
      </c>
      <c r="I191" s="244" t="inlineStr">
        <is>
          <t>PM072501</t>
        </is>
      </c>
      <c r="J191" s="243" t="inlineStr">
        <is>
          <t>P050272</t>
        </is>
      </c>
      <c r="K191" s="243" t="inlineStr">
        <is>
          <t>Permanent Marker</t>
        </is>
      </c>
      <c r="L191" s="243" t="inlineStr">
        <is>
          <t>Ident A + Ident B + Foreign matter</t>
        </is>
      </c>
      <c r="M191" s="248" t="inlineStr">
        <is>
          <t>—</t>
        </is>
      </c>
      <c r="N191" s="243">
        <f>IFERROR(INDEX('CoQ Register'!$B:$B,MATCH("P050272|R",'CoQ Register'!$S:$S,0)),"—")</f>
        <v/>
      </c>
      <c r="O191" s="248" t="inlineStr">
        <is>
          <t>—</t>
        </is>
      </c>
      <c r="P191" s="243" t="inlineStr">
        <is>
          <t>21.01.2027</t>
        </is>
      </c>
      <c r="Q191" s="243" t="inlineStr">
        <is>
          <t>27.10.2025</t>
        </is>
      </c>
      <c r="R191" s="243" t="inlineStr">
        <is>
          <t>02.12.2025 – 03.12.2025 (the issuance plan's basis: 21.01.2026)</t>
        </is>
      </c>
      <c r="S191" s="245">
        <f>IFERROR(INDEX('CoQ Register'!$D:$D,MATCH("P050272|R",'CoQ Register'!$S:$S,0)),"")</f>
        <v/>
      </c>
      <c r="T191" s="243" t="inlineStr">
        <is>
          <t>Conforms</t>
        </is>
      </c>
      <c r="U191" s="243" t="inlineStr">
        <is>
          <t>Conforms</t>
        </is>
      </c>
      <c r="V191" s="243" t="inlineStr">
        <is>
          <t>Conforms</t>
        </is>
      </c>
      <c r="W191" s="243" t="inlineStr">
        <is>
          <t>227-9-K-26, (11.09.2026) [FHM-K]</t>
        </is>
      </c>
      <c r="X191" s="243" t="inlineStr">
        <is>
          <t>227-9-K-26, (11.09.2026) [FHM-K]</t>
        </is>
      </c>
      <c r="Y191" s="243" t="inlineStr">
        <is>
          <t>— pending —</t>
        </is>
      </c>
      <c r="Z191" s="243" t="inlineStr">
        <is>
          <t>#8, #9, #11, #12 from the initial testing</t>
        </is>
      </c>
      <c r="AA191" s="243" t="inlineStr">
        <is>
          <t>P050272|R</t>
        </is>
      </c>
      <c r="AB191" s="251" t="inlineStr">
        <is>
          <t>not yet issuable — sampled 19.08.2026 — the series numbers it</t>
        </is>
      </c>
    </row>
    <row r="192">
      <c r="A192" s="243" t="inlineStr"/>
      <c r="B192" s="244" t="inlineStr">
        <is>
          <t>— at issue —</t>
        </is>
      </c>
      <c r="C192" s="248" t="inlineStr">
        <is>
          <t>no</t>
        </is>
      </c>
      <c r="D192" s="245">
        <f>IF(A192="","",IF(ISNUMBER(E192),MAX(DATE(2026,6,3),E192),DATE(2026,6,3)))</f>
        <v/>
      </c>
      <c r="E192" s="245" t="inlineStr">
        <is>
          <t>— at the retest sampling —</t>
        </is>
      </c>
      <c r="F192" s="245">
        <f>IFERROR(INDEX('Batch Dates'!$G:$G,MATCH(J192,'Batch Dates'!$C:$C,0)),IFERROR(INDEX('Batch Dates'!$G:$G,MATCH(I192,'Batch Dates'!$B:$B,0)),""))</f>
        <v/>
      </c>
      <c r="G192" s="243" t="inlineStr">
        <is>
          <t>legacy</t>
        </is>
      </c>
      <c r="H192" s="243" t="inlineStr">
        <is>
          <t>retest — Tranche 3 (sampled 19–21.08.2026)</t>
        </is>
      </c>
      <c r="I192" s="244" t="inlineStr">
        <is>
          <t>WED102501</t>
        </is>
      </c>
      <c r="J192" s="243" t="inlineStr">
        <is>
          <t>P060102</t>
        </is>
      </c>
      <c r="K192" s="243" t="inlineStr">
        <is>
          <t>Wedding Cake</t>
        </is>
      </c>
      <c r="L192" s="243" t="inlineStr">
        <is>
          <t>Ident A + Ident B + Foreign matter</t>
        </is>
      </c>
      <c r="M192" s="248" t="inlineStr">
        <is>
          <t>—</t>
        </is>
      </c>
      <c r="N192" s="243">
        <f>IFERROR(INDEX('CoQ Register'!$B:$B,MATCH("P060102|R",'CoQ Register'!$S:$S,0)),"—")</f>
        <v/>
      </c>
      <c r="O192" s="248" t="inlineStr">
        <is>
          <t>—</t>
        </is>
      </c>
      <c r="P192" s="243" t="inlineStr">
        <is>
          <t>16.02.2027</t>
        </is>
      </c>
      <c r="Q192" s="243" t="inlineStr">
        <is>
          <t>08.01.2026</t>
        </is>
      </c>
      <c r="R192" s="243" t="inlineStr">
        <is>
          <t>16.02.2026</t>
        </is>
      </c>
      <c r="S192" s="245">
        <f>IFERROR(INDEX('CoQ Register'!$D:$D,MATCH("P060102|R",'CoQ Register'!$S:$S,0)),"")</f>
        <v/>
      </c>
      <c r="T192" s="243" t="inlineStr">
        <is>
          <t>Conforms</t>
        </is>
      </c>
      <c r="U192" s="243" t="inlineStr">
        <is>
          <t>Conforms</t>
        </is>
      </c>
      <c r="V192" s="243" t="inlineStr">
        <is>
          <t>Conforms</t>
        </is>
      </c>
      <c r="W192" s="243" t="inlineStr">
        <is>
          <t>227-4-K-26, (11.09.2026) [FHM-K]</t>
        </is>
      </c>
      <c r="X192" s="243" t="inlineStr">
        <is>
          <t>227-4-K-26, (11.09.2026) [FHM-K]</t>
        </is>
      </c>
      <c r="Y192" s="243" t="inlineStr">
        <is>
          <t>— pending —</t>
        </is>
      </c>
      <c r="Z192" s="243" t="inlineStr">
        <is>
          <t>#8, #9, #11, #12 from the initial testing</t>
        </is>
      </c>
      <c r="AA192" s="243" t="inlineStr">
        <is>
          <t>P060102|R</t>
        </is>
      </c>
      <c r="AB192" s="251" t="inlineStr">
        <is>
          <t>not yet issuable — sampled 19.08.2026 — the series numbers it</t>
        </is>
      </c>
    </row>
    <row r="193">
      <c r="A193" s="243" t="inlineStr"/>
      <c r="B193" s="244" t="inlineStr">
        <is>
          <t>— at issue —</t>
        </is>
      </c>
      <c r="C193" s="248" t="inlineStr">
        <is>
          <t>no</t>
        </is>
      </c>
      <c r="D193" s="245">
        <f>IF(A193="","",IF(ISNUMBER(E193),MAX(DATE(2026,6,3),E193),DATE(2026,6,3)))</f>
        <v/>
      </c>
      <c r="E193" s="245" t="inlineStr">
        <is>
          <t>— at the retest sampling —</t>
        </is>
      </c>
      <c r="F193" s="245">
        <f>IFERROR(INDEX('Batch Dates'!$G:$G,MATCH(J193,'Batch Dates'!$C:$C,0)),IFERROR(INDEX('Batch Dates'!$G:$G,MATCH(I193,'Batch Dates'!$B:$B,0)),""))</f>
        <v/>
      </c>
      <c r="G193" s="243" t="inlineStr">
        <is>
          <t>legacy</t>
        </is>
      </c>
      <c r="H193" s="243" t="inlineStr">
        <is>
          <t>retest — Tranche 3 (sampled 19–21.08.2026)</t>
        </is>
      </c>
      <c r="I193" s="244" t="inlineStr">
        <is>
          <t>AB092501</t>
        </is>
      </c>
      <c r="J193" s="243" t="inlineStr">
        <is>
          <t>P060052</t>
        </is>
      </c>
      <c r="K193" s="243" t="inlineStr">
        <is>
          <t>Apple and Banana</t>
        </is>
      </c>
      <c r="L193" s="243" t="inlineStr">
        <is>
          <t>Ident A + Ident B + Foreign matter</t>
        </is>
      </c>
      <c r="M193" s="248" t="inlineStr">
        <is>
          <t>—</t>
        </is>
      </c>
      <c r="N193" s="243">
        <f>IFERROR(INDEX('CoQ Register'!$B:$B,MATCH("P060052|R",'CoQ Register'!$S:$S,0)),"—")</f>
        <v/>
      </c>
      <c r="O193" s="248" t="inlineStr">
        <is>
          <t>—</t>
        </is>
      </c>
      <c r="P193" s="243" t="inlineStr">
        <is>
          <t>20.02.2027</t>
        </is>
      </c>
      <c r="Q193" s="243" t="inlineStr">
        <is>
          <t>11.12.2025</t>
        </is>
      </c>
      <c r="R193" s="243" t="inlineStr">
        <is>
          <t>30.01.2026 (the issuance plan's basis: 20.02.2026)</t>
        </is>
      </c>
      <c r="S193" s="245">
        <f>IFERROR(INDEX('CoQ Register'!$D:$D,MATCH("P060052|R",'CoQ Register'!$S:$S,0)),"")</f>
        <v/>
      </c>
      <c r="T193" s="243" t="inlineStr">
        <is>
          <t>Conforms</t>
        </is>
      </c>
      <c r="U193" s="243" t="inlineStr">
        <is>
          <t>Conforms</t>
        </is>
      </c>
      <c r="V193" s="243" t="inlineStr">
        <is>
          <t>Conforms</t>
        </is>
      </c>
      <c r="W193" s="243" t="inlineStr">
        <is>
          <t>227-30-K-26, (11.09.2026) [FHM-K]</t>
        </is>
      </c>
      <c r="X193" s="243" t="inlineStr">
        <is>
          <t>227-30-K-26, (11.09.2026) [FHM-K]</t>
        </is>
      </c>
      <c r="Y193" s="243" t="inlineStr">
        <is>
          <t>— pending —</t>
        </is>
      </c>
      <c r="Z193" s="243" t="inlineStr">
        <is>
          <t>#8, #9, #11, #12 from the initial testing</t>
        </is>
      </c>
      <c r="AA193" s="243" t="inlineStr">
        <is>
          <t>P060052|R</t>
        </is>
      </c>
      <c r="AB193" s="251" t="inlineStr">
        <is>
          <t>not yet issuable — sampled 21.08.2026 — the series numbers it</t>
        </is>
      </c>
    </row>
    <row r="194">
      <c r="A194" s="243" t="inlineStr"/>
      <c r="B194" s="244" t="inlineStr">
        <is>
          <t>— at issue —</t>
        </is>
      </c>
      <c r="C194" s="248" t="inlineStr">
        <is>
          <t>no</t>
        </is>
      </c>
      <c r="D194" s="245">
        <f>IF(A194="","",IF(ISNUMBER(E194),MAX(DATE(2026,6,3),E194),DATE(2026,6,3)))</f>
        <v/>
      </c>
      <c r="E194" s="245" t="inlineStr">
        <is>
          <t>— at the retest sampling —</t>
        </is>
      </c>
      <c r="F194" s="245">
        <f>IFERROR(INDEX('Batch Dates'!$G:$G,MATCH(J194,'Batch Dates'!$C:$C,0)),IFERROR(INDEX('Batch Dates'!$G:$G,MATCH(I194,'Batch Dates'!$B:$B,0)),""))</f>
        <v/>
      </c>
      <c r="G194" s="243" t="inlineStr">
        <is>
          <t>legacy</t>
        </is>
      </c>
      <c r="H194" s="243" t="inlineStr">
        <is>
          <t>retest — Tranche 3 (sampled 19–21.08.2026)</t>
        </is>
      </c>
      <c r="I194" s="244" t="inlineStr">
        <is>
          <t>GRC102501</t>
        </is>
      </c>
      <c r="J194" s="243" t="inlineStr">
        <is>
          <t>P060142</t>
        </is>
      </c>
      <c r="K194" s="243" t="inlineStr">
        <is>
          <t>Grapes And Cream</t>
        </is>
      </c>
      <c r="L194" s="243" t="inlineStr">
        <is>
          <t>Ident A + Ident B + Foreign matter</t>
        </is>
      </c>
      <c r="M194" s="248" t="inlineStr">
        <is>
          <t>—</t>
        </is>
      </c>
      <c r="N194" s="243">
        <f>IFERROR(INDEX('CoQ Register'!$B:$B,MATCH("P060142|R",'CoQ Register'!$S:$S,0)),"—")</f>
        <v/>
      </c>
      <c r="O194" s="248" t="inlineStr">
        <is>
          <t>—</t>
        </is>
      </c>
      <c r="P194" s="243" t="inlineStr">
        <is>
          <t>23.02.2027</t>
        </is>
      </c>
      <c r="Q194" s="243" t="inlineStr">
        <is>
          <t>09.01.2026</t>
        </is>
      </c>
      <c r="R194" s="243" t="inlineStr">
        <is>
          <t>23.02.2026</t>
        </is>
      </c>
      <c r="S194" s="245">
        <f>IFERROR(INDEX('CoQ Register'!$D:$D,MATCH("P060142|R",'CoQ Register'!$S:$S,0)),"")</f>
        <v/>
      </c>
      <c r="T194" s="243" t="inlineStr">
        <is>
          <t>Conforms</t>
        </is>
      </c>
      <c r="U194" s="243" t="inlineStr">
        <is>
          <t>Conforms</t>
        </is>
      </c>
      <c r="V194" s="243" t="inlineStr">
        <is>
          <t>Conforms</t>
        </is>
      </c>
      <c r="W194" s="243" t="inlineStr">
        <is>
          <t>227-16-K-26, (11.09.2026) [FHM-K]</t>
        </is>
      </c>
      <c r="X194" s="243" t="inlineStr">
        <is>
          <t>227-16-K-26, (11.09.2026) [FHM-K]</t>
        </is>
      </c>
      <c r="Y194" s="243" t="inlineStr">
        <is>
          <t>— pending —</t>
        </is>
      </c>
      <c r="Z194" s="243" t="inlineStr">
        <is>
          <t>#8, #9, #11, #12 from the initial testing</t>
        </is>
      </c>
      <c r="AA194" s="243" t="inlineStr">
        <is>
          <t>P060142|R</t>
        </is>
      </c>
      <c r="AB194" s="251" t="inlineStr">
        <is>
          <t>not yet issuable — sampled 20.08.2026 — the series numbers it</t>
        </is>
      </c>
    </row>
    <row r="195">
      <c r="A195" s="243" t="inlineStr"/>
      <c r="B195" s="244" t="inlineStr">
        <is>
          <t>— at issue —</t>
        </is>
      </c>
      <c r="C195" s="248" t="inlineStr">
        <is>
          <t>no</t>
        </is>
      </c>
      <c r="D195" s="245">
        <f>IF(A195="","",IF(ISNUMBER(E195),MAX(DATE(2026,6,3),E195),DATE(2026,6,3)))</f>
        <v/>
      </c>
      <c r="E195" s="245" t="inlineStr">
        <is>
          <t>— at the retest sampling —</t>
        </is>
      </c>
      <c r="F195" s="245">
        <f>IFERROR(INDEX('Batch Dates'!$G:$G,MATCH(J195,'Batch Dates'!$C:$C,0)),IFERROR(INDEX('Batch Dates'!$G:$G,MATCH(I195,'Batch Dates'!$B:$B,0)),""))</f>
        <v/>
      </c>
      <c r="G195" s="243" t="inlineStr">
        <is>
          <t>legacy</t>
        </is>
      </c>
      <c r="H195" s="243" t="inlineStr">
        <is>
          <t>retest — Tranche 3 (sampled 19–21.08.2026)</t>
        </is>
      </c>
      <c r="I195" s="244" t="inlineStr">
        <is>
          <t>SJ102501</t>
        </is>
      </c>
      <c r="J195" s="243" t="inlineStr">
        <is>
          <t>P060162</t>
        </is>
      </c>
      <c r="K195" s="243" t="inlineStr">
        <is>
          <t>Sleepy Joe</t>
        </is>
      </c>
      <c r="L195" s="243" t="inlineStr">
        <is>
          <t>Ident A + Ident B + Foreign matter</t>
        </is>
      </c>
      <c r="M195" s="248" t="inlineStr">
        <is>
          <t>—</t>
        </is>
      </c>
      <c r="N195" s="243">
        <f>IFERROR(INDEX('CoQ Register'!$B:$B,MATCH("P060162|R",'CoQ Register'!$S:$S,0)),"—")</f>
        <v/>
      </c>
      <c r="O195" s="248" t="inlineStr">
        <is>
          <t>—</t>
        </is>
      </c>
      <c r="P195" s="243" t="inlineStr">
        <is>
          <t>04.03.2027</t>
        </is>
      </c>
      <c r="Q195" s="243" t="inlineStr">
        <is>
          <t>20.01.2026</t>
        </is>
      </c>
      <c r="R195" s="243" t="inlineStr">
        <is>
          <t>09.03.2026 (the issuance plan's basis: 04.03.2026)</t>
        </is>
      </c>
      <c r="S195" s="245">
        <f>IFERROR(INDEX('CoQ Register'!$D:$D,MATCH("P060162|R",'CoQ Register'!$S:$S,0)),"")</f>
        <v/>
      </c>
      <c r="T195" s="243" t="inlineStr">
        <is>
          <t>Conforms</t>
        </is>
      </c>
      <c r="U195" s="243" t="inlineStr">
        <is>
          <t>Conforms</t>
        </is>
      </c>
      <c r="V195" s="243" t="inlineStr">
        <is>
          <t>Conforms</t>
        </is>
      </c>
      <c r="W195" s="243" t="inlineStr">
        <is>
          <t>227-6-K-26, (11.09.2026) [FHM-K]</t>
        </is>
      </c>
      <c r="X195" s="243" t="inlineStr">
        <is>
          <t>227-6-K-26, (11.09.2026) [FHM-K]</t>
        </is>
      </c>
      <c r="Y195" s="243" t="inlineStr">
        <is>
          <t>— pending —</t>
        </is>
      </c>
      <c r="Z195" s="243" t="inlineStr">
        <is>
          <t>#8, #9, #11, #12 from the initial testing</t>
        </is>
      </c>
      <c r="AA195" s="243" t="inlineStr">
        <is>
          <t>P060162|R</t>
        </is>
      </c>
      <c r="AB195" s="251" t="inlineStr">
        <is>
          <t>not yet issuable — sampled 19.08.2026 — the series numbers it</t>
        </is>
      </c>
    </row>
    <row r="196">
      <c r="A196" s="243" t="inlineStr"/>
      <c r="B196" s="244" t="inlineStr">
        <is>
          <t>— at issue —</t>
        </is>
      </c>
      <c r="C196" s="248" t="inlineStr">
        <is>
          <t>no</t>
        </is>
      </c>
      <c r="D196" s="245">
        <f>IF(A196="","",IF(ISNUMBER(E196),MAX(DATE(2026,6,3),E196),DATE(2026,6,3)))</f>
        <v/>
      </c>
      <c r="E196" s="245" t="inlineStr">
        <is>
          <t>— at the retest sampling —</t>
        </is>
      </c>
      <c r="F196" s="245">
        <f>IFERROR(INDEX('Batch Dates'!$G:$G,MATCH(J196,'Batch Dates'!$C:$C,0)),IFERROR(INDEX('Batch Dates'!$G:$G,MATCH(I196,'Batch Dates'!$B:$B,0)),""))</f>
        <v/>
      </c>
      <c r="G196" s="243" t="inlineStr">
        <is>
          <t>legacy</t>
        </is>
      </c>
      <c r="H196" s="243" t="inlineStr">
        <is>
          <t>retest — Tranche 3 (sampled 19–21.08.2026)</t>
        </is>
      </c>
      <c r="I196" s="244" t="inlineStr">
        <is>
          <t>OPM112501</t>
        </is>
      </c>
      <c r="J196" s="243" t="inlineStr">
        <is>
          <t>P060222</t>
        </is>
      </c>
      <c r="K196" s="243" t="inlineStr">
        <is>
          <t>Orange Punch Mimosa</t>
        </is>
      </c>
      <c r="L196" s="243" t="inlineStr">
        <is>
          <t>Ident A + Ident B + Foreign matter</t>
        </is>
      </c>
      <c r="M196" s="248" t="inlineStr">
        <is>
          <t>—</t>
        </is>
      </c>
      <c r="N196" s="243">
        <f>IFERROR(INDEX('CoQ Register'!$B:$B,MATCH("P060222|R",'CoQ Register'!$S:$S,0)),"—")</f>
        <v/>
      </c>
      <c r="O196" s="248" t="inlineStr">
        <is>
          <t>—</t>
        </is>
      </c>
      <c r="P196" s="243" t="inlineStr">
        <is>
          <t>05.03.2027</t>
        </is>
      </c>
      <c r="Q196" s="243" t="inlineStr">
        <is>
          <t>05.02.2026</t>
        </is>
      </c>
      <c r="R196" s="243" t="inlineStr">
        <is>
          <t>24.04.2026 (the issuance plan's basis: 05.03.2026)</t>
        </is>
      </c>
      <c r="S196" s="245">
        <f>IFERROR(INDEX('CoQ Register'!$D:$D,MATCH("P060222|R",'CoQ Register'!$S:$S,0)),"")</f>
        <v/>
      </c>
      <c r="T196" s="243" t="inlineStr">
        <is>
          <t>Conforms</t>
        </is>
      </c>
      <c r="U196" s="243" t="inlineStr">
        <is>
          <t>Conforms</t>
        </is>
      </c>
      <c r="V196" s="243" t="inlineStr">
        <is>
          <t>Conforms</t>
        </is>
      </c>
      <c r="W196" s="243" t="inlineStr">
        <is>
          <t>227-10-K-26, (11.09.2026) [FHM-K]</t>
        </is>
      </c>
      <c r="X196" s="243" t="inlineStr">
        <is>
          <t>227-10-K-26, (11.09.2026) [FHM-K]</t>
        </is>
      </c>
      <c r="Y196" s="243" t="inlineStr">
        <is>
          <t>— pending —</t>
        </is>
      </c>
      <c r="Z196" s="243" t="inlineStr">
        <is>
          <t>#8, #9, #11, #12 from the initial testing</t>
        </is>
      </c>
      <c r="AA196" s="243" t="inlineStr">
        <is>
          <t>P060222|R</t>
        </is>
      </c>
      <c r="AB196" s="251" t="inlineStr">
        <is>
          <t>not yet issuable — sampled 19.08.2026 — the series numbers it</t>
        </is>
      </c>
    </row>
    <row r="197">
      <c r="A197" s="243" t="inlineStr"/>
      <c r="B197" s="244" t="inlineStr">
        <is>
          <t>— at issue —</t>
        </is>
      </c>
      <c r="C197" s="248" t="inlineStr">
        <is>
          <t>no</t>
        </is>
      </c>
      <c r="D197" s="245">
        <f>IF(A197="","",IF(ISNUMBER(E197),MAX(DATE(2026,6,3),E197),DATE(2026,6,3)))</f>
        <v/>
      </c>
      <c r="E197" s="245" t="inlineStr">
        <is>
          <t>— at the retest sampling —</t>
        </is>
      </c>
      <c r="F197" s="245">
        <f>IFERROR(INDEX('Batch Dates'!$G:$G,MATCH(J197,'Batch Dates'!$C:$C,0)),IFERROR(INDEX('Batch Dates'!$G:$G,MATCH(I197,'Batch Dates'!$B:$B,0)),""))</f>
        <v/>
      </c>
      <c r="G197" s="243" t="inlineStr">
        <is>
          <t>legacy</t>
        </is>
      </c>
      <c r="H197" s="243" t="inlineStr">
        <is>
          <t>retest — Tranche 3 (sampled 19–21.08.2026)</t>
        </is>
      </c>
      <c r="I197" s="244" t="inlineStr">
        <is>
          <t>J31112501</t>
        </is>
      </c>
      <c r="J197" s="243" t="inlineStr">
        <is>
          <t>P060202</t>
        </is>
      </c>
      <c r="K197" s="243" t="inlineStr">
        <is>
          <t>Jokerz 31</t>
        </is>
      </c>
      <c r="L197" s="243" t="inlineStr">
        <is>
          <t>Ident A + Ident B + Foreign matter</t>
        </is>
      </c>
      <c r="M197" s="248" t="inlineStr">
        <is>
          <t>—</t>
        </is>
      </c>
      <c r="N197" s="243">
        <f>IFERROR(INDEX('CoQ Register'!$B:$B,MATCH("P060202|R",'CoQ Register'!$S:$S,0)),"—")</f>
        <v/>
      </c>
      <c r="O197" s="248" t="inlineStr">
        <is>
          <t>—</t>
        </is>
      </c>
      <c r="P197" s="243" t="inlineStr">
        <is>
          <t>09.04.2027</t>
        </is>
      </c>
      <c r="Q197" s="243" t="inlineStr">
        <is>
          <t>26.01.2026</t>
        </is>
      </c>
      <c r="R197" s="243" t="inlineStr">
        <is>
          <t>17.04.2026 (the issuance plan's basis: 09.04.2026)</t>
        </is>
      </c>
      <c r="S197" s="245">
        <f>IFERROR(INDEX('CoQ Register'!$D:$D,MATCH("P060202|R",'CoQ Register'!$S:$S,0)),"")</f>
        <v/>
      </c>
      <c r="T197" s="243" t="inlineStr">
        <is>
          <t>Conforms</t>
        </is>
      </c>
      <c r="U197" s="243" t="inlineStr">
        <is>
          <t>Conforms</t>
        </is>
      </c>
      <c r="V197" s="243" t="inlineStr">
        <is>
          <t>Conforms</t>
        </is>
      </c>
      <c r="W197" s="243" t="inlineStr">
        <is>
          <t>227-14-K-26, (11.09.2026) [FHM-K]</t>
        </is>
      </c>
      <c r="X197" s="243" t="inlineStr">
        <is>
          <t>227-14-K-26, (11.09.2026) [FHM-K]</t>
        </is>
      </c>
      <c r="Y197" s="243" t="inlineStr">
        <is>
          <t>— pending —</t>
        </is>
      </c>
      <c r="Z197" s="243" t="inlineStr">
        <is>
          <t>#8, #9, #11, #12 from the initial testing</t>
        </is>
      </c>
      <c r="AA197" s="243" t="inlineStr">
        <is>
          <t>P060202|R</t>
        </is>
      </c>
      <c r="AB197" s="251" t="inlineStr">
        <is>
          <t>not yet issuable — sampled 20.08.2026 — the series numbers it</t>
        </is>
      </c>
    </row>
    <row r="198">
      <c r="A198" s="243" t="inlineStr"/>
      <c r="B198" s="244" t="inlineStr">
        <is>
          <t>— at issue —</t>
        </is>
      </c>
      <c r="C198" s="248" t="inlineStr">
        <is>
          <t>no</t>
        </is>
      </c>
      <c r="D198" s="245">
        <f>IF(A198="","",IF(ISNUMBER(E198),MAX(DATE(2026,6,3),E198),DATE(2026,6,3)))</f>
        <v/>
      </c>
      <c r="E198" s="245" t="inlineStr">
        <is>
          <t>— at the retest sampling —</t>
        </is>
      </c>
      <c r="F198" s="245">
        <f>IFERROR(INDEX('Batch Dates'!$G:$G,MATCH(J198,'Batch Dates'!$C:$C,0)),IFERROR(INDEX('Batch Dates'!$G:$G,MATCH(I198,'Batch Dates'!$B:$B,0)),""))</f>
        <v/>
      </c>
      <c r="G198" s="243" t="inlineStr">
        <is>
          <t>post-SOP</t>
        </is>
      </c>
      <c r="H198" s="243" t="inlineStr">
        <is>
          <t>retest — Tranche 3 (sampled 19–21.08.2026)</t>
        </is>
      </c>
      <c r="I198" s="244" t="inlineStr">
        <is>
          <t>J31122501</t>
        </is>
      </c>
      <c r="J198" s="243" t="inlineStr">
        <is>
          <t>P060262</t>
        </is>
      </c>
      <c r="K198" s="243" t="inlineStr">
        <is>
          <t>Jokerz 31</t>
        </is>
      </c>
      <c r="L198" s="243" t="inlineStr">
        <is>
          <t>Ident A + Ident B + Foreign matter</t>
        </is>
      </c>
      <c r="M198" s="248" t="inlineStr">
        <is>
          <t>—</t>
        </is>
      </c>
      <c r="N198" s="243">
        <f>IFERROR(INDEX('CoQ Register'!$B:$B,MATCH("P060262|R",'CoQ Register'!$S:$S,0)),"—")</f>
        <v/>
      </c>
      <c r="O198" s="248" t="inlineStr">
        <is>
          <t>—</t>
        </is>
      </c>
      <c r="P198" s="243" t="inlineStr">
        <is>
          <t>23.04.2027</t>
        </is>
      </c>
      <c r="Q198" s="243" t="inlineStr">
        <is>
          <t>04.03.2026</t>
        </is>
      </c>
      <c r="R198" s="243" t="inlineStr">
        <is>
          <t>14.05.2026 (the issuance plan's basis: 23.04.2026)</t>
        </is>
      </c>
      <c r="S198" s="245">
        <f>IFERROR(INDEX('CoQ Register'!$D:$D,MATCH("P060262|R",'CoQ Register'!$S:$S,0)),"")</f>
        <v/>
      </c>
      <c r="T198" s="243" t="inlineStr">
        <is>
          <t>Conforms</t>
        </is>
      </c>
      <c r="U198" s="243" t="inlineStr">
        <is>
          <t>Conforms</t>
        </is>
      </c>
      <c r="V198" s="243" t="inlineStr">
        <is>
          <t>Conforms</t>
        </is>
      </c>
      <c r="W198" s="243" t="inlineStr">
        <is>
          <t>— retest assay not yet on file —</t>
        </is>
      </c>
      <c r="X198" s="243" t="inlineStr">
        <is>
          <t>— pending —</t>
        </is>
      </c>
      <c r="Y198" s="243" t="inlineStr">
        <is>
          <t>— pending —</t>
        </is>
      </c>
      <c r="Z198" s="243" t="inlineStr">
        <is>
          <t>#8, #9, #11, #12 from the initial testing</t>
        </is>
      </c>
      <c r="AA198" s="243" t="inlineStr">
        <is>
          <t>P060262|R</t>
        </is>
      </c>
      <c r="AB198" s="251" t="inlineStr">
        <is>
          <t>not yet issuable — sampled 20.08.2026 — the series numbers it</t>
        </is>
      </c>
    </row>
    <row r="199">
      <c r="A199" s="243" t="inlineStr"/>
      <c r="B199" s="244" t="inlineStr">
        <is>
          <t>— at issue —</t>
        </is>
      </c>
      <c r="C199" s="248" t="inlineStr">
        <is>
          <t>no</t>
        </is>
      </c>
      <c r="D199" s="245">
        <f>IF(A199="","",IF(ISNUMBER(E199),MAX(DATE(2026,6,3),E199),DATE(2026,6,3)))</f>
        <v/>
      </c>
      <c r="E199" s="245" t="inlineStr">
        <is>
          <t>— at the retest sampling —</t>
        </is>
      </c>
      <c r="F199" s="245">
        <f>IFERROR(INDEX('Batch Dates'!$G:$G,MATCH(J199,'Batch Dates'!$C:$C,0)),IFERROR(INDEX('Batch Dates'!$G:$G,MATCH(I199,'Batch Dates'!$B:$B,0)),""))</f>
        <v/>
      </c>
      <c r="G199" s="243" t="inlineStr">
        <is>
          <t>post-SOP</t>
        </is>
      </c>
      <c r="H199" s="243" t="inlineStr">
        <is>
          <t>retest — Tranche 3 (sampled 19–21.08.2026)</t>
        </is>
      </c>
      <c r="I199" s="244" t="inlineStr">
        <is>
          <t>CC112501</t>
        </is>
      </c>
      <c r="J199" s="243" t="inlineStr">
        <is>
          <t>P060272</t>
        </is>
      </c>
      <c r="K199" s="243" t="inlineStr">
        <is>
          <t>Cash Cow</t>
        </is>
      </c>
      <c r="L199" s="243" t="inlineStr">
        <is>
          <t>Ident A + Ident B + Foreign matter</t>
        </is>
      </c>
      <c r="M199" s="248" t="inlineStr">
        <is>
          <t>—</t>
        </is>
      </c>
      <c r="N199" s="243">
        <f>IFERROR(INDEX('CoQ Register'!$B:$B,MATCH("P060272|R",'CoQ Register'!$S:$S,0)),"—")</f>
        <v/>
      </c>
      <c r="O199" s="248" t="inlineStr">
        <is>
          <t>—</t>
        </is>
      </c>
      <c r="P199" s="243" t="inlineStr">
        <is>
          <t>11.05.2027</t>
        </is>
      </c>
      <c r="Q199" s="243" t="inlineStr">
        <is>
          <t>25.03.2026</t>
        </is>
      </c>
      <c r="R199" s="243" t="inlineStr">
        <is>
          <t>18.05.2026 (the issuance plan's basis: 11.05.2026)</t>
        </is>
      </c>
      <c r="S199" s="245">
        <f>IFERROR(INDEX('CoQ Register'!$D:$D,MATCH("P060272|R",'CoQ Register'!$S:$S,0)),"")</f>
        <v/>
      </c>
      <c r="T199" s="243" t="inlineStr">
        <is>
          <t>Conforms</t>
        </is>
      </c>
      <c r="U199" s="243" t="inlineStr">
        <is>
          <t>Conforms</t>
        </is>
      </c>
      <c r="V199" s="243" t="inlineStr">
        <is>
          <t>Conforms</t>
        </is>
      </c>
      <c r="W199" s="243" t="inlineStr">
        <is>
          <t>227-25-K-26, (11.09.2026) [FHM-K]</t>
        </is>
      </c>
      <c r="X199" s="243" t="inlineStr">
        <is>
          <t>227-25-K-26, (11.09.2026) [FHM-K]</t>
        </is>
      </c>
      <c r="Y199" s="243" t="inlineStr">
        <is>
          <t>— pending —</t>
        </is>
      </c>
      <c r="Z199" s="243" t="inlineStr">
        <is>
          <t>#8, #9, #11, #12 from the initial testing</t>
        </is>
      </c>
      <c r="AA199" s="243" t="inlineStr">
        <is>
          <t>P060272|R</t>
        </is>
      </c>
      <c r="AB199" s="251" t="inlineStr">
        <is>
          <t>not yet issuable — sampled 21.08.2026 — the series numbers it</t>
        </is>
      </c>
    </row>
    <row r="200">
      <c r="A200" s="243" t="inlineStr"/>
      <c r="B200" s="244" t="inlineStr">
        <is>
          <t>— at issue —</t>
        </is>
      </c>
      <c r="C200" s="248" t="inlineStr">
        <is>
          <t>no</t>
        </is>
      </c>
      <c r="D200" s="245">
        <f>IF(A200="","",IF(ISNUMBER(E200),MAX(DATE(2026,6,3),E200),DATE(2026,6,3)))</f>
        <v/>
      </c>
      <c r="E200" s="245" t="inlineStr">
        <is>
          <t>— at the retest sampling —</t>
        </is>
      </c>
      <c r="F200" s="245">
        <f>IFERROR(INDEX('Batch Dates'!$G:$G,MATCH(J200,'Batch Dates'!$C:$C,0)),IFERROR(INDEX('Batch Dates'!$G:$G,MATCH(I200,'Batch Dates'!$B:$B,0)),""))</f>
        <v/>
      </c>
      <c r="G200" s="243" t="inlineStr">
        <is>
          <t>post-SOP</t>
        </is>
      </c>
      <c r="H200" s="243" t="inlineStr">
        <is>
          <t>retest — Tranche 3 (sampled 19–21.08.2026)</t>
        </is>
      </c>
      <c r="I200" s="244" t="inlineStr">
        <is>
          <t>FB112501</t>
        </is>
      </c>
      <c r="J200" s="243" t="inlineStr">
        <is>
          <t>P060292</t>
        </is>
      </c>
      <c r="K200" s="243" t="inlineStr">
        <is>
          <t>Fat Bastard</t>
        </is>
      </c>
      <c r="L200" s="243" t="inlineStr">
        <is>
          <t>Ident A + Ident B + Foreign matter</t>
        </is>
      </c>
      <c r="M200" s="248" t="inlineStr">
        <is>
          <t>—</t>
        </is>
      </c>
      <c r="N200" s="243">
        <f>IFERROR(INDEX('CoQ Register'!$B:$B,MATCH("P060292|R",'CoQ Register'!$S:$S,0)),"—")</f>
        <v/>
      </c>
      <c r="O200" s="248" t="inlineStr">
        <is>
          <t>—</t>
        </is>
      </c>
      <c r="P200" s="243" t="inlineStr">
        <is>
          <t>11.05.2027</t>
        </is>
      </c>
      <c r="Q200" s="243" t="inlineStr">
        <is>
          <t>25.03.2026</t>
        </is>
      </c>
      <c r="R200" s="243" t="inlineStr">
        <is>
          <t>19.05.2026 (the issuance plan's basis: 11.05.2026)</t>
        </is>
      </c>
      <c r="S200" s="245">
        <f>IFERROR(INDEX('CoQ Register'!$D:$D,MATCH("P060292|R",'CoQ Register'!$S:$S,0)),"")</f>
        <v/>
      </c>
      <c r="T200" s="243" t="inlineStr">
        <is>
          <t>Conforms</t>
        </is>
      </c>
      <c r="U200" s="243" t="inlineStr">
        <is>
          <t>Conforms</t>
        </is>
      </c>
      <c r="V200" s="243" t="inlineStr">
        <is>
          <t>Conforms</t>
        </is>
      </c>
      <c r="W200" s="243" t="inlineStr">
        <is>
          <t>227-22-K-26, (11.09.2026) [FHM-K]</t>
        </is>
      </c>
      <c r="X200" s="243" t="inlineStr">
        <is>
          <t>227-22-K-26, (11.09.2026) [FHM-K]</t>
        </is>
      </c>
      <c r="Y200" s="243" t="inlineStr">
        <is>
          <t>— pending —</t>
        </is>
      </c>
      <c r="Z200" s="243" t="inlineStr">
        <is>
          <t>#8, #9, #11, #12 from the initial testing</t>
        </is>
      </c>
      <c r="AA200" s="243" t="inlineStr">
        <is>
          <t>P060292|R</t>
        </is>
      </c>
      <c r="AB200" s="251" t="inlineStr">
        <is>
          <t>not yet issuable — sampled 21.08.2026 — the series numbers it</t>
        </is>
      </c>
    </row>
    <row r="201">
      <c r="A201" s="243" t="inlineStr"/>
      <c r="B201" s="244" t="inlineStr">
        <is>
          <t>— at issue —</t>
        </is>
      </c>
      <c r="C201" s="248" t="inlineStr">
        <is>
          <t>no</t>
        </is>
      </c>
      <c r="D201" s="245">
        <f>IF(A201="","",IF(ISNUMBER(E201),MAX(DATE(2026,6,3),E201),DATE(2026,6,3)))</f>
        <v/>
      </c>
      <c r="E201" s="245" t="inlineStr">
        <is>
          <t>— at the retest sampling —</t>
        </is>
      </c>
      <c r="F201" s="245">
        <f>IFERROR(INDEX('Batch Dates'!$G:$G,MATCH(J201,'Batch Dates'!$C:$C,0)),IFERROR(INDEX('Batch Dates'!$G:$G,MATCH(I201,'Batch Dates'!$B:$B,0)),""))</f>
        <v/>
      </c>
      <c r="G201" s="243" t="inlineStr">
        <is>
          <t>post-SOP</t>
        </is>
      </c>
      <c r="H201" s="243" t="inlineStr">
        <is>
          <t>retest — Tranche 3 (sampled 19–21.08.2026)</t>
        </is>
      </c>
      <c r="I201" s="244" t="inlineStr">
        <is>
          <t>GG012601＊</t>
        </is>
      </c>
      <c r="J201" s="243" t="inlineStr">
        <is>
          <t>P060302</t>
        </is>
      </c>
      <c r="K201" s="243" t="inlineStr">
        <is>
          <t>Gorilla Glue</t>
        </is>
      </c>
      <c r="L201" s="243" t="inlineStr">
        <is>
          <t>Ident A + Ident B + Foreign matter</t>
        </is>
      </c>
      <c r="M201" s="248" t="inlineStr">
        <is>
          <t>—</t>
        </is>
      </c>
      <c r="N201" s="243">
        <f>IFERROR(INDEX('CoQ Register'!$B:$B,MATCH("P060302|R",'CoQ Register'!$S:$S,0)),"—")</f>
        <v/>
      </c>
      <c r="O201" s="248" t="inlineStr">
        <is>
          <t>—</t>
        </is>
      </c>
      <c r="P201" s="243" t="inlineStr">
        <is>
          <t>11.05.2027</t>
        </is>
      </c>
      <c r="Q201" s="243" t="inlineStr">
        <is>
          <t>27.03.2026</t>
        </is>
      </c>
      <c r="R201" s="243" t="inlineStr">
        <is>
          <t>20.05.2026 (the issuance plan's basis: 11.05.2026)</t>
        </is>
      </c>
      <c r="S201" s="245">
        <f>IFERROR(INDEX('CoQ Register'!$D:$D,MATCH("P060302|R",'CoQ Register'!$S:$S,0)),"")</f>
        <v/>
      </c>
      <c r="T201" s="243" t="inlineStr">
        <is>
          <t>Conforms</t>
        </is>
      </c>
      <c r="U201" s="243" t="inlineStr">
        <is>
          <t>Conforms</t>
        </is>
      </c>
      <c r="V201" s="243" t="inlineStr">
        <is>
          <t>Conforms</t>
        </is>
      </c>
      <c r="W201" s="243" t="inlineStr">
        <is>
          <t>227-21-K-26, (11.09.2026) [FHM-K]</t>
        </is>
      </c>
      <c r="X201" s="243" t="inlineStr">
        <is>
          <t>227-21-K-26, (11.09.2026) [FHM-K]</t>
        </is>
      </c>
      <c r="Y201" s="243" t="inlineStr">
        <is>
          <t>— pending —</t>
        </is>
      </c>
      <c r="Z201" s="243" t="inlineStr">
        <is>
          <t>#8, #9, #11, #12 from the initial testing</t>
        </is>
      </c>
      <c r="AA201" s="243" t="inlineStr">
        <is>
          <t>P060302|R</t>
        </is>
      </c>
      <c r="AB201" s="251" t="inlineStr">
        <is>
          <t>not yet issuable — sampled 21.08.2026 — the series numbers it</t>
        </is>
      </c>
    </row>
    <row r="202">
      <c r="A202" s="243" t="inlineStr"/>
      <c r="B202" s="244" t="inlineStr">
        <is>
          <t>— at issue —</t>
        </is>
      </c>
      <c r="C202" s="248" t="inlineStr">
        <is>
          <t>no</t>
        </is>
      </c>
      <c r="D202" s="245">
        <f>IF(A202="","",IF(ISNUMBER(E202),MAX(DATE(2026,6,3),E202),DATE(2026,6,3)))</f>
        <v/>
      </c>
      <c r="E202" s="245" t="inlineStr">
        <is>
          <t>— at the retest sampling —</t>
        </is>
      </c>
      <c r="F202" s="245">
        <f>IFERROR(INDEX('Batch Dates'!$G:$G,MATCH(J202,'Batch Dates'!$C:$C,0)),IFERROR(INDEX('Batch Dates'!$G:$G,MATCH(I202,'Batch Dates'!$B:$B,0)),""))</f>
        <v/>
      </c>
      <c r="G202" s="243" t="inlineStr">
        <is>
          <t>legacy</t>
        </is>
      </c>
      <c r="H202" s="243" t="inlineStr">
        <is>
          <t>retest — Tranche 3 (sampled 19–21.08.2026)</t>
        </is>
      </c>
      <c r="I202" s="244" t="inlineStr">
        <is>
          <t>GG112501</t>
        </is>
      </c>
      <c r="J202" s="243" t="inlineStr">
        <is>
          <t>P060252</t>
        </is>
      </c>
      <c r="K202" s="243" t="inlineStr">
        <is>
          <t>Gorilla Glue</t>
        </is>
      </c>
      <c r="L202" s="243" t="inlineStr">
        <is>
          <t>Ident A + Ident B + Foreign matter</t>
        </is>
      </c>
      <c r="M202" s="248" t="inlineStr">
        <is>
          <t>—</t>
        </is>
      </c>
      <c r="N202" s="243">
        <f>IFERROR(INDEX('CoQ Register'!$B:$B,MATCH("P060252|R",'CoQ Register'!$S:$S,0)),"—")</f>
        <v/>
      </c>
      <c r="O202" s="248" t="inlineStr">
        <is>
          <t>—</t>
        </is>
      </c>
      <c r="P202" s="243" t="inlineStr">
        <is>
          <t>11.05.2027</t>
        </is>
      </c>
      <c r="Q202" s="243" t="inlineStr">
        <is>
          <t>25.03.2026</t>
        </is>
      </c>
      <c r="R202" s="243" t="inlineStr">
        <is>
          <t>05.05.2026 (the issuance plan's basis: 11.05.2026)</t>
        </is>
      </c>
      <c r="S202" s="245">
        <f>IFERROR(INDEX('CoQ Register'!$D:$D,MATCH("P060252|R",'CoQ Register'!$S:$S,0)),"")</f>
        <v/>
      </c>
      <c r="T202" s="243" t="inlineStr">
        <is>
          <t>Conforms</t>
        </is>
      </c>
      <c r="U202" s="243" t="inlineStr">
        <is>
          <t>Conforms</t>
        </is>
      </c>
      <c r="V202" s="243" t="inlineStr">
        <is>
          <t>Conforms</t>
        </is>
      </c>
      <c r="W202" s="243" t="inlineStr">
        <is>
          <t>227-20-K-26, (11.09.2026) [FHM-K]</t>
        </is>
      </c>
      <c r="X202" s="243" t="inlineStr">
        <is>
          <t>227-20-K-26, (11.09.2026) [FHM-K]</t>
        </is>
      </c>
      <c r="Y202" s="243" t="inlineStr">
        <is>
          <t>— pending —</t>
        </is>
      </c>
      <c r="Z202" s="243" t="inlineStr">
        <is>
          <t>#8, #9, #11, #12 from the initial testing</t>
        </is>
      </c>
      <c r="AA202" s="243" t="inlineStr">
        <is>
          <t>P060252|R</t>
        </is>
      </c>
      <c r="AB202" s="251" t="inlineStr">
        <is>
          <t>not yet issuable — sampled 20.08.2026 — the series numbers it</t>
        </is>
      </c>
    </row>
    <row r="203">
      <c r="A203" s="243" t="inlineStr"/>
      <c r="B203" s="244" t="inlineStr">
        <is>
          <t>— at issue —</t>
        </is>
      </c>
      <c r="C203" s="248" t="inlineStr">
        <is>
          <t>no</t>
        </is>
      </c>
      <c r="D203" s="245">
        <f>IF(A203="","",IF(ISNUMBER(E203),MAX(DATE(2026,6,3),E203),DATE(2026,6,3)))</f>
        <v/>
      </c>
      <c r="E203" s="245" t="inlineStr">
        <is>
          <t>— at the retest sampling —</t>
        </is>
      </c>
      <c r="F203" s="245">
        <f>IFERROR(INDEX('Batch Dates'!$G:$G,MATCH(J203,'Batch Dates'!$C:$C,0)),IFERROR(INDEX('Batch Dates'!$G:$G,MATCH(I203,'Batch Dates'!$B:$B,0)),""))</f>
        <v/>
      </c>
      <c r="G203" s="243" t="inlineStr">
        <is>
          <t>legacy</t>
        </is>
      </c>
      <c r="H203" s="243" t="inlineStr">
        <is>
          <t>retest — Tranche 3 (sampled 19–21.08.2026)</t>
        </is>
      </c>
      <c r="I203" s="244" t="inlineStr">
        <is>
          <t>GP062501</t>
        </is>
      </c>
      <c r="J203" s="243" t="inlineStr">
        <is>
          <t>P050202</t>
        </is>
      </c>
      <c r="K203" s="243" t="inlineStr">
        <is>
          <t>Grape Pie</t>
        </is>
      </c>
      <c r="L203" s="243" t="inlineStr">
        <is>
          <t>Ident A + Ident B + Foreign matter</t>
        </is>
      </c>
      <c r="M203" s="248" t="inlineStr">
        <is>
          <t>—</t>
        </is>
      </c>
      <c r="N203" s="243">
        <f>IFERROR(INDEX('CoQ Register'!$B:$B,MATCH("P050202|R",'CoQ Register'!$S:$S,0)),"—")</f>
        <v/>
      </c>
      <c r="O203" s="248" t="inlineStr">
        <is>
          <t>—</t>
        </is>
      </c>
      <c r="P203" s="243" t="inlineStr">
        <is>
          <t>11.05.2027</t>
        </is>
      </c>
      <c r="Q203" s="243" t="inlineStr">
        <is>
          <t>15.09.2025 – 17.09.2025</t>
        </is>
      </c>
      <c r="R203" s="243" t="inlineStr">
        <is>
          <t>30.10.2025 – 07.11.2025 (the issuance plan's basis: 11.05.2026)</t>
        </is>
      </c>
      <c r="S203" s="245">
        <f>IFERROR(INDEX('CoQ Register'!$D:$D,MATCH("P050202|R",'CoQ Register'!$S:$S,0)),"")</f>
        <v/>
      </c>
      <c r="T203" s="243" t="inlineStr">
        <is>
          <t>Conforms</t>
        </is>
      </c>
      <c r="U203" s="243" t="inlineStr">
        <is>
          <t>Conforms</t>
        </is>
      </c>
      <c r="V203" s="243" t="inlineStr">
        <is>
          <t>Conforms</t>
        </is>
      </c>
      <c r="W203" s="243" t="inlineStr">
        <is>
          <t>227-18-K-26, (11.09.2026) [FHM-K]</t>
        </is>
      </c>
      <c r="X203" s="243" t="inlineStr">
        <is>
          <t>227-18-K-26, (11.09.2026) [FHM-K]</t>
        </is>
      </c>
      <c r="Y203" s="243" t="inlineStr">
        <is>
          <t>— pending —</t>
        </is>
      </c>
      <c r="Z203" s="243" t="inlineStr">
        <is>
          <t>#8, #9, #11, #12 from the initial testing</t>
        </is>
      </c>
      <c r="AA203" s="243" t="inlineStr">
        <is>
          <t>P050202|R</t>
        </is>
      </c>
      <c r="AB203" s="251" t="inlineStr">
        <is>
          <t>not yet issuable — sampled 20.08.2026 — the series numbers it</t>
        </is>
      </c>
    </row>
    <row r="204">
      <c r="A204" s="243" t="inlineStr"/>
      <c r="B204" s="244" t="inlineStr">
        <is>
          <t>— at issue —</t>
        </is>
      </c>
      <c r="C204" s="248" t="inlineStr">
        <is>
          <t>no</t>
        </is>
      </c>
      <c r="D204" s="245">
        <f>IF(A204="","",IF(ISNUMBER(E204),MAX(DATE(2026,6,3),E204),DATE(2026,6,3)))</f>
        <v/>
      </c>
      <c r="E204" s="245" t="inlineStr">
        <is>
          <t>— at the retest sampling —</t>
        </is>
      </c>
      <c r="F204" s="245">
        <f>IFERROR(INDEX('Batch Dates'!$G:$G,MATCH(J204,'Batch Dates'!$C:$C,0)),IFERROR(INDEX('Batch Dates'!$G:$G,MATCH(I204,'Batch Dates'!$B:$B,0)),""))</f>
        <v/>
      </c>
      <c r="G204" s="243" t="inlineStr">
        <is>
          <t>post-SOP</t>
        </is>
      </c>
      <c r="H204" s="243" t="inlineStr">
        <is>
          <t>retest — Tranche 3 (sampled 19–21.08.2026)</t>
        </is>
      </c>
      <c r="I204" s="244" t="inlineStr">
        <is>
          <t>JD012601＊</t>
        </is>
      </c>
      <c r="J204" s="243" t="inlineStr">
        <is>
          <t>P060312</t>
        </is>
      </c>
      <c r="K204" s="243" t="inlineStr">
        <is>
          <t>Jelly Donuts</t>
        </is>
      </c>
      <c r="L204" s="243" t="inlineStr">
        <is>
          <t>Ident A + Ident B + Foreign matter</t>
        </is>
      </c>
      <c r="M204" s="248" t="inlineStr">
        <is>
          <t>—</t>
        </is>
      </c>
      <c r="N204" s="243">
        <f>IFERROR(INDEX('CoQ Register'!$B:$B,MATCH("P060312|R",'CoQ Register'!$S:$S,0)),"—")</f>
        <v/>
      </c>
      <c r="O204" s="248" t="inlineStr">
        <is>
          <t>—</t>
        </is>
      </c>
      <c r="P204" s="243" t="inlineStr">
        <is>
          <t>11.05.2027</t>
        </is>
      </c>
      <c r="Q204" s="243" t="inlineStr">
        <is>
          <t>27.03.2026</t>
        </is>
      </c>
      <c r="R204" s="243" t="inlineStr">
        <is>
          <t>21.05.2026 (the issuance plan's basis: 11.05.2026)</t>
        </is>
      </c>
      <c r="S204" s="245">
        <f>IFERROR(INDEX('CoQ Register'!$D:$D,MATCH("P060312|R",'CoQ Register'!$S:$S,0)),"")</f>
        <v/>
      </c>
      <c r="T204" s="243" t="inlineStr">
        <is>
          <t>Conforms</t>
        </is>
      </c>
      <c r="U204" s="243" t="inlineStr">
        <is>
          <t>Conforms</t>
        </is>
      </c>
      <c r="V204" s="243" t="inlineStr">
        <is>
          <t>Conforms</t>
        </is>
      </c>
      <c r="W204" s="243" t="inlineStr">
        <is>
          <t>227-15-K-26, (11.09.2026) [FHM-K]</t>
        </is>
      </c>
      <c r="X204" s="243" t="inlineStr">
        <is>
          <t>227-15-K-26, (11.09.2026) [FHM-K]</t>
        </is>
      </c>
      <c r="Y204" s="243" t="inlineStr">
        <is>
          <t>— pending —</t>
        </is>
      </c>
      <c r="Z204" s="243" t="inlineStr">
        <is>
          <t>#8, #9, #11, #12 from the initial testing</t>
        </is>
      </c>
      <c r="AA204" s="243" t="inlineStr">
        <is>
          <t>P060312|R</t>
        </is>
      </c>
      <c r="AB204" s="251" t="inlineStr">
        <is>
          <t>not yet issuable — sampled 20.08.2026 — the series numbers it</t>
        </is>
      </c>
    </row>
    <row r="205">
      <c r="A205" s="243" t="inlineStr"/>
      <c r="B205" s="244" t="inlineStr">
        <is>
          <t>— at issue —</t>
        </is>
      </c>
      <c r="C205" s="248" t="inlineStr">
        <is>
          <t>no</t>
        </is>
      </c>
      <c r="D205" s="245">
        <f>IF(A205="","",IF(ISNUMBER(E205),MAX(DATE(2026,6,3),E205),DATE(2026,6,3)))</f>
        <v/>
      </c>
      <c r="E205" s="245" t="inlineStr">
        <is>
          <t>— at the retest sampling —</t>
        </is>
      </c>
      <c r="F205" s="245">
        <f>IFERROR(INDEX('Batch Dates'!$G:$G,MATCH(J205,'Batch Dates'!$C:$C,0)),IFERROR(INDEX('Batch Dates'!$G:$G,MATCH(I205,'Batch Dates'!$B:$B,0)),""))</f>
        <v/>
      </c>
      <c r="G205" s="243" t="inlineStr">
        <is>
          <t>post-SOP</t>
        </is>
      </c>
      <c r="H205" s="243" t="inlineStr">
        <is>
          <t>retest — Tranche 3 (sampled 19–21.08.2026)</t>
        </is>
      </c>
      <c r="I205" s="244" t="inlineStr">
        <is>
          <t>SCR012601*</t>
        </is>
      </c>
      <c r="J205" s="243" t="inlineStr">
        <is>
          <t>P060342</t>
        </is>
      </c>
      <c r="K205" s="243" t="inlineStr">
        <is>
          <t>Scrambler</t>
        </is>
      </c>
      <c r="L205" s="243" t="inlineStr">
        <is>
          <t>Ident A + Ident B + Foreign matter</t>
        </is>
      </c>
      <c r="M205" s="248" t="inlineStr">
        <is>
          <t>—</t>
        </is>
      </c>
      <c r="N205" s="243">
        <f>IFERROR(INDEX('CoQ Register'!$B:$B,MATCH("P060342|R",'CoQ Register'!$S:$S,0)),"—")</f>
        <v/>
      </c>
      <c r="O205" s="248" t="inlineStr">
        <is>
          <t>—</t>
        </is>
      </c>
      <c r="P205" s="243" t="inlineStr">
        <is>
          <t>25.05.2027</t>
        </is>
      </c>
      <c r="Q205" s="243" t="inlineStr">
        <is>
          <t>16.04.2026</t>
        </is>
      </c>
      <c r="R205" s="243" t="inlineStr">
        <is>
          <t>25.05.2026</t>
        </is>
      </c>
      <c r="S205" s="245">
        <f>IFERROR(INDEX('CoQ Register'!$D:$D,MATCH("P060342|R",'CoQ Register'!$S:$S,0)),"")</f>
        <v/>
      </c>
      <c r="T205" s="243" t="inlineStr">
        <is>
          <t>Conforms</t>
        </is>
      </c>
      <c r="U205" s="243" t="inlineStr">
        <is>
          <t>Conforms</t>
        </is>
      </c>
      <c r="V205" s="243" t="inlineStr">
        <is>
          <t>Conforms</t>
        </is>
      </c>
      <c r="W205" s="243" t="inlineStr">
        <is>
          <t>227-8-K-26, (11.09.2026) [FHM-K]</t>
        </is>
      </c>
      <c r="X205" s="243" t="inlineStr">
        <is>
          <t>227-8-K-26, (11.09.2026) [FHM-K]</t>
        </is>
      </c>
      <c r="Y205" s="243" t="inlineStr">
        <is>
          <t>— pending —</t>
        </is>
      </c>
      <c r="Z205" s="243" t="inlineStr">
        <is>
          <t>#8, #9, #11, #12 from the initial testing</t>
        </is>
      </c>
      <c r="AA205" s="243" t="inlineStr">
        <is>
          <t>P060342|R</t>
        </is>
      </c>
      <c r="AB205" s="251" t="inlineStr">
        <is>
          <t>not yet issuable — sampled 19.08.2026 — the series numbers it</t>
        </is>
      </c>
    </row>
    <row r="206">
      <c r="A206" s="243" t="inlineStr"/>
      <c r="B206" s="244" t="inlineStr">
        <is>
          <t>— at issue —</t>
        </is>
      </c>
      <c r="C206" s="248" t="inlineStr">
        <is>
          <t>no</t>
        </is>
      </c>
      <c r="D206" s="245">
        <f>IF(A206="","",IF(ISNUMBER(E206),MAX(DATE(2026,6,3),E206),DATE(2026,6,3)))</f>
        <v/>
      </c>
      <c r="E206" s="245" t="inlineStr">
        <is>
          <t>— at the retest sampling —</t>
        </is>
      </c>
      <c r="F206" s="245">
        <f>IFERROR(INDEX('Batch Dates'!$G:$G,MATCH(J206,'Batch Dates'!$C:$C,0)),IFERROR(INDEX('Batch Dates'!$G:$G,MATCH(I206,'Batch Dates'!$B:$B,0)),""))</f>
        <v/>
      </c>
      <c r="G206" s="243" t="inlineStr">
        <is>
          <t>post-SOP</t>
        </is>
      </c>
      <c r="H206" s="243" t="inlineStr">
        <is>
          <t>retest — Tranche 3 (sampled 19–21.08.2026)</t>
        </is>
      </c>
      <c r="I206" s="244" t="inlineStr">
        <is>
          <t>FB012603</t>
        </is>
      </c>
      <c r="J206" s="243" t="inlineStr">
        <is>
          <t>P060432</t>
        </is>
      </c>
      <c r="K206" s="243" t="inlineStr">
        <is>
          <t>Fat Bastard</t>
        </is>
      </c>
      <c r="L206" s="243" t="inlineStr">
        <is>
          <t>Ident A + Ident B + Foreign matter</t>
        </is>
      </c>
      <c r="M206" s="248" t="inlineStr">
        <is>
          <t>—</t>
        </is>
      </c>
      <c r="N206" s="243">
        <f>IFERROR(INDEX('CoQ Register'!$B:$B,MATCH("P060432|R",'CoQ Register'!$S:$S,0)),"—")</f>
        <v/>
      </c>
      <c r="O206" s="248" t="inlineStr">
        <is>
          <t>—</t>
        </is>
      </c>
      <c r="P206" s="243" t="inlineStr">
        <is>
          <t>30.06.2027</t>
        </is>
      </c>
      <c r="Q206" s="243" t="inlineStr">
        <is>
          <t>04.05.2026</t>
        </is>
      </c>
      <c r="R206" s="243" t="inlineStr">
        <is>
          <t>15.06.2026 (the issuance plan's basis: 30.06.2026)</t>
        </is>
      </c>
      <c r="S206" s="245">
        <f>IFERROR(INDEX('CoQ Register'!$D:$D,MATCH("P060432|R",'CoQ Register'!$S:$S,0)),"")</f>
        <v/>
      </c>
      <c r="T206" s="243" t="inlineStr">
        <is>
          <t>CNP ППК26112</t>
        </is>
      </c>
      <c r="U206" s="243" t="inlineStr">
        <is>
          <t>CNP ППК26112</t>
        </is>
      </c>
      <c r="V206" s="243" t="inlineStr">
        <is>
          <t>Conforms</t>
        </is>
      </c>
      <c r="W206" s="243" t="inlineStr">
        <is>
          <t>227-24-K-26, (11.09.2026) [FHM-K]</t>
        </is>
      </c>
      <c r="X206" s="243" t="inlineStr">
        <is>
          <t>227-24-K-26, (11.09.2026) [FHM-K]</t>
        </is>
      </c>
      <c r="Y206" s="243" t="inlineStr">
        <is>
          <t>— pending —</t>
        </is>
      </c>
      <c r="Z206" s="243" t="inlineStr">
        <is>
          <t>#8, #9, #11, #12 from the initial testing</t>
        </is>
      </c>
      <c r="AA206" s="243" t="inlineStr">
        <is>
          <t>P060432|R</t>
        </is>
      </c>
      <c r="AB206" s="251" t="inlineStr">
        <is>
          <t>not yet issuable — sampled 21.08.2026 — the series numbers it</t>
        </is>
      </c>
    </row>
    <row r="207">
      <c r="A207" s="243" t="inlineStr"/>
      <c r="B207" s="244" t="inlineStr">
        <is>
          <t>— at issue —</t>
        </is>
      </c>
      <c r="C207" s="248" t="inlineStr">
        <is>
          <t>no</t>
        </is>
      </c>
      <c r="D207" s="245">
        <f>IF(A207="","",IF(ISNUMBER(E207),MAX(DATE(2026,6,3),E207),DATE(2026,6,3)))</f>
        <v/>
      </c>
      <c r="E207" s="245" t="inlineStr">
        <is>
          <t>— at the retest sampling —</t>
        </is>
      </c>
      <c r="F207" s="245">
        <f>IFERROR(INDEX('Batch Dates'!$G:$G,MATCH(J207,'Batch Dates'!$C:$C,0)),IFERROR(INDEX('Batch Dates'!$G:$G,MATCH(I207,'Batch Dates'!$B:$B,0)),""))</f>
        <v/>
      </c>
      <c r="G207" s="243" t="inlineStr">
        <is>
          <t>post-SOP</t>
        </is>
      </c>
      <c r="H207" s="243" t="inlineStr">
        <is>
          <t>retest — Tranche 3 (sampled 19–21.08.2026)</t>
        </is>
      </c>
      <c r="I207" s="244" t="inlineStr">
        <is>
          <t>FB012603V</t>
        </is>
      </c>
      <c r="J207" s="243" t="inlineStr">
        <is>
          <t>P060392</t>
        </is>
      </c>
      <c r="K207" s="243" t="inlineStr">
        <is>
          <t>Fat Bastard</t>
        </is>
      </c>
      <c r="L207" s="243" t="inlineStr">
        <is>
          <t>Ident A + Ident B + Foreign matter</t>
        </is>
      </c>
      <c r="M207" s="248" t="inlineStr">
        <is>
          <t>—</t>
        </is>
      </c>
      <c r="N207" s="243">
        <f>IFERROR(INDEX('CoQ Register'!$B:$B,MATCH("P060392|R",'CoQ Register'!$S:$S,0)),"—")</f>
        <v/>
      </c>
      <c r="O207" s="248" t="inlineStr">
        <is>
          <t>—</t>
        </is>
      </c>
      <c r="P207" s="243" t="inlineStr">
        <is>
          <t>30.06.2027</t>
        </is>
      </c>
      <c r="Q207" s="243" t="inlineStr">
        <is>
          <t>29.04.2026</t>
        </is>
      </c>
      <c r="R207" s="243" t="inlineStr">
        <is>
          <t>23.05.2026 (the issuance plan's basis: 30.06.2026)</t>
        </is>
      </c>
      <c r="S207" s="245">
        <f>IFERROR(INDEX('CoQ Register'!$D:$D,MATCH("P060392|R",'CoQ Register'!$S:$S,0)),"")</f>
        <v/>
      </c>
      <c r="T207" s="243" t="inlineStr">
        <is>
          <t>CNP ППК26110</t>
        </is>
      </c>
      <c r="U207" s="243" t="inlineStr">
        <is>
          <t>CNP ППК26110</t>
        </is>
      </c>
      <c r="V207" s="243" t="inlineStr">
        <is>
          <t>Conforms</t>
        </is>
      </c>
      <c r="W207" s="243" t="inlineStr">
        <is>
          <t>227-23-K-26, (11.09.2026) [FHM-K]</t>
        </is>
      </c>
      <c r="X207" s="243" t="inlineStr">
        <is>
          <t>227-23-K-26, (11.09.2026) [FHM-K]</t>
        </is>
      </c>
      <c r="Y207" s="243" t="inlineStr">
        <is>
          <t>— pending —</t>
        </is>
      </c>
      <c r="Z207" s="243" t="inlineStr">
        <is>
          <t>#8, #9, #11, #12 from the initial testing</t>
        </is>
      </c>
      <c r="AA207" s="243" t="inlineStr">
        <is>
          <t>P060392|R</t>
        </is>
      </c>
      <c r="AB207" s="251" t="inlineStr">
        <is>
          <t>not yet issuable — sampled 21.08.2026 — the series numbers it</t>
        </is>
      </c>
    </row>
    <row r="208">
      <c r="A208" s="243" t="inlineStr"/>
      <c r="B208" s="244" t="inlineStr">
        <is>
          <t>— at issue —</t>
        </is>
      </c>
      <c r="C208" s="248" t="inlineStr">
        <is>
          <t>no</t>
        </is>
      </c>
      <c r="D208" s="245">
        <f>IF(A208="","",IF(ISNUMBER(E208),MAX(DATE(2026,6,3),E208),DATE(2026,6,3)))</f>
        <v/>
      </c>
      <c r="E208" s="245" t="inlineStr">
        <is>
          <t>— at the retest sampling —</t>
        </is>
      </c>
      <c r="F208" s="245">
        <f>IFERROR(INDEX('Batch Dates'!$G:$G,MATCH(J208,'Batch Dates'!$C:$C,0)),IFERROR(INDEX('Batch Dates'!$G:$G,MATCH(I208,'Batch Dates'!$B:$B,0)),""))</f>
        <v/>
      </c>
      <c r="G208" s="243" t="inlineStr">
        <is>
          <t>post-SOP</t>
        </is>
      </c>
      <c r="H208" s="243" t="inlineStr">
        <is>
          <t>retest — Tranche 3 (sampled 19–21.08.2026)</t>
        </is>
      </c>
      <c r="I208" s="244" t="inlineStr">
        <is>
          <t>SCR022601</t>
        </is>
      </c>
      <c r="J208" s="243" t="inlineStr">
        <is>
          <t>P060442</t>
        </is>
      </c>
      <c r="K208" s="243" t="inlineStr">
        <is>
          <t>Scrambler</t>
        </is>
      </c>
      <c r="L208" s="243" t="inlineStr">
        <is>
          <t>Ident A + Ident B + Foreign matter</t>
        </is>
      </c>
      <c r="M208" s="248" t="inlineStr">
        <is>
          <t>—</t>
        </is>
      </c>
      <c r="N208" s="243">
        <f>IFERROR(INDEX('CoQ Register'!$B:$B,MATCH("P060442|R",'CoQ Register'!$S:$S,0)),"—")</f>
        <v/>
      </c>
      <c r="O208" s="248" t="inlineStr">
        <is>
          <t>—</t>
        </is>
      </c>
      <c r="P208" s="243" t="inlineStr">
        <is>
          <t>06.07.2027</t>
        </is>
      </c>
      <c r="Q208" s="243" t="inlineStr">
        <is>
          <t>13.05.2026</t>
        </is>
      </c>
      <c r="R208" s="243" t="inlineStr">
        <is>
          <t>18.06.2026 (the issuance plan's basis: 06.07.2026)</t>
        </is>
      </c>
      <c r="S208" s="245">
        <f>IFERROR(INDEX('CoQ Register'!$D:$D,MATCH("P060442|R",'CoQ Register'!$S:$S,0)),"")</f>
        <v/>
      </c>
      <c r="T208" s="243" t="inlineStr">
        <is>
          <t>CNP ППК26116</t>
        </is>
      </c>
      <c r="U208" s="243" t="inlineStr">
        <is>
          <t>CNP ППК26116</t>
        </is>
      </c>
      <c r="V208" s="243" t="inlineStr">
        <is>
          <t>Conforms</t>
        </is>
      </c>
      <c r="W208" s="243" t="inlineStr">
        <is>
          <t>227-7-K-26, (11.09.2026) [FHM-K]</t>
        </is>
      </c>
      <c r="X208" s="243" t="inlineStr">
        <is>
          <t>227-7-K-26, (11.09.2026) [FHM-K]</t>
        </is>
      </c>
      <c r="Y208" s="243" t="inlineStr">
        <is>
          <t>— pending —</t>
        </is>
      </c>
      <c r="Z208" s="243" t="inlineStr">
        <is>
          <t>#8, #9, #11, #12 from the initial testing</t>
        </is>
      </c>
      <c r="AA208" s="243" t="inlineStr">
        <is>
          <t>P060442|R</t>
        </is>
      </c>
      <c r="AB208" s="251" t="inlineStr">
        <is>
          <t>not yet issuable — sampled 19.08.2026 — the series numbers it</t>
        </is>
      </c>
    </row>
    <row r="209"/>
    <row r="210" ht="110" customHeight="1" s="70">
      <c r="A210" s="242"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2" t="n">
        <v>23</v>
      </c>
      <c r="W2" s="243" t="inlineStr">
        <is>
          <t>ППК25052</t>
        </is>
      </c>
      <c r="X2" s="243" t="inlineStr">
        <is>
          <t>24.00 ± 2.40 (II)</t>
        </is>
      </c>
      <c r="Y2" s="243" t="inlineStr">
        <is>
          <t>21.60 – 26.39 %</t>
        </is>
      </c>
      <c r="Z2" s="243" t="inlineStr">
        <is>
          <t>CJ_THC24 : CBD1</t>
        </is>
      </c>
      <c r="AA2" s="243" t="inlineStr">
        <is>
          <t>QCSP_001_CJ-II_v.01</t>
        </is>
      </c>
      <c r="AB2" s="251"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2"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2"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1"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2" t="n">
        <v>14.97</v>
      </c>
      <c r="W6" s="243" t="inlineStr">
        <is>
          <t>iCoA-PP_26-005</t>
        </is>
      </c>
      <c r="X6" s="243" t="inlineStr">
        <is>
          <t>15.00 ± 1.20 (III)</t>
        </is>
      </c>
      <c r="Y6" s="243" t="inlineStr">
        <is>
          <t>13.80 – 16.19 %</t>
        </is>
      </c>
      <c r="Z6" s="243" t="inlineStr">
        <is>
          <t>HPA_THC15 : CBD1</t>
        </is>
      </c>
      <c r="AA6" s="243" t="inlineStr">
        <is>
          <t>QCSP_001_HPA-III_v.01</t>
        </is>
      </c>
      <c r="AB6" s="251"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2" t="n">
        <v>19.96</v>
      </c>
      <c r="W7" s="243" t="inlineStr">
        <is>
          <t>iCoA-PP_26-006</t>
        </is>
      </c>
      <c r="X7" s="243" t="inlineStr">
        <is>
          <t>20.00 ± 1.40 (I)</t>
        </is>
      </c>
      <c r="Y7" s="243" t="inlineStr">
        <is>
          <t>18.60 – 21.39 %</t>
        </is>
      </c>
      <c r="Z7" s="243" t="inlineStr">
        <is>
          <t>OPM_THC20 : CBD1</t>
        </is>
      </c>
      <c r="AA7" s="243" t="inlineStr">
        <is>
          <t>QCSP_001_OPM-I_v.01</t>
        </is>
      </c>
      <c r="AB7" s="251"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2" t="n">
        <v>23.79</v>
      </c>
      <c r="W8" s="243" t="inlineStr">
        <is>
          <t>ППК25139</t>
        </is>
      </c>
      <c r="X8" s="243" t="inlineStr">
        <is>
          <t>24.00 ± 2.00 (II)</t>
        </is>
      </c>
      <c r="Y8" s="243" t="inlineStr">
        <is>
          <t>22.00 – 25.99 %</t>
        </is>
      </c>
      <c r="Z8" s="243" t="inlineStr">
        <is>
          <t>GP_THC24 : CBD1</t>
        </is>
      </c>
      <c r="AA8" s="243" t="inlineStr">
        <is>
          <t>QCSP_001_GP-II_v.01</t>
        </is>
      </c>
      <c r="AB8" s="251"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2" t="n">
        <v>15.95</v>
      </c>
      <c r="W9" s="243" t="inlineStr">
        <is>
          <t>ППК25140</t>
        </is>
      </c>
      <c r="X9" s="243" t="inlineStr">
        <is>
          <t>15.00 ± 1.23 (II)</t>
        </is>
      </c>
      <c r="Y9" s="243" t="inlineStr">
        <is>
          <t>13.77 – 16.22 %</t>
        </is>
      </c>
      <c r="Z9" s="243" t="inlineStr">
        <is>
          <t>GG_THC15 : CBD1</t>
        </is>
      </c>
      <c r="AA9" s="243" t="inlineStr">
        <is>
          <t>QCSP_001_GG-II_v.01</t>
        </is>
      </c>
      <c r="AB9" s="251"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2" t="n">
        <v>18.67</v>
      </c>
      <c r="W10" s="243" t="inlineStr">
        <is>
          <t>ППК25118</t>
        </is>
      </c>
      <c r="X10" s="243" t="inlineStr">
        <is>
          <t>18.00 ± 1.80 (I)</t>
        </is>
      </c>
      <c r="Y10" s="243" t="inlineStr">
        <is>
          <t>16.20 – 19.79 %</t>
        </is>
      </c>
      <c r="Z10" s="243" t="inlineStr">
        <is>
          <t>MB_THC18 : CBD1</t>
        </is>
      </c>
      <c r="AA10" s="243" t="inlineStr">
        <is>
          <t>QCSP_001_MB-I_v.01</t>
        </is>
      </c>
      <c r="AB10" s="251"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2"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2" t="n">
        <v>22.43</v>
      </c>
      <c r="W12" s="243" t="inlineStr">
        <is>
          <t>ППК25155</t>
        </is>
      </c>
      <c r="X12" s="243" t="inlineStr">
        <is>
          <t>22.00 ± 2.20 (I)</t>
        </is>
      </c>
      <c r="Y12" s="243" t="inlineStr">
        <is>
          <t>19.80 – 24.19 %</t>
        </is>
      </c>
      <c r="Z12" s="243" t="inlineStr">
        <is>
          <t>HPA_THC22 : CBD1</t>
        </is>
      </c>
      <c r="AA12" s="243" t="inlineStr">
        <is>
          <t>QCSP_001_HPA-I_v.01</t>
        </is>
      </c>
      <c r="AB12" s="251"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2" t="n">
        <v>18.27</v>
      </c>
      <c r="W13" s="243" t="inlineStr">
        <is>
          <t>ППК25154</t>
        </is>
      </c>
      <c r="X13" s="243" t="inlineStr">
        <is>
          <t>17.00 ± 1.60 (II)</t>
        </is>
      </c>
      <c r="Y13" s="243" t="inlineStr">
        <is>
          <t>15.40 – 18.59 %</t>
        </is>
      </c>
      <c r="Z13" s="243" t="inlineStr">
        <is>
          <t>OPM_THC17 : CBD1</t>
        </is>
      </c>
      <c r="AA13" s="243" t="inlineStr">
        <is>
          <t>QCSP_001_OPM-II_v.01</t>
        </is>
      </c>
      <c r="AB13" s="251"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2" t="n">
        <v>25.45</v>
      </c>
      <c r="W14" s="243" t="inlineStr">
        <is>
          <t>ППК25175</t>
        </is>
      </c>
      <c r="X14" s="243" t="inlineStr">
        <is>
          <t>24.00 ± 2.00 (II)</t>
        </is>
      </c>
      <c r="Y14" s="243" t="inlineStr">
        <is>
          <t>22.00 – 25.99 %</t>
        </is>
      </c>
      <c r="Z14" s="243" t="inlineStr">
        <is>
          <t>GP_THC24 : CBD1</t>
        </is>
      </c>
      <c r="AA14" s="243" t="inlineStr">
        <is>
          <t>QCSP_001_GP-II_v.01</t>
        </is>
      </c>
      <c r="AB14" s="251"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2" t="n">
        <v>16.55</v>
      </c>
      <c r="W15" s="243" t="inlineStr">
        <is>
          <t>ППК25210</t>
        </is>
      </c>
      <c r="X15" s="243" t="inlineStr">
        <is>
          <t>17.00 ± 1.60 (II)</t>
        </is>
      </c>
      <c r="Y15" s="243" t="inlineStr">
        <is>
          <t>15.40 – 18.59 %</t>
        </is>
      </c>
      <c r="Z15" s="243" t="inlineStr">
        <is>
          <t>OPM_THC17 : CBD1</t>
        </is>
      </c>
      <c r="AA15" s="243" t="inlineStr">
        <is>
          <t>QCSP_001_OPM-II_v.01</t>
        </is>
      </c>
      <c r="AB15" s="251"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2" t="n">
        <v>17.22</v>
      </c>
      <c r="W16" s="243" t="inlineStr">
        <is>
          <t>ППК25104</t>
        </is>
      </c>
      <c r="X16" s="243" t="inlineStr">
        <is>
          <t>18.00 ± 1.77 (I)</t>
        </is>
      </c>
      <c r="Y16" s="243" t="inlineStr">
        <is>
          <t>16.23 – 19.76 %</t>
        </is>
      </c>
      <c r="Z16" s="243" t="inlineStr">
        <is>
          <t>GG_THC18 : CBD1</t>
        </is>
      </c>
      <c r="AA16" s="243" t="inlineStr">
        <is>
          <t>QCSP_001_GG-I_v.01</t>
        </is>
      </c>
      <c r="AB16" s="251"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2" t="n">
        <v>20.79</v>
      </c>
      <c r="W17" s="243" t="inlineStr">
        <is>
          <t>ППК25105</t>
        </is>
      </c>
      <c r="X17" s="243" t="inlineStr">
        <is>
          <t>20.00 ± 2.00 (III)</t>
        </is>
      </c>
      <c r="Y17" s="243" t="inlineStr">
        <is>
          <t>18.00 – 21.99 %</t>
        </is>
      </c>
      <c r="Z17" s="243" t="inlineStr">
        <is>
          <t>GP_THC20 : CBD1</t>
        </is>
      </c>
      <c r="AA17" s="243" t="inlineStr">
        <is>
          <t>QCSP_001_GP-III_v.01</t>
        </is>
      </c>
      <c r="AB17" s="251"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2" t="n">
        <v>16.82</v>
      </c>
      <c r="W18" s="243" t="inlineStr">
        <is>
          <t>ППК25211</t>
        </is>
      </c>
      <c r="X18" s="243" t="inlineStr">
        <is>
          <t>18.00 ± 1.80 (I)</t>
        </is>
      </c>
      <c r="Y18" s="243" t="inlineStr">
        <is>
          <t>16.20 – 19.79 %</t>
        </is>
      </c>
      <c r="Z18" s="243" t="inlineStr">
        <is>
          <t>MB_THC18 : CBD1</t>
        </is>
      </c>
      <c r="AA18" s="243" t="inlineStr">
        <is>
          <t>QCSP_001_MB-I_v.01</t>
        </is>
      </c>
      <c r="AB18" s="251"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2" t="n">
        <v>23.42</v>
      </c>
      <c r="W19" s="243" t="inlineStr">
        <is>
          <t>ППК25176</t>
        </is>
      </c>
      <c r="X19" s="243" t="inlineStr">
        <is>
          <t>24.00 ± 2.11 (II)</t>
        </is>
      </c>
      <c r="Y19" s="243" t="inlineStr">
        <is>
          <t>21.89 – 26.10 %</t>
        </is>
      </c>
      <c r="Z19" s="243" t="inlineStr">
        <is>
          <t>BSS_THC24 : CBD1</t>
        </is>
      </c>
      <c r="AA19" s="243" t="inlineStr">
        <is>
          <t>QCSP_001_BSS-II_v.01</t>
        </is>
      </c>
      <c r="AB19" s="251"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2"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2" t="n">
        <v>18.98</v>
      </c>
      <c r="W21" s="243" t="inlineStr">
        <is>
          <t>ППК25279</t>
        </is>
      </c>
      <c r="X21" s="243" t="inlineStr">
        <is>
          <t>20.00 ± 2.00 (III)</t>
        </is>
      </c>
      <c r="Y21" s="243" t="inlineStr">
        <is>
          <t>18.00 – 21.99 %</t>
        </is>
      </c>
      <c r="Z21" s="243" t="inlineStr">
        <is>
          <t>GP_THC20 : CBD1</t>
        </is>
      </c>
      <c r="AA21" s="243" t="inlineStr">
        <is>
          <t>QCSP_001_GP-III_v.01</t>
        </is>
      </c>
      <c r="AB21" s="251"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1"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2" t="n">
        <v>20.29</v>
      </c>
      <c r="W23" s="243" t="inlineStr">
        <is>
          <t>ППК25280</t>
        </is>
      </c>
      <c r="X23" s="243" t="inlineStr">
        <is>
          <t>20.00 ± 1.60 (III)</t>
        </is>
      </c>
      <c r="Y23" s="243" t="inlineStr">
        <is>
          <t>18.40 – 21.59 %</t>
        </is>
      </c>
      <c r="Z23" s="243" t="inlineStr">
        <is>
          <t>CJ_THC20 : CBD1</t>
        </is>
      </c>
      <c r="AA23" s="243" t="inlineStr">
        <is>
          <t>QCSP_001_CJ-III_v.01</t>
        </is>
      </c>
      <c r="AB23" s="251"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2"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2" t="n">
        <v>20.39</v>
      </c>
      <c r="W25" s="243" t="inlineStr">
        <is>
          <t>ППК25278</t>
        </is>
      </c>
      <c r="X25" s="243" t="inlineStr">
        <is>
          <t>22.00 ± 2.20 (I)</t>
        </is>
      </c>
      <c r="Y25" s="243" t="inlineStr">
        <is>
          <t>19.80 – 24.19 %</t>
        </is>
      </c>
      <c r="Z25" s="243" t="inlineStr">
        <is>
          <t>HPA_THC22 : CBD1</t>
        </is>
      </c>
      <c r="AA25" s="243" t="inlineStr">
        <is>
          <t>QCSP_001_HPA-I_v.01</t>
        </is>
      </c>
      <c r="AB25" s="251"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2" t="n">
        <v>20.39</v>
      </c>
      <c r="W26" s="243" t="inlineStr">
        <is>
          <t>iCoA-PP_26-023</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2" t="n">
        <v>24.89</v>
      </c>
      <c r="W27" s="243" t="inlineStr">
        <is>
          <t>iCoA-PP_26-024</t>
        </is>
      </c>
      <c r="X27" s="243" t="inlineStr">
        <is>
          <t>24.00 ± 2.00 (II)</t>
        </is>
      </c>
      <c r="Y27" s="243" t="inlineStr">
        <is>
          <t>22.00 – 25.99 %</t>
        </is>
      </c>
      <c r="Z27" s="243" t="inlineStr">
        <is>
          <t>GP_THC24 : CBD1</t>
        </is>
      </c>
      <c r="AA27" s="243" t="inlineStr">
        <is>
          <t>QCSP_001_GP-II_v.01</t>
        </is>
      </c>
      <c r="AB27" s="251"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2" t="n">
        <v>16.56</v>
      </c>
      <c r="W28" s="243" t="inlineStr">
        <is>
          <t>ППК25322</t>
        </is>
      </c>
      <c r="X28" s="243" t="inlineStr">
        <is>
          <t>17.00 ± 1.40 (IV)</t>
        </is>
      </c>
      <c r="Y28" s="243" t="inlineStr">
        <is>
          <t>15.60 – 18.39 %</t>
        </is>
      </c>
      <c r="Z28" s="243" t="inlineStr">
        <is>
          <t>CJ_THC17 : CBD1</t>
        </is>
      </c>
      <c r="AA28" s="243" t="inlineStr">
        <is>
          <t>QCSP_001_CJ-IV_v.01</t>
        </is>
      </c>
      <c r="AB28" s="251"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2" t="n">
        <v>21.51</v>
      </c>
      <c r="W29" s="243" t="inlineStr">
        <is>
          <t>ППК25321</t>
        </is>
      </c>
      <c r="X29" s="243" t="inlineStr">
        <is>
          <t>20.00 ± 1.60 (III)</t>
        </is>
      </c>
      <c r="Y29" s="243" t="inlineStr">
        <is>
          <t>18.40 – 21.59 %</t>
        </is>
      </c>
      <c r="Z29" s="243" t="inlineStr">
        <is>
          <t>CJ_THC20 : CBD1</t>
        </is>
      </c>
      <c r="AA29" s="243" t="inlineStr">
        <is>
          <t>QCSP_001_CJ-III_v.01</t>
        </is>
      </c>
      <c r="AB29" s="251"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2" t="n">
        <v>23.7</v>
      </c>
      <c r="W30" s="243" t="inlineStr">
        <is>
          <t>ППК25367</t>
        </is>
      </c>
      <c r="X30" s="243" t="inlineStr">
        <is>
          <t>24.00 ± 2.40 (II)</t>
        </is>
      </c>
      <c r="Y30" s="243" t="inlineStr">
        <is>
          <t>21.60 – 26.39 %</t>
        </is>
      </c>
      <c r="Z30" s="243" t="inlineStr">
        <is>
          <t>CJ_THC24 : CBD1</t>
        </is>
      </c>
      <c r="AA30" s="243" t="inlineStr">
        <is>
          <t>QCSP_001_CJ-II_v.01</t>
        </is>
      </c>
      <c r="AB30" s="251"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2"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2"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2" t="n">
        <v>8.02</v>
      </c>
      <c r="W33" s="243" t="inlineStr">
        <is>
          <t>ППК25370</t>
        </is>
      </c>
      <c r="X33" s="243" t="inlineStr">
        <is>
          <t>8.00 ± 0.80 (I)</t>
        </is>
      </c>
      <c r="Y33" s="243" t="inlineStr">
        <is>
          <t>7.20 – 8.79 %</t>
        </is>
      </c>
      <c r="Z33" s="243" t="inlineStr">
        <is>
          <t>CLE_THC8 : CBD1</t>
        </is>
      </c>
      <c r="AA33" s="243" t="inlineStr">
        <is>
          <t>QCSP_001_CLE-I_v.01</t>
        </is>
      </c>
      <c r="AB33" s="251"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2" t="n">
        <v>21.36</v>
      </c>
      <c r="W34" s="243" t="inlineStr">
        <is>
          <t>ППК25378</t>
        </is>
      </c>
      <c r="X34" s="243" t="inlineStr">
        <is>
          <t>20.00 ± 2.00 (III)</t>
        </is>
      </c>
      <c r="Y34" s="243" t="inlineStr">
        <is>
          <t>18.00 – 21.99 %</t>
        </is>
      </c>
      <c r="Z34" s="243" t="inlineStr">
        <is>
          <t>GP_THC20 : CBD1</t>
        </is>
      </c>
      <c r="AA34" s="243" t="inlineStr">
        <is>
          <t>QCSP_001_GP-III_v.01</t>
        </is>
      </c>
      <c r="AB34" s="251"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2" t="n">
        <v>19.81</v>
      </c>
      <c r="W35" s="243" t="inlineStr">
        <is>
          <t>ППК25379</t>
        </is>
      </c>
      <c r="X35" s="243" t="inlineStr">
        <is>
          <t>20.00 ± 2.00 (III)</t>
        </is>
      </c>
      <c r="Y35" s="243" t="inlineStr">
        <is>
          <t>18.00 – 21.99 %</t>
        </is>
      </c>
      <c r="Z35" s="243" t="inlineStr">
        <is>
          <t>GP_THC20 : CBD1</t>
        </is>
      </c>
      <c r="AA35" s="243" t="inlineStr">
        <is>
          <t>QCSP_001_GP-III_v.01</t>
        </is>
      </c>
      <c r="AB35" s="251"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2" t="n">
        <v>21.29</v>
      </c>
      <c r="W36" s="243" t="inlineStr">
        <is>
          <t>ППК25380</t>
        </is>
      </c>
      <c r="X36" s="243" t="inlineStr">
        <is>
          <t>20.00 ± 2.00 (III)</t>
        </is>
      </c>
      <c r="Y36" s="243" t="inlineStr">
        <is>
          <t>18.00 – 21.99 %</t>
        </is>
      </c>
      <c r="Z36" s="243" t="inlineStr">
        <is>
          <t>GP_THC20 : CBD1</t>
        </is>
      </c>
      <c r="AA36" s="243" t="inlineStr">
        <is>
          <t>QCSP_001_GP-III_v.01</t>
        </is>
      </c>
      <c r="AB36" s="251"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2" t="n">
        <v>14.83</v>
      </c>
      <c r="W37" s="243" t="inlineStr">
        <is>
          <t>ППК25381</t>
        </is>
      </c>
      <c r="X37" s="243" t="inlineStr">
        <is>
          <t>16.00 ± 1.60 (IV)</t>
        </is>
      </c>
      <c r="Y37" s="243" t="inlineStr">
        <is>
          <t>14.40 – 17.59 %</t>
        </is>
      </c>
      <c r="Z37" s="243" t="inlineStr">
        <is>
          <t>GP_THC16 : CBD1</t>
        </is>
      </c>
      <c r="AA37" s="243" t="inlineStr">
        <is>
          <t>QCSP_001_GP-IV_v.01</t>
        </is>
      </c>
      <c r="AB37" s="251"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2"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2" t="n">
        <v>24.96</v>
      </c>
      <c r="W39" s="243" t="inlineStr">
        <is>
          <t>ППК26002</t>
        </is>
      </c>
      <c r="X39" s="243" t="inlineStr">
        <is>
          <t>24.00 ± 2.40 (II)</t>
        </is>
      </c>
      <c r="Y39" s="243" t="inlineStr">
        <is>
          <t>21.60 – 26.39 %</t>
        </is>
      </c>
      <c r="Z39" s="243" t="inlineStr">
        <is>
          <t>CJ_THC24 : CBD1</t>
        </is>
      </c>
      <c r="AA39" s="243" t="inlineStr">
        <is>
          <t>QCSP_001_CJ-II_v.01</t>
        </is>
      </c>
      <c r="AB39" s="251"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2" t="n">
        <v>20.84</v>
      </c>
      <c r="W40" s="243" t="inlineStr">
        <is>
          <t>ППК26003</t>
        </is>
      </c>
      <c r="X40" s="243" t="inlineStr">
        <is>
          <t>20.00 ± 1.60 (III)</t>
        </is>
      </c>
      <c r="Y40" s="243" t="inlineStr">
        <is>
          <t>18.40 – 21.59 %</t>
        </is>
      </c>
      <c r="Z40" s="243" t="inlineStr">
        <is>
          <t>CJ_THC20 : CBD1</t>
        </is>
      </c>
      <c r="AA40" s="243" t="inlineStr">
        <is>
          <t>QCSP_001_CJ-III_v.01</t>
        </is>
      </c>
      <c r="AB40" s="251"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2" t="n">
        <v>9.43</v>
      </c>
      <c r="W41" s="243" t="inlineStr">
        <is>
          <t>ППК26008</t>
        </is>
      </c>
      <c r="X41" s="243" t="inlineStr">
        <is>
          <t>10.00 ± 1.00 (IV)</t>
        </is>
      </c>
      <c r="Y41" s="243" t="inlineStr">
        <is>
          <t>9.00 – 10.99 %</t>
        </is>
      </c>
      <c r="Z41" s="243" t="inlineStr">
        <is>
          <t>OPM_THC10 : CBD1</t>
        </is>
      </c>
      <c r="AA41" s="243" t="inlineStr">
        <is>
          <t>QCSP_001_OPM-IV_v.01</t>
        </is>
      </c>
      <c r="AB41" s="251"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2"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2" t="n">
        <v>14.06</v>
      </c>
      <c r="W43" s="243" t="inlineStr">
        <is>
          <t>ППК26004</t>
        </is>
      </c>
      <c r="X43" s="243" t="inlineStr">
        <is>
          <t>14.00 ± 1.00 (I)</t>
        </is>
      </c>
      <c r="Y43" s="243" t="inlineStr">
        <is>
          <t>13.00 – 14.99 %</t>
        </is>
      </c>
      <c r="Z43" s="243" t="inlineStr">
        <is>
          <t>PM_THC14 : CBD1</t>
        </is>
      </c>
      <c r="AA43" s="243" t="inlineStr">
        <is>
          <t>QCSP_001_PM-I_v.01</t>
        </is>
      </c>
      <c r="AB43" s="251"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2" t="n">
        <v>22.3</v>
      </c>
      <c r="W44" s="243" t="inlineStr">
        <is>
          <t>ППК26007</t>
        </is>
      </c>
      <c r="X44" s="243" t="inlineStr">
        <is>
          <t>24.00 ± 2.40 (II)</t>
        </is>
      </c>
      <c r="Y44" s="243" t="inlineStr">
        <is>
          <t>21.60 – 26.39 %</t>
        </is>
      </c>
      <c r="Z44" s="243" t="inlineStr">
        <is>
          <t>CJ_THC24 : CBD1</t>
        </is>
      </c>
      <c r="AA44" s="243" t="inlineStr">
        <is>
          <t>QCSP_001_CJ-II_v.01</t>
        </is>
      </c>
      <c r="AB44" s="251"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2" t="n">
        <v>10.96</v>
      </c>
      <c r="W45" s="243" t="inlineStr">
        <is>
          <t>ППК26006</t>
        </is>
      </c>
      <c r="X45" s="243" t="inlineStr">
        <is>
          <t>10.00 ± 1.00 (II)</t>
        </is>
      </c>
      <c r="Y45" s="243" t="inlineStr">
        <is>
          <t>9.00 – 10.99 %</t>
        </is>
      </c>
      <c r="Z45" s="243" t="inlineStr">
        <is>
          <t>SJ_THC10 : CBD1</t>
        </is>
      </c>
      <c r="AA45" s="243" t="inlineStr">
        <is>
          <t>QCSP_001_SJ-II_v.01</t>
        </is>
      </c>
      <c r="AB45" s="251"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2" t="n">
        <v>25.73</v>
      </c>
      <c r="W46" s="243" t="inlineStr">
        <is>
          <t>ППК26009</t>
        </is>
      </c>
      <c r="X46" s="243" t="inlineStr">
        <is>
          <t>24.00 ± 2.00 (II)</t>
        </is>
      </c>
      <c r="Y46" s="243" t="inlineStr">
        <is>
          <t>22.00 – 25.99 %</t>
        </is>
      </c>
      <c r="Z46" s="243" t="inlineStr">
        <is>
          <t>GP_THC24 : CBD1</t>
        </is>
      </c>
      <c r="AA46" s="243" t="inlineStr">
        <is>
          <t>QCSP_001_GP-II_v.01</t>
        </is>
      </c>
      <c r="AB46" s="251"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1"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1"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2" t="n">
        <v>12.91</v>
      </c>
      <c r="W49" s="243" t="inlineStr">
        <is>
          <t>031-5-К/26</t>
        </is>
      </c>
      <c r="X49" s="243" t="inlineStr">
        <is>
          <t>12.00 ± 1.20 (I)</t>
        </is>
      </c>
      <c r="Y49" s="243" t="inlineStr">
        <is>
          <t>10.80 – 13.19 %</t>
        </is>
      </c>
      <c r="Z49" s="243" t="inlineStr">
        <is>
          <t>ACC_THC12 : CBD1</t>
        </is>
      </c>
      <c r="AA49" s="243" t="inlineStr">
        <is>
          <t>QCSP_001_ACC-I_v.01</t>
        </is>
      </c>
      <c r="AB49" s="251"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2" t="n">
        <v>9.83</v>
      </c>
      <c r="W50" s="243" t="inlineStr">
        <is>
          <t>031-4-К/26</t>
        </is>
      </c>
      <c r="X50" s="243" t="inlineStr">
        <is>
          <t>10.00 ± 1.00 (I)</t>
        </is>
      </c>
      <c r="Y50" s="243" t="inlineStr">
        <is>
          <t>9.00 – 10.99 %</t>
        </is>
      </c>
      <c r="Z50" s="243" t="inlineStr">
        <is>
          <t>CF_THC10 : CBD1</t>
        </is>
      </c>
      <c r="AA50" s="243" t="inlineStr">
        <is>
          <t>QCSP_001_CF-I_v.01</t>
        </is>
      </c>
      <c r="AB50" s="251"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1"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2"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2"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2" t="n">
        <v>17.04</v>
      </c>
      <c r="W54" s="243" t="inlineStr">
        <is>
          <t>051-4-К/26</t>
        </is>
      </c>
      <c r="X54" s="243" t="inlineStr">
        <is>
          <t>18.00 ± 1.80 (I)</t>
        </is>
      </c>
      <c r="Y54" s="243" t="inlineStr">
        <is>
          <t>16.20 – 19.79 %</t>
        </is>
      </c>
      <c r="Z54" s="243" t="inlineStr">
        <is>
          <t>KC_THC18 : CBD1</t>
        </is>
      </c>
      <c r="AA54" s="243" t="inlineStr">
        <is>
          <t>QCSP_001_KC-I_v.01</t>
        </is>
      </c>
      <c r="AB54" s="251"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2"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2" t="n">
        <v>9.199999999999999</v>
      </c>
      <c r="W56" s="243" t="inlineStr">
        <is>
          <t>051-2-К/26</t>
        </is>
      </c>
      <c r="X56" s="243" t="inlineStr">
        <is>
          <t>10.00 ± 1.00 (II)</t>
        </is>
      </c>
      <c r="Y56" s="243" t="inlineStr">
        <is>
          <t>9.00 – 10.99 %</t>
        </is>
      </c>
      <c r="Z56" s="243" t="inlineStr">
        <is>
          <t>SJ_THC10 : CBD1</t>
        </is>
      </c>
      <c r="AA56" s="243" t="inlineStr">
        <is>
          <t>QCSP_001_SJ-II_v.01</t>
        </is>
      </c>
      <c r="AB56" s="251"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2"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2" t="n">
        <v>19.64</v>
      </c>
      <c r="W58" s="243" t="inlineStr">
        <is>
          <t>ППК26063</t>
        </is>
      </c>
      <c r="X58" s="243" t="inlineStr">
        <is>
          <t>18.00 ± 1.80 (II)</t>
        </is>
      </c>
      <c r="Y58" s="243" t="inlineStr">
        <is>
          <t>16.20 – 19.79 %</t>
        </is>
      </c>
      <c r="Z58" s="243" t="inlineStr">
        <is>
          <t>JD_THC18 : CBD1</t>
        </is>
      </c>
      <c r="AA58" s="243" t="inlineStr">
        <is>
          <t>QCSP_001_JD-II_v.01</t>
        </is>
      </c>
      <c r="AB58" s="251"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2" t="n">
        <v>8</v>
      </c>
      <c r="W59" s="243" t="inlineStr">
        <is>
          <t>ППК26031</t>
        </is>
      </c>
      <c r="X59" s="243" t="inlineStr">
        <is>
          <t>8.00 ± 0.80 (V)</t>
        </is>
      </c>
      <c r="Y59" s="243" t="inlineStr">
        <is>
          <t>7.20 – 8.79 %</t>
        </is>
      </c>
      <c r="Z59" s="243" t="inlineStr">
        <is>
          <t>OPM_THC8 : CBD1</t>
        </is>
      </c>
      <c r="AA59" s="243" t="inlineStr">
        <is>
          <t>QCSP_001_OPM-V_v.01</t>
        </is>
      </c>
      <c r="AB59" s="251"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2" t="n">
        <v>13.33</v>
      </c>
      <c r="W60" s="243" t="inlineStr">
        <is>
          <t>ППК26030</t>
        </is>
      </c>
      <c r="X60" s="243" t="inlineStr">
        <is>
          <t>14.00 ± 1.00 (I)</t>
        </is>
      </c>
      <c r="Y60" s="243" t="inlineStr">
        <is>
          <t>13.00 – 14.99 %</t>
        </is>
      </c>
      <c r="Z60" s="243" t="inlineStr">
        <is>
          <t>PM_THC14 : CBD1</t>
        </is>
      </c>
      <c r="AA60" s="243" t="inlineStr">
        <is>
          <t>QCSP_001_PM-I_v.01</t>
        </is>
      </c>
      <c r="AB60" s="251"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2" t="n">
        <v>8.09</v>
      </c>
      <c r="W61" s="243" t="inlineStr">
        <is>
          <t>100-4-К/26</t>
        </is>
      </c>
      <c r="X61" s="243" t="inlineStr">
        <is>
          <t>8.00 ± 0.80 (V)</t>
        </is>
      </c>
      <c r="Y61" s="243" t="inlineStr">
        <is>
          <t>7.20 – 8.79 %</t>
        </is>
      </c>
      <c r="Z61" s="243" t="inlineStr">
        <is>
          <t>OPM_THC8 : CBD1</t>
        </is>
      </c>
      <c r="AA61" s="243" t="inlineStr">
        <is>
          <t>QCSP_001_OPM-V_v.01</t>
        </is>
      </c>
      <c r="AB61" s="251"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2" t="n">
        <v>17.94</v>
      </c>
      <c r="W62" s="243" t="inlineStr">
        <is>
          <t>ППК26061</t>
        </is>
      </c>
      <c r="X62" s="243" t="inlineStr">
        <is>
          <t>18.00 ± 1.77 (I)</t>
        </is>
      </c>
      <c r="Y62" s="243" t="inlineStr">
        <is>
          <t>16.23 – 19.76 %</t>
        </is>
      </c>
      <c r="Z62" s="243" t="inlineStr">
        <is>
          <t>GG_THC18 : CBD1</t>
        </is>
      </c>
      <c r="AA62" s="243" t="inlineStr">
        <is>
          <t>QCSP_001_GG-I_v.01</t>
        </is>
      </c>
      <c r="AB62" s="251"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2" t="n">
        <v>19.84</v>
      </c>
      <c r="W63" s="243" t="inlineStr">
        <is>
          <t>100-2-К/26</t>
        </is>
      </c>
      <c r="X63" s="243" t="inlineStr">
        <is>
          <t>22.00 ± 2.20 (II)</t>
        </is>
      </c>
      <c r="Y63" s="243" t="inlineStr">
        <is>
          <t>19.80 – 24.19 %</t>
        </is>
      </c>
      <c r="Z63" s="243" t="inlineStr">
        <is>
          <t>J31_THC22 : CBD1</t>
        </is>
      </c>
      <c r="AA63" s="243" t="inlineStr">
        <is>
          <t>QCSP_001_J31-II_v.01</t>
        </is>
      </c>
      <c r="AB63" s="251"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2" t="n">
        <v>13.35</v>
      </c>
      <c r="W64" s="243" t="inlineStr">
        <is>
          <t>ППК26068</t>
        </is>
      </c>
      <c r="X64" s="243" t="inlineStr">
        <is>
          <t>14.00 ± 1.35 (II)</t>
        </is>
      </c>
      <c r="Y64" s="243" t="inlineStr">
        <is>
          <t>12.65 – 15.34 %</t>
        </is>
      </c>
      <c r="Z64" s="243" t="inlineStr">
        <is>
          <t>CC_THC14 : CBD1</t>
        </is>
      </c>
      <c r="AA64" s="243" t="inlineStr">
        <is>
          <t>QCSP_001_CC-II_v.01</t>
        </is>
      </c>
      <c r="AB64" s="251"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2" t="n">
        <v>17.13</v>
      </c>
      <c r="W65" s="243" t="inlineStr">
        <is>
          <t>ППК26069</t>
        </is>
      </c>
      <c r="X65" s="243" t="inlineStr">
        <is>
          <t>18.00 ± 1.80 (II)</t>
        </is>
      </c>
      <c r="Y65" s="243" t="inlineStr">
        <is>
          <t>16.20 – 19.79 %</t>
        </is>
      </c>
      <c r="Z65" s="243" t="inlineStr">
        <is>
          <t>SCR_THC18 : CBD1</t>
        </is>
      </c>
      <c r="AA65" s="243" t="inlineStr">
        <is>
          <t>QCSP_001_SCR-II_v.01</t>
        </is>
      </c>
      <c r="AB65" s="251"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2" t="n">
        <v>16.69</v>
      </c>
      <c r="W66" s="243" t="inlineStr">
        <is>
          <t>ППК26066</t>
        </is>
      </c>
      <c r="X66" s="243" t="inlineStr">
        <is>
          <t>18.00 ± 1.80 (II)</t>
        </is>
      </c>
      <c r="Y66" s="243" t="inlineStr">
        <is>
          <t>16.20 – 19.79 %</t>
        </is>
      </c>
      <c r="Z66" s="243" t="inlineStr">
        <is>
          <t>FB_THC18 : CBD1</t>
        </is>
      </c>
      <c r="AA66" s="243" t="inlineStr">
        <is>
          <t>QCSP_001_FB-II_v.01</t>
        </is>
      </c>
      <c r="AB66" s="251"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2" t="n">
        <v>15.35</v>
      </c>
      <c r="W67" s="243" t="inlineStr">
        <is>
          <t>ППК26062</t>
        </is>
      </c>
      <c r="X67" s="243" t="inlineStr">
        <is>
          <t>15.00 ± 1.23 (II)</t>
        </is>
      </c>
      <c r="Y67" s="243" t="inlineStr">
        <is>
          <t>13.77 – 16.22 %</t>
        </is>
      </c>
      <c r="Z67" s="243" t="inlineStr">
        <is>
          <t>GG_THC15 : CBD1</t>
        </is>
      </c>
      <c r="AA67" s="243" t="inlineStr">
        <is>
          <t>QCSP_001_GG-II_v.01</t>
        </is>
      </c>
      <c r="AB67" s="251"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2" t="n">
        <v>18.16</v>
      </c>
      <c r="W68" s="243" t="inlineStr">
        <is>
          <t>ППК26064</t>
        </is>
      </c>
      <c r="X68" s="243" t="inlineStr">
        <is>
          <t>18.00 ± 1.80 (II)</t>
        </is>
      </c>
      <c r="Y68" s="243" t="inlineStr">
        <is>
          <t>16.20 – 19.79 %</t>
        </is>
      </c>
      <c r="Z68" s="243" t="inlineStr">
        <is>
          <t>JD_THC18 : CBD1</t>
        </is>
      </c>
      <c r="AA68" s="243" t="inlineStr">
        <is>
          <t>QCSP_001_JD-II_v.01</t>
        </is>
      </c>
      <c r="AB68" s="251"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1"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2" t="n">
        <v>14.68</v>
      </c>
      <c r="W70" s="243" t="inlineStr">
        <is>
          <t>ППК26067</t>
        </is>
      </c>
      <c r="X70" s="243" t="inlineStr">
        <is>
          <t>15.00 ± 1.20 (III)</t>
        </is>
      </c>
      <c r="Y70" s="243" t="inlineStr">
        <is>
          <t>13.80 – 16.19 %</t>
        </is>
      </c>
      <c r="Z70" s="243" t="inlineStr">
        <is>
          <t>FB_THC15 : CBD1</t>
        </is>
      </c>
      <c r="AA70" s="243" t="inlineStr">
        <is>
          <t>QCSP_001_FB-III_v.01</t>
        </is>
      </c>
      <c r="AB70" s="251"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1"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1"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1"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1"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1"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2" t="n">
        <v>18.29</v>
      </c>
      <c r="W76" s="243" t="inlineStr">
        <is>
          <t>ППК26110</t>
        </is>
      </c>
      <c r="X76" s="243" t="inlineStr">
        <is>
          <t>18.00 ± 1.80 (II)</t>
        </is>
      </c>
      <c r="Y76" s="243" t="inlineStr">
        <is>
          <t>16.20 – 19.79 %</t>
        </is>
      </c>
      <c r="Z76" s="243" t="inlineStr">
        <is>
          <t>FB_THC18 : CBD1</t>
        </is>
      </c>
      <c r="AA76" s="243" t="inlineStr">
        <is>
          <t>QCSP_001_FB-II_v.01</t>
        </is>
      </c>
      <c r="AB76" s="251"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2"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2" t="n">
        <v>17.59</v>
      </c>
      <c r="W78" s="243" t="inlineStr">
        <is>
          <t>ППК26114</t>
        </is>
      </c>
      <c r="X78" s="243" t="inlineStr">
        <is>
          <t>18.00 ± 1.77 (I)</t>
        </is>
      </c>
      <c r="Y78" s="243" t="inlineStr">
        <is>
          <t>16.23 – 19.76 %</t>
        </is>
      </c>
      <c r="Z78" s="243" t="inlineStr">
        <is>
          <t>GG_THC18 : CBD1</t>
        </is>
      </c>
      <c r="AA78" s="243" t="inlineStr">
        <is>
          <t>QCSP_001_GG-I_v.01</t>
        </is>
      </c>
      <c r="AB78" s="251"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2" t="n">
        <v>20.54</v>
      </c>
      <c r="W79" s="243" t="inlineStr">
        <is>
          <t>ППК26113</t>
        </is>
      </c>
      <c r="X79" s="243" t="inlineStr">
        <is>
          <t>22.00 ± 2.20 (I)</t>
        </is>
      </c>
      <c r="Y79" s="243" t="inlineStr">
        <is>
          <t>19.80 – 24.19 %</t>
        </is>
      </c>
      <c r="Z79" s="243" t="inlineStr">
        <is>
          <t>JD_THC22 : CBD1</t>
        </is>
      </c>
      <c r="AA79" s="243" t="inlineStr">
        <is>
          <t>QCSP_001_JD-I_v.01</t>
        </is>
      </c>
      <c r="AB79" s="251"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2"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2"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2"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2" t="n">
        <v>18.98</v>
      </c>
      <c r="W83" s="243" t="inlineStr">
        <is>
          <t>ППК26128</t>
        </is>
      </c>
      <c r="X83" s="243" t="inlineStr">
        <is>
          <t>18.00 ± 1.77 (I)</t>
        </is>
      </c>
      <c r="Y83" s="243" t="inlineStr">
        <is>
          <t>16.23 – 19.76 %</t>
        </is>
      </c>
      <c r="Z83" s="243" t="inlineStr">
        <is>
          <t>GG_THC18 : CBD1</t>
        </is>
      </c>
      <c r="AA83" s="243" t="inlineStr">
        <is>
          <t>QCSP_001_GG-I_v.01</t>
        </is>
      </c>
      <c r="AB83" s="251"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2" t="n">
        <v>18.58</v>
      </c>
      <c r="W84" s="243" t="inlineStr">
        <is>
          <t>ППК26115</t>
        </is>
      </c>
      <c r="X84" s="243" t="inlineStr">
        <is>
          <t>18.00 ± 1.80 (II)</t>
        </is>
      </c>
      <c r="Y84" s="243" t="inlineStr">
        <is>
          <t>16.20 – 19.79 %</t>
        </is>
      </c>
      <c r="Z84" s="243" t="inlineStr">
        <is>
          <t>JD_THC18 : CBD1</t>
        </is>
      </c>
      <c r="AA84" s="243" t="inlineStr">
        <is>
          <t>QCSP_001_JD-II_v.01</t>
        </is>
      </c>
      <c r="AB84" s="251"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1"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iCoA-PP_26-088 of 27.07.2026</t>
        </is>
      </c>
      <c r="U86" s="243">
        <f>IFERROR(INDEX('CoQ Register'!$B:$B,MATCH("BG1024|I",'CoQ Register'!$S:$S,0)),"— initial certificate not on the register —")</f>
        <v/>
      </c>
      <c r="V86" s="252" t="n">
        <v>26.14</v>
      </c>
      <c r="W86" s="243" t="inlineStr">
        <is>
          <t>197-1-К/26</t>
        </is>
      </c>
      <c r="X86" s="243" t="inlineStr">
        <is>
          <t>26.00 ± 1.80 (I)</t>
        </is>
      </c>
      <c r="Y86" s="243" t="inlineStr">
        <is>
          <t>24.20 – 27.79 %</t>
        </is>
      </c>
      <c r="Z86" s="243" t="inlineStr">
        <is>
          <t>BG_THC26 : CBD1</t>
        </is>
      </c>
      <c r="AA86" s="243" t="inlineStr">
        <is>
          <t>QCSP_001_BG-I_v.01</t>
        </is>
      </c>
      <c r="AB86" s="251"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iCoA-PP_26-089 of 27.07.2026</t>
        </is>
      </c>
      <c r="U87" s="243">
        <f>IFERROR(INDEX('CoQ Register'!$B:$B,MATCH("BSS1024|I",'CoQ Register'!$S:$S,0)),"— initial certificate not on the register —")</f>
        <v/>
      </c>
      <c r="V87" s="252" t="n">
        <v>25.01</v>
      </c>
      <c r="W87" s="243" t="inlineStr">
        <is>
          <t>197-2-К/26</t>
        </is>
      </c>
      <c r="X87" s="243" t="inlineStr">
        <is>
          <t>24.00 ± 2.11 (II)</t>
        </is>
      </c>
      <c r="Y87" s="243" t="inlineStr">
        <is>
          <t>21.89 – 26.10 %</t>
        </is>
      </c>
      <c r="Z87" s="243" t="inlineStr">
        <is>
          <t>BSS_THC24 : CBD1</t>
        </is>
      </c>
      <c r="AA87" s="243" t="inlineStr">
        <is>
          <t>QCSP_001_BSS-II_v.01</t>
        </is>
      </c>
      <c r="AB87" s="251"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iCoA-PP_26-093 of 27.07.2026</t>
        </is>
      </c>
      <c r="U88" s="243">
        <f>IFERROR(INDEX('CoQ Register'!$B:$B,MATCH("P060332|I",'CoQ Register'!$S:$S,0)),"— initial certificate not on the register —")</f>
        <v/>
      </c>
      <c r="V88" s="252"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iCoA-PP_26-090 of 27.07.2026</t>
        </is>
      </c>
      <c r="U89" s="243">
        <f>IFERROR(INDEX('CoQ Register'!$B:$B,MATCH("P050162|I",'CoQ Register'!$S:$S,0)),"— initial certificate not on the register —")</f>
        <v/>
      </c>
      <c r="V89" s="252" t="n">
        <v>24.05</v>
      </c>
      <c r="W89" s="243" t="inlineStr">
        <is>
          <t>197-3-К/26</t>
        </is>
      </c>
      <c r="X89" s="243" t="inlineStr">
        <is>
          <t>24.00 ± 2.40 (II)</t>
        </is>
      </c>
      <c r="Y89" s="243" t="inlineStr">
        <is>
          <t>21.60 – 26.39 %</t>
        </is>
      </c>
      <c r="Z89" s="243" t="inlineStr">
        <is>
          <t>CJ_THC24 : CBD1</t>
        </is>
      </c>
      <c r="AA89" s="243" t="inlineStr">
        <is>
          <t>QCSP_001_CJ-II_v.01</t>
        </is>
      </c>
      <c r="AB89" s="251"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iCoA-PP_26-092 of 27.07.2026</t>
        </is>
      </c>
      <c r="U90" s="243">
        <f>IFERROR(INDEX('CoQ Register'!$B:$B,MATCH("P060032|I",'CoQ Register'!$S:$S,0)),"— initial certificate not on the register —")</f>
        <v/>
      </c>
      <c r="V90" s="252" t="n">
        <v>18.29</v>
      </c>
      <c r="W90" s="243" t="inlineStr">
        <is>
          <t>197-5-К/26</t>
        </is>
      </c>
      <c r="X90" s="243" t="inlineStr">
        <is>
          <t>17.00 ± 1.40 (IV)</t>
        </is>
      </c>
      <c r="Y90" s="243" t="inlineStr">
        <is>
          <t>15.60 – 18.39 %</t>
        </is>
      </c>
      <c r="Z90" s="243" t="inlineStr">
        <is>
          <t>CJ_THC17 : CBD1</t>
        </is>
      </c>
      <c r="AA90" s="243" t="inlineStr">
        <is>
          <t>QCSP_001_CJ-IV_v.01</t>
        </is>
      </c>
      <c r="AB90" s="251"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iCoA-PP_26-097 of 27.07.2026</t>
        </is>
      </c>
      <c r="U91" s="243">
        <f>IFERROR(INDEX('CoQ Register'!$B:$B,MATCH("P060352|I",'CoQ Register'!$S:$S,0)),"— initial certificate not on the register —")</f>
        <v/>
      </c>
      <c r="V91" s="252" t="n">
        <v>18.86</v>
      </c>
      <c r="W91" s="243" t="inlineStr">
        <is>
          <t>197-7-К/26</t>
        </is>
      </c>
      <c r="X91" s="243" t="inlineStr">
        <is>
          <t>18.00 ± 1.80 (II)</t>
        </is>
      </c>
      <c r="Y91" s="243" t="inlineStr">
        <is>
          <t>16.20 – 19.79 %</t>
        </is>
      </c>
      <c r="Z91" s="243" t="inlineStr">
        <is>
          <t>FB_THC18 : CBD1</t>
        </is>
      </c>
      <c r="AA91" s="243" t="inlineStr">
        <is>
          <t>QCSP_001_FB-II_v.01</t>
        </is>
      </c>
      <c r="AB91" s="251"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iCoA-PP_26-098 of 27.07.2026</t>
        </is>
      </c>
      <c r="U92" s="243">
        <f>IFERROR(INDEX('CoQ Register'!$B:$B,MATCH("P060402|I",'CoQ Register'!$S:$S,0)),"— initial certificate not on the register —")</f>
        <v/>
      </c>
      <c r="V92" s="252" t="n">
        <v>16.7</v>
      </c>
      <c r="W92" s="243" t="inlineStr">
        <is>
          <t>197-8-К/26</t>
        </is>
      </c>
      <c r="X92" s="243" t="inlineStr">
        <is>
          <t>18.00 ± 1.77 (I)</t>
        </is>
      </c>
      <c r="Y92" s="243" t="inlineStr">
        <is>
          <t>16.23 – 19.76 %</t>
        </is>
      </c>
      <c r="Z92" s="243" t="inlineStr">
        <is>
          <t>GG_THC18 : CBD1</t>
        </is>
      </c>
      <c r="AA92" s="243" t="inlineStr">
        <is>
          <t>QCSP_001_GG-I_v.01</t>
        </is>
      </c>
      <c r="AB92" s="251"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iCoA-PP_26-094 of 27.07.2026</t>
        </is>
      </c>
      <c r="U93" s="243">
        <f>IFERROR(INDEX('CoQ Register'!$B:$B,MATCH("P050092|I",'CoQ Register'!$S:$S,0)),"— initial certificate not on the register —")</f>
        <v/>
      </c>
      <c r="V93" s="252" t="n">
        <v>18.67</v>
      </c>
      <c r="W93" s="243" t="inlineStr">
        <is>
          <t>197-9-К/26</t>
        </is>
      </c>
      <c r="X93" s="243" t="inlineStr">
        <is>
          <t>18.00 ± 1.77 (I)</t>
        </is>
      </c>
      <c r="Y93" s="243" t="inlineStr">
        <is>
          <t>16.23 – 19.76 %</t>
        </is>
      </c>
      <c r="Z93" s="243" t="inlineStr">
        <is>
          <t>GG_THC18 : CBD1</t>
        </is>
      </c>
      <c r="AA93" s="243" t="inlineStr">
        <is>
          <t>QCSP_001_GG-I_v.01</t>
        </is>
      </c>
      <c r="AB93" s="251"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iCoA-PP_26-095 of 27.07.2026</t>
        </is>
      </c>
      <c r="U94" s="243">
        <f>IFERROR(INDEX('CoQ Register'!$B:$B,MATCH("P050152|I",'CoQ Register'!$S:$S,0)),"— initial certificate not on the register —")</f>
        <v/>
      </c>
      <c r="V94" s="252" t="n">
        <v>18.52</v>
      </c>
      <c r="W94" s="243" t="inlineStr">
        <is>
          <t>197-10-К/26</t>
        </is>
      </c>
      <c r="X94" s="243" t="inlineStr">
        <is>
          <t>20.00 ± 2.00 (III)</t>
        </is>
      </c>
      <c r="Y94" s="243" t="inlineStr">
        <is>
          <t>18.00 – 21.99 %</t>
        </is>
      </c>
      <c r="Z94" s="243" t="inlineStr">
        <is>
          <t>GP_THC20 : CBD1</t>
        </is>
      </c>
      <c r="AA94" s="243" t="inlineStr">
        <is>
          <t>QCSP_001_GP-III_v.01</t>
        </is>
      </c>
      <c r="AB94" s="251"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2" t="n">
        <v>22.61</v>
      </c>
      <c r="W95" s="243" t="inlineStr">
        <is>
          <t>197-11-К/26</t>
        </is>
      </c>
      <c r="X95" s="243" t="inlineStr">
        <is>
          <t>24.00 ± 2.00 (II)</t>
        </is>
      </c>
      <c r="Y95" s="243" t="inlineStr">
        <is>
          <t>22.00 – 25.99 %</t>
        </is>
      </c>
      <c r="Z95" s="243" t="inlineStr">
        <is>
          <t>GP_THC24 : CBD1</t>
        </is>
      </c>
      <c r="AA95" s="243" t="inlineStr">
        <is>
          <t>QCSP_001_GP-II_v.01</t>
        </is>
      </c>
      <c r="AB95" s="251"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iCoA-PP_26-099 of 27.07.2026</t>
        </is>
      </c>
      <c r="U96" s="243">
        <f>IFERROR(INDEX('CoQ Register'!$B:$B,MATCH("P050322|I",'CoQ Register'!$S:$S,0)),"— initial certificate not on the register —")</f>
        <v/>
      </c>
      <c r="V96" s="252" t="n">
        <v>15.7</v>
      </c>
      <c r="W96" s="243" t="inlineStr">
        <is>
          <t>197-12-К/26</t>
        </is>
      </c>
      <c r="X96" s="243" t="inlineStr">
        <is>
          <t>16.00 ± 1.60 (IV)</t>
        </is>
      </c>
      <c r="Y96" s="243" t="inlineStr">
        <is>
          <t>14.40 – 17.59 %</t>
        </is>
      </c>
      <c r="Z96" s="243" t="inlineStr">
        <is>
          <t>GP_THC16 : CBD1</t>
        </is>
      </c>
      <c r="AA96" s="243" t="inlineStr">
        <is>
          <t>QCSP_001_GP-IV_v.01</t>
        </is>
      </c>
      <c r="AB96" s="251"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iCoA-PP_26-100 of 27.07.2026</t>
        </is>
      </c>
      <c r="U97" s="243">
        <f>IFERROR(INDEX('CoQ Register'!$B:$B,MATCH("HPA1024|I",'CoQ Register'!$S:$S,0)),"— initial certificate not on the register —")</f>
        <v/>
      </c>
      <c r="V97" s="252" t="n">
        <v>17.31</v>
      </c>
      <c r="W97" s="243" t="inlineStr">
        <is>
          <t>197-13-К/26</t>
        </is>
      </c>
      <c r="X97" s="243" t="inlineStr">
        <is>
          <t>18.00 ± 1.80 (II)</t>
        </is>
      </c>
      <c r="Y97" s="243" t="inlineStr">
        <is>
          <t>16.20 – 19.79 %</t>
        </is>
      </c>
      <c r="Z97" s="243" t="inlineStr">
        <is>
          <t>HPA_THC18 : CBD1</t>
        </is>
      </c>
      <c r="AA97" s="243" t="inlineStr">
        <is>
          <t>QCSP_001_HPA-II_v.01</t>
        </is>
      </c>
      <c r="AB97" s="251"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iCoA-PP_26-101 of 27.07.2026</t>
        </is>
      </c>
      <c r="U98" s="243">
        <f>IFERROR(INDEX('CoQ Register'!$B:$B,MATCH("P050052|I",'CoQ Register'!$S:$S,0)),"— initial certificate not on the register —")</f>
        <v/>
      </c>
      <c r="V98" s="252" t="n">
        <v>21.61</v>
      </c>
      <c r="W98" s="243" t="inlineStr">
        <is>
          <t>197-14-К/26</t>
        </is>
      </c>
      <c r="X98" s="243" t="inlineStr">
        <is>
          <t>22.00 ± 2.20 (I)</t>
        </is>
      </c>
      <c r="Y98" s="243" t="inlineStr">
        <is>
          <t>19.80 – 24.19 %</t>
        </is>
      </c>
      <c r="Z98" s="243" t="inlineStr">
        <is>
          <t>HPA_THC22 : CBD1</t>
        </is>
      </c>
      <c r="AA98" s="243" t="inlineStr">
        <is>
          <t>QCSP_001_HPA-I_v.01</t>
        </is>
      </c>
      <c r="AB98" s="251"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iCoA-PP_26-102 of 27.07.2026</t>
        </is>
      </c>
      <c r="U99" s="243">
        <f>IFERROR(INDEX('CoQ Register'!$B:$B,MATCH("P060152|I",'CoQ Register'!$S:$S,0)),"— initial certificate not on the register —")</f>
        <v/>
      </c>
      <c r="V99" s="252"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iCoA-PP_26-103 of 27.07.2026</t>
        </is>
      </c>
      <c r="U100" s="243">
        <f>IFERROR(INDEX('CoQ Register'!$B:$B,MATCH("P060212|I",'CoQ Register'!$S:$S,0)),"— initial certificate not on the register —")</f>
        <v/>
      </c>
      <c r="V100" s="252" t="n">
        <v>20.32</v>
      </c>
      <c r="W100" s="243" t="inlineStr">
        <is>
          <t>197-15-К/26</t>
        </is>
      </c>
      <c r="X100" s="243" t="inlineStr">
        <is>
          <t>22.00 ± 2.20 (I)</t>
        </is>
      </c>
      <c r="Y100" s="243" t="inlineStr">
        <is>
          <t>19.80 – 24.19 %</t>
        </is>
      </c>
      <c r="Z100" s="243" t="inlineStr">
        <is>
          <t>JD_THC22 : CBD1</t>
        </is>
      </c>
      <c r="AA100" s="243" t="inlineStr">
        <is>
          <t>QCSP_001_JD-I_v.01</t>
        </is>
      </c>
      <c r="AB100" s="251"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iCoA-PP_26-104 of 27.07.2026</t>
        </is>
      </c>
      <c r="U101" s="243">
        <f>IFERROR(INDEX('CoQ Register'!$B:$B,MATCH("OPM1024|I",'CoQ Register'!$S:$S,0)),"— initial certificate not on the register —")</f>
        <v/>
      </c>
      <c r="V101" s="252" t="n">
        <v>20.03</v>
      </c>
      <c r="W101" s="243" t="inlineStr">
        <is>
          <t>197-17-К/26</t>
        </is>
      </c>
      <c r="X101" s="243" t="inlineStr">
        <is>
          <t>20.00 ± 1.40 (I)</t>
        </is>
      </c>
      <c r="Y101" s="243" t="inlineStr">
        <is>
          <t>18.60 – 21.39 %</t>
        </is>
      </c>
      <c r="Z101" s="243" t="inlineStr">
        <is>
          <t>OPM_THC20 : CBD1</t>
        </is>
      </c>
      <c r="AA101" s="243" t="inlineStr">
        <is>
          <t>QCSP_001_OPM-I_v.01</t>
        </is>
      </c>
      <c r="AB101" s="251"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iCoA-PP_26-105 of 27.07.2026</t>
        </is>
      </c>
      <c r="U102" s="243">
        <f>IFERROR(INDEX('CoQ Register'!$B:$B,MATCH("P050062|I",'CoQ Register'!$S:$S,0)),"— initial certificate not on the register —")</f>
        <v/>
      </c>
      <c r="V102" s="252" t="n">
        <v>18.04</v>
      </c>
      <c r="W102" s="243" t="inlineStr">
        <is>
          <t>197-18-К/26</t>
        </is>
      </c>
      <c r="X102" s="243" t="inlineStr">
        <is>
          <t>17.00 ± 1.60 (II)</t>
        </is>
      </c>
      <c r="Y102" s="243" t="inlineStr">
        <is>
          <t>15.40 – 18.59 %</t>
        </is>
      </c>
      <c r="Z102" s="243" t="inlineStr">
        <is>
          <t>OPM_THC17 : CBD1</t>
        </is>
      </c>
      <c r="AA102" s="243" t="inlineStr">
        <is>
          <t>QCSP_001_OPM-II_v.01</t>
        </is>
      </c>
      <c r="AB102" s="251"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iCoA-PP_26-106 of 27.07.2026</t>
        </is>
      </c>
      <c r="U103" s="243">
        <f>IFERROR(INDEX('CoQ Register'!$B:$B,MATCH("P060242|I",'CoQ Register'!$S:$S,0)),"— initial certificate not on the register —")</f>
        <v/>
      </c>
      <c r="V103" s="252" t="n">
        <v>7.91</v>
      </c>
      <c r="W103" s="243" t="inlineStr">
        <is>
          <t>197-19-К/26</t>
        </is>
      </c>
      <c r="X103" s="243" t="inlineStr">
        <is>
          <t>8.00 ± 0.80 (V)</t>
        </is>
      </c>
      <c r="Y103" s="243" t="inlineStr">
        <is>
          <t>7.20 – 8.79 %</t>
        </is>
      </c>
      <c r="Z103" s="243" t="inlineStr">
        <is>
          <t>OPM_THC8 : CBD1</t>
        </is>
      </c>
      <c r="AA103" s="243" t="inlineStr">
        <is>
          <t>QCSP_001_OPM-V_v.01</t>
        </is>
      </c>
      <c r="AB103" s="251"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iCoA-PP_26-108 of 27.07.2026</t>
        </is>
      </c>
      <c r="U104" s="243">
        <f>IFERROR(INDEX('CoQ Register'!$B:$B,MATCH("P060062|I",'CoQ Register'!$S:$S,0)),"— initial certificate not on the register —")</f>
        <v/>
      </c>
      <c r="V104" s="252" t="n">
        <v>12.25</v>
      </c>
      <c r="W104" s="243" t="inlineStr">
        <is>
          <t>197-20-К/26</t>
        </is>
      </c>
      <c r="X104" s="243" t="inlineStr">
        <is>
          <t>12.00 ± 1.00 (II)</t>
        </is>
      </c>
      <c r="Y104" s="243" t="inlineStr">
        <is>
          <t>11.00 – 12.99 %</t>
        </is>
      </c>
      <c r="Z104" s="243" t="inlineStr">
        <is>
          <t>PM_THC12 : CBD1</t>
        </is>
      </c>
      <c r="AA104" s="243" t="inlineStr">
        <is>
          <t>QCSP_001_PM-II_v.01</t>
        </is>
      </c>
      <c r="AB104" s="251"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iCoA-PP_26-107 of 27.07.2026</t>
        </is>
      </c>
      <c r="U105" s="243">
        <f>IFERROR(INDEX('CoQ Register'!$B:$B,MATCH("P060382|I",'CoQ Register'!$S:$S,0)),"— initial certificate not on the register —")</f>
        <v/>
      </c>
      <c r="V105" s="252" t="n">
        <v>17.84</v>
      </c>
      <c r="W105" s="243" t="inlineStr">
        <is>
          <t>197-21-К/26</t>
        </is>
      </c>
      <c r="X105" s="243" t="inlineStr">
        <is>
          <t>18.00 ± 1.80 (II)</t>
        </is>
      </c>
      <c r="Y105" s="243" t="inlineStr">
        <is>
          <t>16.20 – 19.79 %</t>
        </is>
      </c>
      <c r="Z105" s="243" t="inlineStr">
        <is>
          <t>SCR_THC18 : CBD1</t>
        </is>
      </c>
      <c r="AA105" s="243" t="inlineStr">
        <is>
          <t>QCSP_001_SCR-II_v.01</t>
        </is>
      </c>
      <c r="AB105" s="251"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2" t="n">
        <v>18.91</v>
      </c>
      <c r="W106" s="243" t="inlineStr">
        <is>
          <t>197-4-К/26</t>
        </is>
      </c>
      <c r="X106" s="243" t="inlineStr">
        <is>
          <t>20.00 ± 1.60 (III)</t>
        </is>
      </c>
      <c r="Y106" s="243" t="inlineStr">
        <is>
          <t>18.40 – 21.59 %</t>
        </is>
      </c>
      <c r="Z106" s="243" t="inlineStr">
        <is>
          <t>CJ_THC20 : CBD1</t>
        </is>
      </c>
      <c r="AA106" s="243" t="inlineStr">
        <is>
          <t>QCSP_001_CJ-III_v.01</t>
        </is>
      </c>
      <c r="AB106" s="251"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iCoA-PP_26-111 of 17.08.2026</t>
        </is>
      </c>
      <c r="U107" s="243">
        <f>IFERROR(INDEX('CoQ Register'!$B:$B,MATCH("P060122|I",'CoQ Register'!$S:$S,0)),"— initial certificate not on the register —")</f>
        <v/>
      </c>
      <c r="V107" s="252" t="n">
        <v>12.09</v>
      </c>
      <c r="W107" s="243" t="inlineStr">
        <is>
          <t>220-1-К/26</t>
        </is>
      </c>
      <c r="X107" s="243" t="inlineStr">
        <is>
          <t>12.00 ± 1.20 (I)</t>
        </is>
      </c>
      <c r="Y107" s="243" t="inlineStr">
        <is>
          <t>10.80 – 13.19 %</t>
        </is>
      </c>
      <c r="Z107" s="243" t="inlineStr">
        <is>
          <t>ACC_THC12 : CBD1</t>
        </is>
      </c>
      <c r="AA107" s="243" t="inlineStr">
        <is>
          <t>QCSP_001_ACC-I_v.01</t>
        </is>
      </c>
      <c r="AB107" s="251"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iCoA-PP_26-112 of 17.08.2026</t>
        </is>
      </c>
      <c r="U108" s="243">
        <f>IFERROR(INDEX('CoQ Register'!$B:$B,MATCH("P050192|I",'CoQ Register'!$S:$S,0)),"— initial certificate not on the register —")</f>
        <v/>
      </c>
      <c r="V108" s="252"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iCoA-PP_26-133 of 17.08.2026</t>
        </is>
      </c>
      <c r="U109" s="243">
        <f>IFERROR(INDEX('CoQ Register'!$B:$B,MATCH("P060372|I",'CoQ Register'!$S:$S,0)),"— initial certificate not on the register —")</f>
        <v/>
      </c>
      <c r="V109" s="252" t="n">
        <v>14.76</v>
      </c>
      <c r="W109" s="243" t="inlineStr">
        <is>
          <t>220-29-К/26</t>
        </is>
      </c>
      <c r="X109" s="243" t="inlineStr">
        <is>
          <t>14.00 ± 1.35 (II)</t>
        </is>
      </c>
      <c r="Y109" s="243" t="inlineStr">
        <is>
          <t>12.65 – 15.34 %</t>
        </is>
      </c>
      <c r="Z109" s="243" t="inlineStr">
        <is>
          <t>CC_THC14 : CBD1</t>
        </is>
      </c>
      <c r="AA109" s="243" t="inlineStr">
        <is>
          <t>QCSP_001_CC-II_v.01</t>
        </is>
      </c>
      <c r="AB109" s="251"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iCoA-PP_26-113 of 17.08.2026</t>
        </is>
      </c>
      <c r="U110" s="243">
        <f>IFERROR(INDEX('CoQ Register'!$B:$B,MATCH("P060132|I",'CoQ Register'!$S:$S,0)),"— initial certificate not on the register —")</f>
        <v/>
      </c>
      <c r="V110" s="252" t="n">
        <v>9.550000000000001</v>
      </c>
      <c r="W110" s="243" t="inlineStr">
        <is>
          <t>220-6-К/26</t>
        </is>
      </c>
      <c r="X110" s="243" t="inlineStr">
        <is>
          <t>10.00 ± 1.00 (I)</t>
        </is>
      </c>
      <c r="Y110" s="243" t="inlineStr">
        <is>
          <t>9.00 – 10.99 %</t>
        </is>
      </c>
      <c r="Z110" s="243" t="inlineStr">
        <is>
          <t>CF_THC10 : CBD1</t>
        </is>
      </c>
      <c r="AA110" s="243" t="inlineStr">
        <is>
          <t>QCSP_001_CF-I_v.01</t>
        </is>
      </c>
      <c r="AB110" s="251"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2" t="n">
        <v>24.8</v>
      </c>
      <c r="W111" s="243" t="inlineStr">
        <is>
          <t>220-3-К/26</t>
        </is>
      </c>
      <c r="X111" s="243" t="inlineStr">
        <is>
          <t>24.00 ± 2.40 (II)</t>
        </is>
      </c>
      <c r="Y111" s="243" t="inlineStr">
        <is>
          <t>21.60 – 26.39 %</t>
        </is>
      </c>
      <c r="Z111" s="243" t="inlineStr">
        <is>
          <t>CJ_THC24 : CBD1</t>
        </is>
      </c>
      <c r="AA111" s="243" t="inlineStr">
        <is>
          <t>QCSP_001_CJ-II_v.01</t>
        </is>
      </c>
      <c r="AB111" s="251"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iCoA-PP_26-115 of 17.08.2026</t>
        </is>
      </c>
      <c r="U112" s="243">
        <f>IFERROR(INDEX('CoQ Register'!$B:$B,MATCH("P060022|I",'CoQ Register'!$S:$S,0)),"— initial certificate not on the register —")</f>
        <v/>
      </c>
      <c r="V112" s="252" t="n">
        <v>28.34</v>
      </c>
      <c r="W112" s="243" t="inlineStr">
        <is>
          <t>220-4-К/26</t>
        </is>
      </c>
      <c r="X112" s="243" t="inlineStr">
        <is>
          <t>28.00 ± 1.60 (I)</t>
        </is>
      </c>
      <c r="Y112" s="243" t="inlineStr">
        <is>
          <t>26.40 – 29.59 %</t>
        </is>
      </c>
      <c r="Z112" s="243" t="inlineStr">
        <is>
          <t>CJ_THC28 : CBD1</t>
        </is>
      </c>
      <c r="AA112" s="243" t="inlineStr">
        <is>
          <t>QCSP_001_CJ-I_v.01</t>
        </is>
      </c>
      <c r="AB112" s="251"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iCoA-PP_26-116 of 17.08.2026</t>
        </is>
      </c>
      <c r="U113" s="243">
        <f>IFERROR(INDEX('CoQ Register'!$B:$B,MATCH("P060072|I",'CoQ Register'!$S:$S,0)),"— initial certificate not on the register —")</f>
        <v/>
      </c>
      <c r="V113" s="252" t="n">
        <v>25.65</v>
      </c>
      <c r="W113" s="243" t="inlineStr">
        <is>
          <t>220-5-К/26</t>
        </is>
      </c>
      <c r="X113" s="243" t="inlineStr">
        <is>
          <t>24.00 ± 2.40 (II)</t>
        </is>
      </c>
      <c r="Y113" s="243" t="inlineStr">
        <is>
          <t>21.60 – 26.39 %</t>
        </is>
      </c>
      <c r="Z113" s="243" t="inlineStr">
        <is>
          <t>CJ_THC24 : CBD1</t>
        </is>
      </c>
      <c r="AA113" s="243" t="inlineStr">
        <is>
          <t>QCSP_001_CJ-II_v.01</t>
        </is>
      </c>
      <c r="AB113" s="251"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iCoA-PP_26-117 of 17.08.2026</t>
        </is>
      </c>
      <c r="U114" s="243">
        <f>IFERROR(INDEX('CoQ Register'!$B:$B,MATCH("P050282|I",'CoQ Register'!$S:$S,0)),"— initial certificate not on the register —")</f>
        <v/>
      </c>
      <c r="V114" s="252" t="n">
        <v>8.65</v>
      </c>
      <c r="W114" s="243" t="inlineStr">
        <is>
          <t>220-7-К/26</t>
        </is>
      </c>
      <c r="X114" s="243" t="inlineStr">
        <is>
          <t>8.00 ± 0.80 (I)</t>
        </is>
      </c>
      <c r="Y114" s="243" t="inlineStr">
        <is>
          <t>7.20 – 8.79 %</t>
        </is>
      </c>
      <c r="Z114" s="243" t="inlineStr">
        <is>
          <t>CLE_THC8 : CBD1</t>
        </is>
      </c>
      <c r="AA114" s="243" t="inlineStr">
        <is>
          <t>QCSP_001_CLE-I_v.01</t>
        </is>
      </c>
      <c r="AB114" s="251"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iCoA-PP_26-118 of 17.08.2026</t>
        </is>
      </c>
      <c r="U115" s="243">
        <f>IFERROR(INDEX('CoQ Register'!$B:$B,MATCH("P060322|I",'CoQ Register'!$S:$S,0)),"— initial certificate not on the register —")</f>
        <v/>
      </c>
      <c r="V115" s="252" t="n">
        <v>17.99</v>
      </c>
      <c r="W115" s="243" t="inlineStr">
        <is>
          <t>220-8-К/26</t>
        </is>
      </c>
      <c r="X115" s="243" t="inlineStr">
        <is>
          <t>18.00 ± 1.80 (II)</t>
        </is>
      </c>
      <c r="Y115" s="243" t="inlineStr">
        <is>
          <t>16.20 – 19.79 %</t>
        </is>
      </c>
      <c r="Z115" s="243" t="inlineStr">
        <is>
          <t>FB_THC18 : CBD1</t>
        </is>
      </c>
      <c r="AA115" s="243" t="inlineStr">
        <is>
          <t>QCSP_001_FB-II_v.01</t>
        </is>
      </c>
      <c r="AB115" s="251"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iCoA-PP_26-119 of 17.08.2026</t>
        </is>
      </c>
      <c r="U116" s="243">
        <f>IFERROR(INDEX('CoQ Register'!$B:$B,MATCH("GG1024|I",'CoQ Register'!$S:$S,0)),"— initial certificate not on the register —")</f>
        <v/>
      </c>
      <c r="V116" s="252" t="n">
        <v>15.51</v>
      </c>
      <c r="W116" s="243" t="inlineStr">
        <is>
          <t>220-9-К/26</t>
        </is>
      </c>
      <c r="X116" s="243" t="inlineStr">
        <is>
          <t>15.00 ± 1.23 (II)</t>
        </is>
      </c>
      <c r="Y116" s="243" t="inlineStr">
        <is>
          <t>13.77 – 16.22 %</t>
        </is>
      </c>
      <c r="Z116" s="243" t="inlineStr">
        <is>
          <t>GG_THC15 : CBD1</t>
        </is>
      </c>
      <c r="AA116" s="243" t="inlineStr">
        <is>
          <t>QCSP_001_GG-II_v.01</t>
        </is>
      </c>
      <c r="AB116" s="251"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iCoA-PP_26-120 of 17.08.2026</t>
        </is>
      </c>
      <c r="U117" s="243">
        <f>IFERROR(INDEX('CoQ Register'!$B:$B,MATCH("P050302|I",'CoQ Register'!$S:$S,0)),"— initial certificate not on the register —")</f>
        <v/>
      </c>
      <c r="V117" s="252" t="n">
        <v>18.29</v>
      </c>
      <c r="W117" s="243" t="inlineStr">
        <is>
          <t>220-10-К/26</t>
        </is>
      </c>
      <c r="X117" s="243" t="inlineStr">
        <is>
          <t>20.00 ± 2.00 (III)</t>
        </is>
      </c>
      <c r="Y117" s="243" t="inlineStr">
        <is>
          <t>18.00 – 21.99 %</t>
        </is>
      </c>
      <c r="Z117" s="243" t="inlineStr">
        <is>
          <t>GP_THC20 : CBD1</t>
        </is>
      </c>
      <c r="AA117" s="243" t="inlineStr">
        <is>
          <t>QCSP_001_GP-III_v.01</t>
        </is>
      </c>
      <c r="AB117" s="251"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2" t="n">
        <v>28.3</v>
      </c>
      <c r="W118" s="243" t="inlineStr">
        <is>
          <t>220-11-К/26</t>
        </is>
      </c>
      <c r="X118" s="243" t="inlineStr">
        <is>
          <t>28.00 ± 2.00 (I)</t>
        </is>
      </c>
      <c r="Y118" s="243" t="inlineStr">
        <is>
          <t>26.00 – 29.99 %</t>
        </is>
      </c>
      <c r="Z118" s="243" t="inlineStr">
        <is>
          <t>GP_THC28 : CBD1</t>
        </is>
      </c>
      <c r="AA118" s="243" t="inlineStr">
        <is>
          <t>QCSP_001_GP-I_v.01</t>
        </is>
      </c>
      <c r="AB118" s="251"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iCoA-PP_26-122 of 17.08.2026</t>
        </is>
      </c>
      <c r="U119" s="243">
        <f>IFERROR(INDEX('CoQ Register'!$B:$B,MATCH("P050312|I",'CoQ Register'!$S:$S,0)),"— initial certificate not on the register —")</f>
        <v/>
      </c>
      <c r="V119" s="252" t="n">
        <v>25.13</v>
      </c>
      <c r="W119" s="243" t="inlineStr">
        <is>
          <t>220-12-К/26</t>
        </is>
      </c>
      <c r="X119" s="243" t="inlineStr">
        <is>
          <t>24.00 ± 2.00 (II)</t>
        </is>
      </c>
      <c r="Y119" s="243" t="inlineStr">
        <is>
          <t>22.00 – 25.99 %</t>
        </is>
      </c>
      <c r="Z119" s="243" t="inlineStr">
        <is>
          <t>GP_THC24 : CBD1</t>
        </is>
      </c>
      <c r="AA119" s="243" t="inlineStr">
        <is>
          <t>QCSP_001_GP-II_v.01</t>
        </is>
      </c>
      <c r="AB119" s="251"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iCoA-PP_26-123 of 17.08.2026</t>
        </is>
      </c>
      <c r="U120" s="243">
        <f>IFERROR(INDEX('CoQ Register'!$B:$B,MATCH("P060092|I",'CoQ Register'!$S:$S,0)),"— initial certificate not on the register —")</f>
        <v/>
      </c>
      <c r="V120" s="252" t="n">
        <v>25.24</v>
      </c>
      <c r="W120" s="243" t="inlineStr">
        <is>
          <t>220-13-К/26</t>
        </is>
      </c>
      <c r="X120" s="243" t="inlineStr">
        <is>
          <t>24.00 ± 2.00 (II)</t>
        </is>
      </c>
      <c r="Y120" s="243" t="inlineStr">
        <is>
          <t>22.00 – 25.99 %</t>
        </is>
      </c>
      <c r="Z120" s="243" t="inlineStr">
        <is>
          <t>GP_THC24 : CBD1</t>
        </is>
      </c>
      <c r="AA120" s="243" t="inlineStr">
        <is>
          <t>QCSP_001_GP-II_v.01</t>
        </is>
      </c>
      <c r="AB120" s="251"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2"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iCoA-PP_26-125 of 17.08.2026</t>
        </is>
      </c>
      <c r="U122" s="243">
        <f>IFERROR(INDEX('CoQ Register'!$B:$B,MATCH("P050182|I",'CoQ Register'!$S:$S,0)),"— initial certificate not on the register —")</f>
        <v/>
      </c>
      <c r="V122" s="252" t="n">
        <v>19.69</v>
      </c>
      <c r="W122" s="243" t="inlineStr">
        <is>
          <t>220-15-К/26</t>
        </is>
      </c>
      <c r="X122" s="243" t="inlineStr">
        <is>
          <t>18.00 ± 1.80 (II)</t>
        </is>
      </c>
      <c r="Y122" s="243" t="inlineStr">
        <is>
          <t>16.20 – 19.79 %</t>
        </is>
      </c>
      <c r="Z122" s="243" t="inlineStr">
        <is>
          <t>HPA_THC18 : CBD1</t>
        </is>
      </c>
      <c r="AA122" s="243" t="inlineStr">
        <is>
          <t>QCSP_001_HPA-II_v.01</t>
        </is>
      </c>
      <c r="AB122" s="251"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iCoA-PP_26-128 of 17.08.2026</t>
        </is>
      </c>
      <c r="U123" s="243">
        <f>IFERROR(INDEX('CoQ Register'!$B:$B,MATCH("P060362|I",'CoQ Register'!$S:$S,0)),"— initial certificate not on the register —")</f>
        <v/>
      </c>
      <c r="V123" s="252" t="n">
        <v>21.01</v>
      </c>
      <c r="W123" s="243" t="inlineStr">
        <is>
          <t>220-16-К/26</t>
        </is>
      </c>
      <c r="X123" s="243" t="inlineStr">
        <is>
          <t>22.00 ± 2.20 (I)</t>
        </is>
      </c>
      <c r="Y123" s="243" t="inlineStr">
        <is>
          <t>19.80 – 24.19 %</t>
        </is>
      </c>
      <c r="Z123" s="243" t="inlineStr">
        <is>
          <t>JD_THC22 : CBD1</t>
        </is>
      </c>
      <c r="AA123" s="243" t="inlineStr">
        <is>
          <t>QCSP_001_JD-I_v.01</t>
        </is>
      </c>
      <c r="AB123" s="251"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iCoA-PP_26-126 of 17.08.2026</t>
        </is>
      </c>
      <c r="U124" s="243">
        <f>IFERROR(INDEX('CoQ Register'!$B:$B,MATCH("P060412|I",'CoQ Register'!$S:$S,0)),"— initial certificate not on the register —")</f>
        <v/>
      </c>
      <c r="V124" s="252"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iCoA-PP_26-127 of 17.08.2026</t>
        </is>
      </c>
      <c r="U125" s="243">
        <f>IFERROR(INDEX('CoQ Register'!$B:$B,MATCH("P060422|I",'CoQ Register'!$S:$S,0)),"— initial certificate not on the register —")</f>
        <v/>
      </c>
      <c r="V125" s="252" t="n">
        <v>17.09</v>
      </c>
      <c r="W125" s="243" t="inlineStr">
        <is>
          <t>220-18-К/26</t>
        </is>
      </c>
      <c r="X125" s="243" t="inlineStr">
        <is>
          <t>18.00 ± 1.80 (II)</t>
        </is>
      </c>
      <c r="Y125" s="243" t="inlineStr">
        <is>
          <t>16.20 – 19.79 %</t>
        </is>
      </c>
      <c r="Z125" s="243" t="inlineStr">
        <is>
          <t>JD_THC18 : CBD1</t>
        </is>
      </c>
      <c r="AA125" s="243" t="inlineStr">
        <is>
          <t>QCSP_001_JD-II_v.01</t>
        </is>
      </c>
      <c r="AB125" s="251"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iCoA-PP_26-136 of 17.08.2026</t>
        </is>
      </c>
      <c r="U126" s="243">
        <f>IFERROR(INDEX('CoQ Register'!$B:$B,MATCH("P060492|I",'CoQ Register'!$S:$S,0)),"— initial certificate not on the register —")</f>
        <v/>
      </c>
      <c r="V126" s="252"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iCoA-PP_26-129 of 17.08.2026</t>
        </is>
      </c>
      <c r="U127" s="243">
        <f>IFERROR(INDEX('CoQ Register'!$B:$B,MATCH("P060172|I",'CoQ Register'!$S:$S,0)),"— initial certificate not on the register —")</f>
        <v/>
      </c>
      <c r="V127" s="252" t="n">
        <v>17.06</v>
      </c>
      <c r="W127" s="243" t="inlineStr">
        <is>
          <t>220-19-К/26</t>
        </is>
      </c>
      <c r="X127" s="243" t="inlineStr">
        <is>
          <t>18.00 ± 1.80 (I)</t>
        </is>
      </c>
      <c r="Y127" s="243" t="inlineStr">
        <is>
          <t>16.20 – 19.79 %</t>
        </is>
      </c>
      <c r="Z127" s="243" t="inlineStr">
        <is>
          <t>KC_THC18 : CBD1</t>
        </is>
      </c>
      <c r="AA127" s="243" t="inlineStr">
        <is>
          <t>QCSP_001_KC-I_v.01</t>
        </is>
      </c>
      <c r="AB127" s="251"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iCoA-PP_26-130 of 17.08.2026</t>
        </is>
      </c>
      <c r="U128" s="243">
        <f>IFERROR(INDEX('CoQ Register'!$B:$B,MATCH("P050112|I",'CoQ Register'!$S:$S,0)),"— initial certificate not on the register —")</f>
        <v/>
      </c>
      <c r="V128" s="252" t="n">
        <v>17.93</v>
      </c>
      <c r="W128" s="243" t="inlineStr">
        <is>
          <t>220-20-К/26</t>
        </is>
      </c>
      <c r="X128" s="243" t="inlineStr">
        <is>
          <t>18.00 ± 1.80 (I)</t>
        </is>
      </c>
      <c r="Y128" s="243" t="inlineStr">
        <is>
          <t>16.20 – 19.79 %</t>
        </is>
      </c>
      <c r="Z128" s="243" t="inlineStr">
        <is>
          <t>MB_THC18 : CBD1</t>
        </is>
      </c>
      <c r="AA128" s="243" t="inlineStr">
        <is>
          <t>QCSP_001_MB-I_v.01</t>
        </is>
      </c>
      <c r="AB128" s="251"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2" t="n">
        <v>18.14</v>
      </c>
      <c r="W129" s="243" t="inlineStr">
        <is>
          <t>220-21-К/26</t>
        </is>
      </c>
      <c r="X129" s="243" t="inlineStr">
        <is>
          <t>17.00 ± 1.60 (II)</t>
        </is>
      </c>
      <c r="Y129" s="243" t="inlineStr">
        <is>
          <t>15.40 – 18.59 %</t>
        </is>
      </c>
      <c r="Z129" s="243" t="inlineStr">
        <is>
          <t>OPM_THC17 : CBD1</t>
        </is>
      </c>
      <c r="AA129" s="243" t="inlineStr">
        <is>
          <t>QCSP_001_OPM-II_v.01</t>
        </is>
      </c>
      <c r="AB129" s="251"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iCoA-PP_26-131 of 17.08.2026</t>
        </is>
      </c>
      <c r="U130" s="243">
        <f>IFERROR(INDEX('CoQ Register'!$B:$B,MATCH("P060042|I",'CoQ Register'!$S:$S,0)),"— initial certificate not on the register —")</f>
        <v/>
      </c>
      <c r="V130" s="252" t="n">
        <v>10.18</v>
      </c>
      <c r="W130" s="243" t="inlineStr">
        <is>
          <t>220-22-К/26</t>
        </is>
      </c>
      <c r="X130" s="243" t="inlineStr">
        <is>
          <t>10.00 ± 1.00 (IV)</t>
        </is>
      </c>
      <c r="Y130" s="243" t="inlineStr">
        <is>
          <t>9.00 – 10.99 %</t>
        </is>
      </c>
      <c r="Z130" s="243" t="inlineStr">
        <is>
          <t>OPM_THC10 : CBD1</t>
        </is>
      </c>
      <c r="AA130" s="243" t="inlineStr">
        <is>
          <t>QCSP_001_OPM-IV_v.01</t>
        </is>
      </c>
      <c r="AB130" s="251"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iCoA-PP_26-137 of 17.08.2026</t>
        </is>
      </c>
      <c r="U131" s="243">
        <f>IFERROR(INDEX('CoQ Register'!$B:$B,MATCH("P050082|I",'CoQ Register'!$S:$S,0)),"— initial certificate not on the register —")</f>
        <v/>
      </c>
      <c r="V131" s="252" t="n">
        <v>19.3</v>
      </c>
      <c r="W131" s="243" t="inlineStr">
        <is>
          <t>220-23-К/26</t>
        </is>
      </c>
      <c r="X131" s="243" t="inlineStr">
        <is>
          <t>20.00 ± 1.40 (I)</t>
        </is>
      </c>
      <c r="Y131" s="243" t="inlineStr">
        <is>
          <t>18.60 – 21.39 %</t>
        </is>
      </c>
      <c r="Z131" s="243" t="inlineStr">
        <is>
          <t>OPM_THC20 : CBD1</t>
        </is>
      </c>
      <c r="AA131" s="243" t="inlineStr">
        <is>
          <t>QCSP_001_OPM-I_v.01</t>
        </is>
      </c>
      <c r="AB131" s="251"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iCoA-PP_26-138 of 17.08.2026</t>
        </is>
      </c>
      <c r="U132" s="243">
        <f>IFERROR(INDEX('CoQ Register'!$B:$B,MATCH("P060232|I",'CoQ Register'!$S:$S,0)),"— initial certificate not on the register —")</f>
        <v/>
      </c>
      <c r="V132" s="252"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iCoA-PP_26-139 of 17.08.2026</t>
        </is>
      </c>
      <c r="U133" s="243">
        <f>IFERROR(INDEX('CoQ Register'!$B:$B,MATCH("P060112|I",'CoQ Register'!$S:$S,0)),"— initial certificate not on the register —")</f>
        <v/>
      </c>
      <c r="V133" s="252" t="n">
        <v>13.95</v>
      </c>
      <c r="W133" s="243" t="inlineStr">
        <is>
          <t>220-25-К/26</t>
        </is>
      </c>
      <c r="X133" s="243" t="inlineStr">
        <is>
          <t>14.00 ± 1.40 (I)</t>
        </is>
      </c>
      <c r="Y133" s="243" t="inlineStr">
        <is>
          <t>12.60 – 15.39 %</t>
        </is>
      </c>
      <c r="Z133" s="243" t="inlineStr">
        <is>
          <t>PUM_THC14 : CBD1</t>
        </is>
      </c>
      <c r="AA133" s="243" t="inlineStr">
        <is>
          <t>QCSP_001_PUM-I_v.01</t>
        </is>
      </c>
      <c r="AB133" s="251"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iCoA-PP_26-140 of 17.08.2026</t>
        </is>
      </c>
      <c r="U134" s="243">
        <f>IFERROR(INDEX('CoQ Register'!$B:$B,MATCH("P060282|I",'CoQ Register'!$S:$S,0)),"— initial certificate not on the register —")</f>
        <v/>
      </c>
      <c r="V134" s="252" t="n">
        <v>19.73</v>
      </c>
      <c r="W134" s="243" t="inlineStr">
        <is>
          <t>220-26-К/26</t>
        </is>
      </c>
      <c r="X134" s="243" t="inlineStr">
        <is>
          <t>18.00 ± 1.80 (II)</t>
        </is>
      </c>
      <c r="Y134" s="243" t="inlineStr">
        <is>
          <t>16.20 – 19.79 %</t>
        </is>
      </c>
      <c r="Z134" s="243" t="inlineStr">
        <is>
          <t>SCR_THC18 : CBD1</t>
        </is>
      </c>
      <c r="AA134" s="243" t="inlineStr">
        <is>
          <t>QCSP_001_SCR-II_v.01</t>
        </is>
      </c>
      <c r="AB134" s="251"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iCoA-PP_26-141 of 17.08.2026</t>
        </is>
      </c>
      <c r="U135" s="243">
        <f>IFERROR(INDEX('CoQ Register'!$B:$B,MATCH("P060082|I",'CoQ Register'!$S:$S,0)),"— initial certificate not on the register —")</f>
        <v/>
      </c>
      <c r="V135" s="252" t="n">
        <v>10.39</v>
      </c>
      <c r="W135" s="243" t="inlineStr">
        <is>
          <t>220-27-К/26</t>
        </is>
      </c>
      <c r="X135" s="243" t="inlineStr">
        <is>
          <t>10.00 ± 1.00 (II)</t>
        </is>
      </c>
      <c r="Y135" s="243" t="inlineStr">
        <is>
          <t>9.00 – 10.99 %</t>
        </is>
      </c>
      <c r="Z135" s="243" t="inlineStr">
        <is>
          <t>SJ_THC10 : CBD1</t>
        </is>
      </c>
      <c r="AA135" s="243" t="inlineStr">
        <is>
          <t>QCSP_001_SJ-II_v.01</t>
        </is>
      </c>
      <c r="AB135" s="251"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iCoA-PP_26-142 of 17.08.2026</t>
        </is>
      </c>
      <c r="U136" s="243">
        <f>IFERROR(INDEX('CoQ Register'!$B:$B,MATCH("P060012|I",'CoQ Register'!$S:$S,0)),"— initial certificate not on the register —")</f>
        <v/>
      </c>
      <c r="V136" s="252" t="n">
        <v>23.48</v>
      </c>
      <c r="W136" s="243" t="inlineStr">
        <is>
          <t>220-28-К/26</t>
        </is>
      </c>
      <c r="X136" s="243" t="inlineStr">
        <is>
          <t>26.00 ± 2.60 (I)</t>
        </is>
      </c>
      <c r="Y136" s="243" t="inlineStr">
        <is>
          <t>23.40 – 28.59 %</t>
        </is>
      </c>
      <c r="Z136" s="243" t="inlineStr">
        <is>
          <t>WC_THC26 : CBD1</t>
        </is>
      </c>
      <c r="AA136" s="243" t="inlineStr">
        <is>
          <t>QCSP_001_WC-I_v.01</t>
        </is>
      </c>
      <c r="AB136" s="251"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n">
        <v>46286</v>
      </c>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3">
        <f>IFERROR(INDEX('CoQ Register'!$B:$B,MATCH("P060052|I",'CoQ Register'!$S:$S,0)),"— initial certificate not on the register —")</f>
        <v/>
      </c>
      <c r="V137" s="252"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n">
        <v>46286</v>
      </c>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3">
        <f>IFERROR(INDEX('CoQ Register'!$B:$B,MATCH("P050122|I",'CoQ Register'!$S:$S,0)),"— initial certificate not on the register —")</f>
        <v/>
      </c>
      <c r="V138" s="252" t="n">
        <v>26.1</v>
      </c>
      <c r="W138" s="243" t="inlineStr">
        <is>
          <t>227-29-К/26</t>
        </is>
      </c>
      <c r="X138" s="243" t="inlineStr">
        <is>
          <t>28.00 ± 1.93 (I)</t>
        </is>
      </c>
      <c r="Y138" s="243" t="inlineStr">
        <is>
          <t>26.07 – 29.92 %</t>
        </is>
      </c>
      <c r="Z138" s="243" t="inlineStr">
        <is>
          <t>BSS_THC28 : CBD1</t>
        </is>
      </c>
      <c r="AA138" s="243" t="inlineStr">
        <is>
          <t>QCSP_001_BSS-I_v.01</t>
        </is>
      </c>
      <c r="AB138" s="251"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n">
        <v>46286</v>
      </c>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3">
        <f>IFERROR(INDEX('CoQ Register'!$B:$B,MATCH("P050142|I",'CoQ Register'!$S:$S,0)),"— initial certificate not on the register —")</f>
        <v/>
      </c>
      <c r="V139" s="252" t="n">
        <v>26.69</v>
      </c>
      <c r="W139" s="243" t="inlineStr">
        <is>
          <t>227-1-К/26</t>
        </is>
      </c>
      <c r="X139" s="243" t="inlineStr">
        <is>
          <t>28.00 ± 1.93 (I)</t>
        </is>
      </c>
      <c r="Y139" s="243" t="inlineStr">
        <is>
          <t>26.07 – 29.92 %</t>
        </is>
      </c>
      <c r="Z139" s="243" t="inlineStr">
        <is>
          <t>BSS_THC28 : CBD1</t>
        </is>
      </c>
      <c r="AA139" s="243" t="inlineStr">
        <is>
          <t>QCSP_001_BSS-I_v.01</t>
        </is>
      </c>
      <c r="AB139" s="251"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n">
        <v>46286</v>
      </c>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3">
        <f>IFERROR(INDEX('CoQ Register'!$B:$B,MATCH("P060272|I",'CoQ Register'!$S:$S,0)),"— initial certificate not on the register —")</f>
        <v/>
      </c>
      <c r="V140" s="252"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n">
        <v>46286</v>
      </c>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3">
        <f>IFERROR(INDEX('CoQ Register'!$B:$B,MATCH("P050172|I",'CoQ Register'!$S:$S,0)),"— initial certificate not on the register —")</f>
        <v/>
      </c>
      <c r="V141" s="252" t="n">
        <v>21.3</v>
      </c>
      <c r="W141" s="243" t="inlineStr">
        <is>
          <t>227-28-К/26</t>
        </is>
      </c>
      <c r="X141" s="243" t="inlineStr">
        <is>
          <t>20.00 ± 1.60 (III)</t>
        </is>
      </c>
      <c r="Y141" s="243" t="inlineStr">
        <is>
          <t>18.40 – 21.59 %</t>
        </is>
      </c>
      <c r="Z141" s="243" t="inlineStr">
        <is>
          <t>CJ_THC20 : CBD1</t>
        </is>
      </c>
      <c r="AA141" s="243" t="inlineStr">
        <is>
          <t>QCSP_001_CJ-III_v.01</t>
        </is>
      </c>
      <c r="AB141" s="251"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n">
        <v>46286</v>
      </c>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3">
        <f>IFERROR(INDEX('CoQ Register'!$B:$B,MATCH("P050252|I",'CoQ Register'!$S:$S,0)),"— initial certificate not on the register —")</f>
        <v/>
      </c>
      <c r="V142" s="252" t="n">
        <v>28.18</v>
      </c>
      <c r="W142" s="243" t="inlineStr">
        <is>
          <t>227-27-К/26</t>
        </is>
      </c>
      <c r="X142" s="243" t="inlineStr">
        <is>
          <t>28.00 ± 1.60 (I)</t>
        </is>
      </c>
      <c r="Y142" s="243" t="inlineStr">
        <is>
          <t>26.40 – 29.59 %</t>
        </is>
      </c>
      <c r="Z142" s="243" t="inlineStr">
        <is>
          <t>CJ_THC28 : CBD1</t>
        </is>
      </c>
      <c r="AA142" s="243" t="inlineStr">
        <is>
          <t>QCSP_001_CJ-I_v.01</t>
        </is>
      </c>
      <c r="AB142" s="251"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n">
        <v>46286</v>
      </c>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3">
        <f>IFERROR(INDEX('CoQ Register'!$B:$B,MATCH("CJ1024|I",'CoQ Register'!$S:$S,0)),"— initial certificate not on the register —")</f>
        <v/>
      </c>
      <c r="V143" s="252" t="n">
        <v>28.12</v>
      </c>
      <c r="W143" s="243" t="inlineStr">
        <is>
          <t>227-26-К/26</t>
        </is>
      </c>
      <c r="X143" s="243" t="inlineStr">
        <is>
          <t>28.00 ± 1.60 (I)</t>
        </is>
      </c>
      <c r="Y143" s="243" t="inlineStr">
        <is>
          <t>26.40 – 29.59 %</t>
        </is>
      </c>
      <c r="Z143" s="243" t="inlineStr">
        <is>
          <t>CJ_THC28 : CBD1</t>
        </is>
      </c>
      <c r="AA143" s="243" t="inlineStr">
        <is>
          <t>QCSP_001_CJ-I_v.01</t>
        </is>
      </c>
      <c r="AB143" s="251"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n">
        <v>46286</v>
      </c>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3">
        <f>IFERROR(INDEX('CoQ Register'!$B:$B,MATCH("P060432|I",'CoQ Register'!$S:$S,0)),"— initial certificate not on the register —")</f>
        <v/>
      </c>
      <c r="V144" s="252"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n">
        <v>46286</v>
      </c>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3">
        <f>IFERROR(INDEX('CoQ Register'!$B:$B,MATCH("P060392|I",'CoQ Register'!$S:$S,0)),"— initial certificate not on the register —")</f>
        <v/>
      </c>
      <c r="V145" s="252" t="n">
        <v>19.31</v>
      </c>
      <c r="W145" s="243" t="inlineStr">
        <is>
          <t>227-23-К/26</t>
        </is>
      </c>
      <c r="X145" s="243" t="inlineStr">
        <is>
          <t>18.00 ± 1.80 (II)</t>
        </is>
      </c>
      <c r="Y145" s="243" t="inlineStr">
        <is>
          <t>16.20 – 19.79 %</t>
        </is>
      </c>
      <c r="Z145" s="243" t="inlineStr">
        <is>
          <t>FB_THC18 : CBD1</t>
        </is>
      </c>
      <c r="AA145" s="243" t="inlineStr">
        <is>
          <t>QCSP_001_FB-II_v.01</t>
        </is>
      </c>
      <c r="AB145" s="251"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n">
        <v>46286</v>
      </c>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3">
        <f>IFERROR(INDEX('CoQ Register'!$B:$B,MATCH("P060292|I",'CoQ Register'!$S:$S,0)),"— initial certificate not on the register —")</f>
        <v/>
      </c>
      <c r="V146" s="252" t="n">
        <v>18.75</v>
      </c>
      <c r="W146" s="243" t="inlineStr">
        <is>
          <t>227-22-К/26</t>
        </is>
      </c>
      <c r="X146" s="243" t="inlineStr">
        <is>
          <t>18.00 ± 1.80 (II)</t>
        </is>
      </c>
      <c r="Y146" s="243" t="inlineStr">
        <is>
          <t>16.20 – 19.79 %</t>
        </is>
      </c>
      <c r="Z146" s="243" t="inlineStr">
        <is>
          <t>FB_THC18 : CBD1</t>
        </is>
      </c>
      <c r="AA146" s="243" t="inlineStr">
        <is>
          <t>QCSP_001_FB-II_v.01</t>
        </is>
      </c>
      <c r="AB146" s="251"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n">
        <v>46286</v>
      </c>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3">
        <f>IFERROR(INDEX('CoQ Register'!$B:$B,MATCH("P060302|I",'CoQ Register'!$S:$S,0)),"— initial certificate not on the register —")</f>
        <v/>
      </c>
      <c r="V147" s="252" t="n">
        <v>19.16</v>
      </c>
      <c r="W147" s="243" t="inlineStr">
        <is>
          <t>227-21-К/26</t>
        </is>
      </c>
      <c r="X147" s="243" t="inlineStr">
        <is>
          <t>18.00 ± 1.77 (I)</t>
        </is>
      </c>
      <c r="Y147" s="243" t="inlineStr">
        <is>
          <t>16.23 – 19.76 %</t>
        </is>
      </c>
      <c r="Z147" s="243" t="inlineStr">
        <is>
          <t>GG_THC18 : CBD1</t>
        </is>
      </c>
      <c r="AA147" s="243" t="inlineStr">
        <is>
          <t>QCSP_001_GG-I_v.01</t>
        </is>
      </c>
      <c r="AB147" s="251"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n">
        <v>46286</v>
      </c>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3">
        <f>IFERROR(INDEX('CoQ Register'!$B:$B,MATCH("P050012|I",'CoQ Register'!$S:$S,0)),"— initial certificate not on the register —")</f>
        <v/>
      </c>
      <c r="V148" s="252" t="n">
        <v>17.76</v>
      </c>
      <c r="W148" s="243" t="inlineStr">
        <is>
          <t>227-19-К/26</t>
        </is>
      </c>
      <c r="X148" s="243" t="inlineStr">
        <is>
          <t>18.00 ± 1.77 (I)</t>
        </is>
      </c>
      <c r="Y148" s="243" t="inlineStr">
        <is>
          <t>16.23 – 19.76 %</t>
        </is>
      </c>
      <c r="Z148" s="243" t="inlineStr">
        <is>
          <t>GG_THC18 : CBD1</t>
        </is>
      </c>
      <c r="AA148" s="243" t="inlineStr">
        <is>
          <t>QCSP_001_GG-I_v.01</t>
        </is>
      </c>
      <c r="AB148" s="251"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n">
        <v>46286</v>
      </c>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3">
        <f>IFERROR(INDEX('CoQ Register'!$B:$B,MATCH("P060252|I",'CoQ Register'!$S:$S,0)),"— initial certificate not on the register —")</f>
        <v/>
      </c>
      <c r="V149" s="252" t="n">
        <v>18.64</v>
      </c>
      <c r="W149" s="243" t="inlineStr">
        <is>
          <t>227-20-К/26</t>
        </is>
      </c>
      <c r="X149" s="243" t="inlineStr">
        <is>
          <t>18.00 ± 1.77 (I)</t>
        </is>
      </c>
      <c r="Y149" s="243" t="inlineStr">
        <is>
          <t>16.23 – 19.76 %</t>
        </is>
      </c>
      <c r="Z149" s="243" t="inlineStr">
        <is>
          <t>GG_THC18 : CBD1</t>
        </is>
      </c>
      <c r="AA149" s="243" t="inlineStr">
        <is>
          <t>QCSP_001_GG-I_v.01</t>
        </is>
      </c>
      <c r="AB149" s="251"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n">
        <v>46286</v>
      </c>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3">
        <f>IFERROR(INDEX('CoQ Register'!$B:$B,MATCH("P050202|I",'CoQ Register'!$S:$S,0)),"— initial certificate not on the register —")</f>
        <v/>
      </c>
      <c r="V150" s="252" t="n">
        <v>25.97</v>
      </c>
      <c r="W150" s="243" t="inlineStr">
        <is>
          <t>227-18-К/26</t>
        </is>
      </c>
      <c r="X150" s="243" t="inlineStr">
        <is>
          <t>24.00 ± 2.00 (II)</t>
        </is>
      </c>
      <c r="Y150" s="243" t="inlineStr">
        <is>
          <t>22.00 – 25.99 %</t>
        </is>
      </c>
      <c r="Z150" s="243" t="inlineStr">
        <is>
          <t>GP_THC24 : CBD1</t>
        </is>
      </c>
      <c r="AA150" s="243" t="inlineStr">
        <is>
          <t>QCSP_001_GP-II_v.01</t>
        </is>
      </c>
      <c r="AB150" s="251"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n">
        <v>46286</v>
      </c>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3">
        <f>IFERROR(INDEX('CoQ Register'!$B:$B,MATCH("P050292|I",'CoQ Register'!$S:$S,0)),"— initial certificate not on the register —")</f>
        <v/>
      </c>
      <c r="V151" s="252" t="n">
        <v>26.54</v>
      </c>
      <c r="W151" s="243" t="inlineStr">
        <is>
          <t>227-17-К/26</t>
        </is>
      </c>
      <c r="X151" s="243" t="inlineStr">
        <is>
          <t>28.00 ± 2.00 (I)</t>
        </is>
      </c>
      <c r="Y151" s="243" t="inlineStr">
        <is>
          <t>26.00 – 29.99 %</t>
        </is>
      </c>
      <c r="Z151" s="243" t="inlineStr">
        <is>
          <t>GP_THC28 : CBD1</t>
        </is>
      </c>
      <c r="AA151" s="243" t="inlineStr">
        <is>
          <t>QCSP_001_GP-I_v.01</t>
        </is>
      </c>
      <c r="AB151" s="251"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n">
        <v>46286</v>
      </c>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3">
        <f>IFERROR(INDEX('CoQ Register'!$B:$B,MATCH("P050102|I",'CoQ Register'!$S:$S,0)),"— initial certificate not on the register —")</f>
        <v/>
      </c>
      <c r="V152" s="252" t="n">
        <v>28.68</v>
      </c>
      <c r="W152" s="243" t="inlineStr">
        <is>
          <t>227-2-К/26</t>
        </is>
      </c>
      <c r="X152" s="243" t="inlineStr">
        <is>
          <t>28.00 ± 2.00 (I)</t>
        </is>
      </c>
      <c r="Y152" s="243" t="inlineStr">
        <is>
          <t>26.00 – 29.99 %</t>
        </is>
      </c>
      <c r="Z152" s="243" t="inlineStr">
        <is>
          <t>GP_THC28 : CBD1</t>
        </is>
      </c>
      <c r="AA152" s="243" t="inlineStr">
        <is>
          <t>QCSP_001_GP-I_v.01</t>
        </is>
      </c>
      <c r="AB152" s="251"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n">
        <v>46286</v>
      </c>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3">
        <f>IFERROR(INDEX('CoQ Register'!$B:$B,MATCH("P060142|I",'CoQ Register'!$S:$S,0)),"— initial certificate not on the register —")</f>
        <v/>
      </c>
      <c r="V153" s="252"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n">
        <v>46286</v>
      </c>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3">
        <f>IFERROR(INDEX('CoQ Register'!$B:$B,MATCH("P060202|I",'CoQ Register'!$S:$S,0)),"— initial certificate not on the register —")</f>
        <v/>
      </c>
      <c r="V154" s="252" t="n">
        <v>23.85</v>
      </c>
      <c r="W154" s="243" t="inlineStr">
        <is>
          <t>227-14-К/26</t>
        </is>
      </c>
      <c r="X154" s="243" t="inlineStr">
        <is>
          <t>22.00 ± 2.20 (II)</t>
        </is>
      </c>
      <c r="Y154" s="243" t="inlineStr">
        <is>
          <t>19.80 – 24.19 %</t>
        </is>
      </c>
      <c r="Z154" s="243" t="inlineStr">
        <is>
          <t>J31_THC22 : CBD1</t>
        </is>
      </c>
      <c r="AA154" s="243" t="inlineStr">
        <is>
          <t>QCSP_001_J31-II_v.01</t>
        </is>
      </c>
      <c r="AB154" s="251"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n">
        <v>46286</v>
      </c>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3">
        <f>IFERROR(INDEX('CoQ Register'!$B:$B,MATCH("P060262|I",'CoQ Register'!$S:$S,0)),"— initial certificate not on the register —")</f>
        <v/>
      </c>
      <c r="V155" s="252"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n">
        <v>46286</v>
      </c>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3">
        <f>IFERROR(INDEX('CoQ Register'!$B:$B,MATCH("P060312|I",'CoQ Register'!$S:$S,0)),"— initial certificate not on the register —")</f>
        <v/>
      </c>
      <c r="V156" s="252" t="n">
        <v>19.99</v>
      </c>
      <c r="W156" s="243" t="inlineStr">
        <is>
          <t>227-15-К/26</t>
        </is>
      </c>
      <c r="X156" s="243" t="inlineStr">
        <is>
          <t>22.00 ± 2.20 (I)</t>
        </is>
      </c>
      <c r="Y156" s="243" t="inlineStr">
        <is>
          <t>19.80 – 24.19 %</t>
        </is>
      </c>
      <c r="Z156" s="243" t="inlineStr">
        <is>
          <t>JD_THC22 : CBD1</t>
        </is>
      </c>
      <c r="AA156" s="243" t="inlineStr">
        <is>
          <t>QCSP_001_JD-I_v.01</t>
        </is>
      </c>
      <c r="AB156" s="251"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n">
        <v>46286</v>
      </c>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3">
        <f>IFERROR(INDEX('CoQ Register'!$B:$B,MATCH("P050032|I",'CoQ Register'!$S:$S,0)),"— initial certificate not on the register —")</f>
        <v/>
      </c>
      <c r="V157" s="252" t="n">
        <v>17.57</v>
      </c>
      <c r="W157" s="243" t="inlineStr">
        <is>
          <t>227-12-К/26</t>
        </is>
      </c>
      <c r="X157" s="243" t="inlineStr">
        <is>
          <t>18.00 ± 1.80 (I)</t>
        </is>
      </c>
      <c r="Y157" s="243" t="inlineStr">
        <is>
          <t>16.20 – 19.79 %</t>
        </is>
      </c>
      <c r="Z157" s="243" t="inlineStr">
        <is>
          <t>MB_THC18 : CBD1</t>
        </is>
      </c>
      <c r="AA157" s="243" t="inlineStr">
        <is>
          <t>QCSP_001_MB-I_v.01</t>
        </is>
      </c>
      <c r="AB157" s="251"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n">
        <v>46286</v>
      </c>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3">
        <f>IFERROR(INDEX('CoQ Register'!$B:$B,MATCH("P050132|I",'CoQ Register'!$S:$S,0)),"— initial certificate not on the register —")</f>
        <v/>
      </c>
      <c r="V158" s="252" t="n">
        <v>17.83</v>
      </c>
      <c r="W158" s="243" t="inlineStr">
        <is>
          <t>227-11-К/26</t>
        </is>
      </c>
      <c r="X158" s="243" t="inlineStr">
        <is>
          <t>17.00 ± 1.60 (II)</t>
        </is>
      </c>
      <c r="Y158" s="243" t="inlineStr">
        <is>
          <t>15.40 – 18.59 %</t>
        </is>
      </c>
      <c r="Z158" s="243" t="inlineStr">
        <is>
          <t>OPM_THC17 : CBD1</t>
        </is>
      </c>
      <c r="AA158" s="243" t="inlineStr">
        <is>
          <t>QCSP_001_OPM-II_v.01</t>
        </is>
      </c>
      <c r="AB158" s="251"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n">
        <v>46286</v>
      </c>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3">
        <f>IFERROR(INDEX('CoQ Register'!$B:$B,MATCH("P060222|I",'CoQ Register'!$S:$S,0)),"— initial certificate not on the register —")</f>
        <v/>
      </c>
      <c r="V159" s="252" t="n">
        <v>9.73</v>
      </c>
      <c r="W159" s="243" t="inlineStr">
        <is>
          <t>227-10-К/26</t>
        </is>
      </c>
      <c r="X159" s="243" t="inlineStr">
        <is>
          <t>10.00 ± 1.00 (IV)</t>
        </is>
      </c>
      <c r="Y159" s="243" t="inlineStr">
        <is>
          <t>9.00 – 10.99 %</t>
        </is>
      </c>
      <c r="Z159" s="243" t="inlineStr">
        <is>
          <t>OPM_THC10 : CBD1</t>
        </is>
      </c>
      <c r="AA159" s="243" t="inlineStr">
        <is>
          <t>QCSP_001_OPM-IV_v.01</t>
        </is>
      </c>
      <c r="AB159" s="251"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n">
        <v>46286</v>
      </c>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3">
        <f>IFERROR(INDEX('CoQ Register'!$B:$B,MATCH("P050272|I",'CoQ Register'!$S:$S,0)),"— initial certificate not on the register —")</f>
        <v/>
      </c>
      <c r="V160" s="252" t="n">
        <v>12.77</v>
      </c>
      <c r="W160" s="243" t="inlineStr">
        <is>
          <t>227-9-К/26</t>
        </is>
      </c>
      <c r="X160" s="243" t="inlineStr">
        <is>
          <t>12.00 ± 1.00 (II)</t>
        </is>
      </c>
      <c r="Y160" s="243" t="inlineStr">
        <is>
          <t>11.00 – 12.99 %</t>
        </is>
      </c>
      <c r="Z160" s="243" t="inlineStr">
        <is>
          <t>PM_THC12 : CBD1</t>
        </is>
      </c>
      <c r="AA160" s="243" t="inlineStr">
        <is>
          <t>QCSP_001_PM-II_v.01</t>
        </is>
      </c>
      <c r="AB160" s="251"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n">
        <v>46286</v>
      </c>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3">
        <f>IFERROR(INDEX('CoQ Register'!$B:$B,MATCH("P060342|I",'CoQ Register'!$S:$S,0)),"— initial certificate not on the register —")</f>
        <v/>
      </c>
      <c r="V161" s="252"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n">
        <v>46286</v>
      </c>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3">
        <f>IFERROR(INDEX('CoQ Register'!$B:$B,MATCH("P060442|I",'CoQ Register'!$S:$S,0)),"— initial certificate not on the register —")</f>
        <v/>
      </c>
      <c r="V162" s="252" t="n">
        <v>16.68</v>
      </c>
      <c r="W162" s="243" t="inlineStr">
        <is>
          <t>227-7-К/26</t>
        </is>
      </c>
      <c r="X162" s="243" t="inlineStr">
        <is>
          <t>18.00 ± 1.80 (II)</t>
        </is>
      </c>
      <c r="Y162" s="243" t="inlineStr">
        <is>
          <t>16.20 – 19.79 %</t>
        </is>
      </c>
      <c r="Z162" s="243" t="inlineStr">
        <is>
          <t>SCR_THC18 : CBD1</t>
        </is>
      </c>
      <c r="AA162" s="243" t="inlineStr">
        <is>
          <t>QCSP_001_SCR-II_v.01</t>
        </is>
      </c>
      <c r="AB162" s="251"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n">
        <v>46286</v>
      </c>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3">
        <f>IFERROR(INDEX('CoQ Register'!$B:$B,MATCH("P060162|I",'CoQ Register'!$S:$S,0)),"— initial certificate not on the register —")</f>
        <v/>
      </c>
      <c r="V163" s="252" t="n">
        <v>10.61</v>
      </c>
      <c r="W163" s="243" t="inlineStr">
        <is>
          <t>227-6-К/26</t>
        </is>
      </c>
      <c r="X163" s="243" t="inlineStr">
        <is>
          <t>10.00 ± 1.00 (II)</t>
        </is>
      </c>
      <c r="Y163" s="243" t="inlineStr">
        <is>
          <t>9.00 – 10.99 %</t>
        </is>
      </c>
      <c r="Z163" s="243" t="inlineStr">
        <is>
          <t>SJ_THC10 : CBD1</t>
        </is>
      </c>
      <c r="AA163" s="243" t="inlineStr">
        <is>
          <t>QCSP_001_SJ-II_v.01</t>
        </is>
      </c>
      <c r="AB163" s="251"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n">
        <v>46286</v>
      </c>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iCoA-PP_26-150 of 24.08.2026</t>
        </is>
      </c>
      <c r="U164" s="243">
        <f>IFERROR(INDEX('CoQ Register'!$B:$B,MATCH("P060192|I",'CoQ Register'!$S:$S,0)),"— initial certificate not on the register —")</f>
        <v/>
      </c>
      <c r="V164" s="252"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n">
        <v>46286</v>
      </c>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3">
        <f>IFERROR(INDEX('CoQ Register'!$B:$B,MATCH("P050262|I",'CoQ Register'!$S:$S,0)),"— initial certificate not on the register —")</f>
        <v/>
      </c>
      <c r="V165" s="252" t="n">
        <v>25.37</v>
      </c>
      <c r="W165" s="243" t="inlineStr">
        <is>
          <t>227-3-К/26</t>
        </is>
      </c>
      <c r="X165" s="243" t="inlineStr">
        <is>
          <t>26.00 ± 2.60 (I)</t>
        </is>
      </c>
      <c r="Y165" s="243" t="inlineStr">
        <is>
          <t>23.40 – 28.59 %</t>
        </is>
      </c>
      <c r="Z165" s="243" t="inlineStr">
        <is>
          <t>WC_THC26 : CBD1</t>
        </is>
      </c>
      <c r="AA165" s="243" t="inlineStr">
        <is>
          <t>QCSP_001_WC-I_v.01</t>
        </is>
      </c>
      <c r="AB165" s="251"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n">
        <v>46286</v>
      </c>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3">
        <f>IFERROR(INDEX('CoQ Register'!$B:$B,MATCH("P060102|I",'CoQ Register'!$S:$S,0)),"— initial certificate not on the register —")</f>
        <v/>
      </c>
      <c r="V166" s="252"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1"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1"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2" t="n">
        <v>26.32</v>
      </c>
      <c r="W169" s="243" t="inlineStr">
        <is>
          <t>ППК26117</t>
        </is>
      </c>
      <c r="X169" s="243" t="inlineStr">
        <is>
          <t>—</t>
        </is>
      </c>
      <c r="Y169" s="243" t="inlineStr">
        <is>
          <t>—</t>
        </is>
      </c>
      <c r="Z169" s="243" t="inlineStr">
        <is>
          <t>—</t>
        </is>
      </c>
      <c r="AA169" s="243" t="inlineStr">
        <is>
          <t>—</t>
        </is>
      </c>
      <c r="AB169" s="246" t="inlineStr">
        <is>
          <t>—</t>
        </is>
      </c>
      <c r="AC169" s="251"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2" t="n">
        <v>25.72</v>
      </c>
      <c r="W170" s="243" t="inlineStr">
        <is>
          <t>ППК26118</t>
        </is>
      </c>
      <c r="X170" s="243" t="inlineStr">
        <is>
          <t>—</t>
        </is>
      </c>
      <c r="Y170" s="243" t="inlineStr">
        <is>
          <t>—</t>
        </is>
      </c>
      <c r="Z170" s="243" t="inlineStr">
        <is>
          <t>—</t>
        </is>
      </c>
      <c r="AA170" s="243" t="inlineStr">
        <is>
          <t>—</t>
        </is>
      </c>
      <c r="AB170" s="246" t="inlineStr">
        <is>
          <t>—</t>
        </is>
      </c>
      <c r="AC170" s="251"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2" t="n">
        <v>24.78</v>
      </c>
      <c r="W171" s="243" t="inlineStr">
        <is>
          <t>ППК26119</t>
        </is>
      </c>
      <c r="X171" s="243" t="inlineStr">
        <is>
          <t>—</t>
        </is>
      </c>
      <c r="Y171" s="243" t="inlineStr">
        <is>
          <t>—</t>
        </is>
      </c>
      <c r="Z171" s="243" t="inlineStr">
        <is>
          <t>—</t>
        </is>
      </c>
      <c r="AA171" s="243" t="inlineStr">
        <is>
          <t>—</t>
        </is>
      </c>
      <c r="AB171" s="246" t="inlineStr">
        <is>
          <t>—</t>
        </is>
      </c>
      <c r="AC171" s="251"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2" t="n">
        <v>14.9</v>
      </c>
      <c r="W172" s="243" t="inlineStr">
        <is>
          <t>220-32-К/26</t>
        </is>
      </c>
      <c r="X172" s="243" t="inlineStr">
        <is>
          <t>14.00 ± 1.35 (II)</t>
        </is>
      </c>
      <c r="Y172" s="243" t="inlineStr">
        <is>
          <t>12.65 – 15.34 %</t>
        </is>
      </c>
      <c r="Z172" s="243" t="inlineStr">
        <is>
          <t>CC_THC14 : CBD1</t>
        </is>
      </c>
      <c r="AA172" s="243" t="inlineStr">
        <is>
          <t>QCSP_001_CC-II_v.01</t>
        </is>
      </c>
      <c r="AB172" s="251"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2" t="n">
        <v>14.99</v>
      </c>
      <c r="W173" s="243" t="inlineStr">
        <is>
          <t>220-31-К/26</t>
        </is>
      </c>
      <c r="X173" s="243" t="inlineStr">
        <is>
          <t>15.00 ± 1.20 (III)</t>
        </is>
      </c>
      <c r="Y173" s="243" t="inlineStr">
        <is>
          <t>13.80 – 16.19 %</t>
        </is>
      </c>
      <c r="Z173" s="243" t="inlineStr">
        <is>
          <t>FB_THC15 : CBD1</t>
        </is>
      </c>
      <c r="AA173" s="243" t="inlineStr">
        <is>
          <t>QCSP_001_FB-III_v.01</t>
        </is>
      </c>
      <c r="AB173" s="251"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iCoA-PP_26-007 03.06.26 PP*</t>
        </is>
      </c>
      <c r="H8" s="256" t="inlineStr">
        <is>
          <t>iCoA-PP_26-007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iCoA-PP_26-007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iCoA-PP_26-008 03.06.26 PP*</t>
        </is>
      </c>
      <c r="H9" s="256" t="inlineStr">
        <is>
          <t>iCoA-PP_26-008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iCoA-PP_26-008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iCoA-PP_26-009 03.06.26 PP*</t>
        </is>
      </c>
      <c r="H10" s="256" t="inlineStr">
        <is>
          <t>iCoA-PP_26-009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iCoA-PP_26-009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iCoA-PP_26-080 03.06.26 PP*</t>
        </is>
      </c>
      <c r="H11" s="256" t="inlineStr">
        <is>
          <t>iCoA-PP_26-080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iCoA-PP_26-080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iCoA-PP_26-010 03.06.26 PP*</t>
        </is>
      </c>
      <c r="H12" s="256" t="inlineStr">
        <is>
          <t>iCoA-PP_26-010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iCoA-PP_26-010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iCoA-PP_26-011 03.06.26 PP*</t>
        </is>
      </c>
      <c r="H13" s="256" t="inlineStr">
        <is>
          <t>iCoA-PP_26-011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iCoA-PP_26-011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iCoA-PP_26-012 03.06.26 PP*</t>
        </is>
      </c>
      <c r="H14" s="256" t="inlineStr">
        <is>
          <t>iCoA-PP_26-012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iCoA-PP_26-012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iCoA-PP_26-013 03.06.26 PP*</t>
        </is>
      </c>
      <c r="H15" s="256" t="inlineStr">
        <is>
          <t>iCoA-PP_26-013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iCoA-PP_26-013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iCoA-PP_26-014 03.06.26 PP*</t>
        </is>
      </c>
      <c r="H16" s="256" t="inlineStr">
        <is>
          <t>iCoA-PP_26-014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iCoA-PP_26-014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iCoA-PP_26-015 03.06.26 PP*</t>
        </is>
      </c>
      <c r="H17" s="256" t="inlineStr">
        <is>
          <t>iCoA-PP_26-015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iCoA-PP_26-015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iCoA-PP_26-016 03.06.26 PP*</t>
        </is>
      </c>
      <c r="H18" s="256" t="inlineStr">
        <is>
          <t>iCoA-PP_26-016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iCoA-PP_26-016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iCoA-PP_26-077 03.06.26 PP*</t>
        </is>
      </c>
      <c r="H19" s="256" t="inlineStr">
        <is>
          <t>iCoA-PP_26-077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iCoA-PP_26-077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iCoA-PP_26-017 03.06.26 PP*</t>
        </is>
      </c>
      <c r="H20" s="256" t="inlineStr">
        <is>
          <t>iCoA-PP_26-017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iCoA-PP_26-017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iCoA-PP_26-018 03.06.26 PP*</t>
        </is>
      </c>
      <c r="H21" s="256" t="inlineStr">
        <is>
          <t>iCoA-PP_26-018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iCoA-PP_26-018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iCoA-PP_26-019 03.06.26 PP*</t>
        </is>
      </c>
      <c r="H22" s="256" t="inlineStr">
        <is>
          <t>iCoA-PP_26-019 03.06.26 PP*</t>
        </is>
      </c>
      <c r="I22" s="256" t="inlineStr">
        <is>
          <t>to be performed</t>
        </is>
      </c>
      <c r="J22" s="257" t="inlineStr">
        <is>
          <t>n/t</t>
        </is>
      </c>
      <c r="K22" s="257" t="inlineStr">
        <is>
          <t>n/t</t>
        </is>
      </c>
      <c r="L22" s="257" t="inlineStr">
        <is>
          <t>n/t</t>
        </is>
      </c>
      <c r="M22" s="256" t="inlineStr">
        <is>
          <t>iCoA-PP_26-019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iCoA-PP_26-020 03.06.26 PP*</t>
        </is>
      </c>
      <c r="H23" s="256" t="inlineStr">
        <is>
          <t>iCoA-PP_26-020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iCoA-PP_26-020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iCoA-PP_26-021 03.06.26 PP*</t>
        </is>
      </c>
      <c r="H24" s="256" t="inlineStr">
        <is>
          <t>iCoA-PP_26-021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iCoA-PP_26-021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iCoA-PP_26-022 03.06.26 PP*</t>
        </is>
      </c>
      <c r="H25" s="256" t="inlineStr">
        <is>
          <t>iCoA-PP_26-022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iCoA-PP_26-022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iCoA-PP_26-023 03.06.26 PP*</t>
        </is>
      </c>
      <c r="H26" s="256" t="inlineStr">
        <is>
          <t>iCoA-PP_26-023 03.06.26 PP*</t>
        </is>
      </c>
      <c r="I26" s="257" t="inlineStr">
        <is>
          <t>n/t</t>
        </is>
      </c>
      <c r="J26" s="256" t="inlineStr">
        <is>
          <t>iCoA-PP_26-023 03.06.26 PP; also 220-2-К/26</t>
        </is>
      </c>
      <c r="K26" s="256" t="inlineStr">
        <is>
          <t>iCoA-PP_26-023 03.06.26 PP; also 220-2-К/26</t>
        </is>
      </c>
      <c r="L26" s="257" t="inlineStr">
        <is>
          <t>n/t</t>
        </is>
      </c>
      <c r="M26" s="256" t="inlineStr">
        <is>
          <t>iCoA-PP_26-023 03.06.26 PP*</t>
        </is>
      </c>
      <c r="N26" s="256" t="inlineStr">
        <is>
          <t>iCoA-PP_26-023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iCoA-PP_26-024 03.06.26 PP*</t>
        </is>
      </c>
      <c r="H27" s="256" t="inlineStr">
        <is>
          <t>iCoA-PP_26-024 03.06.26 PP*</t>
        </is>
      </c>
      <c r="I27" s="257" t="inlineStr">
        <is>
          <t>n/t</t>
        </is>
      </c>
      <c r="J27" s="256" t="inlineStr">
        <is>
          <t>iCoA-PP_26-024 03.06.26 PP; also 227-18-К/26</t>
        </is>
      </c>
      <c r="K27" s="256" t="inlineStr">
        <is>
          <t>iCoA-PP_26-024 03.06.26 PP; also 227-18-К/26</t>
        </is>
      </c>
      <c r="L27" s="257" t="inlineStr">
        <is>
          <t>n/t</t>
        </is>
      </c>
      <c r="M27" s="256" t="inlineStr">
        <is>
          <t>iCoA-PP_26-024 03.06.26 PP*</t>
        </is>
      </c>
      <c r="N27" s="256" t="inlineStr">
        <is>
          <t>iCoA-PP_26-024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iCoA-PP_26-025 03.06.26 PP*</t>
        </is>
      </c>
      <c r="H28" s="256" t="inlineStr">
        <is>
          <t>iCoA-PP_26-025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iCoA-PP_26-025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iCoA-PP_26-026 03.06.26 PP*</t>
        </is>
      </c>
      <c r="H29" s="256" t="inlineStr">
        <is>
          <t>iCoA-PP_26-026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iCoA-PP_26-026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iCoA-PP_26-027 03.06.26 PP*</t>
        </is>
      </c>
      <c r="H30" s="256" t="inlineStr">
        <is>
          <t>iCoA-PP_26-027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iCoA-PP_26-027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iCoA-PP_26-028 03.06.26 PP*</t>
        </is>
      </c>
      <c r="H31" s="256" t="inlineStr">
        <is>
          <t>iCoA-PP_26-028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iCoA-PP_26-028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iCoA-PP_26-029 03.06.26 PP</t>
        </is>
      </c>
      <c r="H32" s="256" t="inlineStr">
        <is>
          <t>iCoA-PP_26-029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iCoA-PP_26-029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iCoA-PP_26-030 03.06.26 PP*</t>
        </is>
      </c>
      <c r="H33" s="256" t="inlineStr">
        <is>
          <t>iCoA-PP_26-030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iCoA-PP_26-030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iCoA-PP_26-031 03.06.26 PP*</t>
        </is>
      </c>
      <c r="H34" s="256" t="inlineStr">
        <is>
          <t>iCoA-PP_26-031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iCoA-PP_26-031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iCoA-PP_26-032 03.06.26 PP*</t>
        </is>
      </c>
      <c r="H35" s="256" t="inlineStr">
        <is>
          <t>iCoA-PP_26-032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iCoA-PP_26-032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iCoA-PP_26-033 03.06.26 PP*</t>
        </is>
      </c>
      <c r="H36" s="256" t="inlineStr">
        <is>
          <t>iCoA-PP_26-033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iCoA-PP_26-033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iCoA-PP_26-034 03.06.26 PP*</t>
        </is>
      </c>
      <c r="H37" s="256" t="inlineStr">
        <is>
          <t>iCoA-PP_26-034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iCoA-PP_26-034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iCoA-PP_26-035 03.06.26 PP*</t>
        </is>
      </c>
      <c r="H38" s="256" t="inlineStr">
        <is>
          <t>iCoA-PP_26-035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iCoA-PP_26-035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iCoA-PP_26-036 03.06.26 PP*</t>
        </is>
      </c>
      <c r="H39" s="256" t="inlineStr">
        <is>
          <t>iCoA-PP_26-036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iCoA-PP_26-036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iCoA-PP_26-037 03.06.26 PP*</t>
        </is>
      </c>
      <c r="H40" s="256" t="inlineStr">
        <is>
          <t>iCoA-PP_26-037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iCoA-PP_26-037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iCoA-PP_26-038 03.06.26 PP*</t>
        </is>
      </c>
      <c r="H41" s="256" t="inlineStr">
        <is>
          <t>iCoA-PP_26-038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iCoA-PP_26-038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iCoA-PP_26-039 03.06.26 PP*</t>
        </is>
      </c>
      <c r="H42" s="256" t="inlineStr">
        <is>
          <t>iCoA-PP_26-039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iCoA-PP_26-039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iCoA-PP_26-040 03.06.26 PP*</t>
        </is>
      </c>
      <c r="H43" s="256" t="inlineStr">
        <is>
          <t>iCoA-PP_26-040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iCoA-PP_26-040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iCoA-PP_26-041 03.06.26 PP*</t>
        </is>
      </c>
      <c r="H44" s="256" t="inlineStr">
        <is>
          <t>iCoA-PP_26-041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iCoA-PP_26-041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iCoA-PP_26-042 03.06.26 PP*</t>
        </is>
      </c>
      <c r="H45" s="256" t="inlineStr">
        <is>
          <t>iCoA-PP_26-042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iCoA-PP_26-042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iCoA-PP_26-043 03.06.26 PP*</t>
        </is>
      </c>
      <c r="H46" s="256" t="inlineStr">
        <is>
          <t>iCoA-PP_26-043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iCoA-PP_26-043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 329/2026 —</t>
        </is>
      </c>
      <c r="G47" s="256" t="inlineStr">
        <is>
          <t>iCoA-PP_26-044 03.06.26 PP*</t>
        </is>
      </c>
      <c r="H47" s="256" t="inlineStr">
        <is>
          <t>iCoA-PP_26-044 03.06.26 PP*</t>
        </is>
      </c>
      <c r="I47" s="256" t="inlineStr">
        <is>
          <t>to be performed</t>
        </is>
      </c>
      <c r="J47" s="257" t="inlineStr">
        <is>
          <t>n/t</t>
        </is>
      </c>
      <c r="K47" s="257" t="inlineStr">
        <is>
          <t>n/t</t>
        </is>
      </c>
      <c r="L47" s="257" t="inlineStr">
        <is>
          <t>n/t</t>
        </is>
      </c>
      <c r="M47" s="256" t="inlineStr">
        <is>
          <t>iCoA-PP_26-044 03.06.26 PP*</t>
        </is>
      </c>
      <c r="N47" s="256" t="inlineStr">
        <is>
          <t>031-3-ГС/26 12.02.26 FHM</t>
        </is>
      </c>
      <c r="O47" s="257" t="inlineStr">
        <is>
          <t>n/t</t>
        </is>
      </c>
      <c r="P47" s="257" t="inlineStr">
        <is>
          <t>329/2026 11.02.26 IJZ; n/t 10.1,10.3</t>
        </is>
      </c>
      <c r="Q47" s="256" t="inlineStr">
        <is>
          <t>329/2026 11.02.26 IJZ</t>
        </is>
      </c>
      <c r="R47" s="256" t="inlineStr">
        <is>
          <t>329/2026 11.02.26 IJZ</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iCoA-PP_26-045 03.06.26 PP*</t>
        </is>
      </c>
      <c r="H48" s="256" t="inlineStr">
        <is>
          <t>iCoA-PP_26-045 03.06.26 PP*</t>
        </is>
      </c>
      <c r="I48" s="256" t="inlineStr">
        <is>
          <t>031-2-К/26 10.02.26 FHM-K</t>
        </is>
      </c>
      <c r="J48" s="257" t="inlineStr">
        <is>
          <t>n/t</t>
        </is>
      </c>
      <c r="K48" s="256" t="inlineStr">
        <is>
          <t>031-2-К/26 10.02.26 FHM-K</t>
        </is>
      </c>
      <c r="L48" s="256" t="inlineStr">
        <is>
          <t>031-2-К/26 10.02.26 FHM-K</t>
        </is>
      </c>
      <c r="M48" s="256" t="inlineStr">
        <is>
          <t>iCoA-PP_26-045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iCoA-PP_26-046 03.06.26 PP*</t>
        </is>
      </c>
      <c r="H49" s="256" t="inlineStr">
        <is>
          <t>iCoA-PP_26-046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iCoA-PP_26-046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iCoA-PP_26-047 03.06.26 PP*</t>
        </is>
      </c>
      <c r="H50" s="256" t="inlineStr">
        <is>
          <t>iCoA-PP_26-047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iCoA-PP_26-047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iCoA-PP_26-048 03.06.26 PP*</t>
        </is>
      </c>
      <c r="H51" s="256" t="inlineStr">
        <is>
          <t>iCoA-PP_26-048 03.06.26 PP*</t>
        </is>
      </c>
      <c r="I51" s="256" t="inlineStr">
        <is>
          <t>to be performed</t>
        </is>
      </c>
      <c r="J51" s="257" t="inlineStr">
        <is>
          <t>n/t</t>
        </is>
      </c>
      <c r="K51" s="257" t="inlineStr">
        <is>
          <t>n/t</t>
        </is>
      </c>
      <c r="L51" s="257" t="inlineStr">
        <is>
          <t>n/t</t>
        </is>
      </c>
      <c r="M51" s="256" t="inlineStr">
        <is>
          <t>iCoA-PP_26-048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iCoA-PP_26-049 03.06.26 PP*</t>
        </is>
      </c>
      <c r="H52" s="256" t="inlineStr">
        <is>
          <t>iCoA-PP_26-049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iCoA-PP_26-049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 1065/2026 —</t>
        </is>
      </c>
      <c r="G53" s="256" t="inlineStr">
        <is>
          <t>iCoA-PP_26-050 03.06.26 PP*</t>
        </is>
      </c>
      <c r="H53" s="256" t="inlineStr">
        <is>
          <t>iCoA-PP_26-050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iCoA-PP_26-050 03.06.26 PP*</t>
        </is>
      </c>
      <c r="N53" s="256" t="inlineStr">
        <is>
          <t>051-3-ГС/26 02.03.26 FHM-K</t>
        </is>
      </c>
      <c r="O53" s="257" t="inlineStr">
        <is>
          <t>n/t</t>
        </is>
      </c>
      <c r="P53" s="257" t="inlineStr">
        <is>
          <t>n/t</t>
        </is>
      </c>
      <c r="Q53" s="257" t="inlineStr">
        <is>
          <t>n/t</t>
        </is>
      </c>
      <c r="R53" s="256" t="inlineStr">
        <is>
          <t>1065/2026 11.03.26 IJZ</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iCoA-PP_26-051 03.06.26 PP*</t>
        </is>
      </c>
      <c r="H54" s="256" t="inlineStr">
        <is>
          <t>iCoA-PP_26-051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iCoA-PP_26-051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iCoA-PP_26-052 03.06.26 PP*</t>
        </is>
      </c>
      <c r="H55" s="256" t="inlineStr">
        <is>
          <t>iCoA-PP_26-052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iCoA-PP_26-052 03.06.26 PP*</t>
        </is>
      </c>
      <c r="N55" s="256" t="inlineStr">
        <is>
          <t>051-6-ГС/26 02.03.26 FHM-K</t>
        </is>
      </c>
      <c r="O55" s="256" t="inlineStr">
        <is>
          <t>136/0233/26 06.03.26 IJZ</t>
        </is>
      </c>
      <c r="P55" s="257" t="inlineStr">
        <is>
          <t>1060/2026 09.03.26 IJZ; also 220-14-М/26; n/t 10.1,10.3</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 1061/2026 —</t>
        </is>
      </c>
      <c r="G56" s="256" t="inlineStr">
        <is>
          <t>iCoA-PP_26-053 03.06.26 PP*</t>
        </is>
      </c>
      <c r="H56" s="256" t="inlineStr">
        <is>
          <t>iCoA-PP_26-053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iCoA-PP_26-053 03.06.26 PP*</t>
        </is>
      </c>
      <c r="N56" s="256" t="inlineStr">
        <is>
          <t>051-2-ГС/26 02.03.26 FHM-K</t>
        </is>
      </c>
      <c r="O56" s="257" t="inlineStr">
        <is>
          <t>n/t</t>
        </is>
      </c>
      <c r="P56" s="257" t="inlineStr">
        <is>
          <t>1061/2026 09.03.26 IJZ; n/t 10.1,10.3</t>
        </is>
      </c>
      <c r="Q56" s="256" t="inlineStr">
        <is>
          <t>1061/2026 09.03.26 IJZ</t>
        </is>
      </c>
      <c r="R56" s="256" t="inlineStr">
        <is>
          <t>1061/2026 09.03.26 IJZ</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 1057/2026 —</t>
        </is>
      </c>
      <c r="G57" s="256" t="inlineStr">
        <is>
          <t>iCoA-PP_26-054 03.06.26 PP*</t>
        </is>
      </c>
      <c r="H57" s="256" t="inlineStr">
        <is>
          <t>iCoA-PP_26-054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iCoA-PP_26-054 03.06.26 PP*</t>
        </is>
      </c>
      <c r="N57" s="256" t="inlineStr">
        <is>
          <t>051-5-ГС/26 02.03.26 FHM-K; also 100-1-GS/26</t>
        </is>
      </c>
      <c r="O57" s="257" t="inlineStr">
        <is>
          <t>n/t</t>
        </is>
      </c>
      <c r="P57" s="257" t="inlineStr">
        <is>
          <t>1057/2026 09.03.26 IJZ; n/t 10.1,10.3</t>
        </is>
      </c>
      <c r="Q57" s="256" t="inlineStr">
        <is>
          <t>1057/2026 09.03.26 IJZ</t>
        </is>
      </c>
      <c r="R57" s="256" t="inlineStr">
        <is>
          <t>1057/2026 09.03.26 IJZ</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iCoA-PP_26-055 03.06.26 PP*</t>
        </is>
      </c>
      <c r="H58" s="256" t="inlineStr">
        <is>
          <t>iCoA-PP_26-055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iCoA-PP_26-055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 1062/2026 —</t>
        </is>
      </c>
      <c r="G59" s="256" t="inlineStr">
        <is>
          <t>iCoA-PP_26-056 03.06.26 PP*</t>
        </is>
      </c>
      <c r="H59" s="256" t="inlineStr">
        <is>
          <t>iCoA-PP_26-056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iCoA-PP_26-056 03.06.26 PP*</t>
        </is>
      </c>
      <c r="N59" s="256" t="inlineStr">
        <is>
          <t>ППК26031 05.03.26 CNP DAB</t>
        </is>
      </c>
      <c r="O59" s="257" t="inlineStr">
        <is>
          <t>n/t</t>
        </is>
      </c>
      <c r="P59" s="257" t="inlineStr">
        <is>
          <t>1062/2026 11.03.26 IJZ; n/t 10.1,10.3</t>
        </is>
      </c>
      <c r="Q59" s="256" t="inlineStr">
        <is>
          <t>1062/2026 11.03.26 IJZ</t>
        </is>
      </c>
      <c r="R59" s="256" t="inlineStr">
        <is>
          <t>1062/2026 11.03.26 IJZ</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iCoA-PP_26-057 03.06.26 PP*</t>
        </is>
      </c>
      <c r="H60" s="256" t="inlineStr">
        <is>
          <t>iCoA-PP_26-057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iCoA-PP_26-057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iCoA-PP_26-058 03.06.26 PP*</t>
        </is>
      </c>
      <c r="H61" s="256" t="inlineStr">
        <is>
          <t>iCoA-PP_26-058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iCoA-PP_26-058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iCoA-PP_26-059 03.06.26 PP*</t>
        </is>
      </c>
      <c r="H62" s="256" t="inlineStr">
        <is>
          <t>iCoA-PP_26-059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iCoA-PP_26-059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iCoA-PP_26-060 03.06.26 PP*</t>
        </is>
      </c>
      <c r="H63" s="256" t="inlineStr">
        <is>
          <t>iCoA-PP_26-060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iCoA-PP_26-060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iCoA-PP_26-061 03.06.26 PP*</t>
        </is>
      </c>
      <c r="H64" s="256" t="inlineStr">
        <is>
          <t>iCoA-PP_26-061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iCoA-PP_26-061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iCoA-PP_26-062 03.06.26 PP*</t>
        </is>
      </c>
      <c r="H65" s="256" t="inlineStr">
        <is>
          <t>iCoA-PP_26-062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iCoA-PP_26-062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iCoA-PP_26-063 03.06.26 PP*</t>
        </is>
      </c>
      <c r="H66" s="256" t="inlineStr">
        <is>
          <t>iCoA-PP_26-063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iCoA-PP_26-063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iCoA-PP_26-064 03.06.26 PP*</t>
        </is>
      </c>
      <c r="H67" s="256" t="inlineStr">
        <is>
          <t>iCoA-PP_26-064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iCoA-PP_26-064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iCoA-PP_26-065 03.06.26 PP*</t>
        </is>
      </c>
      <c r="H68" s="256" t="inlineStr">
        <is>
          <t>iCoA-PP_26-065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iCoA-PP_26-065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iCoA-PP_26-067 03.06.26 PP*</t>
        </is>
      </c>
      <c r="H69" s="256" t="inlineStr">
        <is>
          <t>iCoA-PP_26-067 03.06.26 PP*</t>
        </is>
      </c>
      <c r="I69" s="256" t="inlineStr">
        <is>
          <t>to be performed</t>
        </is>
      </c>
      <c r="J69" s="257" t="inlineStr">
        <is>
          <t>n/t</t>
        </is>
      </c>
      <c r="K69" s="257" t="inlineStr">
        <is>
          <t>n/t</t>
        </is>
      </c>
      <c r="L69" s="257" t="inlineStr">
        <is>
          <t>n/t</t>
        </is>
      </c>
      <c r="M69" s="256" t="inlineStr">
        <is>
          <t>iCoA-PP_26-067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iCoA-PP_26-066 03.06.26 PP*</t>
        </is>
      </c>
      <c r="H70" s="256" t="inlineStr">
        <is>
          <t>iCoA-PP_26-066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iCoA-PP_26-066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iCoA-PP_26-071 03.06.26 PP*</t>
        </is>
      </c>
      <c r="H71" s="256" t="inlineStr">
        <is>
          <t>iCoA-PP_26-071 03.06.26 PP*</t>
        </is>
      </c>
      <c r="I71" s="256" t="inlineStr">
        <is>
          <t>to be performed</t>
        </is>
      </c>
      <c r="J71" s="257" t="inlineStr">
        <is>
          <t>n/t</t>
        </is>
      </c>
      <c r="K71" s="257" t="inlineStr">
        <is>
          <t>n/t</t>
        </is>
      </c>
      <c r="L71" s="257" t="inlineStr">
        <is>
          <t>n/t</t>
        </is>
      </c>
      <c r="M71" s="256" t="inlineStr">
        <is>
          <t>iCoA-PP_26-071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iCoA-PP_26-070 03.06.26 PP*</t>
        </is>
      </c>
      <c r="H72" s="256" t="inlineStr">
        <is>
          <t>iCoA-PP_26-070 03.06.26 PP*</t>
        </is>
      </c>
      <c r="I72" s="256" t="inlineStr">
        <is>
          <t>to be performed</t>
        </is>
      </c>
      <c r="J72" s="257" t="inlineStr">
        <is>
          <t>n/t</t>
        </is>
      </c>
      <c r="K72" s="257" t="inlineStr">
        <is>
          <t>n/t</t>
        </is>
      </c>
      <c r="L72" s="257" t="inlineStr">
        <is>
          <t>n/t</t>
        </is>
      </c>
      <c r="M72" s="256" t="inlineStr">
        <is>
          <t>iCoA-PP_26-070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iCoA-PP_26-072 03.06.26 PP*</t>
        </is>
      </c>
      <c r="H73" s="256" t="inlineStr">
        <is>
          <t>iCoA-PP_26-072 03.06.26 PP*</t>
        </is>
      </c>
      <c r="I73" s="256" t="inlineStr">
        <is>
          <t>to be performed</t>
        </is>
      </c>
      <c r="J73" s="257" t="inlineStr">
        <is>
          <t>n/t</t>
        </is>
      </c>
      <c r="K73" s="257" t="inlineStr">
        <is>
          <t>n/t</t>
        </is>
      </c>
      <c r="L73" s="257" t="inlineStr">
        <is>
          <t>n/t</t>
        </is>
      </c>
      <c r="M73" s="256" t="inlineStr">
        <is>
          <t>iCoA-PP_26-072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iCoA-PP_26-076 03.06.26 PP*</t>
        </is>
      </c>
      <c r="H74" s="256" t="inlineStr">
        <is>
          <t>iCoA-PP_26-076 03.06.26 PP*</t>
        </is>
      </c>
      <c r="I74" s="256" t="inlineStr">
        <is>
          <t>to be performed</t>
        </is>
      </c>
      <c r="J74" s="257" t="inlineStr">
        <is>
          <t>n/t</t>
        </is>
      </c>
      <c r="K74" s="257" t="inlineStr">
        <is>
          <t>n/t</t>
        </is>
      </c>
      <c r="L74" s="257" t="inlineStr">
        <is>
          <t>n/t</t>
        </is>
      </c>
      <c r="M74" s="256" t="inlineStr">
        <is>
          <t>iCoA-PP_26-076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iCoA-PP_26-075 03.06.26 PP*</t>
        </is>
      </c>
      <c r="H75" s="256" t="inlineStr">
        <is>
          <t>iCoA-PP_26-075 03.06.26 PP*</t>
        </is>
      </c>
      <c r="I75" s="256" t="inlineStr">
        <is>
          <t>to be performed</t>
        </is>
      </c>
      <c r="J75" s="257" t="inlineStr">
        <is>
          <t>n/t</t>
        </is>
      </c>
      <c r="K75" s="257" t="inlineStr">
        <is>
          <t>n/t</t>
        </is>
      </c>
      <c r="L75" s="257" t="inlineStr">
        <is>
          <t>n/t</t>
        </is>
      </c>
      <c r="M75" s="256" t="inlineStr">
        <is>
          <t>iCoA-PP_26-075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 3663/2026 —</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3663/2026 22.06.26 IJZ; n/t 10.1,10.3</t>
        </is>
      </c>
      <c r="Q76" s="256" t="inlineStr">
        <is>
          <t>3663/2026 22.06.26 IJZ</t>
        </is>
      </c>
      <c r="R76" s="256" t="inlineStr">
        <is>
          <t>3663/2026 22.06.26 IJZ</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3662/2026 22.06.26 IJZ; also 220-18-М/26; n/t 10.1,10.3</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3660/2026 22.06.26 IJZ; also 220-17-М/26; n/t 10.1,10.3</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 3661/2026 —</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3661/2026 22.06.26 IJZ; n/t 10.1,10.3</t>
        </is>
      </c>
      <c r="Q80" s="256" t="inlineStr">
        <is>
          <t>3661/2026 22.06.26 IJZ</t>
        </is>
      </c>
      <c r="R80" s="256" t="inlineStr">
        <is>
          <t>3661/2026 22.06.26 IJZ</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 3657/2026 —</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3657/2026 22.06.26 IJZ; n/t 10.1,10.3</t>
        </is>
      </c>
      <c r="Q81" s="256" t="inlineStr">
        <is>
          <t>3657/2026 22.06.26 IJZ</t>
        </is>
      </c>
      <c r="R81" s="256" t="inlineStr">
        <is>
          <t>3657/2026 22.06.26 IJZ</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 3924/2026 —</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3924/2026 20.07.26 IJZ; n/t 10.1,10.3</t>
        </is>
      </c>
      <c r="Q82" s="256" t="inlineStr">
        <is>
          <t>3924/2026 20.07.26 IJZ</t>
        </is>
      </c>
      <c r="R82" s="256" t="inlineStr">
        <is>
          <t>3924/2026 20.07.26 IJZ</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 3925/2026 —</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3925/2026 20.07.26 IJZ; n/t 10.1,10.3</t>
        </is>
      </c>
      <c r="Q83" s="257" t="inlineStr">
        <is>
          <t>n/t</t>
        </is>
      </c>
      <c r="R83" s="256" t="inlineStr">
        <is>
          <t>3925/2026 20.07.26 IJZ</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 3658/2026 —</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3658/2026 22.06.26 IJZ; n/t 10.1,10.3</t>
        </is>
      </c>
      <c r="Q84" s="256" t="inlineStr">
        <is>
          <t>3658/2026 22.06.26 IJZ</t>
        </is>
      </c>
      <c r="R84" s="256" t="inlineStr">
        <is>
          <t>3658/2026 22.06.26 IJZ</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iCoA-PP_26-110 13.08.26 PP*</t>
        </is>
      </c>
      <c r="H85" s="256" t="inlineStr">
        <is>
          <t>iCoA-PP_26-110 13.08.26 PP*</t>
        </is>
      </c>
      <c r="I85" s="256" t="inlineStr">
        <is>
          <t>to be performed</t>
        </is>
      </c>
      <c r="J85" s="257" t="inlineStr">
        <is>
          <t>n/t</t>
        </is>
      </c>
      <c r="K85" s="257" t="inlineStr">
        <is>
          <t>n/t</t>
        </is>
      </c>
      <c r="L85" s="257" t="inlineStr">
        <is>
          <t>n/t</t>
        </is>
      </c>
      <c r="M85" s="256" t="inlineStr">
        <is>
          <t>iCoA-PP_26-110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iCoA-PP_26-088 27.07.26 PP</t>
        </is>
      </c>
      <c r="H86" s="256" t="inlineStr">
        <is>
          <t>iCoA-PP_26-088 27.07.26 PP</t>
        </is>
      </c>
      <c r="I86" s="256" t="inlineStr">
        <is>
          <t>197-1-К/26 07.08.26 FHM-K</t>
        </is>
      </c>
      <c r="J86" s="256" t="inlineStr">
        <is>
          <t>197-1-К/26 07.08.26 FHM-K</t>
        </is>
      </c>
      <c r="K86" s="256" t="inlineStr">
        <is>
          <t>197-1-К/26 07.08.26 FHM-K</t>
        </is>
      </c>
      <c r="L86" s="256" t="inlineStr">
        <is>
          <t>197-1-К/26 07.08.26 FHM-K</t>
        </is>
      </c>
      <c r="M86" s="256" t="inlineStr">
        <is>
          <t>iCoA-PP_26-088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iCoA-PP_26-089 27.07.26 PP</t>
        </is>
      </c>
      <c r="H87" s="256" t="inlineStr">
        <is>
          <t>iCoA-PP_26-089 27.07.26 PP</t>
        </is>
      </c>
      <c r="I87" s="256" t="inlineStr">
        <is>
          <t>197-2-К/26 07.08.26 FHM-K</t>
        </is>
      </c>
      <c r="J87" s="256" t="inlineStr">
        <is>
          <t>197-2-К/26 07.08.26 FHM-K</t>
        </is>
      </c>
      <c r="K87" s="256" t="inlineStr">
        <is>
          <t>197-2-К/26 07.08.26 FHM-K</t>
        </is>
      </c>
      <c r="L87" s="256" t="inlineStr">
        <is>
          <t>197-2-К/26 07.08.26 FHM-K</t>
        </is>
      </c>
      <c r="M87" s="256" t="inlineStr">
        <is>
          <t>iCoA-PP_26-089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iCoA-PP_26-093 27.07.26 PP</t>
        </is>
      </c>
      <c r="H88" s="256" t="inlineStr">
        <is>
          <t>iCoA-PP_26-093 27.07.26 PP</t>
        </is>
      </c>
      <c r="I88" s="256" t="inlineStr">
        <is>
          <t>197-6-К/26 07.08.26 FHM-K</t>
        </is>
      </c>
      <c r="J88" s="256" t="inlineStr">
        <is>
          <t>197-6-К/26 07.08.26 FHM-K</t>
        </is>
      </c>
      <c r="K88" s="256" t="inlineStr">
        <is>
          <t>197-6-К/26 07.08.26 FHM-K</t>
        </is>
      </c>
      <c r="L88" s="256" t="inlineStr">
        <is>
          <t>197-6-К/26 07.08.26 FHM-K</t>
        </is>
      </c>
      <c r="M88" s="256" t="inlineStr">
        <is>
          <t>iCoA-PP_26-093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iCoA-PP_26-090 27.07.26 PP</t>
        </is>
      </c>
      <c r="H89" s="256" t="inlineStr">
        <is>
          <t>iCoA-PP_26-090 27.07.26 PP</t>
        </is>
      </c>
      <c r="I89" s="256" t="inlineStr">
        <is>
          <t>197-3-К/26 07.08.26 FHM-K</t>
        </is>
      </c>
      <c r="J89" s="256" t="inlineStr">
        <is>
          <t>197-3-К/26 07.08.26 FHM-K</t>
        </is>
      </c>
      <c r="K89" s="256" t="inlineStr">
        <is>
          <t>197-3-К/26 07.08.26 FHM-K</t>
        </is>
      </c>
      <c r="L89" s="256" t="inlineStr">
        <is>
          <t>197-3-К/26 07.08.26 FHM-K</t>
        </is>
      </c>
      <c r="M89" s="256" t="inlineStr">
        <is>
          <t>iCoA-PP_26-090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iCoA-PP_26-092 27.07.26 PP</t>
        </is>
      </c>
      <c r="H90" s="256" t="inlineStr">
        <is>
          <t>iCoA-PP_26-092 27.07.26 PP</t>
        </is>
      </c>
      <c r="I90" s="256" t="inlineStr">
        <is>
          <t>197-5-К/26 07.08.26 FHM-K</t>
        </is>
      </c>
      <c r="J90" s="256" t="inlineStr">
        <is>
          <t>197-5-К/26 07.08.26 FHM-K</t>
        </is>
      </c>
      <c r="K90" s="256" t="inlineStr">
        <is>
          <t>197-5-К/26 07.08.26 FHM-K</t>
        </is>
      </c>
      <c r="L90" s="256" t="inlineStr">
        <is>
          <t>197-5-К/26 07.08.26 FHM-K</t>
        </is>
      </c>
      <c r="M90" s="256" t="inlineStr">
        <is>
          <t>iCoA-PP_26-092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iCoA-PP_26-097 27.07.26 PP</t>
        </is>
      </c>
      <c r="H91" s="256" t="inlineStr">
        <is>
          <t>iCoA-PP_26-097 27.07.26 PP</t>
        </is>
      </c>
      <c r="I91" s="256" t="inlineStr">
        <is>
          <t>197-7-К/26 07.08.26 FHM-K</t>
        </is>
      </c>
      <c r="J91" s="256" t="inlineStr">
        <is>
          <t>197-7-К/26 07.08.26 FHM-K</t>
        </is>
      </c>
      <c r="K91" s="256" t="inlineStr">
        <is>
          <t>197-7-К/26 07.08.26 FHM-K</t>
        </is>
      </c>
      <c r="L91" s="256" t="inlineStr">
        <is>
          <t>197-7-К/26 07.08.26 FHM-K</t>
        </is>
      </c>
      <c r="M91" s="256" t="inlineStr">
        <is>
          <t>iCoA-PP_26-097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iCoA-PP_26-094 27.07.26 PP</t>
        </is>
      </c>
      <c r="H93" s="256" t="inlineStr">
        <is>
          <t>iCoA-PP_26-094 27.07.26 PP</t>
        </is>
      </c>
      <c r="I93" s="256" t="inlineStr">
        <is>
          <t>197-9-К/26 07.08.26 FHM-K</t>
        </is>
      </c>
      <c r="J93" s="256" t="inlineStr">
        <is>
          <t>197-9-К/26 07.08.26 FHM-K</t>
        </is>
      </c>
      <c r="K93" s="256" t="inlineStr">
        <is>
          <t>197-9-К/26 07.08.26 FHM-K</t>
        </is>
      </c>
      <c r="L93" s="256" t="inlineStr">
        <is>
          <t>197-9-К/26 07.08.26 FHM-K</t>
        </is>
      </c>
      <c r="M93" s="256" t="inlineStr">
        <is>
          <t>iCoA-PP_26-094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iCoA-PP_26-095 27.07.26 PP</t>
        </is>
      </c>
      <c r="H94" s="256" t="inlineStr">
        <is>
          <t>iCoA-PP_26-095 27.07.26 PP</t>
        </is>
      </c>
      <c r="I94" s="256" t="inlineStr">
        <is>
          <t>197-10-К/26 07.08.26 FHM-K</t>
        </is>
      </c>
      <c r="J94" s="256" t="inlineStr">
        <is>
          <t>197-10-К/26 07.08.26 FHM-K</t>
        </is>
      </c>
      <c r="K94" s="256" t="inlineStr">
        <is>
          <t>197-10-К/26 07.08.26 FHM-K</t>
        </is>
      </c>
      <c r="L94" s="256" t="inlineStr">
        <is>
          <t>197-10-К/26 07.08.26 FHM-K</t>
        </is>
      </c>
      <c r="M94" s="256" t="inlineStr">
        <is>
          <t>iCoA-PP_26-095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iCoA-PP_26-096 27.07.26 PP</t>
        </is>
      </c>
      <c r="H95" s="256" t="inlineStr">
        <is>
          <t>iCoA-PP_26-096 27.07.26 PP</t>
        </is>
      </c>
      <c r="I95" s="256" t="inlineStr">
        <is>
          <t>197-11-К/26 07.08.26 FHM-K</t>
        </is>
      </c>
      <c r="J95" s="256" t="inlineStr">
        <is>
          <t>197-11-К/26 07.08.26 FHM-K</t>
        </is>
      </c>
      <c r="K95" s="256" t="inlineStr">
        <is>
          <t>197-11-К/26 07.08.26 FHM-K</t>
        </is>
      </c>
      <c r="L95" s="256" t="inlineStr">
        <is>
          <t>197-11-К/26 07.08.26 FHM-K</t>
        </is>
      </c>
      <c r="M95" s="256" t="inlineStr">
        <is>
          <t>iCoA-PP_26-096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iCoA-PP_26-099 27.07.26 PP</t>
        </is>
      </c>
      <c r="H96" s="256" t="inlineStr">
        <is>
          <t>iCoA-PP_26-099 27.07.26 PP</t>
        </is>
      </c>
      <c r="I96" s="256" t="inlineStr">
        <is>
          <t>197-12-К/26 07.08.26 FHM-K</t>
        </is>
      </c>
      <c r="J96" s="256" t="inlineStr">
        <is>
          <t>197-12-К/26 07.08.26 FHM-K</t>
        </is>
      </c>
      <c r="K96" s="256" t="inlineStr">
        <is>
          <t>197-12-К/26 07.08.26 FHM-K</t>
        </is>
      </c>
      <c r="L96" s="256" t="inlineStr">
        <is>
          <t>197-12-К/26 07.08.26 FHM-K</t>
        </is>
      </c>
      <c r="M96" s="256" t="inlineStr">
        <is>
          <t>iCoA-PP_26-099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iCoA-PP_26-100 27.07.26 PP</t>
        </is>
      </c>
      <c r="H97" s="256" t="inlineStr">
        <is>
          <t>iCoA-PP_26-100 27.07.26 PP</t>
        </is>
      </c>
      <c r="I97" s="256" t="inlineStr">
        <is>
          <t>197-13-К/26 07.08.26 FHM-K</t>
        </is>
      </c>
      <c r="J97" s="256" t="inlineStr">
        <is>
          <t>197-13-К/26 07.08.26 FHM-K</t>
        </is>
      </c>
      <c r="K97" s="256" t="inlineStr">
        <is>
          <t>197-13-К/26 07.08.26 FHM-K</t>
        </is>
      </c>
      <c r="L97" s="256" t="inlineStr">
        <is>
          <t>197-13-К/26 07.08.26 FHM-K</t>
        </is>
      </c>
      <c r="M97" s="256" t="inlineStr">
        <is>
          <t>iCoA-PP_26-100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iCoA-PP_26-101 27.07.26 PP</t>
        </is>
      </c>
      <c r="H98" s="256" t="inlineStr">
        <is>
          <t>iCoA-PP_26-101 27.07.26 PP</t>
        </is>
      </c>
      <c r="I98" s="256" t="inlineStr">
        <is>
          <t>197-14-К/26 07.08.26 FHM-K</t>
        </is>
      </c>
      <c r="J98" s="256" t="inlineStr">
        <is>
          <t>197-14-К/26 07.08.26 FHM-K</t>
        </is>
      </c>
      <c r="K98" s="256" t="inlineStr">
        <is>
          <t>197-14-К/26 07.08.26 FHM-K</t>
        </is>
      </c>
      <c r="L98" s="256" t="inlineStr">
        <is>
          <t>197-14-К/26 07.08.26 FHM-K</t>
        </is>
      </c>
      <c r="M98" s="256" t="inlineStr">
        <is>
          <t>iCoA-PP_26-101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iCoA-PP_26-102 27.07.26 PP</t>
        </is>
      </c>
      <c r="H99" s="256" t="inlineStr">
        <is>
          <t>iCoA-PP_26-102 27.07.26 PP</t>
        </is>
      </c>
      <c r="I99" s="256" t="inlineStr">
        <is>
          <t>197-16-К/26 07.08.26 FHM-K</t>
        </is>
      </c>
      <c r="J99" s="256" t="inlineStr">
        <is>
          <t>197-16-К/26 07.08.26 FHM-K</t>
        </is>
      </c>
      <c r="K99" s="256" t="inlineStr">
        <is>
          <t>197-16-К/26 07.08.26 FHM-K</t>
        </is>
      </c>
      <c r="L99" s="256" t="inlineStr">
        <is>
          <t>197-16-К/26 07.08.26 FHM-K</t>
        </is>
      </c>
      <c r="M99" s="256" t="inlineStr">
        <is>
          <t>iCoA-PP_26-102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iCoA-PP_26-103 27.07.26 PP</t>
        </is>
      </c>
      <c r="H100" s="256" t="inlineStr">
        <is>
          <t>iCoA-PP_26-103 27.07.26 PP</t>
        </is>
      </c>
      <c r="I100" s="256" t="inlineStr">
        <is>
          <t>197-15-К/26 07.08.26 FHM-K</t>
        </is>
      </c>
      <c r="J100" s="256" t="inlineStr">
        <is>
          <t>197-15-К/26 07.08.26 FHM-K</t>
        </is>
      </c>
      <c r="K100" s="256" t="inlineStr">
        <is>
          <t>197-15-К/26 07.08.26 FHM-K</t>
        </is>
      </c>
      <c r="L100" s="256" t="inlineStr">
        <is>
          <t>197-15-К/26 07.08.26 FHM-K</t>
        </is>
      </c>
      <c r="M100" s="256" t="inlineStr">
        <is>
          <t>iCoA-PP_26-103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iCoA-PP_26-104 27.07.26 PP</t>
        </is>
      </c>
      <c r="H101" s="256" t="inlineStr">
        <is>
          <t>iCoA-PP_26-104 27.07.26 PP</t>
        </is>
      </c>
      <c r="I101" s="256" t="inlineStr">
        <is>
          <t>197-17-К/26 07.08.26 FHM-K</t>
        </is>
      </c>
      <c r="J101" s="256" t="inlineStr">
        <is>
          <t>197-17-К/26 07.08.26 FHM-K</t>
        </is>
      </c>
      <c r="K101" s="256" t="inlineStr">
        <is>
          <t>197-17-К/26 07.08.26 FHM-K</t>
        </is>
      </c>
      <c r="L101" s="256" t="inlineStr">
        <is>
          <t>197-17-К/26 07.08.26 FHM-K</t>
        </is>
      </c>
      <c r="M101" s="256" t="inlineStr">
        <is>
          <t>iCoA-PP_26-104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iCoA-PP_26-105 27.07.26 PP</t>
        </is>
      </c>
      <c r="H102" s="256" t="inlineStr">
        <is>
          <t>iCoA-PP_26-105 27.07.26 PP</t>
        </is>
      </c>
      <c r="I102" s="256" t="inlineStr">
        <is>
          <t>197-18-К/26 07.08.26 FHM-K</t>
        </is>
      </c>
      <c r="J102" s="256" t="inlineStr">
        <is>
          <t>197-18-К/26 07.08.26 FHM-K</t>
        </is>
      </c>
      <c r="K102" s="256" t="inlineStr">
        <is>
          <t>197-18-К/26 07.08.26 FHM-K</t>
        </is>
      </c>
      <c r="L102" s="256" t="inlineStr">
        <is>
          <t>197-18-К/26 07.08.26 FHM-K</t>
        </is>
      </c>
      <c r="M102" s="256" t="inlineStr">
        <is>
          <t>iCoA-PP_26-105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iCoA-PP_26-106 27.07.26 PP</t>
        </is>
      </c>
      <c r="H103" s="256" t="inlineStr">
        <is>
          <t>iCoA-PP_26-106 27.07.26 PP</t>
        </is>
      </c>
      <c r="I103" s="256" t="inlineStr">
        <is>
          <t>197-19-К/26 07.08.26 FHM-K</t>
        </is>
      </c>
      <c r="J103" s="256" t="inlineStr">
        <is>
          <t>197-19-К/26 07.08.26 FHM-K</t>
        </is>
      </c>
      <c r="K103" s="256" t="inlineStr">
        <is>
          <t>197-19-К/26 07.08.26 FHM-K</t>
        </is>
      </c>
      <c r="L103" s="256" t="inlineStr">
        <is>
          <t>197-19-К/26 07.08.26 FHM-K</t>
        </is>
      </c>
      <c r="M103" s="256" t="inlineStr">
        <is>
          <t>iCoA-PP_26-106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iCoA-PP_26-108 27.07.26 PP</t>
        </is>
      </c>
      <c r="H104" s="256" t="inlineStr">
        <is>
          <t>iCoA-PP_26-108 27.07.26 PP</t>
        </is>
      </c>
      <c r="I104" s="256" t="inlineStr">
        <is>
          <t>197-20-К/26 07.08.26 FHM-K</t>
        </is>
      </c>
      <c r="J104" s="256" t="inlineStr">
        <is>
          <t>197-20-К/26 07.08.26 FHM-K</t>
        </is>
      </c>
      <c r="K104" s="256" t="inlineStr">
        <is>
          <t>197-20-К/26 07.08.26 FHM-K</t>
        </is>
      </c>
      <c r="L104" s="256" t="inlineStr">
        <is>
          <t>197-20-К/26 07.08.26 FHM-K</t>
        </is>
      </c>
      <c r="M104" s="256" t="inlineStr">
        <is>
          <t>iCoA-PP_26-108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iCoA-PP_26-107 27.07.26 PP</t>
        </is>
      </c>
      <c r="H105" s="256" t="inlineStr">
        <is>
          <t>iCoA-PP_26-107 27.07.26 PP</t>
        </is>
      </c>
      <c r="I105" s="256" t="inlineStr">
        <is>
          <t>197-21-К/26 07.08.26 FHM-K</t>
        </is>
      </c>
      <c r="J105" s="256" t="inlineStr">
        <is>
          <t>197-21-К/26 07.08.26 FHM-K</t>
        </is>
      </c>
      <c r="K105" s="256" t="inlineStr">
        <is>
          <t>197-21-К/26 07.08.26 FHM-K</t>
        </is>
      </c>
      <c r="L105" s="256" t="inlineStr">
        <is>
          <t>197-21-К/26 07.08.26 FHM-K</t>
        </is>
      </c>
      <c r="M105" s="256" t="inlineStr">
        <is>
          <t>iCoA-PP_26-107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iCoA-PP_26-091 27.07.26 PP</t>
        </is>
      </c>
      <c r="H106" s="256" t="inlineStr">
        <is>
          <t>iCoA-PP_26-091 27.07.26 PP</t>
        </is>
      </c>
      <c r="I106" s="256" t="inlineStr">
        <is>
          <t>197-4-К/26 07.08.26 FHM-K</t>
        </is>
      </c>
      <c r="J106" s="256" t="inlineStr">
        <is>
          <t>197-4-К/26 07.08.26 FHM-K</t>
        </is>
      </c>
      <c r="K106" s="256" t="inlineStr">
        <is>
          <t>197-4-К/26 07.08.26 FHM-K</t>
        </is>
      </c>
      <c r="L106" s="256" t="inlineStr">
        <is>
          <t>197-4-К/26 07.08.26 FHM-K</t>
        </is>
      </c>
      <c r="M106" s="256" t="inlineStr">
        <is>
          <t>iCoA-PP_26-091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iCoA-PP_26-111 17.08.26 PP*</t>
        </is>
      </c>
      <c r="H107" s="256" t="inlineStr">
        <is>
          <t>iCoA-PP_26-111 17.08.26 PP*</t>
        </is>
      </c>
      <c r="I107" s="256" t="inlineStr">
        <is>
          <t>220-1-К/26 25.08.26 FHM-K</t>
        </is>
      </c>
      <c r="J107" s="256" t="inlineStr">
        <is>
          <t>220-1-К/26 25.08.26 FHM-K</t>
        </is>
      </c>
      <c r="K107" s="256" t="inlineStr">
        <is>
          <t>220-1-К/26 25.08.26 FHM-K</t>
        </is>
      </c>
      <c r="L107" s="256" t="inlineStr">
        <is>
          <t>220-1-К/26 25.08.26 FHM-K</t>
        </is>
      </c>
      <c r="M107" s="256" t="inlineStr">
        <is>
          <t>iCoA-PP_26-111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iCoA-PP_26-112 17.08.26 PP</t>
        </is>
      </c>
      <c r="H108" s="256" t="inlineStr">
        <is>
          <t>iCoA-PP_26-112 17.08.26 PP</t>
        </is>
      </c>
      <c r="I108" s="256" t="inlineStr">
        <is>
          <t>220-2-К/26 25.08.26 FHM-K</t>
        </is>
      </c>
      <c r="J108" s="256" t="inlineStr">
        <is>
          <t>220-2-К/26 25.08.26 FHM-K</t>
        </is>
      </c>
      <c r="K108" s="256" t="inlineStr">
        <is>
          <t>220-2-К/26 25.08.26 FHM-K</t>
        </is>
      </c>
      <c r="L108" s="256" t="inlineStr">
        <is>
          <t>220-2-К/26 25.08.26 FHM-K</t>
        </is>
      </c>
      <c r="M108" s="256" t="inlineStr">
        <is>
          <t>iCoA-PP_26-112 17.08.26 PP</t>
        </is>
      </c>
      <c r="N108" s="256" t="inlineStr">
        <is>
          <t>iCoA-PP_26-023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iCoA-PP_26-133 17.08.26 PP*</t>
        </is>
      </c>
      <c r="H109" s="256" t="inlineStr">
        <is>
          <t>iCoA-PP_26-133 17.08.26 PP*</t>
        </is>
      </c>
      <c r="I109" s="256" t="inlineStr">
        <is>
          <t>220-29-К/26 26.08.26 FHM-K</t>
        </is>
      </c>
      <c r="J109" s="256" t="inlineStr">
        <is>
          <t>220-29-К/26 26.08.26 FHM-K</t>
        </is>
      </c>
      <c r="K109" s="256" t="inlineStr">
        <is>
          <t>220-29-К/26 26.08.26 FHM-K</t>
        </is>
      </c>
      <c r="L109" s="256" t="inlineStr">
        <is>
          <t>220-29-К/26 26.08.26 FHM-K</t>
        </is>
      </c>
      <c r="M109" s="256" t="inlineStr">
        <is>
          <t>iCoA-PP_26-133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iCoA-PP_26-113 17.08.26 PP*</t>
        </is>
      </c>
      <c r="H110" s="256" t="inlineStr">
        <is>
          <t>iCoA-PP_26-113 17.08.26 PP*</t>
        </is>
      </c>
      <c r="I110" s="256" t="inlineStr">
        <is>
          <t>220-6-К/26 25.08.26 FHM-K</t>
        </is>
      </c>
      <c r="J110" s="256" t="inlineStr">
        <is>
          <t>220-6-К/26 25.08.26 FHM-K</t>
        </is>
      </c>
      <c r="K110" s="256" t="inlineStr">
        <is>
          <t>220-6-К/26 25.08.26 FHM-K</t>
        </is>
      </c>
      <c r="L110" s="256" t="inlineStr">
        <is>
          <t>220-6-К/26 25.08.26 FHM-K</t>
        </is>
      </c>
      <c r="M110" s="256" t="inlineStr">
        <is>
          <t>iCoA-PP_26-113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iCoA-PP_26-114 17.08.26 PP</t>
        </is>
      </c>
      <c r="H111" s="256" t="inlineStr">
        <is>
          <t>iCoA-PP_26-114 17.08.26 PP</t>
        </is>
      </c>
      <c r="I111" s="256" t="inlineStr">
        <is>
          <t>220-3-К/26 25.08.26 FHM-K</t>
        </is>
      </c>
      <c r="J111" s="256" t="inlineStr">
        <is>
          <t>220-3-К/26 25.08.26 FHM-K</t>
        </is>
      </c>
      <c r="K111" s="256" t="inlineStr">
        <is>
          <t>220-3-К/26 25.08.26 FHM-K</t>
        </is>
      </c>
      <c r="L111" s="256" t="inlineStr">
        <is>
          <t>220-3-К/26 25.08.26 FHM-K</t>
        </is>
      </c>
      <c r="M111" s="256" t="inlineStr">
        <is>
          <t>iCoA-PP_26-114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iCoA-PP_26-115 17.08.26 PP</t>
        </is>
      </c>
      <c r="H112" s="256" t="inlineStr">
        <is>
          <t>iCoA-PP_26-115 17.08.26 PP</t>
        </is>
      </c>
      <c r="I112" s="256" t="inlineStr">
        <is>
          <t>220-4-К/26 25.08.26 FHM-K</t>
        </is>
      </c>
      <c r="J112" s="256" t="inlineStr">
        <is>
          <t>220-4-К/26 25.08.26 FHM-K</t>
        </is>
      </c>
      <c r="K112" s="256" t="inlineStr">
        <is>
          <t>220-4-К/26 25.08.26 FHM-K</t>
        </is>
      </c>
      <c r="L112" s="256" t="inlineStr">
        <is>
          <t>220-4-К/26 25.08.26 FHM-K</t>
        </is>
      </c>
      <c r="M112" s="256" t="inlineStr">
        <is>
          <t>iCoA-PP_26-115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iCoA-PP_26-116 17.08.26 PP</t>
        </is>
      </c>
      <c r="H113" s="256" t="inlineStr">
        <is>
          <t>iCoA-PP_26-116 17.08.26 PP</t>
        </is>
      </c>
      <c r="I113" s="256" t="inlineStr">
        <is>
          <t>220-5-К/26 25.08.26 FHM-K</t>
        </is>
      </c>
      <c r="J113" s="256" t="inlineStr">
        <is>
          <t>220-5-К/26 25.08.26 FHM-K</t>
        </is>
      </c>
      <c r="K113" s="256" t="inlineStr">
        <is>
          <t>220-5-К/26 25.08.26 FHM-K</t>
        </is>
      </c>
      <c r="L113" s="256" t="inlineStr">
        <is>
          <t>220-5-К/26 25.08.26 FHM-K</t>
        </is>
      </c>
      <c r="M113" s="256" t="inlineStr">
        <is>
          <t>iCoA-PP_26-116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iCoA-PP_26-117 17.08.26 PP</t>
        </is>
      </c>
      <c r="H114" s="256" t="inlineStr">
        <is>
          <t>iCoA-PP_26-117 17.08.26 PP</t>
        </is>
      </c>
      <c r="I114" s="256" t="inlineStr">
        <is>
          <t>220-7-К/26 25.08.26 FHM-K</t>
        </is>
      </c>
      <c r="J114" s="256" t="inlineStr">
        <is>
          <t>220-7-К/26 25.08.26 FHM-K</t>
        </is>
      </c>
      <c r="K114" s="256" t="inlineStr">
        <is>
          <t>220-7-К/26 25.08.26 FHM-K</t>
        </is>
      </c>
      <c r="L114" s="256" t="inlineStr">
        <is>
          <t>220-7-К/26 25.08.26 FHM-K</t>
        </is>
      </c>
      <c r="M114" s="256" t="inlineStr">
        <is>
          <t>iCoA-PP_26-117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iCoA-PP_26-118 17.08.26 PP</t>
        </is>
      </c>
      <c r="H115" s="256" t="inlineStr">
        <is>
          <t>iCoA-PP_26-118 17.08.26 PP</t>
        </is>
      </c>
      <c r="I115" s="256" t="inlineStr">
        <is>
          <t>220-8-К/26 25.08.26 FHM-K</t>
        </is>
      </c>
      <c r="J115" s="256" t="inlineStr">
        <is>
          <t>220-8-К/26 25.08.26 FHM-K</t>
        </is>
      </c>
      <c r="K115" s="256" t="inlineStr">
        <is>
          <t>220-8-К/26 25.08.26 FHM-K</t>
        </is>
      </c>
      <c r="L115" s="256" t="inlineStr">
        <is>
          <t>220-8-К/26 25.08.26 FHM-K</t>
        </is>
      </c>
      <c r="M115" s="256" t="inlineStr">
        <is>
          <t>iCoA-PP_26-118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iCoA-PP_26-119 17.08.26 PP</t>
        </is>
      </c>
      <c r="H116" s="256" t="inlineStr">
        <is>
          <t>iCoA-PP_26-119 17.08.26 PP</t>
        </is>
      </c>
      <c r="I116" s="256" t="inlineStr">
        <is>
          <t>220-9-К/26 25.08.26 FHM-K</t>
        </is>
      </c>
      <c r="J116" s="256" t="inlineStr">
        <is>
          <t>220-9-К/26 25.08.26 FHM-K</t>
        </is>
      </c>
      <c r="K116" s="256" t="inlineStr">
        <is>
          <t>220-9-К/26 25.08.26 FHM-K</t>
        </is>
      </c>
      <c r="L116" s="256" t="inlineStr">
        <is>
          <t>220-9-К/26 25.08.26 FHM-K</t>
        </is>
      </c>
      <c r="M116" s="256" t="inlineStr">
        <is>
          <t>iCoA-PP_26-119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iCoA-PP_26-120 17.08.26 PP</t>
        </is>
      </c>
      <c r="H117" s="256" t="inlineStr">
        <is>
          <t>iCoA-PP_26-120 17.08.26 PP</t>
        </is>
      </c>
      <c r="I117" s="256" t="inlineStr">
        <is>
          <t>220-10-К/26 25.08.26 FHM-K</t>
        </is>
      </c>
      <c r="J117" s="256" t="inlineStr">
        <is>
          <t>220-10-К/26 25.08.26 FHM-K</t>
        </is>
      </c>
      <c r="K117" s="256" t="inlineStr">
        <is>
          <t>220-10-К/26 25.08.26 FHM-K</t>
        </is>
      </c>
      <c r="L117" s="256" t="inlineStr">
        <is>
          <t>220-10-К/26 25.08.26 FHM-K</t>
        </is>
      </c>
      <c r="M117" s="256" t="inlineStr">
        <is>
          <t>iCoA-PP_26-120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iCoA-PP_26-121 17.08.26 PP</t>
        </is>
      </c>
      <c r="H118" s="256" t="inlineStr">
        <is>
          <t>iCoA-PP_26-121 17.08.26 PP</t>
        </is>
      </c>
      <c r="I118" s="256" t="inlineStr">
        <is>
          <t>220-11-К/26 25.08.26 FHM-K</t>
        </is>
      </c>
      <c r="J118" s="256" t="inlineStr">
        <is>
          <t>220-11-К/26 25.08.26 FHM-K</t>
        </is>
      </c>
      <c r="K118" s="256" t="inlineStr">
        <is>
          <t>220-11-К/26 25.08.26 FHM-K</t>
        </is>
      </c>
      <c r="L118" s="256" t="inlineStr">
        <is>
          <t>220-11-К/26 25.08.26 FHM-K</t>
        </is>
      </c>
      <c r="M118" s="256" t="inlineStr">
        <is>
          <t>iCoA-PP_26-121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iCoA-PP_26-122 17.08.26 PP</t>
        </is>
      </c>
      <c r="H119" s="256" t="inlineStr">
        <is>
          <t>iCoA-PP_26-122 17.08.26 PP</t>
        </is>
      </c>
      <c r="I119" s="256" t="inlineStr">
        <is>
          <t>220-12-К/26 25.08.26 FHM-K</t>
        </is>
      </c>
      <c r="J119" s="256" t="inlineStr">
        <is>
          <t>220-12-К/26 25.08.26 FHM-K</t>
        </is>
      </c>
      <c r="K119" s="256" t="inlineStr">
        <is>
          <t>220-12-К/26 25.08.26 FHM-K</t>
        </is>
      </c>
      <c r="L119" s="256" t="inlineStr">
        <is>
          <t>220-12-К/26 25.08.26 FHM-K</t>
        </is>
      </c>
      <c r="M119" s="256" t="inlineStr">
        <is>
          <t>iCoA-PP_26-122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iCoA-PP_26-123 17.08.26 PP</t>
        </is>
      </c>
      <c r="H120" s="256" t="inlineStr">
        <is>
          <t>iCoA-PP_26-123 17.08.26 PP</t>
        </is>
      </c>
      <c r="I120" s="256" t="inlineStr">
        <is>
          <t>220-13-К/26 25.08.26 FHM-K</t>
        </is>
      </c>
      <c r="J120" s="256" t="inlineStr">
        <is>
          <t>220-13-К/26 25.08.26 FHM-K</t>
        </is>
      </c>
      <c r="K120" s="256" t="inlineStr">
        <is>
          <t>220-13-К/26 25.08.26 FHM-K</t>
        </is>
      </c>
      <c r="L120" s="256" t="inlineStr">
        <is>
          <t>220-13-К/26 25.08.26 FHM-K</t>
        </is>
      </c>
      <c r="M120" s="256" t="inlineStr">
        <is>
          <t>iCoA-PP_26-123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iCoA-PP_26-124 17.08.26 PP*</t>
        </is>
      </c>
      <c r="H121" s="256" t="inlineStr">
        <is>
          <t>iCoA-PP_26-124 17.08.26 PP*</t>
        </is>
      </c>
      <c r="I121" s="256" t="inlineStr">
        <is>
          <t>220-14-К/26 25.08.26 FHM-K</t>
        </is>
      </c>
      <c r="J121" s="256" t="inlineStr">
        <is>
          <t>220-14-К/26 25.08.26 FHM-K</t>
        </is>
      </c>
      <c r="K121" s="256" t="inlineStr">
        <is>
          <t>220-14-К/26 25.08.26 FHM-K</t>
        </is>
      </c>
      <c r="L121" s="256" t="inlineStr">
        <is>
          <t>220-14-К/26 25.08.26 FHM-K</t>
        </is>
      </c>
      <c r="M121" s="256" t="inlineStr">
        <is>
          <t>iCoA-PP_26-124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iCoA-PP_26-125 17.08.26 PP</t>
        </is>
      </c>
      <c r="H122" s="256" t="inlineStr">
        <is>
          <t>iCoA-PP_26-125 17.08.26 PP</t>
        </is>
      </c>
      <c r="I122" s="256" t="inlineStr">
        <is>
          <t>220-15-К/26 25.08.26 FHM-K</t>
        </is>
      </c>
      <c r="J122" s="256" t="inlineStr">
        <is>
          <t>220-15-К/26 25.08.26 FHM-K</t>
        </is>
      </c>
      <c r="K122" s="256" t="inlineStr">
        <is>
          <t>220-15-К/26 25.08.26 FHM-K</t>
        </is>
      </c>
      <c r="L122" s="256" t="inlineStr">
        <is>
          <t>220-15-К/26 25.08.26 FHM-K</t>
        </is>
      </c>
      <c r="M122" s="256" t="inlineStr">
        <is>
          <t>iCoA-PP_26-125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iCoA-PP_26-128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iCoA-PP_26-136 17.08.26 PP*</t>
        </is>
      </c>
      <c r="H126" s="256" t="inlineStr">
        <is>
          <t>iCoA-PP_26-136 17.08.26 PP*</t>
        </is>
      </c>
      <c r="I126" s="256" t="inlineStr">
        <is>
          <t>220-30-К/26 26.08.26 FHM-K</t>
        </is>
      </c>
      <c r="J126" s="256" t="inlineStr">
        <is>
          <t>220-30-К/26 26.08.26 FHM-K</t>
        </is>
      </c>
      <c r="K126" s="256" t="inlineStr">
        <is>
          <t>220-30-К/26 26.08.26 FHM-K</t>
        </is>
      </c>
      <c r="L126" s="256" t="inlineStr">
        <is>
          <t>220-30-К/26 26.08.26 FHM-K</t>
        </is>
      </c>
      <c r="M126" s="256" t="inlineStr">
        <is>
          <t>iCoA-PP_26-136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iCoA-PP_26-129 17.08.26 PP</t>
        </is>
      </c>
      <c r="H127" s="256" t="inlineStr">
        <is>
          <t>iCoA-PP_26-129 17.08.26 PP</t>
        </is>
      </c>
      <c r="I127" s="256" t="inlineStr">
        <is>
          <t>220-19-К/26 26.08.26 FHM-K</t>
        </is>
      </c>
      <c r="J127" s="256" t="inlineStr">
        <is>
          <t>220-19-К/26 26.08.26 FHM-K</t>
        </is>
      </c>
      <c r="K127" s="256" t="inlineStr">
        <is>
          <t>220-19-К/26 26.08.26 FHM-K</t>
        </is>
      </c>
      <c r="L127" s="256" t="inlineStr">
        <is>
          <t>220-19-К/26 26.08.26 FHM-K</t>
        </is>
      </c>
      <c r="M127" s="256" t="inlineStr">
        <is>
          <t>iCoA-PP_26-129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iCoA-PP_26-130 17.08.26 PP</t>
        </is>
      </c>
      <c r="H128" s="256" t="inlineStr">
        <is>
          <t>iCoA-PP_26-130 17.08.26 PP</t>
        </is>
      </c>
      <c r="I128" s="256" t="inlineStr">
        <is>
          <t>220-20-К/26 26.08.26 FHM-K</t>
        </is>
      </c>
      <c r="J128" s="256" t="inlineStr">
        <is>
          <t>220-20-К/26 26.08.26 FHM-K</t>
        </is>
      </c>
      <c r="K128" s="256" t="inlineStr">
        <is>
          <t>220-20-К/26 26.08.26 FHM-K</t>
        </is>
      </c>
      <c r="L128" s="256" t="inlineStr">
        <is>
          <t>220-20-К/26 26.08.26 FHM-K</t>
        </is>
      </c>
      <c r="M128" s="256" t="inlineStr">
        <is>
          <t>iCoA-PP_26-130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iCoA-PP_26-132 17.08.26 PP</t>
        </is>
      </c>
      <c r="H129" s="256" t="inlineStr">
        <is>
          <t>iCoA-PP_26-132 17.08.26 PP</t>
        </is>
      </c>
      <c r="I129" s="256" t="inlineStr">
        <is>
          <t>220-21-К/26 26.08.26 FHM-K</t>
        </is>
      </c>
      <c r="J129" s="256" t="inlineStr">
        <is>
          <t>220-21-К/26 26.08.26 FHM-K</t>
        </is>
      </c>
      <c r="K129" s="256" t="inlineStr">
        <is>
          <t>220-21-К/26 26.08.26 FHM-K</t>
        </is>
      </c>
      <c r="L129" s="256" t="inlineStr">
        <is>
          <t>220-21-К/26 26.08.26 FHM-K</t>
        </is>
      </c>
      <c r="M129" s="256" t="inlineStr">
        <is>
          <t>iCoA-PP_26-132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iCoA-PP_26-131 17.08.26 PP</t>
        </is>
      </c>
      <c r="H130" s="256" t="inlineStr">
        <is>
          <t>iCoA-PP_26-131 17.08.26 PP</t>
        </is>
      </c>
      <c r="I130" s="256" t="inlineStr">
        <is>
          <t>220-22-К/26 26.08.26 FHM-K</t>
        </is>
      </c>
      <c r="J130" s="256" t="inlineStr">
        <is>
          <t>220-22-К/26 26.08.26 FHM-K</t>
        </is>
      </c>
      <c r="K130" s="256" t="inlineStr">
        <is>
          <t>220-22-К/26 26.08.26 FHM-K</t>
        </is>
      </c>
      <c r="L130" s="256" t="inlineStr">
        <is>
          <t>220-22-К/26 26.08.26 FHM-K</t>
        </is>
      </c>
      <c r="M130" s="256" t="inlineStr">
        <is>
          <t>iCoA-PP_26-131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iCoA-PP_26-137 17.08.26 PP</t>
        </is>
      </c>
      <c r="H131" s="256" t="inlineStr">
        <is>
          <t>iCoA-PP_26-137 17.08.26 PP</t>
        </is>
      </c>
      <c r="I131" s="256" t="inlineStr">
        <is>
          <t>220-23-К/26 26.08.26 FHM-K</t>
        </is>
      </c>
      <c r="J131" s="256" t="inlineStr">
        <is>
          <t>220-23-К/26 26.08.26 FHM-K</t>
        </is>
      </c>
      <c r="K131" s="256" t="inlineStr">
        <is>
          <t>220-23-К/26 26.08.26 FHM-K</t>
        </is>
      </c>
      <c r="L131" s="256" t="inlineStr">
        <is>
          <t>220-23-К/26 26.08.26 FHM-K</t>
        </is>
      </c>
      <c r="M131" s="256" t="inlineStr">
        <is>
          <t>iCoA-PP_26-137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iCoA-PP_26-138 17.08.26 PP</t>
        </is>
      </c>
      <c r="H132" s="256" t="inlineStr">
        <is>
          <t>iCoA-PP_26-138 17.08.26 PP</t>
        </is>
      </c>
      <c r="I132" s="256" t="inlineStr">
        <is>
          <t>220-24-К/26 26.08.26 FHM-K</t>
        </is>
      </c>
      <c r="J132" s="256" t="inlineStr">
        <is>
          <t>220-24-К/26 26.08.26 FHM-K</t>
        </is>
      </c>
      <c r="K132" s="256" t="inlineStr">
        <is>
          <t>220-24-К/26 26.08.26 FHM-K</t>
        </is>
      </c>
      <c r="L132" s="256" t="inlineStr">
        <is>
          <t>220-24-К/26 26.08.26 FHM-K</t>
        </is>
      </c>
      <c r="M132" s="256" t="inlineStr">
        <is>
          <t>iCoA-PP_26-138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iCoA-PP_26-139 17.08.26 PP*</t>
        </is>
      </c>
      <c r="H133" s="256" t="inlineStr">
        <is>
          <t>iCoA-PP_26-139 17.08.26 PP*</t>
        </is>
      </c>
      <c r="I133" s="256" t="inlineStr">
        <is>
          <t>220-25-К/26 26.08.26 FHM-K</t>
        </is>
      </c>
      <c r="J133" s="256" t="inlineStr">
        <is>
          <t>220-25-К/26 26.08.26 FHM-K</t>
        </is>
      </c>
      <c r="K133" s="256" t="inlineStr">
        <is>
          <t>220-25-К/26 26.08.26 FHM-K</t>
        </is>
      </c>
      <c r="L133" s="256" t="inlineStr">
        <is>
          <t>220-25-К/26 26.08.26 FHM-K</t>
        </is>
      </c>
      <c r="M133" s="256" t="inlineStr">
        <is>
          <t>iCoA-PP_26-139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iCoA-PP_26-140 17.08.26 PP</t>
        </is>
      </c>
      <c r="H134" s="256" t="inlineStr">
        <is>
          <t>iCoA-PP_26-140 17.08.26 PP</t>
        </is>
      </c>
      <c r="I134" s="256" t="inlineStr">
        <is>
          <t>220-26-К/26 26.08.26 FHM-K</t>
        </is>
      </c>
      <c r="J134" s="256" t="inlineStr">
        <is>
          <t>220-26-К/26 26.08.26 FHM-K</t>
        </is>
      </c>
      <c r="K134" s="256" t="inlineStr">
        <is>
          <t>220-26-К/26 26.08.26 FHM-K</t>
        </is>
      </c>
      <c r="L134" s="256" t="inlineStr">
        <is>
          <t>220-26-К/26 26.08.26 FHM-K</t>
        </is>
      </c>
      <c r="M134" s="256" t="inlineStr">
        <is>
          <t>iCoA-PP_26-140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iCoA-PP_26-141 17.08.26 PP</t>
        </is>
      </c>
      <c r="H135" s="256" t="inlineStr">
        <is>
          <t>iCoA-PP_26-141 17.08.26 PP*</t>
        </is>
      </c>
      <c r="I135" s="256" t="inlineStr">
        <is>
          <t>220-27-К/26 26.08.26 FHM-K</t>
        </is>
      </c>
      <c r="J135" s="256" t="inlineStr">
        <is>
          <t>220-27-К/26 26.08.26 FHM-K</t>
        </is>
      </c>
      <c r="K135" s="256" t="inlineStr">
        <is>
          <t>220-27-К/26 26.08.26 FHM-K</t>
        </is>
      </c>
      <c r="L135" s="256" t="inlineStr">
        <is>
          <t>220-27-К/26 26.08.26 FHM-K</t>
        </is>
      </c>
      <c r="M135" s="256" t="inlineStr">
        <is>
          <t>iCoA-PP_26-141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iCoA-PP_26-142 17.08.26 PP</t>
        </is>
      </c>
      <c r="H136" s="256" t="inlineStr">
        <is>
          <t>iCoA-PP_26-142 17.08.26 PP</t>
        </is>
      </c>
      <c r="I136" s="256" t="inlineStr">
        <is>
          <t>220-28-К/26 26.08.26 FHM-K</t>
        </is>
      </c>
      <c r="J136" s="256" t="inlineStr">
        <is>
          <t>220-28-К/26 26.08.26 FHM-K</t>
        </is>
      </c>
      <c r="K136" s="256" t="inlineStr">
        <is>
          <t>220-28-К/26 26.08.26 FHM-K</t>
        </is>
      </c>
      <c r="L136" s="256" t="inlineStr">
        <is>
          <t>220-28-К/26 26.08.26 FHM-K</t>
        </is>
      </c>
      <c r="M136" s="256" t="inlineStr">
        <is>
          <t>iCoA-PP_26-142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iCoA-PP_26-163 24.08.26 PP</t>
        </is>
      </c>
      <c r="H137" s="256" t="inlineStr">
        <is>
          <t>iCoA-PP_26-163 24.08.26 PP*</t>
        </is>
      </c>
      <c r="I137" s="256" t="inlineStr">
        <is>
          <t>227-30-К/26 11.09.26 FHM-K</t>
        </is>
      </c>
      <c r="J137" s="256" t="inlineStr">
        <is>
          <t>227-30-К/26 11.09.26 FHM-K</t>
        </is>
      </c>
      <c r="K137" s="256" t="inlineStr">
        <is>
          <t>227-30-К/26 11.09.26 FHM-K</t>
        </is>
      </c>
      <c r="L137" s="256" t="inlineStr">
        <is>
          <t>227-30-К/26 11.09.26 FHM-K</t>
        </is>
      </c>
      <c r="M137" s="256" t="inlineStr">
        <is>
          <t>iCoA-PP_26-163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iCoA-PP_26-164 24.08.26 PP</t>
        </is>
      </c>
      <c r="H138" s="256" t="inlineStr">
        <is>
          <t>iCoA-PP_26-164 24.08.26 PP*</t>
        </is>
      </c>
      <c r="I138" s="256" t="inlineStr">
        <is>
          <t>227-29-К/26 11.09.26 FHM-K</t>
        </is>
      </c>
      <c r="J138" s="256" t="inlineStr">
        <is>
          <t>227-29-К/26 11.09.26 FHM-K</t>
        </is>
      </c>
      <c r="K138" s="256" t="inlineStr">
        <is>
          <t>227-29-К/26 11.09.26 FHM-K</t>
        </is>
      </c>
      <c r="L138" s="256" t="inlineStr">
        <is>
          <t>227-29-К/26 11.09.26 FHM-K</t>
        </is>
      </c>
      <c r="M138" s="256" t="inlineStr">
        <is>
          <t>iCoA-PP_26-164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iCoA-PP_26-143 24.08.26 PP*</t>
        </is>
      </c>
      <c r="H139" s="256" t="inlineStr">
        <is>
          <t>iCoA-PP_26-143 24.08.26 PP*</t>
        </is>
      </c>
      <c r="I139" s="256" t="inlineStr">
        <is>
          <t>227-1-К/26 11.09.26 FHM-K</t>
        </is>
      </c>
      <c r="J139" s="256" t="inlineStr">
        <is>
          <t>227-1-К/26 11.09.26 FHM-K</t>
        </is>
      </c>
      <c r="K139" s="256" t="inlineStr">
        <is>
          <t>227-1-К/26 11.09.26 FHM-K</t>
        </is>
      </c>
      <c r="L139" s="256" t="inlineStr">
        <is>
          <t>227-1-К/26 11.09.26 FHM-K</t>
        </is>
      </c>
      <c r="M139" s="256" t="inlineStr">
        <is>
          <t>iCoA-PP_26-143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iCoA-PP_26-165 24.08.26 PP*</t>
        </is>
      </c>
      <c r="H140" s="256" t="inlineStr">
        <is>
          <t>iCoA-PP_26-165 24.08.26 PP*</t>
        </is>
      </c>
      <c r="I140" s="256" t="inlineStr">
        <is>
          <t>227-25-К/26 11.09.26 FHM-K</t>
        </is>
      </c>
      <c r="J140" s="256" t="inlineStr">
        <is>
          <t>227-25-К/26 11.09.26 FHM-K</t>
        </is>
      </c>
      <c r="K140" s="256" t="inlineStr">
        <is>
          <t>227-25-К/26 11.09.26 FHM-K</t>
        </is>
      </c>
      <c r="L140" s="256" t="inlineStr">
        <is>
          <t>227-25-К/26 11.09.26 FHM-K</t>
        </is>
      </c>
      <c r="M140" s="256" t="inlineStr">
        <is>
          <t>iCoA-PP_26-165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iCoA-PP_26-166 24.08.26 PP</t>
        </is>
      </c>
      <c r="H141" s="256" t="inlineStr">
        <is>
          <t>iCoA-PP_26-166 24.08.26 PP*</t>
        </is>
      </c>
      <c r="I141" s="256" t="inlineStr">
        <is>
          <t>227-28-К/26 11.09.26 FHM-K</t>
        </is>
      </c>
      <c r="J141" s="256" t="inlineStr">
        <is>
          <t>227-28-К/26 11.09.26 FHM-K</t>
        </is>
      </c>
      <c r="K141" s="256" t="inlineStr">
        <is>
          <t>227-28-К/26 11.09.26 FHM-K</t>
        </is>
      </c>
      <c r="L141" s="256" t="inlineStr">
        <is>
          <t>227-28-К/26 11.09.26 FHM-K</t>
        </is>
      </c>
      <c r="M141" s="256" t="inlineStr">
        <is>
          <t>iCoA-PP_26-166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iCoA-PP_26-167 24.08.26 PP*</t>
        </is>
      </c>
      <c r="H142" s="256" t="inlineStr">
        <is>
          <t>iCoA-PP_26-167 24.08.26 PP*</t>
        </is>
      </c>
      <c r="I142" s="256" t="inlineStr">
        <is>
          <t>227-27-К/26 11.09.26 FHM-K</t>
        </is>
      </c>
      <c r="J142" s="256" t="inlineStr">
        <is>
          <t>227-27-К/26 11.09.26 FHM-K</t>
        </is>
      </c>
      <c r="K142" s="256" t="inlineStr">
        <is>
          <t>227-27-К/26 11.09.26 FHM-K</t>
        </is>
      </c>
      <c r="L142" s="256" t="inlineStr">
        <is>
          <t>227-27-К/26 11.09.26 FHM-K</t>
        </is>
      </c>
      <c r="M142" s="256" t="inlineStr">
        <is>
          <t>iCoA-PP_26-167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iCoA-PP_26-168 24.08.26 PP</t>
        </is>
      </c>
      <c r="H143" s="256" t="inlineStr">
        <is>
          <t>iCoA-PP_26-168 24.08.26 PP*</t>
        </is>
      </c>
      <c r="I143" s="256" t="inlineStr">
        <is>
          <t>227-26-К/26 11.09.26 FHM-K</t>
        </is>
      </c>
      <c r="J143" s="256" t="inlineStr">
        <is>
          <t>227-26-К/26 11.09.26 FHM-K</t>
        </is>
      </c>
      <c r="K143" s="256" t="inlineStr">
        <is>
          <t>227-26-К/26 11.09.26 FHM-K</t>
        </is>
      </c>
      <c r="L143" s="256" t="inlineStr">
        <is>
          <t>227-26-К/26 11.09.26 FHM-K</t>
        </is>
      </c>
      <c r="M143" s="256" t="inlineStr">
        <is>
          <t>iCoA-PP_26-168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 3661/2026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6" t="inlineStr">
        <is>
          <t>3661/2026 22.06.26 IJZ (initial)</t>
        </is>
      </c>
      <c r="R144" s="256" t="inlineStr">
        <is>
          <t>3661/2026 22.06.26 IJZ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 3663/2026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6" t="inlineStr">
        <is>
          <t>3663/2026 22.06.26 IJZ (initial)</t>
        </is>
      </c>
      <c r="R145" s="256" t="inlineStr">
        <is>
          <t>3663/2026 22.06.26 IJZ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iCoA-PP_26-171 24.08.26 PP*</t>
        </is>
      </c>
      <c r="H146" s="256" t="inlineStr">
        <is>
          <t>iCoA-PP_26-171 24.08.26 PP*</t>
        </is>
      </c>
      <c r="I146" s="256" t="inlineStr">
        <is>
          <t>227-22-К/26 11.09.26 FHM-K</t>
        </is>
      </c>
      <c r="J146" s="256" t="inlineStr">
        <is>
          <t>227-22-К/26 11.09.26 FHM-K</t>
        </is>
      </c>
      <c r="K146" s="256" t="inlineStr">
        <is>
          <t>227-22-К/26 11.09.26 FHM-K</t>
        </is>
      </c>
      <c r="L146" s="256" t="inlineStr">
        <is>
          <t>227-22-К/26 11.09.26 FHM-K</t>
        </is>
      </c>
      <c r="M146" s="256" t="inlineStr">
        <is>
          <t>iCoA-PP_26-171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iCoA-PP_26-172 24.08.26 PP*</t>
        </is>
      </c>
      <c r="H147" s="256" t="inlineStr">
        <is>
          <t>iCoA-PP_26-172 24.08.26 PP*</t>
        </is>
      </c>
      <c r="I147" s="256" t="inlineStr">
        <is>
          <t>227-21-К/26 11.09.26 FHM-K</t>
        </is>
      </c>
      <c r="J147" s="256" t="inlineStr">
        <is>
          <t>227-21-К/26 11.09.26 FHM-K</t>
        </is>
      </c>
      <c r="K147" s="256" t="inlineStr">
        <is>
          <t>227-21-К/26 11.09.26 FHM-K</t>
        </is>
      </c>
      <c r="L147" s="256" t="inlineStr">
        <is>
          <t>227-21-К/26 11.09.26 FHM-K</t>
        </is>
      </c>
      <c r="M147" s="256" t="inlineStr">
        <is>
          <t>iCoA-PP_26-172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iCoA-PP_26-153 24.08.26 PP</t>
        </is>
      </c>
      <c r="H148" s="256" t="inlineStr">
        <is>
          <t>iCoA-PP_26-153 24.08.26 PP*</t>
        </is>
      </c>
      <c r="I148" s="256" t="inlineStr">
        <is>
          <t>227-19-К/26 11.09.26 FHM-K</t>
        </is>
      </c>
      <c r="J148" s="256" t="inlineStr">
        <is>
          <t>227-19-К/26 11.09.26 FHM-K</t>
        </is>
      </c>
      <c r="K148" s="256" t="inlineStr">
        <is>
          <t>227-19-К/26 11.09.26 FHM-K</t>
        </is>
      </c>
      <c r="L148" s="256" t="inlineStr">
        <is>
          <t>227-19-К/26 11.09.26 FHM-K</t>
        </is>
      </c>
      <c r="M148" s="256" t="inlineStr">
        <is>
          <t>iCoA-PP_26-153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iCoA-PP_26-154 24.08.26 PP*</t>
        </is>
      </c>
      <c r="H149" s="256" t="inlineStr">
        <is>
          <t>iCoA-PP_26-154 24.08.26 PP*</t>
        </is>
      </c>
      <c r="I149" s="256" t="inlineStr">
        <is>
          <t>227-20-К/26 11.09.26 FHM-K</t>
        </is>
      </c>
      <c r="J149" s="256" t="inlineStr">
        <is>
          <t>227-20-К/26 11.09.26 FHM-K</t>
        </is>
      </c>
      <c r="K149" s="256" t="inlineStr">
        <is>
          <t>227-20-К/26 11.09.26 FHM-K</t>
        </is>
      </c>
      <c r="L149" s="256" t="inlineStr">
        <is>
          <t>227-20-К/26 11.09.26 FHM-K</t>
        </is>
      </c>
      <c r="M149" s="256" t="inlineStr">
        <is>
          <t>iCoA-PP_26-154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iCoA-PP_26-155 24.08.26 PP</t>
        </is>
      </c>
      <c r="H150" s="256" t="inlineStr">
        <is>
          <t>iCoA-PP_26-155 24.08.26 PP*</t>
        </is>
      </c>
      <c r="I150" s="256" t="inlineStr">
        <is>
          <t>227-18-К/26 11.09.26 FHM-K</t>
        </is>
      </c>
      <c r="J150" s="256" t="inlineStr">
        <is>
          <t>227-18-К/26 11.09.26 FHM-K</t>
        </is>
      </c>
      <c r="K150" s="256" t="inlineStr">
        <is>
          <t>227-18-К/26 11.09.26 FHM-K</t>
        </is>
      </c>
      <c r="L150" s="256" t="inlineStr">
        <is>
          <t>227-18-К/26 11.09.26 FHM-K</t>
        </is>
      </c>
      <c r="M150" s="256" t="inlineStr">
        <is>
          <t>iCoA-PP_26-155 24.08.26 PP</t>
        </is>
      </c>
      <c r="N150" s="256" t="inlineStr">
        <is>
          <t>iCoA-PP_26-024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iCoA-PP_26-156 24.08.26 PP</t>
        </is>
      </c>
      <c r="H151" s="256" t="inlineStr">
        <is>
          <t>iCoA-PP_26-156 24.08.26 PP*</t>
        </is>
      </c>
      <c r="I151" s="256" t="inlineStr">
        <is>
          <t>227-17-К/26 11.09.26 FHM-K</t>
        </is>
      </c>
      <c r="J151" s="256" t="inlineStr">
        <is>
          <t>227-17-К/26 11.09.26 FHM-K</t>
        </is>
      </c>
      <c r="K151" s="256" t="inlineStr">
        <is>
          <t>227-17-К/26 11.09.26 FHM-K</t>
        </is>
      </c>
      <c r="L151" s="256" t="inlineStr">
        <is>
          <t>227-17-К/26 11.09.26 FHM-K</t>
        </is>
      </c>
      <c r="M151" s="256" t="inlineStr">
        <is>
          <t>iCoA-PP_26-156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iCoA-PP_26-144 24.08.26 PP</t>
        </is>
      </c>
      <c r="H152" s="256" t="inlineStr">
        <is>
          <t>iCoA-PP_26-144 24.08.26 PP*</t>
        </is>
      </c>
      <c r="I152" s="256" t="inlineStr">
        <is>
          <t>227-2-К/26 11.09.26 FHM-K</t>
        </is>
      </c>
      <c r="J152" s="256" t="inlineStr">
        <is>
          <t>227-2-К/26 11.09.26 FHM-K</t>
        </is>
      </c>
      <c r="K152" s="256" t="inlineStr">
        <is>
          <t>227-2-К/26 11.09.26 FHM-K</t>
        </is>
      </c>
      <c r="L152" s="256" t="inlineStr">
        <is>
          <t>227-2-К/26 11.09.26 FHM-K</t>
        </is>
      </c>
      <c r="M152" s="256" t="inlineStr">
        <is>
          <t>iCoA-PP_26-144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iCoA-PP_26-157 24.08.26 PP*</t>
        </is>
      </c>
      <c r="H153" s="256" t="inlineStr">
        <is>
          <t>iCoA-PP_26-157 24.08.26 PP*</t>
        </is>
      </c>
      <c r="I153" s="256" t="inlineStr">
        <is>
          <t>227-16-К/26 11.09.26 FHM-K</t>
        </is>
      </c>
      <c r="J153" s="256" t="inlineStr">
        <is>
          <t>227-16-К/26 11.09.26 FHM-K</t>
        </is>
      </c>
      <c r="K153" s="256" t="inlineStr">
        <is>
          <t>227-16-К/26 11.09.26 FHM-K</t>
        </is>
      </c>
      <c r="L153" s="256" t="inlineStr">
        <is>
          <t>227-16-К/26 11.09.26 FHM-K</t>
        </is>
      </c>
      <c r="M153" s="256" t="inlineStr">
        <is>
          <t>iCoA-PP_26-157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 1057/2026 —</t>
        </is>
      </c>
      <c r="G154" s="256" t="inlineStr">
        <is>
          <t>iCoA-PP_26-158 24.08.26 PP*</t>
        </is>
      </c>
      <c r="H154" s="256" t="inlineStr">
        <is>
          <t>iCoA-PP_26-158 24.08.26 PP*</t>
        </is>
      </c>
      <c r="I154" s="256" t="inlineStr">
        <is>
          <t>227-14-К/26 11.09.26 FHM-K</t>
        </is>
      </c>
      <c r="J154" s="256" t="inlineStr">
        <is>
          <t>227-14-К/26 11.09.26 FHM-K</t>
        </is>
      </c>
      <c r="K154" s="256" t="inlineStr">
        <is>
          <t>227-14-К/26 11.09.26 FHM-K</t>
        </is>
      </c>
      <c r="L154" s="256" t="inlineStr">
        <is>
          <t>227-14-К/26 11.09.26 FHM-K</t>
        </is>
      </c>
      <c r="M154" s="256" t="inlineStr">
        <is>
          <t>iCoA-PP_26-158 24.08.26 PP*</t>
        </is>
      </c>
      <c r="N154" s="256" t="inlineStr">
        <is>
          <t>051-5-ГС/26 02.03.26 FHM-K (initial); also 100-1-GS/26</t>
        </is>
      </c>
      <c r="O154" s="256" t="inlineStr">
        <is>
          <t>547/1078/26 31.08.26 IJZ-MB</t>
        </is>
      </c>
      <c r="P154" s="256" t="inlineStr">
        <is>
          <t>227-14-М/26 16.09.26 FHM-M</t>
        </is>
      </c>
      <c r="Q154" s="256" t="inlineStr">
        <is>
          <t>1057/2026 09.03.26 IJZ (initial)</t>
        </is>
      </c>
      <c r="R154" s="256" t="inlineStr">
        <is>
          <t>1057/2026 09.03.26 IJZ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iCoA-PP_26-159 24.08.26 PP*</t>
        </is>
      </c>
      <c r="H155" s="256" t="inlineStr">
        <is>
          <t>iCoA-PP_26-159 24.08.26 PP*</t>
        </is>
      </c>
      <c r="I155" s="256" t="inlineStr">
        <is>
          <t>227-13-К/26 11.09.26 FHM-K</t>
        </is>
      </c>
      <c r="J155" s="256" t="inlineStr">
        <is>
          <t>227-13-К/26 11.09.26 FHM-K</t>
        </is>
      </c>
      <c r="K155" s="256" t="inlineStr">
        <is>
          <t>227-13-К/26 11.09.26 FHM-K</t>
        </is>
      </c>
      <c r="L155" s="256" t="inlineStr">
        <is>
          <t>227-13-К/26 11.09.26 FHM-K</t>
        </is>
      </c>
      <c r="M155" s="256" t="inlineStr">
        <is>
          <t>iCoA-PP_26-159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iCoA-PP_26-160 24.08.26 PP*</t>
        </is>
      </c>
      <c r="H156" s="256" t="inlineStr">
        <is>
          <t>iCoA-PP_26-160 24.08.26 PP*</t>
        </is>
      </c>
      <c r="I156" s="256" t="inlineStr">
        <is>
          <t>227-15-К/26 11.09.26 FHM-K</t>
        </is>
      </c>
      <c r="J156" s="256" t="inlineStr">
        <is>
          <t>227-15-К/26 11.09.26 FHM-K</t>
        </is>
      </c>
      <c r="K156" s="256" t="inlineStr">
        <is>
          <t>227-15-К/26 11.09.26 FHM-K</t>
        </is>
      </c>
      <c r="L156" s="256" t="inlineStr">
        <is>
          <t>227-15-К/26 11.09.26 FHM-K</t>
        </is>
      </c>
      <c r="M156" s="256" t="inlineStr">
        <is>
          <t>iCoA-PP_26-160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iCoA-PP_26-161 24.08.26 PP</t>
        </is>
      </c>
      <c r="H157" s="256" t="inlineStr">
        <is>
          <t>iCoA-PP_26-161 24.08.26 PP*</t>
        </is>
      </c>
      <c r="I157" s="256" t="inlineStr">
        <is>
          <t>227-12-К/26 11.09.26 FHM-K</t>
        </is>
      </c>
      <c r="J157" s="256" t="inlineStr">
        <is>
          <t>227-12-К/26 11.09.26 FHM-K</t>
        </is>
      </c>
      <c r="K157" s="256" t="inlineStr">
        <is>
          <t>227-12-К/26 11.09.26 FHM-K</t>
        </is>
      </c>
      <c r="L157" s="256" t="inlineStr">
        <is>
          <t>227-12-К/26 11.09.26 FHM-K</t>
        </is>
      </c>
      <c r="M157" s="256" t="inlineStr">
        <is>
          <t>iCoA-PP_26-161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iCoA-PP_26-162 24.08.26 PP</t>
        </is>
      </c>
      <c r="H158" s="256" t="inlineStr">
        <is>
          <t>iCoA-PP_26-162 24.08.26 PP*</t>
        </is>
      </c>
      <c r="I158" s="256" t="inlineStr">
        <is>
          <t>227-11-К/26 11.09.26 FHM-K</t>
        </is>
      </c>
      <c r="J158" s="256" t="inlineStr">
        <is>
          <t>227-11-К/26 11.09.26 FHM-K</t>
        </is>
      </c>
      <c r="K158" s="256" t="inlineStr">
        <is>
          <t>227-11-К/26 11.09.26 FHM-K</t>
        </is>
      </c>
      <c r="L158" s="256" t="inlineStr">
        <is>
          <t>227-11-К/26 11.09.26 FHM-K</t>
        </is>
      </c>
      <c r="M158" s="256" t="inlineStr">
        <is>
          <t>iCoA-PP_26-162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 1062/2026 —</t>
        </is>
      </c>
      <c r="G159" s="256" t="inlineStr">
        <is>
          <t>iCoA-PP_26-145 24.08.26 PP*</t>
        </is>
      </c>
      <c r="H159" s="256" t="inlineStr">
        <is>
          <t>iCoA-PP_26-145 24.08.26 PP*</t>
        </is>
      </c>
      <c r="I159" s="256" t="inlineStr">
        <is>
          <t>227-10-К/26 11.09.26 FHM-K</t>
        </is>
      </c>
      <c r="J159" s="256" t="inlineStr">
        <is>
          <t>227-10-К/26 11.09.26 FHM-K</t>
        </is>
      </c>
      <c r="K159" s="256" t="inlineStr">
        <is>
          <t>227-10-К/26 11.09.26 FHM-K</t>
        </is>
      </c>
      <c r="L159" s="256" t="inlineStr">
        <is>
          <t>227-10-К/26 11.09.26 FHM-K</t>
        </is>
      </c>
      <c r="M159" s="256" t="inlineStr">
        <is>
          <t>iCoA-PP_26-145 24.08.26 PP*</t>
        </is>
      </c>
      <c r="N159" s="256" t="inlineStr">
        <is>
          <t>ППК26031 05.03.26 CNP (initial) DAB</t>
        </is>
      </c>
      <c r="O159" s="256" t="inlineStr">
        <is>
          <t>546/1077/26 31.08.26 IJZ-MB</t>
        </is>
      </c>
      <c r="P159" s="256" t="inlineStr">
        <is>
          <t>227-10-М/26 16.09.26 FHM-M</t>
        </is>
      </c>
      <c r="Q159" s="256" t="inlineStr">
        <is>
          <t>1062/2026 11.03.26 IJZ (initial)</t>
        </is>
      </c>
      <c r="R159" s="256" t="inlineStr">
        <is>
          <t>1062/2026 11.03.26 IJZ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iCoA-PP_26-146 24.08.26 PP</t>
        </is>
      </c>
      <c r="H160" s="256" t="inlineStr">
        <is>
          <t>iCoA-PP_26-146 24.08.26 PP*</t>
        </is>
      </c>
      <c r="I160" s="256" t="inlineStr">
        <is>
          <t>227-9-К/26 11.09.26 FHM-K</t>
        </is>
      </c>
      <c r="J160" s="256" t="inlineStr">
        <is>
          <t>227-9-К/26 11.09.26 FHM-K</t>
        </is>
      </c>
      <c r="K160" s="256" t="inlineStr">
        <is>
          <t>227-9-К/26 11.09.26 FHM-K</t>
        </is>
      </c>
      <c r="L160" s="256" t="inlineStr">
        <is>
          <t>227-9-К/26 11.09.26 FHM-K</t>
        </is>
      </c>
      <c r="M160" s="256" t="inlineStr">
        <is>
          <t>iCoA-PP_26-146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iCoA-PP_26-147 24.08.26 PP*</t>
        </is>
      </c>
      <c r="H161" s="256" t="inlineStr">
        <is>
          <t>iCoA-PP_26-147 24.08.26 PP*</t>
        </is>
      </c>
      <c r="I161" s="256" t="inlineStr">
        <is>
          <t>227-8-К/26 11.09.26 FHM-K</t>
        </is>
      </c>
      <c r="J161" s="256" t="inlineStr">
        <is>
          <t>227-8-К/26 11.09.26 FHM-K</t>
        </is>
      </c>
      <c r="K161" s="256" t="inlineStr">
        <is>
          <t>227-8-К/26 11.09.26 FHM-K</t>
        </is>
      </c>
      <c r="L161" s="256" t="inlineStr">
        <is>
          <t>227-8-К/26 11.09.26 FHM-K</t>
        </is>
      </c>
      <c r="M161" s="256" t="inlineStr">
        <is>
          <t>iCoA-PP_26-147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 3657/2026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6" t="inlineStr">
        <is>
          <t>3657/2026 22.06.26 IJZ (initial)</t>
        </is>
      </c>
      <c r="R162" s="256" t="inlineStr">
        <is>
          <t>3657/2026 22.06.26 IJZ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 1065/2026 —</t>
        </is>
      </c>
      <c r="G163" s="256" t="inlineStr">
        <is>
          <t>iCoA-PP_26-149 24.08.26 PP*</t>
        </is>
      </c>
      <c r="H163" s="256" t="inlineStr">
        <is>
          <t>iCoA-PP_26-149 24.08.26 PP*</t>
        </is>
      </c>
      <c r="I163" s="256" t="inlineStr">
        <is>
          <t>227-6-К/26 11.09.26 FHM-K</t>
        </is>
      </c>
      <c r="J163" s="256" t="inlineStr">
        <is>
          <t>227-6-К/26 11.09.26 FHM-K</t>
        </is>
      </c>
      <c r="K163" s="256" t="inlineStr">
        <is>
          <t>227-6-К/26 11.09.26 FHM-K</t>
        </is>
      </c>
      <c r="L163" s="256" t="inlineStr">
        <is>
          <t>227-6-К/26 11.09.26 FHM-K</t>
        </is>
      </c>
      <c r="M163" s="256" t="inlineStr">
        <is>
          <t>iCoA-PP_26-149 24.08.26 PP*</t>
        </is>
      </c>
      <c r="N163" s="256" t="inlineStr">
        <is>
          <t>051-3-ГС/26 02.03.26 FHM-K (initial)</t>
        </is>
      </c>
      <c r="O163" s="256" t="inlineStr">
        <is>
          <t>549/1080/26 31.08.26 IJZ-MB</t>
        </is>
      </c>
      <c r="P163" s="256" t="inlineStr">
        <is>
          <t>227-6-М/26 16.09.26 FHM-M</t>
        </is>
      </c>
      <c r="Q163" s="257" t="inlineStr">
        <is>
          <t>n/t (initial)</t>
        </is>
      </c>
      <c r="R163" s="256" t="inlineStr">
        <is>
          <t>1065/2026 11.03.26 IJZ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 1061/2026 —</t>
        </is>
      </c>
      <c r="G164" s="256" t="inlineStr">
        <is>
          <t>iCoA-PP_26-150 24.08.26 PP*</t>
        </is>
      </c>
      <c r="H164" s="256" t="inlineStr">
        <is>
          <t>iCoA-PP_26-150 24.08.26 PP*</t>
        </is>
      </c>
      <c r="I164" s="256" t="inlineStr">
        <is>
          <t>227-5-К/26 11.09.26 FHM-K</t>
        </is>
      </c>
      <c r="J164" s="256" t="inlineStr">
        <is>
          <t>227-5-К/26 11.09.26 FHM-K</t>
        </is>
      </c>
      <c r="K164" s="256" t="inlineStr">
        <is>
          <t>227-5-К/26 11.09.26 FHM-K</t>
        </is>
      </c>
      <c r="L164" s="256" t="inlineStr">
        <is>
          <t>227-5-К/26 11.09.26 FHM-K</t>
        </is>
      </c>
      <c r="M164" s="256" t="inlineStr">
        <is>
          <t>iCoA-PP_26-150 24.08.26 PP*</t>
        </is>
      </c>
      <c r="N164" s="256" t="inlineStr">
        <is>
          <t>051-2-ГС/26 02.03.26 FHM-K (initial)</t>
        </is>
      </c>
      <c r="O164" s="257" t="inlineStr">
        <is>
          <t>n/t (initial)</t>
        </is>
      </c>
      <c r="P164" s="256" t="inlineStr">
        <is>
          <t>227-5-М/26 16.09.26 FHM-M</t>
        </is>
      </c>
      <c r="Q164" s="256" t="inlineStr">
        <is>
          <t>1061/2026 09.03.26 IJZ (initial)</t>
        </is>
      </c>
      <c r="R164" s="256" t="inlineStr">
        <is>
          <t>1061/2026 09.03.26 IJZ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iCoA-PP_26-151 24.08.26 PP*</t>
        </is>
      </c>
      <c r="H165" s="256" t="inlineStr">
        <is>
          <t>iCoA-PP_26-151 24.08.26 PP*</t>
        </is>
      </c>
      <c r="I165" s="256" t="inlineStr">
        <is>
          <t>227-3-К/26 11.09.26 FHM-K</t>
        </is>
      </c>
      <c r="J165" s="256" t="inlineStr">
        <is>
          <t>227-3-К/26 11.09.26 FHM-K</t>
        </is>
      </c>
      <c r="K165" s="256" t="inlineStr">
        <is>
          <t>227-3-К/26 11.09.26 FHM-K</t>
        </is>
      </c>
      <c r="L165" s="256" t="inlineStr">
        <is>
          <t>227-3-К/26 11.09.26 FHM-K</t>
        </is>
      </c>
      <c r="M165" s="256" t="inlineStr">
        <is>
          <t>iCoA-PP_26-151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 329/2026 —</t>
        </is>
      </c>
      <c r="G166" s="256" t="inlineStr">
        <is>
          <t>iCoA-PP_26-152 24.08.26 PP*</t>
        </is>
      </c>
      <c r="H166" s="256" t="inlineStr">
        <is>
          <t>iCoA-PP_26-152 24.08.26 PP*</t>
        </is>
      </c>
      <c r="I166" s="256" t="inlineStr">
        <is>
          <t>227-4-К/26 11.09.26 FHM-K</t>
        </is>
      </c>
      <c r="J166" s="256" t="inlineStr">
        <is>
          <t>227-4-К/26 11.09.26 FHM-K</t>
        </is>
      </c>
      <c r="K166" s="256" t="inlineStr">
        <is>
          <t>227-4-К/26 11.09.26 FHM-K</t>
        </is>
      </c>
      <c r="L166" s="256" t="inlineStr">
        <is>
          <t>227-4-К/26 11.09.26 FHM-K</t>
        </is>
      </c>
      <c r="M166" s="256" t="inlineStr">
        <is>
          <t>iCoA-PP_26-152 24.08.26 PP*</t>
        </is>
      </c>
      <c r="N166" s="256" t="inlineStr">
        <is>
          <t>031-3-ГС/26 12.02.26 FHM</t>
        </is>
      </c>
      <c r="O166" s="256" t="inlineStr">
        <is>
          <t>551/1082/26 01.09.26 IJZ-MB</t>
        </is>
      </c>
      <c r="P166" s="256" t="inlineStr">
        <is>
          <t>227-4-М/26 16.09.26 FHM-M</t>
        </is>
      </c>
      <c r="Q166" s="256" t="inlineStr">
        <is>
          <t>329/2026 11.02.26 IJZ (initial)</t>
        </is>
      </c>
      <c r="R166" s="256" t="inlineStr">
        <is>
          <t>329/2026 11.02.26 IJZ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iCoA-PP_26-078 03.06.26 PP*</t>
        </is>
      </c>
      <c r="H167" s="256" t="inlineStr">
        <is>
          <t>iCoA-PP_26-078 03.06.26 PP*</t>
        </is>
      </c>
      <c r="I167" s="256" t="inlineStr">
        <is>
          <t>to be performed</t>
        </is>
      </c>
      <c r="J167" s="257" t="inlineStr">
        <is>
          <t>n/t</t>
        </is>
      </c>
      <c r="K167" s="257" t="inlineStr">
        <is>
          <t>n/t</t>
        </is>
      </c>
      <c r="L167" s="257" t="inlineStr">
        <is>
          <t>n/t</t>
        </is>
      </c>
      <c r="M167" s="256" t="inlineStr">
        <is>
          <t>iCoA-PP_26-078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iCoA-PP_26-079 03.06.26 PP*</t>
        </is>
      </c>
      <c r="H168" s="256" t="inlineStr">
        <is>
          <t>iCoA-PP_26-079 03.06.26 PP*</t>
        </is>
      </c>
      <c r="I168" s="256" t="inlineStr">
        <is>
          <t>to be performed</t>
        </is>
      </c>
      <c r="J168" s="257" t="inlineStr">
        <is>
          <t>n/t</t>
        </is>
      </c>
      <c r="K168" s="257" t="inlineStr">
        <is>
          <t>n/t</t>
        </is>
      </c>
      <c r="L168" s="257" t="inlineStr">
        <is>
          <t>n/t</t>
        </is>
      </c>
      <c r="M168" s="256" t="inlineStr">
        <is>
          <t>iCoA-PP_26-079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 3656/2026 —</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3656/2026 22.06.26 IJZ; n/t 10.1,10.3</t>
        </is>
      </c>
      <c r="Q169" s="256" t="inlineStr">
        <is>
          <t>3656/2026 22.06.26 IJZ</t>
        </is>
      </c>
      <c r="R169" s="256" t="inlineStr">
        <is>
          <t>3656/2026 22.06.26 IJZ</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 3655/2026 —</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3655/2026 22.06.26 IJZ; n/t 10.1,10.3</t>
        </is>
      </c>
      <c r="Q170" s="256" t="inlineStr">
        <is>
          <t>3655/2026 22.06.26 IJZ</t>
        </is>
      </c>
      <c r="R170" s="256" t="inlineStr">
        <is>
          <t>3655/2026 22.06.26 IJZ</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 3654/2026 —</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3654/2026 22.06.26 IJZ; n/t 10.1,10.3</t>
        </is>
      </c>
      <c r="Q171" s="256" t="inlineStr">
        <is>
          <t>3654/2026 22.06.26 IJZ</t>
        </is>
      </c>
      <c r="R171" s="256" t="inlineStr">
        <is>
          <t>3654/2026 22.06.26 IJZ</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iCoA-PP_26-134 17.08.26 PP*</t>
        </is>
      </c>
      <c r="H172" s="256" t="inlineStr">
        <is>
          <t>iCoA-PP_26-134 17.08.26 PP*</t>
        </is>
      </c>
      <c r="I172" s="256" t="inlineStr">
        <is>
          <t>220-32-К/26 26.08.26 FHM-K</t>
        </is>
      </c>
      <c r="J172" s="256" t="inlineStr">
        <is>
          <t>220-32-К/26 26.08.26 FHM-K</t>
        </is>
      </c>
      <c r="K172" s="256" t="inlineStr">
        <is>
          <t>220-32-К/26 26.08.26 FHM-K</t>
        </is>
      </c>
      <c r="L172" s="256" t="inlineStr">
        <is>
          <t>220-32-К/26 26.08.26 FHM-K</t>
        </is>
      </c>
      <c r="M172" s="256" t="inlineStr">
        <is>
          <t>iCoA-PP_26-134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iCoA-PP_26-135 17.08.26 PP*</t>
        </is>
      </c>
      <c r="H173" s="256" t="inlineStr">
        <is>
          <t>iCoA-PP_26-135 17.08.26 PP*</t>
        </is>
      </c>
      <c r="I173" s="256" t="inlineStr">
        <is>
          <t>220-31-К/26 26.08.26 FHM-K</t>
        </is>
      </c>
      <c r="J173" s="256" t="inlineStr">
        <is>
          <t>220-31-К/26 26.08.26 FHM-K</t>
        </is>
      </c>
      <c r="K173" s="256" t="inlineStr">
        <is>
          <t>220-31-К/26 26.08.26 FHM-K</t>
        </is>
      </c>
      <c r="L173" s="256" t="inlineStr">
        <is>
          <t>220-31-К/26 26.08.26 FHM-K</t>
        </is>
      </c>
      <c r="M173" s="256" t="inlineStr">
        <is>
          <t>iCoA-PP_26-135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2" t="n">
        <v>12</v>
      </c>
      <c r="E2" s="252" t="n">
        <v>1.2</v>
      </c>
      <c r="F2" s="252" t="n">
        <v>10.8</v>
      </c>
      <c r="G2" s="252"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2" t="n">
        <v>18</v>
      </c>
      <c r="E3" s="252" t="n">
        <v>1.8</v>
      </c>
      <c r="F3" s="252" t="n">
        <v>16.2</v>
      </c>
      <c r="G3" s="252"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2" t="n">
        <v>22</v>
      </c>
      <c r="E4" s="252" t="n">
        <v>2.2</v>
      </c>
      <c r="F4" s="252" t="n">
        <v>19.8</v>
      </c>
      <c r="G4" s="252"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2" t="n">
        <v>22</v>
      </c>
      <c r="E5" s="252" t="n">
        <v>2.2</v>
      </c>
      <c r="F5" s="252" t="n">
        <v>19.8</v>
      </c>
      <c r="G5" s="252"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2" t="n">
        <v>26</v>
      </c>
      <c r="E6" s="252" t="n">
        <v>1.8</v>
      </c>
      <c r="F6" s="252" t="n">
        <v>24.2</v>
      </c>
      <c r="G6" s="252"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2" t="n">
        <v>20</v>
      </c>
      <c r="E7" s="252" t="n">
        <v>1.89</v>
      </c>
      <c r="F7" s="252" t="n">
        <v>18.11</v>
      </c>
      <c r="G7" s="252"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2" t="n">
        <v>24</v>
      </c>
      <c r="E8" s="252" t="n">
        <v>2.11</v>
      </c>
      <c r="F8" s="252" t="n">
        <v>21.89</v>
      </c>
      <c r="G8" s="252"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2" t="n">
        <v>28</v>
      </c>
      <c r="E9" s="252" t="n">
        <v>1.93</v>
      </c>
      <c r="F9" s="252" t="n">
        <v>26.07</v>
      </c>
      <c r="G9" s="252"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2" t="n">
        <v>14</v>
      </c>
      <c r="E10" s="252" t="n">
        <v>1.4</v>
      </c>
      <c r="F10" s="252" t="n">
        <v>12.6</v>
      </c>
      <c r="G10" s="252"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2" t="n">
        <v>17</v>
      </c>
      <c r="E11" s="252" t="n">
        <v>1.4</v>
      </c>
      <c r="F11" s="252" t="n">
        <v>15.6</v>
      </c>
      <c r="G11" s="252"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2" t="n">
        <v>20</v>
      </c>
      <c r="E12" s="252" t="n">
        <v>1.6</v>
      </c>
      <c r="F12" s="252" t="n">
        <v>18.4</v>
      </c>
      <c r="G12" s="252"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2" t="n">
        <v>24</v>
      </c>
      <c r="E13" s="252" t="n">
        <v>2.4</v>
      </c>
      <c r="F13" s="252" t="n">
        <v>21.6</v>
      </c>
      <c r="G13" s="252"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2" t="n">
        <v>28</v>
      </c>
      <c r="E14" s="252" t="n">
        <v>1.6</v>
      </c>
      <c r="F14" s="252" t="n">
        <v>26.4</v>
      </c>
      <c r="G14" s="252"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2" t="n">
        <v>14</v>
      </c>
      <c r="E15" s="252" t="n">
        <v>1.35</v>
      </c>
      <c r="F15" s="252" t="n">
        <v>12.65</v>
      </c>
      <c r="G15" s="252"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2" t="n">
        <v>17</v>
      </c>
      <c r="E16" s="252" t="n">
        <v>1.65</v>
      </c>
      <c r="F16" s="252" t="n">
        <v>15.35</v>
      </c>
      <c r="G16" s="252"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2" t="n">
        <v>10</v>
      </c>
      <c r="E17" s="252" t="n">
        <v>1</v>
      </c>
      <c r="F17" s="252" t="n">
        <v>9</v>
      </c>
      <c r="G17" s="252"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2" t="n">
        <v>8</v>
      </c>
      <c r="E18" s="252" t="n">
        <v>0.8</v>
      </c>
      <c r="F18" s="252" t="n">
        <v>7.2</v>
      </c>
      <c r="G18" s="252"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2" t="n">
        <v>12</v>
      </c>
      <c r="E19" s="252" t="n">
        <v>1.2</v>
      </c>
      <c r="F19" s="252" t="n">
        <v>10.8</v>
      </c>
      <c r="G19" s="252"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2" t="n">
        <v>15</v>
      </c>
      <c r="E20" s="252" t="n">
        <v>1.2</v>
      </c>
      <c r="F20" s="252" t="n">
        <v>13.8</v>
      </c>
      <c r="G20" s="252"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2" t="n">
        <v>18</v>
      </c>
      <c r="E21" s="252" t="n">
        <v>1.8</v>
      </c>
      <c r="F21" s="252" t="n">
        <v>16.2</v>
      </c>
      <c r="G21" s="252"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2" t="n">
        <v>22</v>
      </c>
      <c r="E22" s="252" t="n">
        <v>2.2</v>
      </c>
      <c r="F22" s="252" t="n">
        <v>19.8</v>
      </c>
      <c r="G22" s="252"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2" t="n">
        <v>15</v>
      </c>
      <c r="E23" s="252" t="n">
        <v>1.23</v>
      </c>
      <c r="F23" s="252" t="n">
        <v>13.77</v>
      </c>
      <c r="G23" s="252"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2" t="n">
        <v>18</v>
      </c>
      <c r="E24" s="252" t="n">
        <v>1.77</v>
      </c>
      <c r="F24" s="252" t="n">
        <v>16.23</v>
      </c>
      <c r="G24" s="252"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2" t="n">
        <v>16</v>
      </c>
      <c r="E25" s="252" t="n">
        <v>1.6</v>
      </c>
      <c r="F25" s="252" t="n">
        <v>14.4</v>
      </c>
      <c r="G25" s="252"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2" t="n">
        <v>20</v>
      </c>
      <c r="E26" s="252" t="n">
        <v>2</v>
      </c>
      <c r="F26" s="252" t="n">
        <v>18</v>
      </c>
      <c r="G26" s="252"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2" t="n">
        <v>24</v>
      </c>
      <c r="E27" s="252" t="n">
        <v>2</v>
      </c>
      <c r="F27" s="252" t="n">
        <v>22</v>
      </c>
      <c r="G27" s="252"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2" t="n">
        <v>28</v>
      </c>
      <c r="E28" s="252" t="n">
        <v>2</v>
      </c>
      <c r="F28" s="252" t="n">
        <v>26</v>
      </c>
      <c r="G28" s="252"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2" t="n">
        <v>8</v>
      </c>
      <c r="E29" s="252" t="n">
        <v>0.8</v>
      </c>
      <c r="F29" s="252" t="n">
        <v>7.2</v>
      </c>
      <c r="G29" s="252"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2" t="n">
        <v>10</v>
      </c>
      <c r="E30" s="252" t="n">
        <v>1</v>
      </c>
      <c r="F30" s="252" t="n">
        <v>9</v>
      </c>
      <c r="G30" s="252"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2" t="n">
        <v>12</v>
      </c>
      <c r="E31" s="252" t="n">
        <v>1</v>
      </c>
      <c r="F31" s="252" t="n">
        <v>11</v>
      </c>
      <c r="G31" s="252"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2" t="n">
        <v>15</v>
      </c>
      <c r="E32" s="252" t="n">
        <v>1.2</v>
      </c>
      <c r="F32" s="252" t="n">
        <v>13.8</v>
      </c>
      <c r="G32" s="252"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2" t="n">
        <v>18</v>
      </c>
      <c r="E33" s="252" t="n">
        <v>1.8</v>
      </c>
      <c r="F33" s="252" t="n">
        <v>16.2</v>
      </c>
      <c r="G33" s="252"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2" t="n">
        <v>22</v>
      </c>
      <c r="E34" s="252" t="n">
        <v>2.2</v>
      </c>
      <c r="F34" s="252" t="n">
        <v>19.8</v>
      </c>
      <c r="G34" s="252"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2" t="n">
        <v>15</v>
      </c>
      <c r="E35" s="252" t="n">
        <v>1.2</v>
      </c>
      <c r="F35" s="252" t="n">
        <v>13.8</v>
      </c>
      <c r="G35" s="252"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2" t="n">
        <v>18</v>
      </c>
      <c r="E36" s="252" t="n">
        <v>1.8</v>
      </c>
      <c r="F36" s="252" t="n">
        <v>16.2</v>
      </c>
      <c r="G36" s="252"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2" t="n">
        <v>22</v>
      </c>
      <c r="E37" s="252" t="n">
        <v>2.2</v>
      </c>
      <c r="F37" s="252" t="n">
        <v>19.8</v>
      </c>
      <c r="G37" s="252"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2" t="n">
        <v>18</v>
      </c>
      <c r="E38" s="252" t="n">
        <v>1.8</v>
      </c>
      <c r="F38" s="252" t="n">
        <v>16.2</v>
      </c>
      <c r="G38" s="252"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2" t="n">
        <v>22</v>
      </c>
      <c r="E39" s="252" t="n">
        <v>2.2</v>
      </c>
      <c r="F39" s="252" t="n">
        <v>19.8</v>
      </c>
      <c r="G39" s="252"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2" t="n">
        <v>26</v>
      </c>
      <c r="E40" s="252" t="n">
        <v>1.8</v>
      </c>
      <c r="F40" s="252" t="n">
        <v>24.2</v>
      </c>
      <c r="G40" s="252"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2" t="n">
        <v>18</v>
      </c>
      <c r="E41" s="252" t="n">
        <v>1.8</v>
      </c>
      <c r="F41" s="252" t="n">
        <v>16.2</v>
      </c>
      <c r="G41" s="252"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2" t="n">
        <v>18</v>
      </c>
      <c r="E42" s="252" t="n">
        <v>1.8</v>
      </c>
      <c r="F42" s="252" t="n">
        <v>16.2</v>
      </c>
      <c r="G42" s="252"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2" t="n">
        <v>8</v>
      </c>
      <c r="E43" s="252" t="n">
        <v>0.8</v>
      </c>
      <c r="F43" s="252" t="n">
        <v>7.2</v>
      </c>
      <c r="G43" s="252"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2" t="n">
        <v>10</v>
      </c>
      <c r="E44" s="252" t="n">
        <v>1</v>
      </c>
      <c r="F44" s="252" t="n">
        <v>9</v>
      </c>
      <c r="G44" s="252"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2" t="n">
        <v>14</v>
      </c>
      <c r="E45" s="252" t="n">
        <v>1.4</v>
      </c>
      <c r="F45" s="252" t="n">
        <v>12.6</v>
      </c>
      <c r="G45" s="252"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2" t="n">
        <v>17</v>
      </c>
      <c r="E46" s="252" t="n">
        <v>1.6</v>
      </c>
      <c r="F46" s="252" t="n">
        <v>15.4</v>
      </c>
      <c r="G46" s="252"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2" t="n">
        <v>20</v>
      </c>
      <c r="E47" s="252" t="n">
        <v>1.4</v>
      </c>
      <c r="F47" s="252" t="n">
        <v>18.6</v>
      </c>
      <c r="G47" s="252"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2" t="n">
        <v>10</v>
      </c>
      <c r="E48" s="252" t="n">
        <v>1</v>
      </c>
      <c r="F48" s="252" t="n">
        <v>9</v>
      </c>
      <c r="G48" s="252"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2" t="n">
        <v>12</v>
      </c>
      <c r="E49" s="252" t="n">
        <v>1</v>
      </c>
      <c r="F49" s="252" t="n">
        <v>11</v>
      </c>
      <c r="G49" s="252"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2" t="n">
        <v>14</v>
      </c>
      <c r="E50" s="252" t="n">
        <v>1</v>
      </c>
      <c r="F50" s="252" t="n">
        <v>13</v>
      </c>
      <c r="G50" s="252"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2" t="n">
        <v>14</v>
      </c>
      <c r="E51" s="252" t="n">
        <v>1.4</v>
      </c>
      <c r="F51" s="252" t="n">
        <v>12.6</v>
      </c>
      <c r="G51" s="252"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2" t="n">
        <v>18</v>
      </c>
      <c r="E52" s="252" t="n">
        <v>1.8</v>
      </c>
      <c r="F52" s="252" t="n">
        <v>16.2</v>
      </c>
      <c r="G52" s="252"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2" t="n">
        <v>22</v>
      </c>
      <c r="E53" s="252" t="n">
        <v>2.2</v>
      </c>
      <c r="F53" s="252" t="n">
        <v>19.8</v>
      </c>
      <c r="G53" s="252"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2" t="n">
        <v>10</v>
      </c>
      <c r="E54" s="252" t="n">
        <v>1</v>
      </c>
      <c r="F54" s="252" t="n">
        <v>9</v>
      </c>
      <c r="G54" s="252"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2" t="n">
        <v>12</v>
      </c>
      <c r="E55" s="252" t="n">
        <v>1</v>
      </c>
      <c r="F55" s="252" t="n">
        <v>11</v>
      </c>
      <c r="G55" s="252"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2" t="n">
        <v>22</v>
      </c>
      <c r="E56" s="252" t="n">
        <v>1.4</v>
      </c>
      <c r="F56" s="252" t="n">
        <v>20.6</v>
      </c>
      <c r="G56" s="252"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2" t="n">
        <v>26</v>
      </c>
      <c r="E57" s="252" t="n">
        <v>2.6</v>
      </c>
      <c r="F57" s="252" t="n">
        <v>23.4</v>
      </c>
      <c r="G57" s="252"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2" t="n">
        <v>26</v>
      </c>
      <c r="E58" s="252" t="n">
        <v>2.6</v>
      </c>
      <c r="F58" s="252" t="n">
        <v>23.4</v>
      </c>
      <c r="G58" s="252"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 mg/kg — all 29 residues</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 mg/kg — all 29 residues</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 mg/kg — all 29 residues</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29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iCoA-PP_26-007</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iCoA-PP_26-007</t>
        </is>
      </c>
      <c r="AG8" s="256" t="inlineStr">
        <is>
          <t>03.06.2026</t>
        </is>
      </c>
      <c r="AH8" s="256" t="inlineStr">
        <is>
          <t>Purely Plant GmbH (in-house)</t>
        </is>
      </c>
      <c r="AI8" s="256" t="inlineStr">
        <is>
          <t>Conforms | Одговара</t>
        </is>
      </c>
      <c r="AJ8" s="256" t="inlineStr">
        <is>
          <t>iCoA-PP_26-007</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iCoA-PP_26-007</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iCoA-PP_26-008</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iCoA-PP_26-008</t>
        </is>
      </c>
      <c r="AG9" s="256" t="inlineStr">
        <is>
          <t>03.06.2026</t>
        </is>
      </c>
      <c r="AH9" s="256" t="inlineStr">
        <is>
          <t>Purely Plant GmbH (in-house)</t>
        </is>
      </c>
      <c r="AI9" s="256" t="inlineStr">
        <is>
          <t>Conforms | Одговара</t>
        </is>
      </c>
      <c r="AJ9" s="256" t="inlineStr">
        <is>
          <t>iCoA-PP_26-008</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iCoA-PP_26-008</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iCoA-PP_26-009</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iCoA-PP_26-009</t>
        </is>
      </c>
      <c r="AG10" s="256" t="inlineStr">
        <is>
          <t>03.06.2026</t>
        </is>
      </c>
      <c r="AH10" s="256" t="inlineStr">
        <is>
          <t>Purely Plant GmbH (in-house)</t>
        </is>
      </c>
      <c r="AI10" s="256" t="inlineStr">
        <is>
          <t>Conforms | Одговара</t>
        </is>
      </c>
      <c r="AJ10" s="256" t="inlineStr">
        <is>
          <t>iCoA-PP_26-009</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iCoA-PP_26-009</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iCoA-PP_26-080</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iCoA-PP_26-080</t>
        </is>
      </c>
      <c r="AG11" s="256" t="inlineStr">
        <is>
          <t>03.06.2026</t>
        </is>
      </c>
      <c r="AH11" s="256" t="inlineStr">
        <is>
          <t>Purely Plant GmbH (in-house)</t>
        </is>
      </c>
      <c r="AI11" s="256" t="inlineStr">
        <is>
          <t>Conforms | Одговара</t>
        </is>
      </c>
      <c r="AJ11" s="256" t="inlineStr">
        <is>
          <t>iCoA-PP_26-080</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iCoA-PP_26-080</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iCoA-PP_26-010</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iCoA-PP_26-010</t>
        </is>
      </c>
      <c r="AG12" s="256" t="inlineStr">
        <is>
          <t>03.06.2026</t>
        </is>
      </c>
      <c r="AH12" s="256" t="inlineStr">
        <is>
          <t>Purely Plant GmbH (in-house)</t>
        </is>
      </c>
      <c r="AI12" s="256" t="inlineStr">
        <is>
          <t>Conforms | Одговара</t>
        </is>
      </c>
      <c r="AJ12" s="256" t="inlineStr">
        <is>
          <t>iCoA-PP_26-010</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iCoA-PP_26-010</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iCoA-PP_26-011</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iCoA-PP_26-011</t>
        </is>
      </c>
      <c r="AG13" s="256" t="inlineStr">
        <is>
          <t>03.06.2026</t>
        </is>
      </c>
      <c r="AH13" s="256" t="inlineStr">
        <is>
          <t>Purely Plant GmbH (in-house)</t>
        </is>
      </c>
      <c r="AI13" s="256" t="inlineStr">
        <is>
          <t>Conforms | Одговара</t>
        </is>
      </c>
      <c r="AJ13" s="256" t="inlineStr">
        <is>
          <t>iCoA-PP_26-011</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iCoA-PP_26-011</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iCoA-PP_26-012</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iCoA-PP_26-012</t>
        </is>
      </c>
      <c r="AG14" s="256" t="inlineStr">
        <is>
          <t>03.06.2026</t>
        </is>
      </c>
      <c r="AH14" s="256" t="inlineStr">
        <is>
          <t>Purely Plant GmbH (in-house)</t>
        </is>
      </c>
      <c r="AI14" s="256" t="inlineStr">
        <is>
          <t>Conforms | Одговара</t>
        </is>
      </c>
      <c r="AJ14" s="256" t="inlineStr">
        <is>
          <t>iCoA-PP_26-012</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iCoA-PP_26-012</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iCoA-PP_26-013</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iCoA-PP_26-013</t>
        </is>
      </c>
      <c r="AG15" s="256" t="inlineStr">
        <is>
          <t>03.06.2026</t>
        </is>
      </c>
      <c r="AH15" s="256" t="inlineStr">
        <is>
          <t>Purely Plant GmbH (in-house)</t>
        </is>
      </c>
      <c r="AI15" s="256" t="inlineStr">
        <is>
          <t>Conforms | Одговара</t>
        </is>
      </c>
      <c r="AJ15" s="256" t="inlineStr">
        <is>
          <t>iCoA-PP_26-013</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iCoA-PP_26-013</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iCoA-PP_26-014</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iCoA-PP_26-014</t>
        </is>
      </c>
      <c r="AG16" s="256" t="inlineStr">
        <is>
          <t>03.06.2026</t>
        </is>
      </c>
      <c r="AH16" s="256" t="inlineStr">
        <is>
          <t>Purely Plant GmbH (in-house)</t>
        </is>
      </c>
      <c r="AI16" s="256" t="inlineStr">
        <is>
          <t>Conforms | Одговара</t>
        </is>
      </c>
      <c r="AJ16" s="256" t="inlineStr">
        <is>
          <t>iCoA-PP_26-014</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iCoA-PP_26-014</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iCoA-PP_26-015</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iCoA-PP_26-015</t>
        </is>
      </c>
      <c r="AG17" s="256" t="inlineStr">
        <is>
          <t>03.06.2026</t>
        </is>
      </c>
      <c r="AH17" s="256" t="inlineStr">
        <is>
          <t>Purely Plant GmbH (in-house)</t>
        </is>
      </c>
      <c r="AI17" s="256" t="inlineStr">
        <is>
          <t>Conforms | Одговара</t>
        </is>
      </c>
      <c r="AJ17" s="256" t="inlineStr">
        <is>
          <t>iCoA-PP_26-015</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iCoA-PP_26-015</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iCoA-PP_26-016</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iCoA-PP_26-016</t>
        </is>
      </c>
      <c r="AG18" s="256" t="inlineStr">
        <is>
          <t>03.06.2026</t>
        </is>
      </c>
      <c r="AH18" s="256" t="inlineStr">
        <is>
          <t>Purely Plant GmbH (in-house)</t>
        </is>
      </c>
      <c r="AI18" s="256" t="inlineStr">
        <is>
          <t>Conforms | Одговара</t>
        </is>
      </c>
      <c r="AJ18" s="256" t="inlineStr">
        <is>
          <t>iCoA-PP_26-016</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iCoA-PP_26-016</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iCoA-PP_26-077</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iCoA-PP_26-077</t>
        </is>
      </c>
      <c r="AG19" s="256" t="inlineStr">
        <is>
          <t>03.06.2026</t>
        </is>
      </c>
      <c r="AH19" s="256" t="inlineStr">
        <is>
          <t>Purely Plant GmbH (in-house)</t>
        </is>
      </c>
      <c r="AI19" s="256" t="inlineStr">
        <is>
          <t>Conforms | Одговара</t>
        </is>
      </c>
      <c r="AJ19" s="256" t="inlineStr">
        <is>
          <t>iCoA-PP_26-077</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iCoA-PP_26-077</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iCoA-PP_26-017</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iCoA-PP_26-017</t>
        </is>
      </c>
      <c r="AG20" s="256" t="inlineStr">
        <is>
          <t>03.06.2026</t>
        </is>
      </c>
      <c r="AH20" s="256" t="inlineStr">
        <is>
          <t>Purely Plant GmbH (in-house)</t>
        </is>
      </c>
      <c r="AI20" s="256" t="inlineStr">
        <is>
          <t>Conforms | Одговара</t>
        </is>
      </c>
      <c r="AJ20" s="256" t="inlineStr">
        <is>
          <t>iCoA-PP_26-017</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iCoA-PP_26-017</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 mg/kg — all 29 residues</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iCoA-PP_26-018</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iCoA-PP_26-018</t>
        </is>
      </c>
      <c r="AG21" s="256" t="inlineStr">
        <is>
          <t>03.06.2026</t>
        </is>
      </c>
      <c r="AH21" s="256" t="inlineStr">
        <is>
          <t>Purely Plant GmbH (in-house)</t>
        </is>
      </c>
      <c r="AI21" s="256" t="inlineStr">
        <is>
          <t>Conforms | Одговара</t>
        </is>
      </c>
      <c r="AJ21" s="256" t="inlineStr">
        <is>
          <t>iCoA-PP_26-018</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iCoA-PP_26-018</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 mg/kg — all 29 residues</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iCoA-PP_26-019</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iCoA-PP_26-019</t>
        </is>
      </c>
      <c r="AG22" s="256" t="inlineStr">
        <is>
          <t>03.06.2026</t>
        </is>
      </c>
      <c r="AH22" s="256" t="inlineStr">
        <is>
          <t>Purely Plant GmbH (in-house)</t>
        </is>
      </c>
      <c r="AI22" s="256" t="inlineStr">
        <is>
          <t>Conforms | Одговара</t>
        </is>
      </c>
      <c r="AJ22" s="256" t="inlineStr">
        <is>
          <t>iCoA-PP_26-019</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iCoA-PP_26-019</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iCoA-PP_26-020</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iCoA-PP_26-020</t>
        </is>
      </c>
      <c r="AG23" s="256" t="inlineStr">
        <is>
          <t>03.06.2026</t>
        </is>
      </c>
      <c r="AH23" s="256" t="inlineStr">
        <is>
          <t>Purely Plant GmbH (in-house)</t>
        </is>
      </c>
      <c r="AI23" s="256" t="inlineStr">
        <is>
          <t>Conforms | Одговара</t>
        </is>
      </c>
      <c r="AJ23" s="256" t="inlineStr">
        <is>
          <t>iCoA-PP_26-020</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iCoA-PP_26-020</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iCoA-PP_26-021</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iCoA-PP_26-021</t>
        </is>
      </c>
      <c r="AG24" s="256" t="inlineStr">
        <is>
          <t>03.06.2026</t>
        </is>
      </c>
      <c r="AH24" s="256" t="inlineStr">
        <is>
          <t>Purely Plant GmbH (in-house)</t>
        </is>
      </c>
      <c r="AI24" s="256" t="inlineStr">
        <is>
          <t>Conforms | Одговара</t>
        </is>
      </c>
      <c r="AJ24" s="256" t="inlineStr">
        <is>
          <t>iCoA-PP_26-021</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iCoA-PP_26-021</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iCoA-PP_26-022</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iCoA-PP_26-022</t>
        </is>
      </c>
      <c r="AG25" s="256" t="inlineStr">
        <is>
          <t>03.06.2026</t>
        </is>
      </c>
      <c r="AH25" s="256" t="inlineStr">
        <is>
          <t>Purely Plant GmbH (in-house)</t>
        </is>
      </c>
      <c r="AI25" s="256" t="inlineStr">
        <is>
          <t>Conforms | Одговара</t>
        </is>
      </c>
      <c r="AJ25" s="256" t="inlineStr">
        <is>
          <t>iCoA-PP_26-022</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iCoA-PP_26-022</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 mg/kg — all 29 residues</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iCoA-PP_26-023</t>
        </is>
      </c>
      <c r="O26" s="256" t="inlineStr">
        <is>
          <t>03.06.2026</t>
        </is>
      </c>
      <c r="P26" s="256" t="inlineStr">
        <is>
          <t>10.10.2025</t>
        </is>
      </c>
      <c r="Q26" s="256" t="inlineStr">
        <is>
          <t>—</t>
        </is>
      </c>
      <c r="R26" s="256" t="inlineStr">
        <is>
          <t>20.39</t>
        </is>
      </c>
      <c r="S26" s="256" t="inlineStr">
        <is>
          <t>iCoA-PP_26-023</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iCoA-PP_26-023</t>
        </is>
      </c>
      <c r="AG26" s="256" t="inlineStr">
        <is>
          <t>03.06.2026</t>
        </is>
      </c>
      <c r="AH26" s="256" t="inlineStr">
        <is>
          <t>Purely Plant GmbH (in-house)</t>
        </is>
      </c>
      <c r="AI26" s="256" t="inlineStr">
        <is>
          <t>Conforms | Одговара</t>
        </is>
      </c>
      <c r="AJ26" s="256" t="inlineStr">
        <is>
          <t>iCoA-PP_26-023</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iCoA-PP_26-023</t>
        </is>
      </c>
      <c r="AS26" s="256" t="inlineStr">
        <is>
          <t>03.06.2026</t>
        </is>
      </c>
      <c r="AT26" s="256" t="inlineStr">
        <is>
          <t>Purely Plant GmbH (in-house)</t>
        </is>
      </c>
      <c r="AU26" s="256" t="inlineStr">
        <is>
          <t>0.11</t>
        </is>
      </c>
      <c r="AV26" s="256" t="inlineStr">
        <is>
          <t>iCoA-PP_26-023</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iCoA-PP_26-023</t>
        </is>
      </c>
      <c r="BE26" s="256" t="inlineStr">
        <is>
          <t>03.06.2026</t>
        </is>
      </c>
      <c r="BF26" s="256" t="inlineStr">
        <is>
          <t>Purely Plant GmbH (in-house)</t>
        </is>
      </c>
      <c r="BG26" s="256" t="inlineStr">
        <is>
          <t>8.60</t>
        </is>
      </c>
      <c r="BH26" s="256" t="inlineStr">
        <is>
          <t>iCoA-PP_26-023</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iCoA-PP_26-024</t>
        </is>
      </c>
      <c r="O27" s="256" t="inlineStr">
        <is>
          <t>03.06.2026</t>
        </is>
      </c>
      <c r="P27" s="256" t="inlineStr">
        <is>
          <t>30.10.2025</t>
        </is>
      </c>
      <c r="Q27" s="256" t="inlineStr">
        <is>
          <t>—</t>
        </is>
      </c>
      <c r="R27" s="256" t="inlineStr">
        <is>
          <t>24.89</t>
        </is>
      </c>
      <c r="S27" s="256" t="inlineStr">
        <is>
          <t>iCoA-PP_26-024</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iCoA-PP_26-024</t>
        </is>
      </c>
      <c r="AG27" s="256" t="inlineStr">
        <is>
          <t>03.06.2026</t>
        </is>
      </c>
      <c r="AH27" s="256" t="inlineStr">
        <is>
          <t>Purely Plant GmbH (in-house)</t>
        </is>
      </c>
      <c r="AI27" s="256" t="inlineStr">
        <is>
          <t>Conforms | Одговара</t>
        </is>
      </c>
      <c r="AJ27" s="256" t="inlineStr">
        <is>
          <t>iCoA-PP_26-024</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iCoA-PP_26-024</t>
        </is>
      </c>
      <c r="AS27" s="256" t="inlineStr">
        <is>
          <t>03.06.2026</t>
        </is>
      </c>
      <c r="AT27" s="256" t="inlineStr">
        <is>
          <t>Purely Plant GmbH (in-house)</t>
        </is>
      </c>
      <c r="AU27" s="256" t="inlineStr">
        <is>
          <t>0.17</t>
        </is>
      </c>
      <c r="AV27" s="256" t="inlineStr">
        <is>
          <t>iCoA-PP_26-024</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iCoA-PP_26-024</t>
        </is>
      </c>
      <c r="BE27" s="256" t="inlineStr">
        <is>
          <t>03.06.2026</t>
        </is>
      </c>
      <c r="BF27" s="256" t="inlineStr">
        <is>
          <t>Purely Plant GmbH (in-house)</t>
        </is>
      </c>
      <c r="BG27" s="256" t="inlineStr">
        <is>
          <t>8.19 (avg of 4 weighings 51-1,51-2,52-1,52-2)</t>
        </is>
      </c>
      <c r="BH27" s="256" t="inlineStr">
        <is>
          <t>iCoA-PP_26-024</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 mg/kg — all 29 residues</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iCoA-PP_26-025</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iCoA-PP_26-025</t>
        </is>
      </c>
      <c r="AG28" s="256" t="inlineStr">
        <is>
          <t>03.06.2026</t>
        </is>
      </c>
      <c r="AH28" s="256" t="inlineStr">
        <is>
          <t>Purely Plant GmbH (in-house)</t>
        </is>
      </c>
      <c r="AI28" s="256" t="inlineStr">
        <is>
          <t>Conforms | Одговара</t>
        </is>
      </c>
      <c r="AJ28" s="256" t="inlineStr">
        <is>
          <t>iCoA-PP_26-025</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iCoA-PP_26-025</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iCoA-PP_26-026</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iCoA-PP_26-026</t>
        </is>
      </c>
      <c r="AG29" s="256" t="inlineStr">
        <is>
          <t>03.06.2026</t>
        </is>
      </c>
      <c r="AH29" s="256" t="inlineStr">
        <is>
          <t>Purely Plant GmbH (in-house)</t>
        </is>
      </c>
      <c r="AI29" s="256" t="inlineStr">
        <is>
          <t>Conforms | Одговара</t>
        </is>
      </c>
      <c r="AJ29" s="256" t="inlineStr">
        <is>
          <t>iCoA-PP_26-026</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iCoA-PP_26-026</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iCoA-PP_26-027</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iCoA-PP_26-027</t>
        </is>
      </c>
      <c r="AG30" s="256" t="inlineStr">
        <is>
          <t>03.06.2026</t>
        </is>
      </c>
      <c r="AH30" s="256" t="inlineStr">
        <is>
          <t>Purely Plant GmbH (in-house)</t>
        </is>
      </c>
      <c r="AI30" s="256" t="inlineStr">
        <is>
          <t>Conforms | Одговара</t>
        </is>
      </c>
      <c r="AJ30" s="256" t="inlineStr">
        <is>
          <t>iCoA-PP_26-027</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iCoA-PP_26-027</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 mg/kg — all 29 residues</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iCoA-PP_26-028</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iCoA-PP_26-028</t>
        </is>
      </c>
      <c r="AG31" s="256" t="inlineStr">
        <is>
          <t>03.06.2026</t>
        </is>
      </c>
      <c r="AH31" s="256" t="inlineStr">
        <is>
          <t>Purely Plant GmbH (in-house)</t>
        </is>
      </c>
      <c r="AI31" s="256" t="inlineStr">
        <is>
          <t>Conforms | Одговара</t>
        </is>
      </c>
      <c r="AJ31" s="256" t="inlineStr">
        <is>
          <t>iCoA-PP_26-028</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iCoA-PP_26-028</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 mg/kg — all 29 residues</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iCoA-PP_26-029</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iCoA-PP_26-029</t>
        </is>
      </c>
      <c r="AG32" s="256" t="inlineStr">
        <is>
          <t>03.06.2026</t>
        </is>
      </c>
      <c r="AH32" s="256" t="inlineStr">
        <is>
          <t>Purely Plant GmbH (in-house)</t>
        </is>
      </c>
      <c r="AI32" s="256" t="inlineStr">
        <is>
          <t>Conforms | Одговара</t>
        </is>
      </c>
      <c r="AJ32" s="256" t="inlineStr">
        <is>
          <t>iCoA-PP_26-029</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iCoA-PP_26-029</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 mg/kg — all 29 residues</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iCoA-PP_26-030</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iCoA-PP_26-030</t>
        </is>
      </c>
      <c r="AG33" s="256" t="inlineStr">
        <is>
          <t>03.06.2026</t>
        </is>
      </c>
      <c r="AH33" s="256" t="inlineStr">
        <is>
          <t>Purely Plant GmbH (in-house)</t>
        </is>
      </c>
      <c r="AI33" s="256" t="inlineStr">
        <is>
          <t>Conforms | Одговара</t>
        </is>
      </c>
      <c r="AJ33" s="256" t="inlineStr">
        <is>
          <t>iCoA-PP_26-030</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iCoA-PP_26-030</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 mg/kg — all 29 residues</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iCoA-PP_26-031</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iCoA-PP_26-031</t>
        </is>
      </c>
      <c r="AG34" s="256" t="inlineStr">
        <is>
          <t>03.06.2026</t>
        </is>
      </c>
      <c r="AH34" s="256" t="inlineStr">
        <is>
          <t>Purely Plant GmbH (in-house)</t>
        </is>
      </c>
      <c r="AI34" s="256" t="inlineStr">
        <is>
          <t>Conforms | Одговара</t>
        </is>
      </c>
      <c r="AJ34" s="256" t="inlineStr">
        <is>
          <t>iCoA-PP_26-031</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iCoA-PP_26-031</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iCoA-PP_26-032</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iCoA-PP_26-032</t>
        </is>
      </c>
      <c r="AG35" s="256" t="inlineStr">
        <is>
          <t>03.06.2026</t>
        </is>
      </c>
      <c r="AH35" s="256" t="inlineStr">
        <is>
          <t>Purely Plant GmbH (in-house)</t>
        </is>
      </c>
      <c r="AI35" s="256" t="inlineStr">
        <is>
          <t>Conforms | Одговара</t>
        </is>
      </c>
      <c r="AJ35" s="256" t="inlineStr">
        <is>
          <t>iCoA-PP_26-032</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iCoA-PP_26-032</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iCoA-PP_26-033</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iCoA-PP_26-033</t>
        </is>
      </c>
      <c r="AG36" s="256" t="inlineStr">
        <is>
          <t>03.06.2026</t>
        </is>
      </c>
      <c r="AH36" s="256" t="inlineStr">
        <is>
          <t>Purely Plant GmbH (in-house)</t>
        </is>
      </c>
      <c r="AI36" s="256" t="inlineStr">
        <is>
          <t>Conforms | Одговара</t>
        </is>
      </c>
      <c r="AJ36" s="256" t="inlineStr">
        <is>
          <t>iCoA-PP_26-033</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iCoA-PP_26-033</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iCoA-PP_26-034</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iCoA-PP_26-034</t>
        </is>
      </c>
      <c r="AG37" s="256" t="inlineStr">
        <is>
          <t>03.06.2026</t>
        </is>
      </c>
      <c r="AH37" s="256" t="inlineStr">
        <is>
          <t>Purely Plant GmbH (in-house)</t>
        </is>
      </c>
      <c r="AI37" s="256" t="inlineStr">
        <is>
          <t>Conforms | Одговара</t>
        </is>
      </c>
      <c r="AJ37" s="256" t="inlineStr">
        <is>
          <t>iCoA-PP_26-034</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iCoA-PP_26-034</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iCoA-PP_26-035</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iCoA-PP_26-035</t>
        </is>
      </c>
      <c r="AG38" s="256" t="inlineStr">
        <is>
          <t>03.06.2026</t>
        </is>
      </c>
      <c r="AH38" s="256" t="inlineStr">
        <is>
          <t>Purely Plant GmbH (in-house)</t>
        </is>
      </c>
      <c r="AI38" s="256" t="inlineStr">
        <is>
          <t>Conforms | Одговара</t>
        </is>
      </c>
      <c r="AJ38" s="256" t="inlineStr">
        <is>
          <t>iCoA-PP_26-035</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iCoA-PP_26-035</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 mg/kg — all 29 residues</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iCoA-PP_26-036</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iCoA-PP_26-036</t>
        </is>
      </c>
      <c r="AG39" s="256" t="inlineStr">
        <is>
          <t>03.06.2026</t>
        </is>
      </c>
      <c r="AH39" s="256" t="inlineStr">
        <is>
          <t>Purely Plant GmbH (in-house)</t>
        </is>
      </c>
      <c r="AI39" s="256" t="inlineStr">
        <is>
          <t>Conforms | Одговара</t>
        </is>
      </c>
      <c r="AJ39" s="256" t="inlineStr">
        <is>
          <t>iCoA-PP_26-036</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iCoA-PP_26-036</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iCoA-PP_26-037</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iCoA-PP_26-037</t>
        </is>
      </c>
      <c r="AG40" s="256" t="inlineStr">
        <is>
          <t>03.06.2026</t>
        </is>
      </c>
      <c r="AH40" s="256" t="inlineStr">
        <is>
          <t>Purely Plant GmbH (in-house)</t>
        </is>
      </c>
      <c r="AI40" s="256" t="inlineStr">
        <is>
          <t>Conforms | Одговара</t>
        </is>
      </c>
      <c r="AJ40" s="256" t="inlineStr">
        <is>
          <t>iCoA-PP_26-037</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iCoA-PP_26-037</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iCoA-PP_26-038</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iCoA-PP_26-038</t>
        </is>
      </c>
      <c r="AG41" s="256" t="inlineStr">
        <is>
          <t>03.06.2026</t>
        </is>
      </c>
      <c r="AH41" s="256" t="inlineStr">
        <is>
          <t>Purely Plant GmbH (in-house)</t>
        </is>
      </c>
      <c r="AI41" s="256" t="inlineStr">
        <is>
          <t>Conforms | Одговара</t>
        </is>
      </c>
      <c r="AJ41" s="256" t="inlineStr">
        <is>
          <t>iCoA-PP_26-038</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iCoA-PP_26-038</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 mg/kg — all 29 residues</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iCoA-PP_26-039</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iCoA-PP_26-039</t>
        </is>
      </c>
      <c r="AG42" s="256" t="inlineStr">
        <is>
          <t>03.06.2026</t>
        </is>
      </c>
      <c r="AH42" s="256" t="inlineStr">
        <is>
          <t>Purely Plant GmbH (in-house)</t>
        </is>
      </c>
      <c r="AI42" s="256" t="inlineStr">
        <is>
          <t>Conforms | Одговара</t>
        </is>
      </c>
      <c r="AJ42" s="256" t="inlineStr">
        <is>
          <t>iCoA-PP_26-039</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iCoA-PP_26-039</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 mg/kg — all 29 residues</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iCoA-PP_26-040</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iCoA-PP_26-040</t>
        </is>
      </c>
      <c r="AG43" s="256" t="inlineStr">
        <is>
          <t>03.06.2026</t>
        </is>
      </c>
      <c r="AH43" s="256" t="inlineStr">
        <is>
          <t>Purely Plant GmbH (in-house)</t>
        </is>
      </c>
      <c r="AI43" s="256" t="inlineStr">
        <is>
          <t>Conforms | Одговара</t>
        </is>
      </c>
      <c r="AJ43" s="256" t="inlineStr">
        <is>
          <t>iCoA-PP_26-040</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iCoA-PP_26-040</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 mg/kg — all 29 residues</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iCoA-PP_26-041</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iCoA-PP_26-041</t>
        </is>
      </c>
      <c r="AG44" s="256" t="inlineStr">
        <is>
          <t>03.06.2026</t>
        </is>
      </c>
      <c r="AH44" s="256" t="inlineStr">
        <is>
          <t>Purely Plant GmbH (in-house)</t>
        </is>
      </c>
      <c r="AI44" s="256" t="inlineStr">
        <is>
          <t>Conforms | Одговара</t>
        </is>
      </c>
      <c r="AJ44" s="256" t="inlineStr">
        <is>
          <t>iCoA-PP_26-041</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iCoA-PP_26-041</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 mg/kg — all 29 residues</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iCoA-PP_26-042</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iCoA-PP_26-042</t>
        </is>
      </c>
      <c r="AG45" s="256" t="inlineStr">
        <is>
          <t>03.06.2026</t>
        </is>
      </c>
      <c r="AH45" s="256" t="inlineStr">
        <is>
          <t>Purely Plant GmbH (in-house)</t>
        </is>
      </c>
      <c r="AI45" s="256" t="inlineStr">
        <is>
          <t>Conforms | Одговара</t>
        </is>
      </c>
      <c r="AJ45" s="256" t="inlineStr">
        <is>
          <t>iCoA-PP_26-042</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iCoA-PP_26-042</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 mg/kg — all 29 residues</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iCoA-PP_26-043</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iCoA-PP_26-043</t>
        </is>
      </c>
      <c r="AG46" s="256" t="inlineStr">
        <is>
          <t>03.06.2026</t>
        </is>
      </c>
      <c r="AH46" s="256" t="inlineStr">
        <is>
          <t>Purely Plant GmbH (in-house)</t>
        </is>
      </c>
      <c r="AI46" s="256" t="inlineStr">
        <is>
          <t>Conforms | Одговара</t>
        </is>
      </c>
      <c r="AJ46" s="256" t="inlineStr">
        <is>
          <t>iCoA-PP_26-043</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iCoA-PP_26-043</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 mg/kg — all 29 residues</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iCoA-PP_26-044</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iCoA-PP_26-044</t>
        </is>
      </c>
      <c r="AG47" s="256" t="inlineStr">
        <is>
          <t>03.06.2026</t>
        </is>
      </c>
      <c r="AH47" s="256" t="inlineStr">
        <is>
          <t>Purely Plant GmbH (in-house)</t>
        </is>
      </c>
      <c r="AI47" s="256" t="inlineStr">
        <is>
          <t>Conforms | Одговара</t>
        </is>
      </c>
      <c r="AJ47" s="256" t="inlineStr">
        <is>
          <t>iCoA-PP_26-044</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iCoA-PP_26-044</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6" t="inlineStr">
        <is>
          <t>&lt; 2</t>
        </is>
      </c>
      <c r="CR47" s="256" t="inlineStr">
        <is>
          <t>329/2026</t>
        </is>
      </c>
      <c r="CS47" s="256" t="inlineStr">
        <is>
          <t>11.02.2026</t>
        </is>
      </c>
      <c r="CT47" s="256" t="inlineStr">
        <is>
          <t>IPH — Institute of Public Health</t>
        </is>
      </c>
      <c r="CU47" s="259" t="inlineStr">
        <is>
          <t>not tested</t>
        </is>
      </c>
      <c r="CV47" s="256" t="inlineStr">
        <is>
          <t>—</t>
        </is>
      </c>
      <c r="CW47" s="256" t="inlineStr">
        <is>
          <t>—</t>
        </is>
      </c>
      <c r="CX47" s="256" t="inlineStr">
        <is>
          <t>—</t>
        </is>
      </c>
      <c r="CY47" s="256" t="inlineStr">
        <is>
          <t>0.078</t>
        </is>
      </c>
      <c r="CZ47" s="256" t="inlineStr">
        <is>
          <t>329/2026</t>
        </is>
      </c>
      <c r="DA47" s="256" t="inlineStr">
        <is>
          <t>11.02.2026</t>
        </is>
      </c>
      <c r="DB47" s="256" t="inlineStr">
        <is>
          <t>IPH — Institute of Public Health</t>
        </is>
      </c>
      <c r="DC47" s="256" t="inlineStr">
        <is>
          <t>ND</t>
        </is>
      </c>
      <c r="DD47" s="256" t="inlineStr">
        <is>
          <t>329/2026</t>
        </is>
      </c>
      <c r="DE47" s="256" t="inlineStr">
        <is>
          <t>11.02.2026</t>
        </is>
      </c>
      <c r="DF47" s="256" t="inlineStr">
        <is>
          <t>IPH — Institute of Public Health</t>
        </is>
      </c>
      <c r="DG47" s="256" t="inlineStr">
        <is>
          <t>0.087</t>
        </is>
      </c>
      <c r="DH47" s="256" t="inlineStr">
        <is>
          <t>329/2026</t>
        </is>
      </c>
      <c r="DI47" s="256" t="inlineStr">
        <is>
          <t>11.02.2026</t>
        </is>
      </c>
      <c r="DJ47" s="256" t="inlineStr">
        <is>
          <t>IPH — Institute of Public Health</t>
        </is>
      </c>
      <c r="DK47" s="256" t="inlineStr">
        <is>
          <t>ND</t>
        </is>
      </c>
      <c r="DL47" s="256" t="inlineStr">
        <is>
          <t>329/2026</t>
        </is>
      </c>
      <c r="DM47" s="256" t="inlineStr">
        <is>
          <t>11.02.2026</t>
        </is>
      </c>
      <c r="DN47" s="256" t="inlineStr">
        <is>
          <t>IPH — Institute of Public Health</t>
        </is>
      </c>
      <c r="DO47" s="256" t="inlineStr">
        <is>
          <t>ND mg/kg — all 29 residues</t>
        </is>
      </c>
      <c r="DP47" s="256" t="inlineStr">
        <is>
          <t>329/2026</t>
        </is>
      </c>
      <c r="DQ47" s="256" t="inlineStr">
        <is>
          <t>11.02.2026</t>
        </is>
      </c>
      <c r="DR47" s="256" t="inlineStr">
        <is>
          <t>IPH — Institute of Public Health</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iCoA-PP_26-045</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iCoA-PP_26-045</t>
        </is>
      </c>
      <c r="AG48" s="256" t="inlineStr">
        <is>
          <t>03.06.2026</t>
        </is>
      </c>
      <c r="AH48" s="256" t="inlineStr">
        <is>
          <t>Purely Plant GmbH (in-house)</t>
        </is>
      </c>
      <c r="AI48" s="256" t="inlineStr">
        <is>
          <t>Conforms | Одговара</t>
        </is>
      </c>
      <c r="AJ48" s="256" t="inlineStr">
        <is>
          <t>iCoA-PP_26-045</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iCoA-PP_26-045</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29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iCoA-PP_26-046</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iCoA-PP_26-046</t>
        </is>
      </c>
      <c r="AG49" s="256" t="inlineStr">
        <is>
          <t>03.06.2026</t>
        </is>
      </c>
      <c r="AH49" s="256" t="inlineStr">
        <is>
          <t>Purely Plant GmbH (in-house)</t>
        </is>
      </c>
      <c r="AI49" s="256" t="inlineStr">
        <is>
          <t>Conforms | Одговара</t>
        </is>
      </c>
      <c r="AJ49" s="256" t="inlineStr">
        <is>
          <t>iCoA-PP_26-046</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iCoA-PP_26-046</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29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iCoA-PP_26-047</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iCoA-PP_26-047</t>
        </is>
      </c>
      <c r="AG50" s="256" t="inlineStr">
        <is>
          <t>03.06.2026</t>
        </is>
      </c>
      <c r="AH50" s="256" t="inlineStr">
        <is>
          <t>Purely Plant GmbH (in-house)</t>
        </is>
      </c>
      <c r="AI50" s="256" t="inlineStr">
        <is>
          <t>Conforms | Одговара</t>
        </is>
      </c>
      <c r="AJ50" s="256" t="inlineStr">
        <is>
          <t>iCoA-PP_26-047</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iCoA-PP_26-047</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29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iCoA-PP_26-048</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iCoA-PP_26-048</t>
        </is>
      </c>
      <c r="AG51" s="256" t="inlineStr">
        <is>
          <t>03.06.2026</t>
        </is>
      </c>
      <c r="AH51" s="256" t="inlineStr">
        <is>
          <t>Purely Plant GmbH (in-house)</t>
        </is>
      </c>
      <c r="AI51" s="256" t="inlineStr">
        <is>
          <t>Conforms | Одговара</t>
        </is>
      </c>
      <c r="AJ51" s="256" t="inlineStr">
        <is>
          <t>iCoA-PP_26-048</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iCoA-PP_26-048</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iCoA-PP_26-049</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iCoA-PP_26-049</t>
        </is>
      </c>
      <c r="AG52" s="256" t="inlineStr">
        <is>
          <t>03.06.2026</t>
        </is>
      </c>
      <c r="AH52" s="256" t="inlineStr">
        <is>
          <t>Purely Plant GmbH (in-house)</t>
        </is>
      </c>
      <c r="AI52" s="256" t="inlineStr">
        <is>
          <t>Conforms | Одговара</t>
        </is>
      </c>
      <c r="AJ52" s="256" t="inlineStr">
        <is>
          <t>iCoA-PP_26-049</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iCoA-PP_26-049</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29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iCoA-PP_26-050</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iCoA-PP_26-050</t>
        </is>
      </c>
      <c r="AG53" s="256" t="inlineStr">
        <is>
          <t>03.06.2026</t>
        </is>
      </c>
      <c r="AH53" s="256" t="inlineStr">
        <is>
          <t>Purely Plant GmbH (in-house)</t>
        </is>
      </c>
      <c r="AI53" s="256" t="inlineStr">
        <is>
          <t>Conforms | Одговара</t>
        </is>
      </c>
      <c r="AJ53" s="256" t="inlineStr">
        <is>
          <t>iCoA-PP_26-050</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iCoA-PP_26-050</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6" t="inlineStr">
        <is>
          <t>ND mg/kg — all 26 residues</t>
        </is>
      </c>
      <c r="DP53" s="256" t="inlineStr">
        <is>
          <t>1065/2026</t>
        </is>
      </c>
      <c r="DQ53" s="256" t="inlineStr">
        <is>
          <t>11.03.2026</t>
        </is>
      </c>
      <c r="DR53" s="256" t="inlineStr">
        <is>
          <t>IPH — Institute of Public Health</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iCoA-PP_26-051</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iCoA-PP_26-051</t>
        </is>
      </c>
      <c r="AG54" s="256" t="inlineStr">
        <is>
          <t>03.06.2026</t>
        </is>
      </c>
      <c r="AH54" s="256" t="inlineStr">
        <is>
          <t>Purely Plant GmbH (in-house)</t>
        </is>
      </c>
      <c r="AI54" s="256" t="inlineStr">
        <is>
          <t>Conforms | Одговара</t>
        </is>
      </c>
      <c r="AJ54" s="256" t="inlineStr">
        <is>
          <t>iCoA-PP_26-051</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iCoA-PP_26-051</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29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iCoA-PP_26-052</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iCoA-PP_26-052</t>
        </is>
      </c>
      <c r="AG55" s="256" t="inlineStr">
        <is>
          <t>03.06.2026</t>
        </is>
      </c>
      <c r="AH55" s="256" t="inlineStr">
        <is>
          <t>Purely Plant GmbH (in-house)</t>
        </is>
      </c>
      <c r="AI55" s="256" t="inlineStr">
        <is>
          <t>Conforms | Одговара</t>
        </is>
      </c>
      <c r="AJ55" s="256" t="inlineStr">
        <is>
          <t>iCoA-PP_26-052</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iCoA-PP_26-052</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6" t="inlineStr">
        <is>
          <t>&lt; 2</t>
        </is>
      </c>
      <c r="CR55" s="256" t="inlineStr">
        <is>
          <t>1060/2026</t>
        </is>
      </c>
      <c r="CS55" s="256" t="inlineStr">
        <is>
          <t>09.03.2026</t>
        </is>
      </c>
      <c r="CT55" s="256" t="inlineStr">
        <is>
          <t>IPH — Institute of Public Health</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29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iCoA-PP_26-053</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iCoA-PP_26-053</t>
        </is>
      </c>
      <c r="AG56" s="256" t="inlineStr">
        <is>
          <t>03.06.2026</t>
        </is>
      </c>
      <c r="AH56" s="256" t="inlineStr">
        <is>
          <t>Purely Plant GmbH (in-house)</t>
        </is>
      </c>
      <c r="AI56" s="256" t="inlineStr">
        <is>
          <t>Conforms | Одговара</t>
        </is>
      </c>
      <c r="AJ56" s="256" t="inlineStr">
        <is>
          <t>iCoA-PP_26-053</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iCoA-PP_26-053</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6" t="inlineStr">
        <is>
          <t>&lt; 2</t>
        </is>
      </c>
      <c r="CR56" s="256" t="inlineStr">
        <is>
          <t>1061/2026</t>
        </is>
      </c>
      <c r="CS56" s="256" t="inlineStr">
        <is>
          <t>09.03.2026</t>
        </is>
      </c>
      <c r="CT56" s="256" t="inlineStr">
        <is>
          <t>IPH — Institute of Public Health</t>
        </is>
      </c>
      <c r="CU56" s="259" t="inlineStr">
        <is>
          <t>not tested</t>
        </is>
      </c>
      <c r="CV56" s="256" t="inlineStr">
        <is>
          <t>—</t>
        </is>
      </c>
      <c r="CW56" s="256" t="inlineStr">
        <is>
          <t>—</t>
        </is>
      </c>
      <c r="CX56" s="256" t="inlineStr">
        <is>
          <t>—</t>
        </is>
      </c>
      <c r="CY56" s="256" t="inlineStr">
        <is>
          <t>ND</t>
        </is>
      </c>
      <c r="CZ56" s="256" t="inlineStr">
        <is>
          <t>1061/2026</t>
        </is>
      </c>
      <c r="DA56" s="256" t="inlineStr">
        <is>
          <t>09.03.2026</t>
        </is>
      </c>
      <c r="DB56" s="256" t="inlineStr">
        <is>
          <t>IPH — Institute of Public Health</t>
        </is>
      </c>
      <c r="DC56" s="256" t="inlineStr">
        <is>
          <t>ND</t>
        </is>
      </c>
      <c r="DD56" s="256" t="inlineStr">
        <is>
          <t>1061/2026</t>
        </is>
      </c>
      <c r="DE56" s="256" t="inlineStr">
        <is>
          <t>09.03.2026</t>
        </is>
      </c>
      <c r="DF56" s="256" t="inlineStr">
        <is>
          <t>IPH — Institute of Public Health</t>
        </is>
      </c>
      <c r="DG56" s="256" t="inlineStr">
        <is>
          <t>ND</t>
        </is>
      </c>
      <c r="DH56" s="256" t="inlineStr">
        <is>
          <t>1061/2026</t>
        </is>
      </c>
      <c r="DI56" s="256" t="inlineStr">
        <is>
          <t>09.03.2026</t>
        </is>
      </c>
      <c r="DJ56" s="256" t="inlineStr">
        <is>
          <t>IPH — Institute of Public Health</t>
        </is>
      </c>
      <c r="DK56" s="256" t="inlineStr">
        <is>
          <t>ND</t>
        </is>
      </c>
      <c r="DL56" s="256" t="inlineStr">
        <is>
          <t>1061/2026</t>
        </is>
      </c>
      <c r="DM56" s="256" t="inlineStr">
        <is>
          <t>09.03.2026</t>
        </is>
      </c>
      <c r="DN56" s="256" t="inlineStr">
        <is>
          <t>IPH — Institute of Public Health</t>
        </is>
      </c>
      <c r="DO56" s="256" t="inlineStr">
        <is>
          <t>ND mg/kg — all 29 residues</t>
        </is>
      </c>
      <c r="DP56" s="256" t="inlineStr">
        <is>
          <t>1061/2026</t>
        </is>
      </c>
      <c r="DQ56" s="256" t="inlineStr">
        <is>
          <t>09.03.2026</t>
        </is>
      </c>
      <c r="DR56" s="256" t="inlineStr">
        <is>
          <t>IPH — Institute of Public Health</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iCoA-PP_26-054</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iCoA-PP_26-054</t>
        </is>
      </c>
      <c r="AG57" s="256" t="inlineStr">
        <is>
          <t>03.06.2026</t>
        </is>
      </c>
      <c r="AH57" s="256" t="inlineStr">
        <is>
          <t>Purely Plant GmbH (in-house)</t>
        </is>
      </c>
      <c r="AI57" s="256" t="inlineStr">
        <is>
          <t>Conforms | Одговара</t>
        </is>
      </c>
      <c r="AJ57" s="256" t="inlineStr">
        <is>
          <t>iCoA-PP_26-054</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iCoA-PP_26-054</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6" t="inlineStr">
        <is>
          <t>2.1</t>
        </is>
      </c>
      <c r="CR57" s="256" t="inlineStr">
        <is>
          <t>1057/2026</t>
        </is>
      </c>
      <c r="CS57" s="256" t="inlineStr">
        <is>
          <t>09.03.2026</t>
        </is>
      </c>
      <c r="CT57" s="256" t="inlineStr">
        <is>
          <t>IPH — Institute of Public Health</t>
        </is>
      </c>
      <c r="CU57" s="259" t="inlineStr">
        <is>
          <t>not tested</t>
        </is>
      </c>
      <c r="CV57" s="256" t="inlineStr">
        <is>
          <t>—</t>
        </is>
      </c>
      <c r="CW57" s="256" t="inlineStr">
        <is>
          <t>—</t>
        </is>
      </c>
      <c r="CX57" s="256" t="inlineStr">
        <is>
          <t>—</t>
        </is>
      </c>
      <c r="CY57" s="256" t="inlineStr">
        <is>
          <t>ND</t>
        </is>
      </c>
      <c r="CZ57" s="256" t="inlineStr">
        <is>
          <t>1057/2026</t>
        </is>
      </c>
      <c r="DA57" s="256" t="inlineStr">
        <is>
          <t>09.03.2026</t>
        </is>
      </c>
      <c r="DB57" s="256" t="inlineStr">
        <is>
          <t>IPH — Institute of Public Health</t>
        </is>
      </c>
      <c r="DC57" s="256" t="inlineStr">
        <is>
          <t>ND</t>
        </is>
      </c>
      <c r="DD57" s="256" t="inlineStr">
        <is>
          <t>1057/2026</t>
        </is>
      </c>
      <c r="DE57" s="256" t="inlineStr">
        <is>
          <t>09.03.2026</t>
        </is>
      </c>
      <c r="DF57" s="256" t="inlineStr">
        <is>
          <t>IPH — Institute of Public Health</t>
        </is>
      </c>
      <c r="DG57" s="256" t="inlineStr">
        <is>
          <t>ND</t>
        </is>
      </c>
      <c r="DH57" s="256" t="inlineStr">
        <is>
          <t>1057/2026</t>
        </is>
      </c>
      <c r="DI57" s="256" t="inlineStr">
        <is>
          <t>09.03.2026</t>
        </is>
      </c>
      <c r="DJ57" s="256" t="inlineStr">
        <is>
          <t>IPH — Institute of Public Health</t>
        </is>
      </c>
      <c r="DK57" s="256" t="inlineStr">
        <is>
          <t>ND</t>
        </is>
      </c>
      <c r="DL57" s="256" t="inlineStr">
        <is>
          <t>1057/2026</t>
        </is>
      </c>
      <c r="DM57" s="256" t="inlineStr">
        <is>
          <t>09.03.2026</t>
        </is>
      </c>
      <c r="DN57" s="256" t="inlineStr">
        <is>
          <t>IPH — Institute of Public Health</t>
        </is>
      </c>
      <c r="DO57" s="256" t="inlineStr">
        <is>
          <t>ND mg/kg — all 29 residues</t>
        </is>
      </c>
      <c r="DP57" s="256" t="inlineStr">
        <is>
          <t>1057/2026</t>
        </is>
      </c>
      <c r="DQ57" s="256" t="inlineStr">
        <is>
          <t>09.03.2026</t>
        </is>
      </c>
      <c r="DR57" s="256" t="inlineStr">
        <is>
          <t>IPH — Institute of Public Health</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iCoA-PP_26-055</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iCoA-PP_26-055</t>
        </is>
      </c>
      <c r="AG58" s="256" t="inlineStr">
        <is>
          <t>03.06.2026</t>
        </is>
      </c>
      <c r="AH58" s="256" t="inlineStr">
        <is>
          <t>Purely Plant GmbH (in-house)</t>
        </is>
      </c>
      <c r="AI58" s="256" t="inlineStr">
        <is>
          <t>Conforms | Одговара</t>
        </is>
      </c>
      <c r="AJ58" s="256" t="inlineStr">
        <is>
          <t>iCoA-PP_26-055</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iCoA-PP_26-055</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 mg/kg — all 29 residues</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iCoA-PP_26-056</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iCoA-PP_26-056</t>
        </is>
      </c>
      <c r="AG59" s="256" t="inlineStr">
        <is>
          <t>03.06.2026</t>
        </is>
      </c>
      <c r="AH59" s="256" t="inlineStr">
        <is>
          <t>Purely Plant GmbH (in-house)</t>
        </is>
      </c>
      <c r="AI59" s="256" t="inlineStr">
        <is>
          <t>Conforms | Одговара</t>
        </is>
      </c>
      <c r="AJ59" s="256" t="inlineStr">
        <is>
          <t>iCoA-PP_26-056</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iCoA-PP_26-056</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6" t="inlineStr">
        <is>
          <t>2</t>
        </is>
      </c>
      <c r="CR59" s="256" t="inlineStr">
        <is>
          <t>1062/2026</t>
        </is>
      </c>
      <c r="CS59" s="256" t="inlineStr">
        <is>
          <t>11.03.2026</t>
        </is>
      </c>
      <c r="CT59" s="256" t="inlineStr">
        <is>
          <t>IPH — Institute of Public Health</t>
        </is>
      </c>
      <c r="CU59" s="259" t="inlineStr">
        <is>
          <t>not tested</t>
        </is>
      </c>
      <c r="CV59" s="256" t="inlineStr">
        <is>
          <t>—</t>
        </is>
      </c>
      <c r="CW59" s="256" t="inlineStr">
        <is>
          <t>—</t>
        </is>
      </c>
      <c r="CX59" s="256" t="inlineStr">
        <is>
          <t>—</t>
        </is>
      </c>
      <c r="CY59" s="256" t="inlineStr">
        <is>
          <t>ND</t>
        </is>
      </c>
      <c r="CZ59" s="256" t="inlineStr">
        <is>
          <t>1062/2026</t>
        </is>
      </c>
      <c r="DA59" s="256" t="inlineStr">
        <is>
          <t>11.03.2026</t>
        </is>
      </c>
      <c r="DB59" s="256" t="inlineStr">
        <is>
          <t>IPH — Institute of Public Health</t>
        </is>
      </c>
      <c r="DC59" s="256" t="inlineStr">
        <is>
          <t>ND</t>
        </is>
      </c>
      <c r="DD59" s="256" t="inlineStr">
        <is>
          <t>1062/2026</t>
        </is>
      </c>
      <c r="DE59" s="256" t="inlineStr">
        <is>
          <t>11.03.2026</t>
        </is>
      </c>
      <c r="DF59" s="256" t="inlineStr">
        <is>
          <t>IPH — Institute of Public Health</t>
        </is>
      </c>
      <c r="DG59" s="256" t="inlineStr">
        <is>
          <t>ND</t>
        </is>
      </c>
      <c r="DH59" s="256" t="inlineStr">
        <is>
          <t>1062/2026</t>
        </is>
      </c>
      <c r="DI59" s="256" t="inlineStr">
        <is>
          <t>11.03.2026</t>
        </is>
      </c>
      <c r="DJ59" s="256" t="inlineStr">
        <is>
          <t>IPH — Institute of Public Health</t>
        </is>
      </c>
      <c r="DK59" s="256" t="inlineStr">
        <is>
          <t>ND</t>
        </is>
      </c>
      <c r="DL59" s="256" t="inlineStr">
        <is>
          <t>1062/2026</t>
        </is>
      </c>
      <c r="DM59" s="256" t="inlineStr">
        <is>
          <t>11.03.2026</t>
        </is>
      </c>
      <c r="DN59" s="256" t="inlineStr">
        <is>
          <t>IPH — Institute of Public Health</t>
        </is>
      </c>
      <c r="DO59" s="256" t="inlineStr">
        <is>
          <t>ND mg/kg — all 29 residues</t>
        </is>
      </c>
      <c r="DP59" s="256" t="inlineStr">
        <is>
          <t>1062/2026</t>
        </is>
      </c>
      <c r="DQ59" s="256" t="inlineStr">
        <is>
          <t>11.03.2026</t>
        </is>
      </c>
      <c r="DR59" s="256" t="inlineStr">
        <is>
          <t>IPH — Institute of Public Health</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iCoA-PP_26-057</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iCoA-PP_26-057</t>
        </is>
      </c>
      <c r="AG60" s="256" t="inlineStr">
        <is>
          <t>03.06.2026</t>
        </is>
      </c>
      <c r="AH60" s="256" t="inlineStr">
        <is>
          <t>Purely Plant GmbH (in-house)</t>
        </is>
      </c>
      <c r="AI60" s="256" t="inlineStr">
        <is>
          <t>Conforms | Одговара</t>
        </is>
      </c>
      <c r="AJ60" s="256" t="inlineStr">
        <is>
          <t>iCoA-PP_26-057</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iCoA-PP_26-057</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29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iCoA-PP_26-058</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iCoA-PP_26-058</t>
        </is>
      </c>
      <c r="AG61" s="256" t="inlineStr">
        <is>
          <t>03.06.2026</t>
        </is>
      </c>
      <c r="AH61" s="256" t="inlineStr">
        <is>
          <t>Purely Plant GmbH (in-house)</t>
        </is>
      </c>
      <c r="AI61" s="256" t="inlineStr">
        <is>
          <t>Conforms | Одговара</t>
        </is>
      </c>
      <c r="AJ61" s="256" t="inlineStr">
        <is>
          <t>iCoA-PP_26-058</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iCoA-PP_26-058</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 mg/kg — all 29 residues</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iCoA-PP_26-059</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iCoA-PP_26-059</t>
        </is>
      </c>
      <c r="AG62" s="256" t="inlineStr">
        <is>
          <t>03.06.2026</t>
        </is>
      </c>
      <c r="AH62" s="256" t="inlineStr">
        <is>
          <t>Purely Plant GmbH (in-house)</t>
        </is>
      </c>
      <c r="AI62" s="256" t="inlineStr">
        <is>
          <t>Conforms | Одговара</t>
        </is>
      </c>
      <c r="AJ62" s="256" t="inlineStr">
        <is>
          <t>iCoA-PP_26-059</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iCoA-PP_26-059</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 mg/kg — all 29 residues</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iCoA-PP_26-060</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iCoA-PP_26-060</t>
        </is>
      </c>
      <c r="AG63" s="256" t="inlineStr">
        <is>
          <t>03.06.2026</t>
        </is>
      </c>
      <c r="AH63" s="256" t="inlineStr">
        <is>
          <t>Purely Plant GmbH (in-house)</t>
        </is>
      </c>
      <c r="AI63" s="256" t="inlineStr">
        <is>
          <t>Conforms | Одговара</t>
        </is>
      </c>
      <c r="AJ63" s="256" t="inlineStr">
        <is>
          <t>iCoA-PP_26-060</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iCoA-PP_26-060</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 mg/kg — all 29 residues</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iCoA-PP_26-061</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iCoA-PP_26-061</t>
        </is>
      </c>
      <c r="AG64" s="256" t="inlineStr">
        <is>
          <t>03.06.2026</t>
        </is>
      </c>
      <c r="AH64" s="256" t="inlineStr">
        <is>
          <t>Purely Plant GmbH (in-house)</t>
        </is>
      </c>
      <c r="AI64" s="256" t="inlineStr">
        <is>
          <t>Conforms | Одговара</t>
        </is>
      </c>
      <c r="AJ64" s="256" t="inlineStr">
        <is>
          <t>iCoA-PP_26-061</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iCoA-PP_26-061</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 mg/kg — all 29 residues</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iCoA-PP_26-062</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iCoA-PP_26-062</t>
        </is>
      </c>
      <c r="AG65" s="256" t="inlineStr">
        <is>
          <t>03.06.2026</t>
        </is>
      </c>
      <c r="AH65" s="256" t="inlineStr">
        <is>
          <t>Purely Plant GmbH (in-house)</t>
        </is>
      </c>
      <c r="AI65" s="256" t="inlineStr">
        <is>
          <t>Conforms | Одговара</t>
        </is>
      </c>
      <c r="AJ65" s="256" t="inlineStr">
        <is>
          <t>iCoA-PP_26-062</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iCoA-PP_26-062</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 mg/kg — all 29 residues</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iCoA-PP_26-063</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iCoA-PP_26-063</t>
        </is>
      </c>
      <c r="AG66" s="256" t="inlineStr">
        <is>
          <t>03.06.2026</t>
        </is>
      </c>
      <c r="AH66" s="256" t="inlineStr">
        <is>
          <t>Purely Plant GmbH (in-house)</t>
        </is>
      </c>
      <c r="AI66" s="256" t="inlineStr">
        <is>
          <t>Conforms | Одговара</t>
        </is>
      </c>
      <c r="AJ66" s="256" t="inlineStr">
        <is>
          <t>iCoA-PP_26-063</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iCoA-PP_26-063</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 mg/kg — all 29 residues</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iCoA-PP_26-064</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iCoA-PP_26-064</t>
        </is>
      </c>
      <c r="AG67" s="256" t="inlineStr">
        <is>
          <t>03.06.2026</t>
        </is>
      </c>
      <c r="AH67" s="256" t="inlineStr">
        <is>
          <t>Purely Plant GmbH (in-house)</t>
        </is>
      </c>
      <c r="AI67" s="256" t="inlineStr">
        <is>
          <t>Conforms | Одговара</t>
        </is>
      </c>
      <c r="AJ67" s="256" t="inlineStr">
        <is>
          <t>iCoA-PP_26-064</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iCoA-PP_26-064</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 mg/kg — all 29 residues</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iCoA-PP_26-065</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iCoA-PP_26-065</t>
        </is>
      </c>
      <c r="AG68" s="256" t="inlineStr">
        <is>
          <t>03.06.2026</t>
        </is>
      </c>
      <c r="AH68" s="256" t="inlineStr">
        <is>
          <t>Purely Plant GmbH (in-house)</t>
        </is>
      </c>
      <c r="AI68" s="256" t="inlineStr">
        <is>
          <t>Conforms | Одговара</t>
        </is>
      </c>
      <c r="AJ68" s="256" t="inlineStr">
        <is>
          <t>iCoA-PP_26-065</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iCoA-PP_26-065</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 mg/kg — all 29 residues</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iCoA-PP_26-067</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iCoA-PP_26-067</t>
        </is>
      </c>
      <c r="AG69" s="256" t="inlineStr">
        <is>
          <t>03.06.2026</t>
        </is>
      </c>
      <c r="AH69" s="256" t="inlineStr">
        <is>
          <t>Purely Plant GmbH (in-house)</t>
        </is>
      </c>
      <c r="AI69" s="256" t="inlineStr">
        <is>
          <t>Conforms | Одговара</t>
        </is>
      </c>
      <c r="AJ69" s="256" t="inlineStr">
        <is>
          <t>iCoA-PP_26-067</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iCoA-PP_26-067</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iCoA-PP_26-066</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iCoA-PP_26-066</t>
        </is>
      </c>
      <c r="AG70" s="256" t="inlineStr">
        <is>
          <t>03.06.2026</t>
        </is>
      </c>
      <c r="AH70" s="256" t="inlineStr">
        <is>
          <t>Purely Plant GmbH (in-house)</t>
        </is>
      </c>
      <c r="AI70" s="256" t="inlineStr">
        <is>
          <t>Conforms | Одговара</t>
        </is>
      </c>
      <c r="AJ70" s="256" t="inlineStr">
        <is>
          <t>iCoA-PP_26-066</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iCoA-PP_26-066</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 mg/kg — all 29 residues</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iCoA-PP_26-071</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iCoA-PP_26-071</t>
        </is>
      </c>
      <c r="AG71" s="256" t="inlineStr">
        <is>
          <t>03.06.2026</t>
        </is>
      </c>
      <c r="AH71" s="256" t="inlineStr">
        <is>
          <t>Purely Plant GmbH (in-house)</t>
        </is>
      </c>
      <c r="AI71" s="256" t="inlineStr">
        <is>
          <t>Conforms | Одговара</t>
        </is>
      </c>
      <c r="AJ71" s="256" t="inlineStr">
        <is>
          <t>iCoA-PP_26-071</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iCoA-PP_26-071</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iCoA-PP_26-070</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iCoA-PP_26-070</t>
        </is>
      </c>
      <c r="AG72" s="256" t="inlineStr">
        <is>
          <t>03.06.2026</t>
        </is>
      </c>
      <c r="AH72" s="256" t="inlineStr">
        <is>
          <t>Purely Plant GmbH (in-house)</t>
        </is>
      </c>
      <c r="AI72" s="259" t="inlineStr">
        <is>
          <t>to be performed (in house)</t>
        </is>
      </c>
      <c r="AJ72" s="256" t="inlineStr">
        <is>
          <t>iCoA-PP_26-070</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iCoA-PP_26-070</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iCoA-PP_26-072</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iCoA-PP_26-072</t>
        </is>
      </c>
      <c r="AG73" s="256" t="inlineStr">
        <is>
          <t>03.06.2026</t>
        </is>
      </c>
      <c r="AH73" s="256" t="inlineStr">
        <is>
          <t>Purely Plant GmbH (in-house)</t>
        </is>
      </c>
      <c r="AI73" s="256" t="inlineStr">
        <is>
          <t>Conforms | Одговара</t>
        </is>
      </c>
      <c r="AJ73" s="256" t="inlineStr">
        <is>
          <t>iCoA-PP_26-072</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iCoA-PP_26-072</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iCoA-PP_26-076</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iCoA-PP_26-076</t>
        </is>
      </c>
      <c r="AG74" s="256" t="inlineStr">
        <is>
          <t>03.06.2026</t>
        </is>
      </c>
      <c r="AH74" s="256" t="inlineStr">
        <is>
          <t>Purely Plant GmbH (in-house)</t>
        </is>
      </c>
      <c r="AI74" s="256" t="inlineStr">
        <is>
          <t>Conforms | Одговара</t>
        </is>
      </c>
      <c r="AJ74" s="256" t="inlineStr">
        <is>
          <t>iCoA-PP_26-076</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iCoA-PP_26-076</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iCoA-PP_26-075</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iCoA-PP_26-075</t>
        </is>
      </c>
      <c r="AG75" s="256" t="inlineStr">
        <is>
          <t>03.06.2026</t>
        </is>
      </c>
      <c r="AH75" s="256" t="inlineStr">
        <is>
          <t>Purely Plant GmbH (in-house)</t>
        </is>
      </c>
      <c r="AI75" s="256" t="inlineStr">
        <is>
          <t>Conforms | Одговара</t>
        </is>
      </c>
      <c r="AJ75" s="256" t="inlineStr">
        <is>
          <t>iCoA-PP_26-075</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iCoA-PP_26-075</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iCoA-PP_26-068</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6" t="inlineStr">
        <is>
          <t>&lt; 2</t>
        </is>
      </c>
      <c r="CR76" s="256" t="inlineStr">
        <is>
          <t>3663/2026</t>
        </is>
      </c>
      <c r="CS76" s="256" t="inlineStr">
        <is>
          <t>22.06.2026</t>
        </is>
      </c>
      <c r="CT76" s="256" t="inlineStr">
        <is>
          <t>IPH — Institute of Public Health</t>
        </is>
      </c>
      <c r="CU76" s="259" t="inlineStr">
        <is>
          <t>not tested</t>
        </is>
      </c>
      <c r="CV76" s="256" t="inlineStr">
        <is>
          <t>—</t>
        </is>
      </c>
      <c r="CW76" s="256" t="inlineStr">
        <is>
          <t>—</t>
        </is>
      </c>
      <c r="CX76" s="256" t="inlineStr">
        <is>
          <t>—</t>
        </is>
      </c>
      <c r="CY76" s="256" t="inlineStr">
        <is>
          <t>0.029</t>
        </is>
      </c>
      <c r="CZ76" s="256" t="inlineStr">
        <is>
          <t>3663/2026</t>
        </is>
      </c>
      <c r="DA76" s="256" t="inlineStr">
        <is>
          <t>22.06.2026</t>
        </is>
      </c>
      <c r="DB76" s="256" t="inlineStr">
        <is>
          <t>IPH — Institute of Public Health</t>
        </is>
      </c>
      <c r="DC76" s="256" t="inlineStr">
        <is>
          <t>0.038</t>
        </is>
      </c>
      <c r="DD76" s="256" t="inlineStr">
        <is>
          <t>3663/2026</t>
        </is>
      </c>
      <c r="DE76" s="256" t="inlineStr">
        <is>
          <t>22.06.2026</t>
        </is>
      </c>
      <c r="DF76" s="256" t="inlineStr">
        <is>
          <t>IPH — Institute of Public Health</t>
        </is>
      </c>
      <c r="DG76" s="256" t="inlineStr">
        <is>
          <t>0.044</t>
        </is>
      </c>
      <c r="DH76" s="256" t="inlineStr">
        <is>
          <t>3663/2026</t>
        </is>
      </c>
      <c r="DI76" s="256" t="inlineStr">
        <is>
          <t>22.06.2026</t>
        </is>
      </c>
      <c r="DJ76" s="256" t="inlineStr">
        <is>
          <t>IPH — Institute of Public Health</t>
        </is>
      </c>
      <c r="DK76" s="256" t="inlineStr">
        <is>
          <t>0.012</t>
        </is>
      </c>
      <c r="DL76" s="256" t="inlineStr">
        <is>
          <t>3663/2026</t>
        </is>
      </c>
      <c r="DM76" s="256" t="inlineStr">
        <is>
          <t>22.06.2026</t>
        </is>
      </c>
      <c r="DN76" s="256" t="inlineStr">
        <is>
          <t>IPH — Institute of Public Health</t>
        </is>
      </c>
      <c r="DO76" s="256" t="inlineStr">
        <is>
          <t>&lt; 0,01 mg/kg — all 29 residues</t>
        </is>
      </c>
      <c r="DP76" s="256" t="inlineStr">
        <is>
          <t>3663/2026</t>
        </is>
      </c>
      <c r="DQ76" s="256" t="inlineStr">
        <is>
          <t>22.06.2026</t>
        </is>
      </c>
      <c r="DR76" s="256" t="inlineStr">
        <is>
          <t>IPH — Institute of Public Health</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iCoA-PP_26-069</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6" t="inlineStr">
        <is>
          <t>&lt; 2</t>
        </is>
      </c>
      <c r="CR77" s="256" t="inlineStr">
        <is>
          <t>3662/2026</t>
        </is>
      </c>
      <c r="CS77" s="256" t="inlineStr">
        <is>
          <t>22.06.2026</t>
        </is>
      </c>
      <c r="CT77" s="256" t="inlineStr">
        <is>
          <t>IPH — Institute of Public Health</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29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iCoA-PP_26-073</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29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iCoA-PP_26-074</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6" t="inlineStr">
        <is>
          <t>&lt; 2</t>
        </is>
      </c>
      <c r="CR79" s="256" t="inlineStr">
        <is>
          <t>3660/2026</t>
        </is>
      </c>
      <c r="CS79" s="256" t="inlineStr">
        <is>
          <t>22.06.2026</t>
        </is>
      </c>
      <c r="CT79" s="256" t="inlineStr">
        <is>
          <t>IPH — Institute of Public Health</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29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iCoA-PP_26-081</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6" t="inlineStr">
        <is>
          <t>&lt; 2</t>
        </is>
      </c>
      <c r="CR80" s="256" t="inlineStr">
        <is>
          <t>3661/2026</t>
        </is>
      </c>
      <c r="CS80" s="256" t="inlineStr">
        <is>
          <t>22.06.2026</t>
        </is>
      </c>
      <c r="CT80" s="256" t="inlineStr">
        <is>
          <t>IPH — Institute of Public Health</t>
        </is>
      </c>
      <c r="CU80" s="259" t="inlineStr">
        <is>
          <t>not tested</t>
        </is>
      </c>
      <c r="CV80" s="256" t="inlineStr">
        <is>
          <t>—</t>
        </is>
      </c>
      <c r="CW80" s="256" t="inlineStr">
        <is>
          <t>—</t>
        </is>
      </c>
      <c r="CX80" s="256" t="inlineStr">
        <is>
          <t>—</t>
        </is>
      </c>
      <c r="CY80" s="256" t="inlineStr">
        <is>
          <t>0.234</t>
        </is>
      </c>
      <c r="CZ80" s="256" t="inlineStr">
        <is>
          <t>3661/2026</t>
        </is>
      </c>
      <c r="DA80" s="256" t="inlineStr">
        <is>
          <t>22.06.2026</t>
        </is>
      </c>
      <c r="DB80" s="256" t="inlineStr">
        <is>
          <t>IPH — Institute of Public Health</t>
        </is>
      </c>
      <c r="DC80" s="256" t="inlineStr">
        <is>
          <t>0.04</t>
        </is>
      </c>
      <c r="DD80" s="256" t="inlineStr">
        <is>
          <t>3661/2026</t>
        </is>
      </c>
      <c r="DE80" s="256" t="inlineStr">
        <is>
          <t>22.06.2026</t>
        </is>
      </c>
      <c r="DF80" s="256" t="inlineStr">
        <is>
          <t>IPH — Institute of Public Health</t>
        </is>
      </c>
      <c r="DG80" s="256" t="inlineStr">
        <is>
          <t>0.056</t>
        </is>
      </c>
      <c r="DH80" s="256" t="inlineStr">
        <is>
          <t>3661/2026</t>
        </is>
      </c>
      <c r="DI80" s="256" t="inlineStr">
        <is>
          <t>22.06.2026</t>
        </is>
      </c>
      <c r="DJ80" s="256" t="inlineStr">
        <is>
          <t>IPH — Institute of Public Health</t>
        </is>
      </c>
      <c r="DK80" s="256" t="inlineStr">
        <is>
          <t>0.034</t>
        </is>
      </c>
      <c r="DL80" s="256" t="inlineStr">
        <is>
          <t>3661/2026</t>
        </is>
      </c>
      <c r="DM80" s="256" t="inlineStr">
        <is>
          <t>22.06.2026</t>
        </is>
      </c>
      <c r="DN80" s="256" t="inlineStr">
        <is>
          <t>IPH — Institute of Public Health</t>
        </is>
      </c>
      <c r="DO80" s="256" t="inlineStr">
        <is>
          <t>&lt; 0,01 mg/kg — all 29 residues</t>
        </is>
      </c>
      <c r="DP80" s="256" t="inlineStr">
        <is>
          <t>3661/2026</t>
        </is>
      </c>
      <c r="DQ80" s="256" t="inlineStr">
        <is>
          <t>22.06.2026</t>
        </is>
      </c>
      <c r="DR80" s="256" t="inlineStr">
        <is>
          <t>IPH — Institute of Public Health</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iCoA-PP_26-082</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6" t="inlineStr">
        <is>
          <t>&lt; 2</t>
        </is>
      </c>
      <c r="CR81" s="256" t="inlineStr">
        <is>
          <t>3657/2026</t>
        </is>
      </c>
      <c r="CS81" s="256" t="inlineStr">
        <is>
          <t>22.06.2026</t>
        </is>
      </c>
      <c r="CT81" s="256" t="inlineStr">
        <is>
          <t>IPH — Institute of Public Health</t>
        </is>
      </c>
      <c r="CU81" s="259" t="inlineStr">
        <is>
          <t>not tested</t>
        </is>
      </c>
      <c r="CV81" s="256" t="inlineStr">
        <is>
          <t>—</t>
        </is>
      </c>
      <c r="CW81" s="256" t="inlineStr">
        <is>
          <t>—</t>
        </is>
      </c>
      <c r="CX81" s="256" t="inlineStr">
        <is>
          <t>—</t>
        </is>
      </c>
      <c r="CY81" s="256" t="inlineStr">
        <is>
          <t>0.054</t>
        </is>
      </c>
      <c r="CZ81" s="256" t="inlineStr">
        <is>
          <t>3657/2026</t>
        </is>
      </c>
      <c r="DA81" s="256" t="inlineStr">
        <is>
          <t>22.06.2026</t>
        </is>
      </c>
      <c r="DB81" s="256" t="inlineStr">
        <is>
          <t>IPH — Institute of Public Health</t>
        </is>
      </c>
      <c r="DC81" s="256" t="inlineStr">
        <is>
          <t>0.035</t>
        </is>
      </c>
      <c r="DD81" s="256" t="inlineStr">
        <is>
          <t>3657/2026</t>
        </is>
      </c>
      <c r="DE81" s="256" t="inlineStr">
        <is>
          <t>22.06.2026</t>
        </is>
      </c>
      <c r="DF81" s="256" t="inlineStr">
        <is>
          <t>IPH — Institute of Public Health</t>
        </is>
      </c>
      <c r="DG81" s="256" t="inlineStr">
        <is>
          <t>0.058</t>
        </is>
      </c>
      <c r="DH81" s="256" t="inlineStr">
        <is>
          <t>3657/2026</t>
        </is>
      </c>
      <c r="DI81" s="256" t="inlineStr">
        <is>
          <t>22.06.2026</t>
        </is>
      </c>
      <c r="DJ81" s="256" t="inlineStr">
        <is>
          <t>IPH — Institute of Public Health</t>
        </is>
      </c>
      <c r="DK81" s="256" t="inlineStr">
        <is>
          <t>0.009</t>
        </is>
      </c>
      <c r="DL81" s="256" t="inlineStr">
        <is>
          <t>3657/2026</t>
        </is>
      </c>
      <c r="DM81" s="256" t="inlineStr">
        <is>
          <t>22.06.2026</t>
        </is>
      </c>
      <c r="DN81" s="256" t="inlineStr">
        <is>
          <t>IPH — Institute of Public Health</t>
        </is>
      </c>
      <c r="DO81" s="256" t="inlineStr">
        <is>
          <t>&lt; 0,01 mg/kg — all 29 residues</t>
        </is>
      </c>
      <c r="DP81" s="256" t="inlineStr">
        <is>
          <t>3657/2026</t>
        </is>
      </c>
      <c r="DQ81" s="256" t="inlineStr">
        <is>
          <t>22.06.2026</t>
        </is>
      </c>
      <c r="DR81" s="256" t="inlineStr">
        <is>
          <t>IPH — Institute of Public Health</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iCoA-PP_26-083</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6" t="inlineStr">
        <is>
          <t>&lt; 2</t>
        </is>
      </c>
      <c r="CR82" s="256" t="inlineStr">
        <is>
          <t>3924/2026</t>
        </is>
      </c>
      <c r="CS82" s="256" t="inlineStr">
        <is>
          <t>20.07.2026</t>
        </is>
      </c>
      <c r="CT82" s="256" t="inlineStr">
        <is>
          <t>IPH — Institute of Public Health</t>
        </is>
      </c>
      <c r="CU82" s="259" t="inlineStr">
        <is>
          <t>not tested</t>
        </is>
      </c>
      <c r="CV82" s="256" t="inlineStr">
        <is>
          <t>—</t>
        </is>
      </c>
      <c r="CW82" s="256" t="inlineStr">
        <is>
          <t>—</t>
        </is>
      </c>
      <c r="CX82" s="256" t="inlineStr">
        <is>
          <t>—</t>
        </is>
      </c>
      <c r="CY82" s="256" t="inlineStr">
        <is>
          <t>0.036</t>
        </is>
      </c>
      <c r="CZ82" s="256" t="inlineStr">
        <is>
          <t>3924/2026</t>
        </is>
      </c>
      <c r="DA82" s="256" t="inlineStr">
        <is>
          <t>20.07.2026</t>
        </is>
      </c>
      <c r="DB82" s="256" t="inlineStr">
        <is>
          <t>IPH — Institute of Public Health</t>
        </is>
      </c>
      <c r="DC82" s="256" t="inlineStr">
        <is>
          <t>0.015</t>
        </is>
      </c>
      <c r="DD82" s="256" t="inlineStr">
        <is>
          <t>3924/2026</t>
        </is>
      </c>
      <c r="DE82" s="256" t="inlineStr">
        <is>
          <t>20.07.2026</t>
        </is>
      </c>
      <c r="DF82" s="256" t="inlineStr">
        <is>
          <t>IPH — Institute of Public Health</t>
        </is>
      </c>
      <c r="DG82" s="256" t="inlineStr">
        <is>
          <t>0</t>
        </is>
      </c>
      <c r="DH82" s="256" t="inlineStr">
        <is>
          <t>3924/2026</t>
        </is>
      </c>
      <c r="DI82" s="256" t="inlineStr">
        <is>
          <t>20.07.2026</t>
        </is>
      </c>
      <c r="DJ82" s="256" t="inlineStr">
        <is>
          <t>IPH — Institute of Public Health</t>
        </is>
      </c>
      <c r="DK82" s="256" t="inlineStr">
        <is>
          <t>0.043</t>
        </is>
      </c>
      <c r="DL82" s="256" t="inlineStr">
        <is>
          <t>3924/2026</t>
        </is>
      </c>
      <c r="DM82" s="256" t="inlineStr">
        <is>
          <t>20.07.2026</t>
        </is>
      </c>
      <c r="DN82" s="256" t="inlineStr">
        <is>
          <t>IPH — Institute of Public Health</t>
        </is>
      </c>
      <c r="DO82" s="256" t="inlineStr">
        <is>
          <t>&lt; 0,01 mg/kg — all 29 residues</t>
        </is>
      </c>
      <c r="DP82" s="256" t="inlineStr">
        <is>
          <t>3924/2026</t>
        </is>
      </c>
      <c r="DQ82" s="256" t="inlineStr">
        <is>
          <t>20.07.2026</t>
        </is>
      </c>
      <c r="DR82" s="256" t="inlineStr">
        <is>
          <t>IPH — Institute of Public Health</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iCoA-PP_26-087</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6" t="inlineStr">
        <is>
          <t>&lt; 2</t>
        </is>
      </c>
      <c r="CR83" s="256" t="inlineStr">
        <is>
          <t>3925/2026</t>
        </is>
      </c>
      <c r="CS83" s="256" t="inlineStr">
        <is>
          <t>20.07.2026</t>
        </is>
      </c>
      <c r="CT83" s="256" t="inlineStr">
        <is>
          <t>IPH — Institute of Public Health</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6" t="inlineStr">
        <is>
          <t>&lt; 0,01 mg/kg — all 26 residues</t>
        </is>
      </c>
      <c r="DP83" s="256" t="inlineStr">
        <is>
          <t>3925/2026</t>
        </is>
      </c>
      <c r="DQ83" s="256" t="inlineStr">
        <is>
          <t>20.07.2026</t>
        </is>
      </c>
      <c r="DR83" s="256" t="inlineStr">
        <is>
          <t>IPH — Institute of Public Health</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iCoA-PP_26-109</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6" t="inlineStr">
        <is>
          <t>&lt; 2</t>
        </is>
      </c>
      <c r="CR84" s="256" t="inlineStr">
        <is>
          <t>3658/2026</t>
        </is>
      </c>
      <c r="CS84" s="256" t="inlineStr">
        <is>
          <t>22.06.2026</t>
        </is>
      </c>
      <c r="CT84" s="256" t="inlineStr">
        <is>
          <t>IPH — Institute of Public Health</t>
        </is>
      </c>
      <c r="CU84" s="259" t="inlineStr">
        <is>
          <t>not tested</t>
        </is>
      </c>
      <c r="CV84" s="256" t="inlineStr">
        <is>
          <t>—</t>
        </is>
      </c>
      <c r="CW84" s="256" t="inlineStr">
        <is>
          <t>—</t>
        </is>
      </c>
      <c r="CX84" s="256" t="inlineStr">
        <is>
          <t>—</t>
        </is>
      </c>
      <c r="CY84" s="256" t="inlineStr">
        <is>
          <t>0.066</t>
        </is>
      </c>
      <c r="CZ84" s="256" t="inlineStr">
        <is>
          <t>3658/2026</t>
        </is>
      </c>
      <c r="DA84" s="256" t="inlineStr">
        <is>
          <t>22.06.2026</t>
        </is>
      </c>
      <c r="DB84" s="256" t="inlineStr">
        <is>
          <t>IPH — Institute of Public Health</t>
        </is>
      </c>
      <c r="DC84" s="256" t="inlineStr">
        <is>
          <t>0.029</t>
        </is>
      </c>
      <c r="DD84" s="256" t="inlineStr">
        <is>
          <t>3658/2026</t>
        </is>
      </c>
      <c r="DE84" s="256" t="inlineStr">
        <is>
          <t>22.06.2026</t>
        </is>
      </c>
      <c r="DF84" s="256" t="inlineStr">
        <is>
          <t>IPH — Institute of Public Health</t>
        </is>
      </c>
      <c r="DG84" s="256" t="inlineStr">
        <is>
          <t>0.052</t>
        </is>
      </c>
      <c r="DH84" s="256" t="inlineStr">
        <is>
          <t>3658/2026</t>
        </is>
      </c>
      <c r="DI84" s="256" t="inlineStr">
        <is>
          <t>22.06.2026</t>
        </is>
      </c>
      <c r="DJ84" s="256" t="inlineStr">
        <is>
          <t>IPH — Institute of Public Health</t>
        </is>
      </c>
      <c r="DK84" s="256" t="inlineStr">
        <is>
          <t>0.013</t>
        </is>
      </c>
      <c r="DL84" s="256" t="inlineStr">
        <is>
          <t>3658/2026</t>
        </is>
      </c>
      <c r="DM84" s="256" t="inlineStr">
        <is>
          <t>22.06.2026</t>
        </is>
      </c>
      <c r="DN84" s="256" t="inlineStr">
        <is>
          <t>IPH — Institute of Public Health</t>
        </is>
      </c>
      <c r="DO84" s="256" t="inlineStr">
        <is>
          <t>&lt; 0,01 mg/kg — all 29 residues</t>
        </is>
      </c>
      <c r="DP84" s="256" t="inlineStr">
        <is>
          <t>3658/2026</t>
        </is>
      </c>
      <c r="DQ84" s="256" t="inlineStr">
        <is>
          <t>22.06.2026</t>
        </is>
      </c>
      <c r="DR84" s="256" t="inlineStr">
        <is>
          <t>IPH — Institute of Public Health</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iCoA-PP_26-110</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iCoA-PP_26-110</t>
        </is>
      </c>
      <c r="AG85" s="256" t="inlineStr">
        <is>
          <t>13.08.2026</t>
        </is>
      </c>
      <c r="AH85" s="256" t="inlineStr">
        <is>
          <t>Purely Plant GmbH (in-house)</t>
        </is>
      </c>
      <c r="AI85" s="256" t="inlineStr">
        <is>
          <t>Conforms | Одговара</t>
        </is>
      </c>
      <c r="AJ85" s="256" t="inlineStr">
        <is>
          <t>iCoA-PP_26-110</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iCoA-PP_26-110</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iCoA-PP_26-088</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iCoA-PP_26-088</t>
        </is>
      </c>
      <c r="AG86" s="256" t="inlineStr">
        <is>
          <t>27.07.2026</t>
        </is>
      </c>
      <c r="AH86" s="256" t="inlineStr">
        <is>
          <t>Purely Plant GmbH (in-house)</t>
        </is>
      </c>
      <c r="AI86" s="256" t="inlineStr">
        <is>
          <t>Conforms | Одговара</t>
        </is>
      </c>
      <c r="AJ86" s="256" t="inlineStr">
        <is>
          <t>iCoA-PP_26-088</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iCoA-PP_26-088</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 mg/kg — all 29 residues</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iCoA-PP_26-089</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iCoA-PP_26-089</t>
        </is>
      </c>
      <c r="AG87" s="256" t="inlineStr">
        <is>
          <t>27.07.2026</t>
        </is>
      </c>
      <c r="AH87" s="256" t="inlineStr">
        <is>
          <t>Purely Plant GmbH (in-house)</t>
        </is>
      </c>
      <c r="AI87" s="256" t="inlineStr">
        <is>
          <t>Conforms | Одговара</t>
        </is>
      </c>
      <c r="AJ87" s="256" t="inlineStr">
        <is>
          <t>iCoA-PP_26-089</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iCoA-PP_26-089</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 mg/kg — all 29 residues</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iCoA-PP_26-093</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iCoA-PP_26-093</t>
        </is>
      </c>
      <c r="AG88" s="256" t="inlineStr">
        <is>
          <t>27.07.2026</t>
        </is>
      </c>
      <c r="AH88" s="256" t="inlineStr">
        <is>
          <t>Purely Plant GmbH (in-house)</t>
        </is>
      </c>
      <c r="AI88" s="256" t="inlineStr">
        <is>
          <t>Conforms | Одговара</t>
        </is>
      </c>
      <c r="AJ88" s="256" t="inlineStr">
        <is>
          <t>iCoA-PP_26-093</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iCoA-PP_26-093</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iCoA-PP_26-090</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iCoA-PP_26-090</t>
        </is>
      </c>
      <c r="AG89" s="256" t="inlineStr">
        <is>
          <t>27.07.2026</t>
        </is>
      </c>
      <c r="AH89" s="256" t="inlineStr">
        <is>
          <t>Purely Plant GmbH (in-house)</t>
        </is>
      </c>
      <c r="AI89" s="256" t="inlineStr">
        <is>
          <t>Conforms | Одговара</t>
        </is>
      </c>
      <c r="AJ89" s="256" t="inlineStr">
        <is>
          <t>iCoA-PP_26-090</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iCoA-PP_26-090</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iCoA-PP_26-092</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iCoA-PP_26-092</t>
        </is>
      </c>
      <c r="AG90" s="256" t="inlineStr">
        <is>
          <t>27.07.2026</t>
        </is>
      </c>
      <c r="AH90" s="256" t="inlineStr">
        <is>
          <t>Purely Plant GmbH (in-house)</t>
        </is>
      </c>
      <c r="AI90" s="256" t="inlineStr">
        <is>
          <t>Conforms | Одговара</t>
        </is>
      </c>
      <c r="AJ90" s="256" t="inlineStr">
        <is>
          <t>iCoA-PP_26-092</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iCoA-PP_26-092</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iCoA-PP_26-097</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iCoA-PP_26-097</t>
        </is>
      </c>
      <c r="AG91" s="256" t="inlineStr">
        <is>
          <t>27.07.2026</t>
        </is>
      </c>
      <c r="AH91" s="256" t="inlineStr">
        <is>
          <t>Purely Plant GmbH (in-house)</t>
        </is>
      </c>
      <c r="AI91" s="256" t="inlineStr">
        <is>
          <t>Conforms | Одговара</t>
        </is>
      </c>
      <c r="AJ91" s="256" t="inlineStr">
        <is>
          <t>iCoA-PP_26-097</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iCoA-PP_26-097</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iCoA-PP_26-098</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29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iCoA-PP_26-094</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iCoA-PP_26-094</t>
        </is>
      </c>
      <c r="AG93" s="256" t="inlineStr">
        <is>
          <t>27.07.2026</t>
        </is>
      </c>
      <c r="AH93" s="256" t="inlineStr">
        <is>
          <t>Purely Plant GmbH (in-house)</t>
        </is>
      </c>
      <c r="AI93" s="256" t="inlineStr">
        <is>
          <t>Conforms | Одговара</t>
        </is>
      </c>
      <c r="AJ93" s="256" t="inlineStr">
        <is>
          <t>iCoA-PP_26-094</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iCoA-PP_26-094</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iCoA-PP_26-095</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iCoA-PP_26-095</t>
        </is>
      </c>
      <c r="AG94" s="256" t="inlineStr">
        <is>
          <t>27.07.2026</t>
        </is>
      </c>
      <c r="AH94" s="256" t="inlineStr">
        <is>
          <t>Purely Plant GmbH (in-house)</t>
        </is>
      </c>
      <c r="AI94" s="256" t="inlineStr">
        <is>
          <t>Conforms | Одговара</t>
        </is>
      </c>
      <c r="AJ94" s="256" t="inlineStr">
        <is>
          <t>iCoA-PP_26-095</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iCoA-PP_26-095</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 mg/kg — all 29 residues</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iCoA-PP_26-096</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iCoA-PP_26-096</t>
        </is>
      </c>
      <c r="AG95" s="256" t="inlineStr">
        <is>
          <t>27.07.2026</t>
        </is>
      </c>
      <c r="AH95" s="256" t="inlineStr">
        <is>
          <t>Purely Plant GmbH (in-house)</t>
        </is>
      </c>
      <c r="AI95" s="256" t="inlineStr">
        <is>
          <t>Conforms | Одговара</t>
        </is>
      </c>
      <c r="AJ95" s="256" t="inlineStr">
        <is>
          <t>iCoA-PP_26-096</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iCoA-PP_26-096</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 mg/kg — all 29 residues</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iCoA-PP_26-099</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iCoA-PP_26-099</t>
        </is>
      </c>
      <c r="AG96" s="256" t="inlineStr">
        <is>
          <t>27.07.2026</t>
        </is>
      </c>
      <c r="AH96" s="256" t="inlineStr">
        <is>
          <t>Purely Plant GmbH (in-house)</t>
        </is>
      </c>
      <c r="AI96" s="256" t="inlineStr">
        <is>
          <t>Conforms | Одговара</t>
        </is>
      </c>
      <c r="AJ96" s="256" t="inlineStr">
        <is>
          <t>iCoA-PP_26-099</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iCoA-PP_26-099</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iCoA-PP_26-100</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iCoA-PP_26-100</t>
        </is>
      </c>
      <c r="AG97" s="256" t="inlineStr">
        <is>
          <t>27.07.2026</t>
        </is>
      </c>
      <c r="AH97" s="256" t="inlineStr">
        <is>
          <t>Purely Plant GmbH (in-house)</t>
        </is>
      </c>
      <c r="AI97" s="256" t="inlineStr">
        <is>
          <t>Conforms | Одговара</t>
        </is>
      </c>
      <c r="AJ97" s="256" t="inlineStr">
        <is>
          <t>iCoA-PP_26-100</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iCoA-PP_26-100</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iCoA-PP_26-101</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iCoA-PP_26-101</t>
        </is>
      </c>
      <c r="AG98" s="256" t="inlineStr">
        <is>
          <t>27.07.2026</t>
        </is>
      </c>
      <c r="AH98" s="256" t="inlineStr">
        <is>
          <t>Purely Plant GmbH (in-house)</t>
        </is>
      </c>
      <c r="AI98" s="256" t="inlineStr">
        <is>
          <t>Conforms | Одговара</t>
        </is>
      </c>
      <c r="AJ98" s="256" t="inlineStr">
        <is>
          <t>iCoA-PP_26-101</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iCoA-PP_26-101</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iCoA-PP_26-102</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iCoA-PP_26-102</t>
        </is>
      </c>
      <c r="AG99" s="256" t="inlineStr">
        <is>
          <t>27.07.2026</t>
        </is>
      </c>
      <c r="AH99" s="256" t="inlineStr">
        <is>
          <t>Purely Plant GmbH (in-house)</t>
        </is>
      </c>
      <c r="AI99" s="256" t="inlineStr">
        <is>
          <t>Conforms | Одговара</t>
        </is>
      </c>
      <c r="AJ99" s="256" t="inlineStr">
        <is>
          <t>iCoA-PP_26-102</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iCoA-PP_26-102</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29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iCoA-PP_26-103</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iCoA-PP_26-103</t>
        </is>
      </c>
      <c r="AG100" s="256" t="inlineStr">
        <is>
          <t>27.07.2026</t>
        </is>
      </c>
      <c r="AH100" s="256" t="inlineStr">
        <is>
          <t>Purely Plant GmbH (in-house)</t>
        </is>
      </c>
      <c r="AI100" s="256" t="inlineStr">
        <is>
          <t>Conforms | Одговара</t>
        </is>
      </c>
      <c r="AJ100" s="256" t="inlineStr">
        <is>
          <t>iCoA-PP_26-103</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iCoA-PP_26-103</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 mg/kg — all 29 residues</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iCoA-PP_26-104</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iCoA-PP_26-104</t>
        </is>
      </c>
      <c r="AG101" s="256" t="inlineStr">
        <is>
          <t>27.07.2026</t>
        </is>
      </c>
      <c r="AH101" s="256" t="inlineStr">
        <is>
          <t>Purely Plant GmbH (in-house)</t>
        </is>
      </c>
      <c r="AI101" s="256" t="inlineStr">
        <is>
          <t>Conforms | Одговара</t>
        </is>
      </c>
      <c r="AJ101" s="256" t="inlineStr">
        <is>
          <t>iCoA-PP_26-104</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iCoA-PP_26-104</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iCoA-PP_26-105</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iCoA-PP_26-105</t>
        </is>
      </c>
      <c r="AG102" s="256" t="inlineStr">
        <is>
          <t>27.07.2026</t>
        </is>
      </c>
      <c r="AH102" s="256" t="inlineStr">
        <is>
          <t>Purely Plant GmbH (in-house)</t>
        </is>
      </c>
      <c r="AI102" s="256" t="inlineStr">
        <is>
          <t>Conforms | Одговара</t>
        </is>
      </c>
      <c r="AJ102" s="256" t="inlineStr">
        <is>
          <t>iCoA-PP_26-105</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iCoA-PP_26-105</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iCoA-PP_26-106</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iCoA-PP_26-106</t>
        </is>
      </c>
      <c r="AG103" s="256" t="inlineStr">
        <is>
          <t>27.07.2026</t>
        </is>
      </c>
      <c r="AH103" s="256" t="inlineStr">
        <is>
          <t>Purely Plant GmbH (in-house)</t>
        </is>
      </c>
      <c r="AI103" s="256" t="inlineStr">
        <is>
          <t>Conforms | Одговара</t>
        </is>
      </c>
      <c r="AJ103" s="256" t="inlineStr">
        <is>
          <t>iCoA-PP_26-106</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iCoA-PP_26-106</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 mg/kg — all 29 residues</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iCoA-PP_26-108</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iCoA-PP_26-108</t>
        </is>
      </c>
      <c r="AG104" s="256" t="inlineStr">
        <is>
          <t>27.07.2026</t>
        </is>
      </c>
      <c r="AH104" s="256" t="inlineStr">
        <is>
          <t>Purely Plant GmbH (in-house)</t>
        </is>
      </c>
      <c r="AI104" s="256" t="inlineStr">
        <is>
          <t>Conforms | Одговара</t>
        </is>
      </c>
      <c r="AJ104" s="256" t="inlineStr">
        <is>
          <t>iCoA-PP_26-108</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iCoA-PP_26-108</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 mg/kg — all 29 residues</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iCoA-PP_26-107</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iCoA-PP_26-107</t>
        </is>
      </c>
      <c r="AG105" s="256" t="inlineStr">
        <is>
          <t>27.07.2026</t>
        </is>
      </c>
      <c r="AH105" s="256" t="inlineStr">
        <is>
          <t>Purely Plant GmbH (in-house)</t>
        </is>
      </c>
      <c r="AI105" s="256" t="inlineStr">
        <is>
          <t>Conforms | Одговара</t>
        </is>
      </c>
      <c r="AJ105" s="256" t="inlineStr">
        <is>
          <t>iCoA-PP_26-107</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iCoA-PP_26-107</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iCoA-PP_26-091</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iCoA-PP_26-091</t>
        </is>
      </c>
      <c r="AG106" s="256" t="inlineStr">
        <is>
          <t>27.07.2026</t>
        </is>
      </c>
      <c r="AH106" s="256" t="inlineStr">
        <is>
          <t>Purely Plant GmbH (in-house)</t>
        </is>
      </c>
      <c r="AI106" s="256" t="inlineStr">
        <is>
          <t>Conforms | Одговара</t>
        </is>
      </c>
      <c r="AJ106" s="256" t="inlineStr">
        <is>
          <t>iCoA-PP_26-091</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iCoA-PP_26-091</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iCoA-PP_26-111</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iCoA-PP_26-111</t>
        </is>
      </c>
      <c r="AG107" s="256" t="inlineStr">
        <is>
          <t>17.08.2026</t>
        </is>
      </c>
      <c r="AH107" s="256" t="inlineStr">
        <is>
          <t>Purely Plant GmbH (in-house)</t>
        </is>
      </c>
      <c r="AI107" s="256" t="inlineStr">
        <is>
          <t>Conforms | Одговара</t>
        </is>
      </c>
      <c r="AJ107" s="256" t="inlineStr">
        <is>
          <t>iCoA-PP_26-111</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iCoA-PP_26-111</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29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iCoA-PP_26-112</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iCoA-PP_26-112</t>
        </is>
      </c>
      <c r="AG108" s="256" t="inlineStr">
        <is>
          <t>17.08.2026</t>
        </is>
      </c>
      <c r="AH108" s="256" t="inlineStr">
        <is>
          <t>Purely Plant GmbH (in-house)</t>
        </is>
      </c>
      <c r="AI108" s="256" t="inlineStr">
        <is>
          <t>Conforms | Одговара</t>
        </is>
      </c>
      <c r="AJ108" s="256" t="inlineStr">
        <is>
          <t>iCoA-PP_26-112</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iCoA-PP_26-112</t>
        </is>
      </c>
      <c r="BE108" s="256" t="inlineStr">
        <is>
          <t>17.08.2026</t>
        </is>
      </c>
      <c r="BF108" s="256" t="inlineStr">
        <is>
          <t>Purely Plant GmbH (in-house)</t>
        </is>
      </c>
      <c r="BG108" s="256" t="inlineStr">
        <is>
          <t>8.60</t>
        </is>
      </c>
      <c r="BH108" s="256" t="inlineStr">
        <is>
          <t>iCoA-PP_26-023</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iCoA-PP_26-133</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iCoA-PP_26-133</t>
        </is>
      </c>
      <c r="AG109" s="256" t="inlineStr">
        <is>
          <t>17.08.2026</t>
        </is>
      </c>
      <c r="AH109" s="256" t="inlineStr">
        <is>
          <t>Purely Plant GmbH (in-house)</t>
        </is>
      </c>
      <c r="AI109" s="256" t="inlineStr">
        <is>
          <t>Conforms | Одговара</t>
        </is>
      </c>
      <c r="AJ109" s="256" t="inlineStr">
        <is>
          <t>iCoA-PP_26-133</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iCoA-PP_26-133</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iCoA-PP_26-113</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iCoA-PP_26-113</t>
        </is>
      </c>
      <c r="AG110" s="256" t="inlineStr">
        <is>
          <t>17.08.2026</t>
        </is>
      </c>
      <c r="AH110" s="256" t="inlineStr">
        <is>
          <t>Purely Plant GmbH (in-house)</t>
        </is>
      </c>
      <c r="AI110" s="256" t="inlineStr">
        <is>
          <t>Conforms | Одговара</t>
        </is>
      </c>
      <c r="AJ110" s="256" t="inlineStr">
        <is>
          <t>iCoA-PP_26-113</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iCoA-PP_26-113</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29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iCoA-PP_26-114</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iCoA-PP_26-114</t>
        </is>
      </c>
      <c r="AG111" s="256" t="inlineStr">
        <is>
          <t>17.08.2026</t>
        </is>
      </c>
      <c r="AH111" s="256" t="inlineStr">
        <is>
          <t>Purely Plant GmbH (in-house)</t>
        </is>
      </c>
      <c r="AI111" s="256" t="inlineStr">
        <is>
          <t>Conforms | Одговара</t>
        </is>
      </c>
      <c r="AJ111" s="256" t="inlineStr">
        <is>
          <t>iCoA-PP_26-114</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iCoA-PP_26-114</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iCoA-PP_26-115</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iCoA-PP_26-115</t>
        </is>
      </c>
      <c r="AG112" s="256" t="inlineStr">
        <is>
          <t>17.08.2026</t>
        </is>
      </c>
      <c r="AH112" s="256" t="inlineStr">
        <is>
          <t>Purely Plant GmbH (in-house)</t>
        </is>
      </c>
      <c r="AI112" s="256" t="inlineStr">
        <is>
          <t>Conforms | Одговара</t>
        </is>
      </c>
      <c r="AJ112" s="256" t="inlineStr">
        <is>
          <t>iCoA-PP_26-115</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iCoA-PP_26-115</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iCoA-PP_26-116</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iCoA-PP_26-116</t>
        </is>
      </c>
      <c r="AG113" s="256" t="inlineStr">
        <is>
          <t>17.08.2026</t>
        </is>
      </c>
      <c r="AH113" s="256" t="inlineStr">
        <is>
          <t>Purely Plant GmbH (in-house)</t>
        </is>
      </c>
      <c r="AI113" s="256" t="inlineStr">
        <is>
          <t>Conforms | Одговара</t>
        </is>
      </c>
      <c r="AJ113" s="256" t="inlineStr">
        <is>
          <t>iCoA-PP_26-116</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iCoA-PP_26-116</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 mg/kg — all 29 residues</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iCoA-PP_26-117</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iCoA-PP_26-117</t>
        </is>
      </c>
      <c r="AG114" s="256" t="inlineStr">
        <is>
          <t>17.08.2026</t>
        </is>
      </c>
      <c r="AH114" s="256" t="inlineStr">
        <is>
          <t>Purely Plant GmbH (in-house)</t>
        </is>
      </c>
      <c r="AI114" s="256" t="inlineStr">
        <is>
          <t>Conforms | Одговара</t>
        </is>
      </c>
      <c r="AJ114" s="256" t="inlineStr">
        <is>
          <t>iCoA-PP_26-117</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iCoA-PP_26-117</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 mg/kg — all 29 residues</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iCoA-PP_26-118</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iCoA-PP_26-118</t>
        </is>
      </c>
      <c r="AG115" s="256" t="inlineStr">
        <is>
          <t>17.08.2026</t>
        </is>
      </c>
      <c r="AH115" s="256" t="inlineStr">
        <is>
          <t>Purely Plant GmbH (in-house)</t>
        </is>
      </c>
      <c r="AI115" s="256" t="inlineStr">
        <is>
          <t>Conforms | Одговара</t>
        </is>
      </c>
      <c r="AJ115" s="256" t="inlineStr">
        <is>
          <t>iCoA-PP_26-118</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iCoA-PP_26-118</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 mg/kg — all 29 residues</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iCoA-PP_26-119</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iCoA-PP_26-119</t>
        </is>
      </c>
      <c r="AG116" s="256" t="inlineStr">
        <is>
          <t>17.08.2026</t>
        </is>
      </c>
      <c r="AH116" s="256" t="inlineStr">
        <is>
          <t>Purely Plant GmbH (in-house)</t>
        </is>
      </c>
      <c r="AI116" s="256" t="inlineStr">
        <is>
          <t>Conforms | Одговара</t>
        </is>
      </c>
      <c r="AJ116" s="256" t="inlineStr">
        <is>
          <t>iCoA-PP_26-119</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iCoA-PP_26-119</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29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iCoA-PP_26-120</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iCoA-PP_26-120</t>
        </is>
      </c>
      <c r="AG117" s="256" t="inlineStr">
        <is>
          <t>17.08.2026</t>
        </is>
      </c>
      <c r="AH117" s="256" t="inlineStr">
        <is>
          <t>Purely Plant GmbH (in-house)</t>
        </is>
      </c>
      <c r="AI117" s="256" t="inlineStr">
        <is>
          <t>Conforms | Одговара</t>
        </is>
      </c>
      <c r="AJ117" s="256" t="inlineStr">
        <is>
          <t>iCoA-PP_26-120</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iCoA-PP_26-120</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iCoA-PP_26-121</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iCoA-PP_26-121</t>
        </is>
      </c>
      <c r="AG118" s="256" t="inlineStr">
        <is>
          <t>17.08.2026</t>
        </is>
      </c>
      <c r="AH118" s="256" t="inlineStr">
        <is>
          <t>Purely Plant GmbH (in-house)</t>
        </is>
      </c>
      <c r="AI118" s="256" t="inlineStr">
        <is>
          <t>Conforms | Одговара</t>
        </is>
      </c>
      <c r="AJ118" s="256" t="inlineStr">
        <is>
          <t>iCoA-PP_26-121</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iCoA-PP_26-121</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iCoA-PP_26-122</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iCoA-PP_26-122</t>
        </is>
      </c>
      <c r="AG119" s="256" t="inlineStr">
        <is>
          <t>17.08.2026</t>
        </is>
      </c>
      <c r="AH119" s="256" t="inlineStr">
        <is>
          <t>Purely Plant GmbH (in-house)</t>
        </is>
      </c>
      <c r="AI119" s="256" t="inlineStr">
        <is>
          <t>Conforms | Одговара</t>
        </is>
      </c>
      <c r="AJ119" s="256" t="inlineStr">
        <is>
          <t>iCoA-PP_26-122</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iCoA-PP_26-122</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iCoA-PP_26-123</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iCoA-PP_26-123</t>
        </is>
      </c>
      <c r="AG120" s="256" t="inlineStr">
        <is>
          <t>17.08.2026</t>
        </is>
      </c>
      <c r="AH120" s="256" t="inlineStr">
        <is>
          <t>Purely Plant GmbH (in-house)</t>
        </is>
      </c>
      <c r="AI120" s="256" t="inlineStr">
        <is>
          <t>Conforms | Одговара</t>
        </is>
      </c>
      <c r="AJ120" s="256" t="inlineStr">
        <is>
          <t>iCoA-PP_26-123</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iCoA-PP_26-123</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 mg/kg — all 29 residues</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iCoA-PP_26-124</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iCoA-PP_26-124</t>
        </is>
      </c>
      <c r="AG121" s="256" t="inlineStr">
        <is>
          <t>17.08.2026</t>
        </is>
      </c>
      <c r="AH121" s="256" t="inlineStr">
        <is>
          <t>Purely Plant GmbH (in-house)</t>
        </is>
      </c>
      <c r="AI121" s="256" t="inlineStr">
        <is>
          <t>Conforms | Одговара</t>
        </is>
      </c>
      <c r="AJ121" s="256" t="inlineStr">
        <is>
          <t>iCoA-PP_26-124</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iCoA-PP_26-124</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29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iCoA-PP_26-125</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iCoA-PP_26-125</t>
        </is>
      </c>
      <c r="AG122" s="256" t="inlineStr">
        <is>
          <t>17.08.2026</t>
        </is>
      </c>
      <c r="AH122" s="256" t="inlineStr">
        <is>
          <t>Purely Plant GmbH (in-house)</t>
        </is>
      </c>
      <c r="AI122" s="256" t="inlineStr">
        <is>
          <t>Conforms | Одговара</t>
        </is>
      </c>
      <c r="AJ122" s="256" t="inlineStr">
        <is>
          <t>iCoA-PP_26-125</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iCoA-PP_26-125</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 mg/kg — all 29 residues</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iCoA-PP_26-128</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iCoA-PP_26-128</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iCoA-PP_26-126</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29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iCoA-PP_26-127</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29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iCoA-PP_26-136</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iCoA-PP_26-136</t>
        </is>
      </c>
      <c r="AG126" s="256" t="inlineStr">
        <is>
          <t>17.08.2026</t>
        </is>
      </c>
      <c r="AH126" s="256" t="inlineStr">
        <is>
          <t>Purely Plant GmbH (in-house)</t>
        </is>
      </c>
      <c r="AI126" s="256" t="inlineStr">
        <is>
          <t>Conforms | Одговара</t>
        </is>
      </c>
      <c r="AJ126" s="256" t="inlineStr">
        <is>
          <t>iCoA-PP_26-136</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iCoA-PP_26-136</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iCoA-PP_26-129</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iCoA-PP_26-129</t>
        </is>
      </c>
      <c r="AG127" s="256" t="inlineStr">
        <is>
          <t>17.08.2026</t>
        </is>
      </c>
      <c r="AH127" s="256" t="inlineStr">
        <is>
          <t>Purely Plant GmbH (in-house)</t>
        </is>
      </c>
      <c r="AI127" s="256" t="inlineStr">
        <is>
          <t>Conforms | Одговара</t>
        </is>
      </c>
      <c r="AJ127" s="256" t="inlineStr">
        <is>
          <t>iCoA-PP_26-129</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iCoA-PP_26-129</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29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iCoA-PP_26-130</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iCoA-PP_26-130</t>
        </is>
      </c>
      <c r="AG128" s="256" t="inlineStr">
        <is>
          <t>17.08.2026</t>
        </is>
      </c>
      <c r="AH128" s="256" t="inlineStr">
        <is>
          <t>Purely Plant GmbH (in-house)</t>
        </is>
      </c>
      <c r="AI128" s="256" t="inlineStr">
        <is>
          <t>Conforms | Одговара</t>
        </is>
      </c>
      <c r="AJ128" s="256" t="inlineStr">
        <is>
          <t>iCoA-PP_26-130</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iCoA-PP_26-130</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iCoA-PP_26-132</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iCoA-PP_26-132</t>
        </is>
      </c>
      <c r="AG129" s="256" t="inlineStr">
        <is>
          <t>17.08.2026</t>
        </is>
      </c>
      <c r="AH129" s="256" t="inlineStr">
        <is>
          <t>Purely Plant GmbH (in-house)</t>
        </is>
      </c>
      <c r="AI129" s="256" t="inlineStr">
        <is>
          <t>Conforms | Одговара</t>
        </is>
      </c>
      <c r="AJ129" s="256" t="inlineStr">
        <is>
          <t>iCoA-PP_26-132</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iCoA-PP_26-132</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iCoA-PP_26-131</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iCoA-PP_26-131</t>
        </is>
      </c>
      <c r="AG130" s="256" t="inlineStr">
        <is>
          <t>17.08.2026</t>
        </is>
      </c>
      <c r="AH130" s="256" t="inlineStr">
        <is>
          <t>Purely Plant GmbH (in-house)</t>
        </is>
      </c>
      <c r="AI130" s="256" t="inlineStr">
        <is>
          <t>Conforms | Одговара</t>
        </is>
      </c>
      <c r="AJ130" s="256" t="inlineStr">
        <is>
          <t>iCoA-PP_26-131</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iCoA-PP_26-131</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 mg/kg — all 29 residues</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iCoA-PP_26-137</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iCoA-PP_26-137</t>
        </is>
      </c>
      <c r="AG131" s="256" t="inlineStr">
        <is>
          <t>17.08.2026</t>
        </is>
      </c>
      <c r="AH131" s="256" t="inlineStr">
        <is>
          <t>Purely Plant GmbH (in-house)</t>
        </is>
      </c>
      <c r="AI131" s="256" t="inlineStr">
        <is>
          <t>Conforms | Одговара</t>
        </is>
      </c>
      <c r="AJ131" s="256" t="inlineStr">
        <is>
          <t>iCoA-PP_26-137</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iCoA-PP_26-137</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iCoA-PP_26-138</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iCoA-PP_26-138</t>
        </is>
      </c>
      <c r="AG132" s="256" t="inlineStr">
        <is>
          <t>17.08.2026</t>
        </is>
      </c>
      <c r="AH132" s="256" t="inlineStr">
        <is>
          <t>Purely Plant GmbH (in-house)</t>
        </is>
      </c>
      <c r="AI132" s="256" t="inlineStr">
        <is>
          <t>Conforms | Одговара</t>
        </is>
      </c>
      <c r="AJ132" s="256" t="inlineStr">
        <is>
          <t>iCoA-PP_26-138</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iCoA-PP_26-138</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29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iCoA-PP_26-139</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iCoA-PP_26-139</t>
        </is>
      </c>
      <c r="AG133" s="256" t="inlineStr">
        <is>
          <t>17.08.2026</t>
        </is>
      </c>
      <c r="AH133" s="256" t="inlineStr">
        <is>
          <t>Purely Plant GmbH (in-house)</t>
        </is>
      </c>
      <c r="AI133" s="256" t="inlineStr">
        <is>
          <t>Conforms | Одговара</t>
        </is>
      </c>
      <c r="AJ133" s="256" t="inlineStr">
        <is>
          <t>iCoA-PP_26-139</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iCoA-PP_26-139</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29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iCoA-PP_26-140</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iCoA-PP_26-140</t>
        </is>
      </c>
      <c r="AG134" s="256" t="inlineStr">
        <is>
          <t>17.08.2026</t>
        </is>
      </c>
      <c r="AH134" s="256" t="inlineStr">
        <is>
          <t>Purely Plant GmbH (in-house)</t>
        </is>
      </c>
      <c r="AI134" s="256" t="inlineStr">
        <is>
          <t>Conforms | Одговара</t>
        </is>
      </c>
      <c r="AJ134" s="256" t="inlineStr">
        <is>
          <t>iCoA-PP_26-140</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iCoA-PP_26-140</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 mg/kg — all 29 residues</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iCoA-PP_26-141</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iCoA-PP_26-141</t>
        </is>
      </c>
      <c r="AG135" s="256" t="inlineStr">
        <is>
          <t>17.08.2026</t>
        </is>
      </c>
      <c r="AH135" s="256" t="inlineStr">
        <is>
          <t>Purely Plant GmbH (in-house)</t>
        </is>
      </c>
      <c r="AI135" s="256" t="inlineStr">
        <is>
          <t>Conforms | Одговара</t>
        </is>
      </c>
      <c r="AJ135" s="256" t="inlineStr">
        <is>
          <t>iCoA-PP_26-141</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iCoA-PP_26-141</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 mg/kg — all 29 residues</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iCoA-PP_26-142</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iCoA-PP_26-142</t>
        </is>
      </c>
      <c r="AG136" s="256" t="inlineStr">
        <is>
          <t>17.08.2026</t>
        </is>
      </c>
      <c r="AH136" s="256" t="inlineStr">
        <is>
          <t>Purely Plant GmbH (in-house)</t>
        </is>
      </c>
      <c r="AI136" s="256" t="inlineStr">
        <is>
          <t>Conforms | Одговара</t>
        </is>
      </c>
      <c r="AJ136" s="256" t="inlineStr">
        <is>
          <t>iCoA-PP_26-142</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iCoA-PP_26-142</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 mg/kg — all 29 residues</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iCoA-PP_26-163</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iCoA-PP_26-163</t>
        </is>
      </c>
      <c r="AG137" s="256" t="inlineStr">
        <is>
          <t>24.08.2026</t>
        </is>
      </c>
      <c r="AH137" s="256" t="inlineStr">
        <is>
          <t>Purely Plant GmbH (in-house)</t>
        </is>
      </c>
      <c r="AI137" s="256" t="inlineStr">
        <is>
          <t>Conforms | Одговара</t>
        </is>
      </c>
      <c r="AJ137" s="256" t="inlineStr">
        <is>
          <t>iCoA-PP_26-163</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iCoA-PP_26-163</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 mg/kg — all 29 residues</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iCoA-PP_26-164</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iCoA-PP_26-164</t>
        </is>
      </c>
      <c r="AG138" s="256" t="inlineStr">
        <is>
          <t>24.08.2026</t>
        </is>
      </c>
      <c r="AH138" s="256" t="inlineStr">
        <is>
          <t>Purely Plant GmbH (in-house)</t>
        </is>
      </c>
      <c r="AI138" s="256" t="inlineStr">
        <is>
          <t>Conforms | Одговара</t>
        </is>
      </c>
      <c r="AJ138" s="256" t="inlineStr">
        <is>
          <t>iCoA-PP_26-164</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iCoA-PP_26-164</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iCoA-PP_26-143</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iCoA-PP_26-143</t>
        </is>
      </c>
      <c r="AG139" s="256" t="inlineStr">
        <is>
          <t>24.08.2026</t>
        </is>
      </c>
      <c r="AH139" s="256" t="inlineStr">
        <is>
          <t>Purely Plant GmbH (in-house)</t>
        </is>
      </c>
      <c r="AI139" s="256" t="inlineStr">
        <is>
          <t>Conforms | Одговара</t>
        </is>
      </c>
      <c r="AJ139" s="256" t="inlineStr">
        <is>
          <t>iCoA-PP_26-143</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iCoA-PP_26-143</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iCoA-PP_26-165</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iCoA-PP_26-165</t>
        </is>
      </c>
      <c r="AG140" s="256" t="inlineStr">
        <is>
          <t>24.08.2026</t>
        </is>
      </c>
      <c r="AH140" s="256" t="inlineStr">
        <is>
          <t>Purely Plant GmbH (in-house)</t>
        </is>
      </c>
      <c r="AI140" s="256" t="inlineStr">
        <is>
          <t>Conforms | Одговара</t>
        </is>
      </c>
      <c r="AJ140" s="256" t="inlineStr">
        <is>
          <t>iCoA-PP_26-165</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iCoA-PP_26-165</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 mg/kg — all 29 residues</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iCoA-PP_26-166</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iCoA-PP_26-166</t>
        </is>
      </c>
      <c r="AG141" s="256" t="inlineStr">
        <is>
          <t>24.08.2026</t>
        </is>
      </c>
      <c r="AH141" s="256" t="inlineStr">
        <is>
          <t>Purely Plant GmbH (in-house)</t>
        </is>
      </c>
      <c r="AI141" s="256" t="inlineStr">
        <is>
          <t>Conforms | Одговара</t>
        </is>
      </c>
      <c r="AJ141" s="256" t="inlineStr">
        <is>
          <t>iCoA-PP_26-166</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iCoA-PP_26-166</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iCoA-PP_26-167</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iCoA-PP_26-167</t>
        </is>
      </c>
      <c r="AG142" s="256" t="inlineStr">
        <is>
          <t>24.08.2026</t>
        </is>
      </c>
      <c r="AH142" s="256" t="inlineStr">
        <is>
          <t>Purely Plant GmbH (in-house)</t>
        </is>
      </c>
      <c r="AI142" s="256" t="inlineStr">
        <is>
          <t>Conforms | Одговара</t>
        </is>
      </c>
      <c r="AJ142" s="256" t="inlineStr">
        <is>
          <t>iCoA-PP_26-167</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iCoA-PP_26-167</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 mg/kg — all 29 residues</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iCoA-PP_26-168</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iCoA-PP_26-168</t>
        </is>
      </c>
      <c r="AG143" s="256" t="inlineStr">
        <is>
          <t>24.08.2026</t>
        </is>
      </c>
      <c r="AH143" s="256" t="inlineStr">
        <is>
          <t>Purely Plant GmbH (in-house)</t>
        </is>
      </c>
      <c r="AI143" s="256" t="inlineStr">
        <is>
          <t>Conforms | Одговара</t>
        </is>
      </c>
      <c r="AJ143" s="256" t="inlineStr">
        <is>
          <t>iCoA-PP_26-168</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iCoA-PP_26-168</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 mg/kg — all 29 residues</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iCoA-PP_26-169</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0.234</t>
        </is>
      </c>
      <c r="CZ144" s="256" t="inlineStr">
        <is>
          <t>3661/2026</t>
        </is>
      </c>
      <c r="DA144" s="256" t="inlineStr">
        <is>
          <t>22.06.2026</t>
        </is>
      </c>
      <c r="DB144" s="256" t="inlineStr">
        <is>
          <t>IPH — Institute of Public Health</t>
        </is>
      </c>
      <c r="DC144" s="256" t="inlineStr">
        <is>
          <t>0.04</t>
        </is>
      </c>
      <c r="DD144" s="256" t="inlineStr">
        <is>
          <t>3661/2026</t>
        </is>
      </c>
      <c r="DE144" s="256" t="inlineStr">
        <is>
          <t>22.06.2026</t>
        </is>
      </c>
      <c r="DF144" s="256" t="inlineStr">
        <is>
          <t>IPH — Institute of Public Health</t>
        </is>
      </c>
      <c r="DG144" s="256" t="inlineStr">
        <is>
          <t>0.056</t>
        </is>
      </c>
      <c r="DH144" s="256" t="inlineStr">
        <is>
          <t>3661/2026</t>
        </is>
      </c>
      <c r="DI144" s="256" t="inlineStr">
        <is>
          <t>22.06.2026</t>
        </is>
      </c>
      <c r="DJ144" s="256" t="inlineStr">
        <is>
          <t>IPH — Institute of Public Health</t>
        </is>
      </c>
      <c r="DK144" s="256" t="inlineStr">
        <is>
          <t>0.034</t>
        </is>
      </c>
      <c r="DL144" s="256" t="inlineStr">
        <is>
          <t>3661/2026</t>
        </is>
      </c>
      <c r="DM144" s="256" t="inlineStr">
        <is>
          <t>22.06.2026</t>
        </is>
      </c>
      <c r="DN144" s="256" t="inlineStr">
        <is>
          <t>IPH — Institute of Public Health</t>
        </is>
      </c>
      <c r="DO144" s="256" t="inlineStr">
        <is>
          <t>&lt; 0,01 mg/kg — all 29 residues</t>
        </is>
      </c>
      <c r="DP144" s="256" t="inlineStr">
        <is>
          <t>3661/2026</t>
        </is>
      </c>
      <c r="DQ144" s="256" t="inlineStr">
        <is>
          <t>22.06.2026</t>
        </is>
      </c>
      <c r="DR144" s="256" t="inlineStr">
        <is>
          <t>IPH — Institute of Public Health</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iCoA-PP_26-170</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0.029</t>
        </is>
      </c>
      <c r="CZ145" s="256" t="inlineStr">
        <is>
          <t>3663/2026</t>
        </is>
      </c>
      <c r="DA145" s="256" t="inlineStr">
        <is>
          <t>22.06.2026</t>
        </is>
      </c>
      <c r="DB145" s="256" t="inlineStr">
        <is>
          <t>IPH — Institute of Public Health</t>
        </is>
      </c>
      <c r="DC145" s="256" t="inlineStr">
        <is>
          <t>0.038</t>
        </is>
      </c>
      <c r="DD145" s="256" t="inlineStr">
        <is>
          <t>3663/2026</t>
        </is>
      </c>
      <c r="DE145" s="256" t="inlineStr">
        <is>
          <t>22.06.2026</t>
        </is>
      </c>
      <c r="DF145" s="256" t="inlineStr">
        <is>
          <t>IPH — Institute of Public Health</t>
        </is>
      </c>
      <c r="DG145" s="256" t="inlineStr">
        <is>
          <t>0.044</t>
        </is>
      </c>
      <c r="DH145" s="256" t="inlineStr">
        <is>
          <t>3663/2026</t>
        </is>
      </c>
      <c r="DI145" s="256" t="inlineStr">
        <is>
          <t>22.06.2026</t>
        </is>
      </c>
      <c r="DJ145" s="256" t="inlineStr">
        <is>
          <t>IPH — Institute of Public Health</t>
        </is>
      </c>
      <c r="DK145" s="256" t="inlineStr">
        <is>
          <t>0.012</t>
        </is>
      </c>
      <c r="DL145" s="256" t="inlineStr">
        <is>
          <t>3663/2026</t>
        </is>
      </c>
      <c r="DM145" s="256" t="inlineStr">
        <is>
          <t>22.06.2026</t>
        </is>
      </c>
      <c r="DN145" s="256" t="inlineStr">
        <is>
          <t>IPH — Institute of Public Health</t>
        </is>
      </c>
      <c r="DO145" s="256" t="inlineStr">
        <is>
          <t>&lt; 0,01 mg/kg — all 29 residues</t>
        </is>
      </c>
      <c r="DP145" s="256" t="inlineStr">
        <is>
          <t>3663/2026</t>
        </is>
      </c>
      <c r="DQ145" s="256" t="inlineStr">
        <is>
          <t>22.06.2026</t>
        </is>
      </c>
      <c r="DR145" s="256" t="inlineStr">
        <is>
          <t>IPH — Institute of Public Health</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iCoA-PP_26-171</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iCoA-PP_26-171</t>
        </is>
      </c>
      <c r="AG146" s="256" t="inlineStr">
        <is>
          <t>24.08.2026</t>
        </is>
      </c>
      <c r="AH146" s="256" t="inlineStr">
        <is>
          <t>Purely Plant GmbH (in-house)</t>
        </is>
      </c>
      <c r="AI146" s="256" t="inlineStr">
        <is>
          <t>Conforms | Одговара</t>
        </is>
      </c>
      <c r="AJ146" s="256" t="inlineStr">
        <is>
          <t>iCoA-PP_26-171</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iCoA-PP_26-171</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 mg/kg — all 29 residues</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iCoA-PP_26-172</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iCoA-PP_26-172</t>
        </is>
      </c>
      <c r="AG147" s="256" t="inlineStr">
        <is>
          <t>24.08.2026</t>
        </is>
      </c>
      <c r="AH147" s="256" t="inlineStr">
        <is>
          <t>Purely Plant GmbH (in-house)</t>
        </is>
      </c>
      <c r="AI147" s="256" t="inlineStr">
        <is>
          <t>Conforms | Одговара</t>
        </is>
      </c>
      <c r="AJ147" s="256" t="inlineStr">
        <is>
          <t>iCoA-PP_26-172</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iCoA-PP_26-172</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 mg/kg — all 29 residues</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iCoA-PP_26-153</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iCoA-PP_26-153</t>
        </is>
      </c>
      <c r="AG148" s="256" t="inlineStr">
        <is>
          <t>24.08.2026</t>
        </is>
      </c>
      <c r="AH148" s="256" t="inlineStr">
        <is>
          <t>Purely Plant GmbH (in-house)</t>
        </is>
      </c>
      <c r="AI148" s="256" t="inlineStr">
        <is>
          <t>Conforms | Одговара</t>
        </is>
      </c>
      <c r="AJ148" s="256" t="inlineStr">
        <is>
          <t>iCoA-PP_26-153</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iCoA-PP_26-153</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iCoA-PP_26-154</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iCoA-PP_26-154</t>
        </is>
      </c>
      <c r="AG149" s="256" t="inlineStr">
        <is>
          <t>24.08.2026</t>
        </is>
      </c>
      <c r="AH149" s="256" t="inlineStr">
        <is>
          <t>Purely Plant GmbH (in-house)</t>
        </is>
      </c>
      <c r="AI149" s="256" t="inlineStr">
        <is>
          <t>Conforms | Одговара</t>
        </is>
      </c>
      <c r="AJ149" s="256" t="inlineStr">
        <is>
          <t>iCoA-PP_26-154</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iCoA-PP_26-154</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 mg/kg — all 29 residues</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iCoA-PP_26-155</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iCoA-PP_26-155</t>
        </is>
      </c>
      <c r="AG150" s="256" t="inlineStr">
        <is>
          <t>24.08.2026</t>
        </is>
      </c>
      <c r="AH150" s="256" t="inlineStr">
        <is>
          <t>Purely Plant GmbH (in-house)</t>
        </is>
      </c>
      <c r="AI150" s="256" t="inlineStr">
        <is>
          <t>Conforms | Одговара</t>
        </is>
      </c>
      <c r="AJ150" s="256" t="inlineStr">
        <is>
          <t>iCoA-PP_26-155</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iCoA-PP_26-155</t>
        </is>
      </c>
      <c r="BE150" s="256" t="inlineStr">
        <is>
          <t>24.08.2026</t>
        </is>
      </c>
      <c r="BF150" s="256" t="inlineStr">
        <is>
          <t>Purely Plant GmbH (in-house)</t>
        </is>
      </c>
      <c r="BG150" s="256" t="inlineStr">
        <is>
          <t>8.19 (avg of 4 weighings 51-1,51-2,52-1,52-2)</t>
        </is>
      </c>
      <c r="BH150" s="256" t="inlineStr">
        <is>
          <t>iCoA-PP_26-024</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 mg/kg — all 29 residues</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iCoA-PP_26-156</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iCoA-PP_26-156</t>
        </is>
      </c>
      <c r="AG151" s="256" t="inlineStr">
        <is>
          <t>24.08.2026</t>
        </is>
      </c>
      <c r="AH151" s="256" t="inlineStr">
        <is>
          <t>Purely Plant GmbH (in-house)</t>
        </is>
      </c>
      <c r="AI151" s="256" t="inlineStr">
        <is>
          <t>Conforms | Одговара</t>
        </is>
      </c>
      <c r="AJ151" s="256" t="inlineStr">
        <is>
          <t>iCoA-PP_26-156</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iCoA-PP_26-156</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iCoA-PP_26-144</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iCoA-PP_26-144</t>
        </is>
      </c>
      <c r="AG152" s="256" t="inlineStr">
        <is>
          <t>24.08.2026</t>
        </is>
      </c>
      <c r="AH152" s="256" t="inlineStr">
        <is>
          <t>Purely Plant GmbH (in-house)</t>
        </is>
      </c>
      <c r="AI152" s="256" t="inlineStr">
        <is>
          <t>Conforms | Одговара</t>
        </is>
      </c>
      <c r="AJ152" s="256" t="inlineStr">
        <is>
          <t>iCoA-PP_26-144</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iCoA-PP_26-144</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iCoA-PP_26-157</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iCoA-PP_26-157</t>
        </is>
      </c>
      <c r="AG153" s="256" t="inlineStr">
        <is>
          <t>24.08.2026</t>
        </is>
      </c>
      <c r="AH153" s="256" t="inlineStr">
        <is>
          <t>Purely Plant GmbH (in-house)</t>
        </is>
      </c>
      <c r="AI153" s="256" t="inlineStr">
        <is>
          <t>Conforms | Одговара</t>
        </is>
      </c>
      <c r="AJ153" s="256" t="inlineStr">
        <is>
          <t>iCoA-PP_26-157</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iCoA-PP_26-157</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iCoA-PP_26-158</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iCoA-PP_26-158</t>
        </is>
      </c>
      <c r="AG154" s="256" t="inlineStr">
        <is>
          <t>24.08.2026</t>
        </is>
      </c>
      <c r="AH154" s="256" t="inlineStr">
        <is>
          <t>Purely Plant GmbH (in-house)</t>
        </is>
      </c>
      <c r="AI154" s="256" t="inlineStr">
        <is>
          <t>Conforms | Одговара</t>
        </is>
      </c>
      <c r="AJ154" s="256" t="inlineStr">
        <is>
          <t>iCoA-PP_26-158</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iCoA-PP_26-158</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ND</t>
        </is>
      </c>
      <c r="CZ154" s="256" t="inlineStr">
        <is>
          <t>1057/2026</t>
        </is>
      </c>
      <c r="DA154" s="256" t="inlineStr">
        <is>
          <t>09.03.2026</t>
        </is>
      </c>
      <c r="DB154" s="256" t="inlineStr">
        <is>
          <t>IPH — Institute of Public Health</t>
        </is>
      </c>
      <c r="DC154" s="256" t="inlineStr">
        <is>
          <t>ND</t>
        </is>
      </c>
      <c r="DD154" s="256" t="inlineStr">
        <is>
          <t>1057/2026</t>
        </is>
      </c>
      <c r="DE154" s="256" t="inlineStr">
        <is>
          <t>09.03.2026</t>
        </is>
      </c>
      <c r="DF154" s="256" t="inlineStr">
        <is>
          <t>IPH — Institute of Public Health</t>
        </is>
      </c>
      <c r="DG154" s="256" t="inlineStr">
        <is>
          <t>ND</t>
        </is>
      </c>
      <c r="DH154" s="256" t="inlineStr">
        <is>
          <t>1057/2026</t>
        </is>
      </c>
      <c r="DI154" s="256" t="inlineStr">
        <is>
          <t>09.03.2026</t>
        </is>
      </c>
      <c r="DJ154" s="256" t="inlineStr">
        <is>
          <t>IPH — Institute of Public Health</t>
        </is>
      </c>
      <c r="DK154" s="256" t="inlineStr">
        <is>
          <t>ND</t>
        </is>
      </c>
      <c r="DL154" s="256" t="inlineStr">
        <is>
          <t>1057/2026</t>
        </is>
      </c>
      <c r="DM154" s="256" t="inlineStr">
        <is>
          <t>09.03.2026</t>
        </is>
      </c>
      <c r="DN154" s="256" t="inlineStr">
        <is>
          <t>IPH — Institute of Public Health</t>
        </is>
      </c>
      <c r="DO154" s="256" t="inlineStr">
        <is>
          <t>ND mg/kg — all 29 residues</t>
        </is>
      </c>
      <c r="DP154" s="256" t="inlineStr">
        <is>
          <t>1057/2026</t>
        </is>
      </c>
      <c r="DQ154" s="256" t="inlineStr">
        <is>
          <t>09.03.2026</t>
        </is>
      </c>
      <c r="DR154" s="256" t="inlineStr">
        <is>
          <t>IPH — Institute of Public Health</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iCoA-PP_26-159</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iCoA-PP_26-159</t>
        </is>
      </c>
      <c r="AG155" s="256" t="inlineStr">
        <is>
          <t>24.08.2026</t>
        </is>
      </c>
      <c r="AH155" s="256" t="inlineStr">
        <is>
          <t>Purely Plant GmbH (in-house)</t>
        </is>
      </c>
      <c r="AI155" s="256" t="inlineStr">
        <is>
          <t>Conforms | Одговара</t>
        </is>
      </c>
      <c r="AJ155" s="256" t="inlineStr">
        <is>
          <t>iCoA-PP_26-159</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iCoA-PP_26-159</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 mg/kg — all 29 residues</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iCoA-PP_26-160</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iCoA-PP_26-160</t>
        </is>
      </c>
      <c r="AG156" s="256" t="inlineStr">
        <is>
          <t>24.08.2026</t>
        </is>
      </c>
      <c r="AH156" s="256" t="inlineStr">
        <is>
          <t>Purely Plant GmbH (in-house)</t>
        </is>
      </c>
      <c r="AI156" s="256" t="inlineStr">
        <is>
          <t>Conforms | Одговара</t>
        </is>
      </c>
      <c r="AJ156" s="256" t="inlineStr">
        <is>
          <t>iCoA-PP_26-160</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iCoA-PP_26-160</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 mg/kg — all 29 residues</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iCoA-PP_26-161</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iCoA-PP_26-161</t>
        </is>
      </c>
      <c r="AG157" s="256" t="inlineStr">
        <is>
          <t>24.08.2026</t>
        </is>
      </c>
      <c r="AH157" s="256" t="inlineStr">
        <is>
          <t>Purely Plant GmbH (in-house)</t>
        </is>
      </c>
      <c r="AI157" s="256" t="inlineStr">
        <is>
          <t>Conforms | Одговара</t>
        </is>
      </c>
      <c r="AJ157" s="256" t="inlineStr">
        <is>
          <t>iCoA-PP_26-161</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iCoA-PP_26-161</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iCoA-PP_26-162</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iCoA-PP_26-162</t>
        </is>
      </c>
      <c r="AG158" s="256" t="inlineStr">
        <is>
          <t>24.08.2026</t>
        </is>
      </c>
      <c r="AH158" s="256" t="inlineStr">
        <is>
          <t>Purely Plant GmbH (in-house)</t>
        </is>
      </c>
      <c r="AI158" s="256" t="inlineStr">
        <is>
          <t>Conforms | Одговара</t>
        </is>
      </c>
      <c r="AJ158" s="256" t="inlineStr">
        <is>
          <t>iCoA-PP_26-162</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iCoA-PP_26-162</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 mg/kg — all 29 residues</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iCoA-PP_26-145</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iCoA-PP_26-145</t>
        </is>
      </c>
      <c r="AG159" s="256" t="inlineStr">
        <is>
          <t>24.08.2026</t>
        </is>
      </c>
      <c r="AH159" s="256" t="inlineStr">
        <is>
          <t>Purely Plant GmbH (in-house)</t>
        </is>
      </c>
      <c r="AI159" s="256" t="inlineStr">
        <is>
          <t>Conforms | Одговара</t>
        </is>
      </c>
      <c r="AJ159" s="256" t="inlineStr">
        <is>
          <t>iCoA-PP_26-145</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iCoA-PP_26-145</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ND</t>
        </is>
      </c>
      <c r="CZ159" s="256" t="inlineStr">
        <is>
          <t>1062/2026</t>
        </is>
      </c>
      <c r="DA159" s="256" t="inlineStr">
        <is>
          <t>11.03.2026</t>
        </is>
      </c>
      <c r="DB159" s="256" t="inlineStr">
        <is>
          <t>IPH — Institute of Public Health</t>
        </is>
      </c>
      <c r="DC159" s="256" t="inlineStr">
        <is>
          <t>ND</t>
        </is>
      </c>
      <c r="DD159" s="256" t="inlineStr">
        <is>
          <t>1062/2026</t>
        </is>
      </c>
      <c r="DE159" s="256" t="inlineStr">
        <is>
          <t>11.03.2026</t>
        </is>
      </c>
      <c r="DF159" s="256" t="inlineStr">
        <is>
          <t>IPH — Institute of Public Health</t>
        </is>
      </c>
      <c r="DG159" s="256" t="inlineStr">
        <is>
          <t>ND</t>
        </is>
      </c>
      <c r="DH159" s="256" t="inlineStr">
        <is>
          <t>1062/2026</t>
        </is>
      </c>
      <c r="DI159" s="256" t="inlineStr">
        <is>
          <t>11.03.2026</t>
        </is>
      </c>
      <c r="DJ159" s="256" t="inlineStr">
        <is>
          <t>IPH — Institute of Public Health</t>
        </is>
      </c>
      <c r="DK159" s="256" t="inlineStr">
        <is>
          <t>ND</t>
        </is>
      </c>
      <c r="DL159" s="256" t="inlineStr">
        <is>
          <t>1062/2026</t>
        </is>
      </c>
      <c r="DM159" s="256" t="inlineStr">
        <is>
          <t>11.03.2026</t>
        </is>
      </c>
      <c r="DN159" s="256" t="inlineStr">
        <is>
          <t>IPH — Institute of Public Health</t>
        </is>
      </c>
      <c r="DO159" s="256" t="inlineStr">
        <is>
          <t>ND mg/kg — all 29 residues</t>
        </is>
      </c>
      <c r="DP159" s="256" t="inlineStr">
        <is>
          <t>1062/2026</t>
        </is>
      </c>
      <c r="DQ159" s="256" t="inlineStr">
        <is>
          <t>11.03.2026</t>
        </is>
      </c>
      <c r="DR159" s="256" t="inlineStr">
        <is>
          <t>IPH — Institute of Public Health</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iCoA-PP_26-146</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iCoA-PP_26-146</t>
        </is>
      </c>
      <c r="AG160" s="256" t="inlineStr">
        <is>
          <t>24.08.2026</t>
        </is>
      </c>
      <c r="AH160" s="256" t="inlineStr">
        <is>
          <t>Purely Plant GmbH (in-house)</t>
        </is>
      </c>
      <c r="AI160" s="256" t="inlineStr">
        <is>
          <t>Conforms | Одговара</t>
        </is>
      </c>
      <c r="AJ160" s="256" t="inlineStr">
        <is>
          <t>iCoA-PP_26-146</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iCoA-PP_26-146</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 mg/kg — all 29 residues</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iCoA-PP_26-147</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iCoA-PP_26-147</t>
        </is>
      </c>
      <c r="AG161" s="256" t="inlineStr">
        <is>
          <t>24.08.2026</t>
        </is>
      </c>
      <c r="AH161" s="256" t="inlineStr">
        <is>
          <t>Purely Plant GmbH (in-house)</t>
        </is>
      </c>
      <c r="AI161" s="256" t="inlineStr">
        <is>
          <t>Conforms | Одговара</t>
        </is>
      </c>
      <c r="AJ161" s="256" t="inlineStr">
        <is>
          <t>iCoA-PP_26-147</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iCoA-PP_26-147</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iCoA-PP_26-148</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0.054</t>
        </is>
      </c>
      <c r="CZ162" s="256" t="inlineStr">
        <is>
          <t>3657/2026</t>
        </is>
      </c>
      <c r="DA162" s="256" t="inlineStr">
        <is>
          <t>22.06.2026</t>
        </is>
      </c>
      <c r="DB162" s="256" t="inlineStr">
        <is>
          <t>IPH — Institute of Public Health</t>
        </is>
      </c>
      <c r="DC162" s="256" t="inlineStr">
        <is>
          <t>0.035</t>
        </is>
      </c>
      <c r="DD162" s="256" t="inlineStr">
        <is>
          <t>3657/2026</t>
        </is>
      </c>
      <c r="DE162" s="256" t="inlineStr">
        <is>
          <t>22.06.2026</t>
        </is>
      </c>
      <c r="DF162" s="256" t="inlineStr">
        <is>
          <t>IPH — Institute of Public Health</t>
        </is>
      </c>
      <c r="DG162" s="256" t="inlineStr">
        <is>
          <t>0.058</t>
        </is>
      </c>
      <c r="DH162" s="256" t="inlineStr">
        <is>
          <t>3657/2026</t>
        </is>
      </c>
      <c r="DI162" s="256" t="inlineStr">
        <is>
          <t>22.06.2026</t>
        </is>
      </c>
      <c r="DJ162" s="256" t="inlineStr">
        <is>
          <t>IPH — Institute of Public Health</t>
        </is>
      </c>
      <c r="DK162" s="256" t="inlineStr">
        <is>
          <t>0.009</t>
        </is>
      </c>
      <c r="DL162" s="256" t="inlineStr">
        <is>
          <t>3657/2026</t>
        </is>
      </c>
      <c r="DM162" s="256" t="inlineStr">
        <is>
          <t>22.06.2026</t>
        </is>
      </c>
      <c r="DN162" s="256" t="inlineStr">
        <is>
          <t>IPH — Institute of Public Health</t>
        </is>
      </c>
      <c r="DO162" s="256" t="inlineStr">
        <is>
          <t>&lt; 0,01 mg/kg — all 29 residues</t>
        </is>
      </c>
      <c r="DP162" s="256" t="inlineStr">
        <is>
          <t>3657/2026</t>
        </is>
      </c>
      <c r="DQ162" s="256" t="inlineStr">
        <is>
          <t>22.06.2026</t>
        </is>
      </c>
      <c r="DR162" s="256" t="inlineStr">
        <is>
          <t>IPH — Institute of Public Health</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iCoA-PP_26-149</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iCoA-PP_26-149</t>
        </is>
      </c>
      <c r="AG163" s="256" t="inlineStr">
        <is>
          <t>24.08.2026</t>
        </is>
      </c>
      <c r="AH163" s="256" t="inlineStr">
        <is>
          <t>Purely Plant GmbH (in-house)</t>
        </is>
      </c>
      <c r="AI163" s="256" t="inlineStr">
        <is>
          <t>Conforms | Одговара</t>
        </is>
      </c>
      <c r="AJ163" s="256" t="inlineStr">
        <is>
          <t>iCoA-PP_26-149</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iCoA-PP_26-149</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ND mg/kg — all 26 residues</t>
        </is>
      </c>
      <c r="DP163" s="256" t="inlineStr">
        <is>
          <t>1065/2026</t>
        </is>
      </c>
      <c r="DQ163" s="256" t="inlineStr">
        <is>
          <t>11.03.2026</t>
        </is>
      </c>
      <c r="DR163" s="256" t="inlineStr">
        <is>
          <t>IPH — Institute of Public Health</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iCoA-PP_26-150</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iCoA-PP_26-150</t>
        </is>
      </c>
      <c r="AG164" s="256" t="inlineStr">
        <is>
          <t>24.08.2026</t>
        </is>
      </c>
      <c r="AH164" s="256" t="inlineStr">
        <is>
          <t>Purely Plant GmbH (in-house)</t>
        </is>
      </c>
      <c r="AI164" s="256" t="inlineStr">
        <is>
          <t>Conforms | Одговара</t>
        </is>
      </c>
      <c r="AJ164" s="256" t="inlineStr">
        <is>
          <t>iCoA-PP_26-150</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iCoA-PP_26-150</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ND</t>
        </is>
      </c>
      <c r="CZ164" s="256" t="inlineStr">
        <is>
          <t>1061/2026</t>
        </is>
      </c>
      <c r="DA164" s="256" t="inlineStr">
        <is>
          <t>09.03.2026</t>
        </is>
      </c>
      <c r="DB164" s="256" t="inlineStr">
        <is>
          <t>IPH — Institute of Public Health</t>
        </is>
      </c>
      <c r="DC164" s="256" t="inlineStr">
        <is>
          <t>ND</t>
        </is>
      </c>
      <c r="DD164" s="256" t="inlineStr">
        <is>
          <t>1061/2026</t>
        </is>
      </c>
      <c r="DE164" s="256" t="inlineStr">
        <is>
          <t>09.03.2026</t>
        </is>
      </c>
      <c r="DF164" s="256" t="inlineStr">
        <is>
          <t>IPH — Institute of Public Health</t>
        </is>
      </c>
      <c r="DG164" s="256" t="inlineStr">
        <is>
          <t>ND</t>
        </is>
      </c>
      <c r="DH164" s="256" t="inlineStr">
        <is>
          <t>1061/2026</t>
        </is>
      </c>
      <c r="DI164" s="256" t="inlineStr">
        <is>
          <t>09.03.2026</t>
        </is>
      </c>
      <c r="DJ164" s="256" t="inlineStr">
        <is>
          <t>IPH — Institute of Public Health</t>
        </is>
      </c>
      <c r="DK164" s="256" t="inlineStr">
        <is>
          <t>ND</t>
        </is>
      </c>
      <c r="DL164" s="256" t="inlineStr">
        <is>
          <t>1061/2026</t>
        </is>
      </c>
      <c r="DM164" s="256" t="inlineStr">
        <is>
          <t>09.03.2026</t>
        </is>
      </c>
      <c r="DN164" s="256" t="inlineStr">
        <is>
          <t>IPH — Institute of Public Health</t>
        </is>
      </c>
      <c r="DO164" s="256" t="inlineStr">
        <is>
          <t>ND mg/kg — all 29 residues</t>
        </is>
      </c>
      <c r="DP164" s="256" t="inlineStr">
        <is>
          <t>1061/2026</t>
        </is>
      </c>
      <c r="DQ164" s="256" t="inlineStr">
        <is>
          <t>09.03.2026</t>
        </is>
      </c>
      <c r="DR164" s="256" t="inlineStr">
        <is>
          <t>IPH — Institute of Public Health</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iCoA-PP_26-151</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iCoA-PP_26-151</t>
        </is>
      </c>
      <c r="AG165" s="256" t="inlineStr">
        <is>
          <t>24.08.2026</t>
        </is>
      </c>
      <c r="AH165" s="256" t="inlineStr">
        <is>
          <t>Purely Plant GmbH (in-house)</t>
        </is>
      </c>
      <c r="AI165" s="256" t="inlineStr">
        <is>
          <t>Conforms | Одговара</t>
        </is>
      </c>
      <c r="AJ165" s="256" t="inlineStr">
        <is>
          <t>iCoA-PP_26-151</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iCoA-PP_26-151</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 mg/kg — all 29 residues</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iCoA-PP_26-152</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iCoA-PP_26-152</t>
        </is>
      </c>
      <c r="AG166" s="256" t="inlineStr">
        <is>
          <t>24.08.2026</t>
        </is>
      </c>
      <c r="AH166" s="256" t="inlineStr">
        <is>
          <t>Purely Plant GmbH (in-house)</t>
        </is>
      </c>
      <c r="AI166" s="256" t="inlineStr">
        <is>
          <t>Conforms | Одговара</t>
        </is>
      </c>
      <c r="AJ166" s="256" t="inlineStr">
        <is>
          <t>iCoA-PP_26-152</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iCoA-PP_26-152</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0.078</t>
        </is>
      </c>
      <c r="CZ166" s="256" t="inlineStr">
        <is>
          <t>329/2026</t>
        </is>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Institute of Public Health</t>
        </is>
      </c>
      <c r="DG166" s="256" t="inlineStr">
        <is>
          <t>0.087</t>
        </is>
      </c>
      <c r="DH166" s="256" t="inlineStr">
        <is>
          <t>329/2026</t>
        </is>
      </c>
      <c r="DI166" s="256" t="inlineStr">
        <is>
          <t>11.02.2026</t>
        </is>
      </c>
      <c r="DJ166" s="256" t="inlineStr">
        <is>
          <t>IPH — Institute of Public Health</t>
        </is>
      </c>
      <c r="DK166" s="256" t="inlineStr">
        <is>
          <t>ND</t>
        </is>
      </c>
      <c r="DL166" s="256" t="inlineStr">
        <is>
          <t>329/2026</t>
        </is>
      </c>
      <c r="DM166" s="256" t="inlineStr">
        <is>
          <t>11.02.2026</t>
        </is>
      </c>
      <c r="DN166" s="256" t="inlineStr">
        <is>
          <t>IPH — Institute of Public Health</t>
        </is>
      </c>
      <c r="DO166" s="256" t="inlineStr">
        <is>
          <t>ND mg/kg — all 29 residues</t>
        </is>
      </c>
      <c r="DP166" s="256" t="inlineStr">
        <is>
          <t>329/2026</t>
        </is>
      </c>
      <c r="DQ166" s="256" t="inlineStr">
        <is>
          <t>11.02.2026</t>
        </is>
      </c>
      <c r="DR166" s="256" t="inlineStr">
        <is>
          <t>IPH — Institute of Public Health</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iCoA-PP_26-078</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iCoA-PP_26-078</t>
        </is>
      </c>
      <c r="AG167" s="256" t="inlineStr">
        <is>
          <t>03.06.2026</t>
        </is>
      </c>
      <c r="AH167" s="256" t="inlineStr">
        <is>
          <t>Purely Plant GmbH (in-house)</t>
        </is>
      </c>
      <c r="AI167" s="259" t="inlineStr">
        <is>
          <t>to be performed (in house)</t>
        </is>
      </c>
      <c r="AJ167" s="256" t="inlineStr">
        <is>
          <t>iCoA-PP_26-078</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iCoA-PP_26-078</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iCoA-PP_26-079</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iCoA-PP_26-079</t>
        </is>
      </c>
      <c r="AG168" s="256" t="inlineStr">
        <is>
          <t>03.06.2026</t>
        </is>
      </c>
      <c r="AH168" s="256" t="inlineStr">
        <is>
          <t>Purely Plant GmbH (in-house)</t>
        </is>
      </c>
      <c r="AI168" s="259" t="inlineStr">
        <is>
          <t>to be performed (in house)</t>
        </is>
      </c>
      <c r="AJ168" s="256" t="inlineStr">
        <is>
          <t>iCoA-PP_26-079</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iCoA-PP_26-079</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iCoA-PP_26-084</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6" t="inlineStr">
        <is>
          <t>&lt; 2</t>
        </is>
      </c>
      <c r="CR169" s="256" t="inlineStr">
        <is>
          <t>3656/2026</t>
        </is>
      </c>
      <c r="CS169" s="256" t="inlineStr">
        <is>
          <t>22.06.2026</t>
        </is>
      </c>
      <c r="CT169" s="256" t="inlineStr">
        <is>
          <t>IPH — Institute of Public Health</t>
        </is>
      </c>
      <c r="CU169" s="259" t="inlineStr">
        <is>
          <t>not tested</t>
        </is>
      </c>
      <c r="CV169" s="256" t="inlineStr">
        <is>
          <t>—</t>
        </is>
      </c>
      <c r="CW169" s="256" t="inlineStr">
        <is>
          <t>—</t>
        </is>
      </c>
      <c r="CX169" s="256" t="inlineStr">
        <is>
          <t>—</t>
        </is>
      </c>
      <c r="CY169" s="256" t="inlineStr">
        <is>
          <t>0.11</t>
        </is>
      </c>
      <c r="CZ169" s="256" t="inlineStr">
        <is>
          <t>3656/2026</t>
        </is>
      </c>
      <c r="DA169" s="256" t="inlineStr">
        <is>
          <t>22.06.2026</t>
        </is>
      </c>
      <c r="DB169" s="256" t="inlineStr">
        <is>
          <t>IPH — Institute of Public Health</t>
        </is>
      </c>
      <c r="DC169" s="256" t="inlineStr">
        <is>
          <t>0.009</t>
        </is>
      </c>
      <c r="DD169" s="256" t="inlineStr">
        <is>
          <t>3656/2026</t>
        </is>
      </c>
      <c r="DE169" s="256" t="inlineStr">
        <is>
          <t>22.06.2026</t>
        </is>
      </c>
      <c r="DF169" s="256" t="inlineStr">
        <is>
          <t>IPH — Institute of Public Health</t>
        </is>
      </c>
      <c r="DG169" s="256" t="inlineStr">
        <is>
          <t>0.045</t>
        </is>
      </c>
      <c r="DH169" s="256" t="inlineStr">
        <is>
          <t>3656/2026</t>
        </is>
      </c>
      <c r="DI169" s="256" t="inlineStr">
        <is>
          <t>22.06.2026</t>
        </is>
      </c>
      <c r="DJ169" s="256" t="inlineStr">
        <is>
          <t>IPH — Institute of Public Health</t>
        </is>
      </c>
      <c r="DK169" s="256" t="inlineStr">
        <is>
          <t>0.027</t>
        </is>
      </c>
      <c r="DL169" s="256" t="inlineStr">
        <is>
          <t>3656/2026</t>
        </is>
      </c>
      <c r="DM169" s="256" t="inlineStr">
        <is>
          <t>22.06.2026</t>
        </is>
      </c>
      <c r="DN169" s="256" t="inlineStr">
        <is>
          <t>IPH — Institute of Public Health</t>
        </is>
      </c>
      <c r="DO169" s="256" t="inlineStr">
        <is>
          <t>&lt; 0,01 mg/kg — all 29 residues</t>
        </is>
      </c>
      <c r="DP169" s="256" t="inlineStr">
        <is>
          <t>3656/2026</t>
        </is>
      </c>
      <c r="DQ169" s="256" t="inlineStr">
        <is>
          <t>22.06.2026</t>
        </is>
      </c>
      <c r="DR169" s="256" t="inlineStr">
        <is>
          <t>IPH — Institute of Public Health</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iCoA-PP_26-085</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6" t="inlineStr">
        <is>
          <t>&lt; 2</t>
        </is>
      </c>
      <c r="CR170" s="256" t="inlineStr">
        <is>
          <t>3655/2026</t>
        </is>
      </c>
      <c r="CS170" s="256" t="inlineStr">
        <is>
          <t>22.06.2026</t>
        </is>
      </c>
      <c r="CT170" s="256" t="inlineStr">
        <is>
          <t>IPH — Institute of Public Health</t>
        </is>
      </c>
      <c r="CU170" s="259" t="inlineStr">
        <is>
          <t>not tested</t>
        </is>
      </c>
      <c r="CV170" s="256" t="inlineStr">
        <is>
          <t>—</t>
        </is>
      </c>
      <c r="CW170" s="256" t="inlineStr">
        <is>
          <t>—</t>
        </is>
      </c>
      <c r="CX170" s="256" t="inlineStr">
        <is>
          <t>—</t>
        </is>
      </c>
      <c r="CY170" s="256" t="inlineStr">
        <is>
          <t>0.1</t>
        </is>
      </c>
      <c r="CZ170" s="256" t="inlineStr">
        <is>
          <t>3655/2026</t>
        </is>
      </c>
      <c r="DA170" s="256" t="inlineStr">
        <is>
          <t>22.06.2026</t>
        </is>
      </c>
      <c r="DB170" s="256" t="inlineStr">
        <is>
          <t>IPH — Institute of Public Health</t>
        </is>
      </c>
      <c r="DC170" s="256" t="inlineStr">
        <is>
          <t>0.01</t>
        </is>
      </c>
      <c r="DD170" s="256" t="inlineStr">
        <is>
          <t>3655/2026</t>
        </is>
      </c>
      <c r="DE170" s="256" t="inlineStr">
        <is>
          <t>22.06.2026</t>
        </is>
      </c>
      <c r="DF170" s="256" t="inlineStr">
        <is>
          <t>IPH — Institute of Public Health</t>
        </is>
      </c>
      <c r="DG170" s="256" t="inlineStr">
        <is>
          <t>0.043</t>
        </is>
      </c>
      <c r="DH170" s="256" t="inlineStr">
        <is>
          <t>3655/2026</t>
        </is>
      </c>
      <c r="DI170" s="256" t="inlineStr">
        <is>
          <t>22.06.2026</t>
        </is>
      </c>
      <c r="DJ170" s="256" t="inlineStr">
        <is>
          <t>IPH — Institute of Public Health</t>
        </is>
      </c>
      <c r="DK170" s="256" t="inlineStr">
        <is>
          <t>0.014</t>
        </is>
      </c>
      <c r="DL170" s="256" t="inlineStr">
        <is>
          <t>3655/2026</t>
        </is>
      </c>
      <c r="DM170" s="256" t="inlineStr">
        <is>
          <t>22.06.2026</t>
        </is>
      </c>
      <c r="DN170" s="256" t="inlineStr">
        <is>
          <t>IPH — Institute of Public Health</t>
        </is>
      </c>
      <c r="DO170" s="256" t="inlineStr">
        <is>
          <t>&lt; 0,01 mg/kg — all 29 residues</t>
        </is>
      </c>
      <c r="DP170" s="256" t="inlineStr">
        <is>
          <t>3655/2026</t>
        </is>
      </c>
      <c r="DQ170" s="256" t="inlineStr">
        <is>
          <t>22.06.2026</t>
        </is>
      </c>
      <c r="DR170" s="256" t="inlineStr">
        <is>
          <t>IPH — Institute of Public Health</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iCoA-PP_26-086</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6" t="inlineStr">
        <is>
          <t>&lt; 2</t>
        </is>
      </c>
      <c r="CR171" s="256" t="inlineStr">
        <is>
          <t>3654/2026</t>
        </is>
      </c>
      <c r="CS171" s="256" t="inlineStr">
        <is>
          <t>22.06.2026</t>
        </is>
      </c>
      <c r="CT171" s="256" t="inlineStr">
        <is>
          <t>IPH — Institute of Public Health</t>
        </is>
      </c>
      <c r="CU171" s="259" t="inlineStr">
        <is>
          <t>not tested</t>
        </is>
      </c>
      <c r="CV171" s="256" t="inlineStr">
        <is>
          <t>—</t>
        </is>
      </c>
      <c r="CW171" s="256" t="inlineStr">
        <is>
          <t>—</t>
        </is>
      </c>
      <c r="CX171" s="256" t="inlineStr">
        <is>
          <t>—</t>
        </is>
      </c>
      <c r="CY171" s="256" t="inlineStr">
        <is>
          <t>0.093</t>
        </is>
      </c>
      <c r="CZ171" s="256" t="inlineStr">
        <is>
          <t>3654/2026</t>
        </is>
      </c>
      <c r="DA171" s="256" t="inlineStr">
        <is>
          <t>22.06.2026</t>
        </is>
      </c>
      <c r="DB171" s="256" t="inlineStr">
        <is>
          <t>IPH — Institute of Public Health</t>
        </is>
      </c>
      <c r="DC171" s="256" t="inlineStr">
        <is>
          <t>0.008</t>
        </is>
      </c>
      <c r="DD171" s="256" t="inlineStr">
        <is>
          <t>3654/2026</t>
        </is>
      </c>
      <c r="DE171" s="256" t="inlineStr">
        <is>
          <t>22.06.2026</t>
        </is>
      </c>
      <c r="DF171" s="256" t="inlineStr">
        <is>
          <t>IPH — Institute of Public Health</t>
        </is>
      </c>
      <c r="DG171" s="256" t="inlineStr">
        <is>
          <t>0.045</t>
        </is>
      </c>
      <c r="DH171" s="256" t="inlineStr">
        <is>
          <t>3654/2026</t>
        </is>
      </c>
      <c r="DI171" s="256" t="inlineStr">
        <is>
          <t>22.06.2026</t>
        </is>
      </c>
      <c r="DJ171" s="256" t="inlineStr">
        <is>
          <t>IPH — Institute of Public Health</t>
        </is>
      </c>
      <c r="DK171" s="256" t="inlineStr">
        <is>
          <t>0.03</t>
        </is>
      </c>
      <c r="DL171" s="256" t="inlineStr">
        <is>
          <t>3654/2026</t>
        </is>
      </c>
      <c r="DM171" s="256" t="inlineStr">
        <is>
          <t>22.06.2026</t>
        </is>
      </c>
      <c r="DN171" s="256" t="inlineStr">
        <is>
          <t>IPH — Institute of Public Health</t>
        </is>
      </c>
      <c r="DO171" s="256" t="inlineStr">
        <is>
          <t>&lt; 0,01 mg/kg — all 29 residues</t>
        </is>
      </c>
      <c r="DP171" s="256" t="inlineStr">
        <is>
          <t>3654/2026</t>
        </is>
      </c>
      <c r="DQ171" s="256" t="inlineStr">
        <is>
          <t>22.06.2026</t>
        </is>
      </c>
      <c r="DR171" s="256" t="inlineStr">
        <is>
          <t>IPH — Institute of Public Health</t>
        </is>
      </c>
    </row>
    <row r="172">
      <c r="A172" s="256" t="inlineStr">
        <is>
          <t>CoQ-PP_26-171</t>
        </is>
      </c>
      <c r="B172" s="256" t="inlineStr">
        <is>
          <t>reissue — retest</t>
        </is>
      </c>
      <c r="C172" s="256" t="inlineStr">
        <is>
          <t>not yet issuable</t>
        </is>
      </c>
      <c r="D172" s="256" t="inlineStr">
        <is>
          <t>18.09.2026</t>
        </is>
      </c>
      <c r="E172" s="256" t="inlineStr">
        <is>
          <t>CoQ-PP_26-166 of ≥ 11.05.2026</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iCoA-PP_26-134</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iCoA-PP_26-134</t>
        </is>
      </c>
      <c r="AG172" s="256" t="inlineStr">
        <is>
          <t>17.08.2026</t>
        </is>
      </c>
      <c r="AH172" s="256" t="inlineStr">
        <is>
          <t>Purely Plant GmbH (in-house)</t>
        </is>
      </c>
      <c r="AI172" s="256" t="inlineStr">
        <is>
          <t>Conforms | Одговара</t>
        </is>
      </c>
      <c r="AJ172" s="256" t="inlineStr">
        <is>
          <t>iCoA-PP_26-134</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iCoA-PP_26-134</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CoQ-PP_26-167 of ≥ 11.05.2026</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iCoA-PP_26-135</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iCoA-PP_26-135</t>
        </is>
      </c>
      <c r="AG173" s="256" t="inlineStr">
        <is>
          <t>17.08.2026</t>
        </is>
      </c>
      <c r="AH173" s="256" t="inlineStr">
        <is>
          <t>Purely Plant GmbH (in-house)</t>
        </is>
      </c>
      <c r="AI173" s="256" t="inlineStr">
        <is>
          <t>Conforms | Одговара</t>
        </is>
      </c>
      <c r="AJ173" s="256" t="inlineStr">
        <is>
          <t>iCoA-PP_26-135</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iCoA-PP_26-135</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 mg/kg — all 29 residues</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 mg/kg — all 29 residues</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 mg/kg — all 29 residues</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29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iCoA-PP_26-007</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iCoA-PP_26-007</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iCoA-PP_26-007</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iCoA-PP_26-008</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iCoA-PP_26-008</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iCoA-PP_26-008</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iCoA-PP_26-009</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iCoA-PP_26-009</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iCoA-PP_26-009</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iCoA-PP_26-080</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iCoA-PP_26-080</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iCoA-PP_26-080</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iCoA-PP_26-010</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iCoA-PP_26-010</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iCoA-PP_26-010</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iCoA-PP_26-011</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iCoA-PP_26-011</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iCoA-PP_26-011</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iCoA-PP_26-012</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iCoA-PP_26-012</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iCoA-PP_26-012</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iCoA-PP_26-013</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iCoA-PP_26-013</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iCoA-PP_26-013</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iCoA-PP_26-014</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iCoA-PP_26-014</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iCoA-PP_26-014</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iCoA-PP_26-015</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iCoA-PP_26-015</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iCoA-PP_26-015</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iCoA-PP_26-016</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iCoA-PP_26-016</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iCoA-PP_26-016</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iCoA-PP_26-077</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iCoA-PP_26-077</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iCoA-PP_26-077</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iCoA-PP_26-017</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iCoA-PP_26-017</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iCoA-PP_26-017</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 mg/kg — all 29 residues</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iCoA-PP_26-018</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iCoA-PP_26-018</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iCoA-PP_26-018</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 mg/kg — all 29 residues</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iCoA-PP_26-019</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iCoA-PP_26-019</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iCoA-PP_26-019</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iCoA-PP_26-020</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iCoA-PP_26-020</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iCoA-PP_26-020</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iCoA-PP_26-021</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iCoA-PP_26-021</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iCoA-PP_26-021</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iCoA-PP_26-022</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iCoA-PP_26-022</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iCoA-PP_26-022</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 mg/kg — all 29 residues</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iCoA-PP_26-023</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iCoA-PP_26-023</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iCoA-PP_26-023</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iCoA-PP_26-023</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iCoA-PP_26-023</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iCoA-PP_26-023</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iCoA-PP_26-024</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iCoA-PP_26-024</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iCoA-PP_26-024</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iCoA-PP_26-024</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iCoA-PP_26-024</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iCoA-PP_26-024</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 mg/kg — all 29 residues</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iCoA-PP_26-025</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iCoA-PP_26-025</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iCoA-PP_26-025</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iCoA-PP_26-026</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iCoA-PP_26-026</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iCoA-PP_26-026</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iCoA-PP_26-027</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iCoA-PP_26-027</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iCoA-PP_26-027</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 mg/kg — all 29 residues</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iCoA-PP_26-028</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iCoA-PP_26-028</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iCoA-PP_26-028</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 mg/kg — all 29 residues</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iCoA-PP_26-029</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iCoA-PP_26-029</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iCoA-PP_26-029</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 mg/kg — all 29 residues</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iCoA-PP_26-030</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iCoA-PP_26-030</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iCoA-PP_26-030</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 mg/kg — all 29 residues</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iCoA-PP_26-031</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iCoA-PP_26-031</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iCoA-PP_26-031</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iCoA-PP_26-032</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iCoA-PP_26-032</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iCoA-PP_26-032</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iCoA-PP_26-033</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iCoA-PP_26-033</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iCoA-PP_26-033</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iCoA-PP_26-034</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iCoA-PP_26-034</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iCoA-PP_26-034</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iCoA-PP_26-035</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iCoA-PP_26-035</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iCoA-PP_26-035</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 mg/kg — all 29 residues</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iCoA-PP_26-036</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iCoA-PP_26-036</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iCoA-PP_26-036</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iCoA-PP_26-037</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iCoA-PP_26-037</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iCoA-PP_26-037</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iCoA-PP_26-038</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iCoA-PP_26-038</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iCoA-PP_26-038</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 mg/kg — all 29 residues</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iCoA-PP_26-039</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iCoA-PP_26-039</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iCoA-PP_26-039</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 mg/kg — all 29 residues</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iCoA-PP_26-040</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iCoA-PP_26-040</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iCoA-PP_26-040</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 mg/kg — all 29 residues</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iCoA-PP_26-041</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iCoA-PP_26-041</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iCoA-PP_26-041</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 mg/kg — all 29 residues</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iCoA-PP_26-042</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iCoA-PP_26-042</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iCoA-PP_26-042</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 mg/kg — all 29 residues</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iCoA-PP_26-043</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iCoA-PP_26-043</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iCoA-PP_26-043</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 mg/kg — all 29 residues</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iCoA-PP_26-044</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iCoA-PP_26-044</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iCoA-PP_26-044</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6" t="inlineStr">
        <is>
          <t>&lt; 2</t>
        </is>
      </c>
      <c r="L1053" s="256" t="inlineStr">
        <is>
          <t>329/2026</t>
        </is>
      </c>
      <c r="M1053" s="256" t="inlineStr">
        <is>
          <t>11.02.2026</t>
        </is>
      </c>
      <c r="N1053" s="256" t="inlineStr">
        <is>
          <t>IPH — Institute of Public Health</t>
        </is>
      </c>
      <c r="O1053" s="256" t="inlineStr">
        <is>
          <t>—</t>
        </is>
      </c>
      <c r="P1053" s="256" t="inlineStr">
        <is>
          <t>covered</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6" t="inlineStr">
        <is>
          <t>0.078</t>
        </is>
      </c>
      <c r="L1055" s="256" t="inlineStr">
        <is>
          <t>329/2026</t>
        </is>
      </c>
      <c r="M1055" s="256" t="inlineStr">
        <is>
          <t>11.02.2026</t>
        </is>
      </c>
      <c r="N1055" s="256" t="inlineStr">
        <is>
          <t>IPH — Institute of Public Health</t>
        </is>
      </c>
      <c r="O1055" s="256" t="inlineStr">
        <is>
          <t>—</t>
        </is>
      </c>
      <c r="P1055" s="256" t="inlineStr">
        <is>
          <t>covered</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6" t="inlineStr">
        <is>
          <t>ND</t>
        </is>
      </c>
      <c r="L1056" s="256" t="inlineStr">
        <is>
          <t>329/2026</t>
        </is>
      </c>
      <c r="M1056" s="256" t="inlineStr">
        <is>
          <t>11.02.2026</t>
        </is>
      </c>
      <c r="N1056" s="256" t="inlineStr">
        <is>
          <t>IPH — Institute of Public Health</t>
        </is>
      </c>
      <c r="O1056" s="256" t="inlineStr">
        <is>
          <t>—</t>
        </is>
      </c>
      <c r="P1056" s="256" t="inlineStr">
        <is>
          <t>covered</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6" t="inlineStr">
        <is>
          <t>0.087</t>
        </is>
      </c>
      <c r="L1057" s="256" t="inlineStr">
        <is>
          <t>329/2026</t>
        </is>
      </c>
      <c r="M1057" s="256" t="inlineStr">
        <is>
          <t>11.02.2026</t>
        </is>
      </c>
      <c r="N1057" s="256" t="inlineStr">
        <is>
          <t>IPH — Institute of Public Health</t>
        </is>
      </c>
      <c r="O1057" s="256" t="inlineStr">
        <is>
          <t>—</t>
        </is>
      </c>
      <c r="P1057" s="256" t="inlineStr">
        <is>
          <t>covered</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6" t="inlineStr">
        <is>
          <t>ND</t>
        </is>
      </c>
      <c r="L1058" s="256" t="inlineStr">
        <is>
          <t>329/2026</t>
        </is>
      </c>
      <c r="M1058" s="256" t="inlineStr">
        <is>
          <t>11.02.2026</t>
        </is>
      </c>
      <c r="N1058" s="256" t="inlineStr">
        <is>
          <t>IPH — Institute of Public Health</t>
        </is>
      </c>
      <c r="O1058" s="256" t="inlineStr">
        <is>
          <t>—</t>
        </is>
      </c>
      <c r="P1058" s="256" t="inlineStr">
        <is>
          <t>covered</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6" t="inlineStr">
        <is>
          <t>ND mg/kg — all 29 residues</t>
        </is>
      </c>
      <c r="L1059" s="256" t="inlineStr">
        <is>
          <t>329/2026</t>
        </is>
      </c>
      <c r="M1059" s="256" t="inlineStr">
        <is>
          <t>11.02.2026</t>
        </is>
      </c>
      <c r="N1059" s="256" t="inlineStr">
        <is>
          <t>IPH — Institute of Public Health</t>
        </is>
      </c>
      <c r="O1059" s="256" t="inlineStr">
        <is>
          <t>—</t>
        </is>
      </c>
      <c r="P1059" s="256" t="inlineStr">
        <is>
          <t>covered</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iCoA-PP_26-045</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iCoA-PP_26-045</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iCoA-PP_26-045</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29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iCoA-PP_26-046</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iCoA-PP_26-046</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iCoA-PP_26-046</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29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iCoA-PP_26-047</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iCoA-PP_26-047</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iCoA-PP_26-047</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29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iCoA-PP_26-048</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iCoA-PP_26-048</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iCoA-PP_26-048</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iCoA-PP_26-049</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iCoA-PP_26-049</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iCoA-PP_26-049</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29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iCoA-PP_26-050</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iCoA-PP_26-050</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iCoA-PP_26-050</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6" t="inlineStr">
        <is>
          <t>ND mg/kg — all 26 residues</t>
        </is>
      </c>
      <c r="L1197" s="256" t="inlineStr">
        <is>
          <t>1065/2026</t>
        </is>
      </c>
      <c r="M1197" s="256" t="inlineStr">
        <is>
          <t>11.03.2026</t>
        </is>
      </c>
      <c r="N1197" s="256" t="inlineStr">
        <is>
          <t>IPH — Institute of Public Health</t>
        </is>
      </c>
      <c r="O1197" s="256" t="inlineStr">
        <is>
          <t>—</t>
        </is>
      </c>
      <c r="P1197" s="256" t="inlineStr">
        <is>
          <t>covered</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iCoA-PP_26-051</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iCoA-PP_26-051</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iCoA-PP_26-051</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29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iCoA-PP_26-052</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iCoA-PP_26-052</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iCoA-PP_26-052</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6" t="inlineStr">
        <is>
          <t>&lt; 2</t>
        </is>
      </c>
      <c r="L1237" s="256" t="inlineStr">
        <is>
          <t>1060/2026</t>
        </is>
      </c>
      <c r="M1237" s="256" t="inlineStr">
        <is>
          <t>09.03.2026</t>
        </is>
      </c>
      <c r="N1237" s="256" t="inlineStr">
        <is>
          <t>IPH — Institute of Public Health</t>
        </is>
      </c>
      <c r="O1237" s="256" t="inlineStr">
        <is>
          <t>—</t>
        </is>
      </c>
      <c r="P1237" s="256" t="inlineStr">
        <is>
          <t>covered</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29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iCoA-PP_26-053</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iCoA-PP_26-053</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iCoA-PP_26-053</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6" t="inlineStr">
        <is>
          <t>&lt; 2</t>
        </is>
      </c>
      <c r="L1260" s="256" t="inlineStr">
        <is>
          <t>1061/2026</t>
        </is>
      </c>
      <c r="M1260" s="256" t="inlineStr">
        <is>
          <t>09.03.2026</t>
        </is>
      </c>
      <c r="N1260" s="256" t="inlineStr">
        <is>
          <t>IPH — Institute of Public Health</t>
        </is>
      </c>
      <c r="O1260" s="256" t="inlineStr">
        <is>
          <t>—</t>
        </is>
      </c>
      <c r="P1260" s="256" t="inlineStr">
        <is>
          <t>covered</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6" t="inlineStr">
        <is>
          <t>ND</t>
        </is>
      </c>
      <c r="L1262" s="256" t="inlineStr">
        <is>
          <t>1061/2026</t>
        </is>
      </c>
      <c r="M1262" s="256" t="inlineStr">
        <is>
          <t>09.03.2026</t>
        </is>
      </c>
      <c r="N1262" s="256" t="inlineStr">
        <is>
          <t>IPH — Institute of Public Health</t>
        </is>
      </c>
      <c r="O1262" s="256" t="inlineStr">
        <is>
          <t>—</t>
        </is>
      </c>
      <c r="P1262" s="256" t="inlineStr">
        <is>
          <t>covered</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6" t="inlineStr">
        <is>
          <t>ND</t>
        </is>
      </c>
      <c r="L1263" s="256" t="inlineStr">
        <is>
          <t>1061/2026</t>
        </is>
      </c>
      <c r="M1263" s="256" t="inlineStr">
        <is>
          <t>09.03.2026</t>
        </is>
      </c>
      <c r="N1263" s="256" t="inlineStr">
        <is>
          <t>IPH — Institute of Public Health</t>
        </is>
      </c>
      <c r="O1263" s="256" t="inlineStr">
        <is>
          <t>—</t>
        </is>
      </c>
      <c r="P1263" s="256" t="inlineStr">
        <is>
          <t>covered</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6" t="inlineStr">
        <is>
          <t>ND</t>
        </is>
      </c>
      <c r="L1264" s="256" t="inlineStr">
        <is>
          <t>1061/2026</t>
        </is>
      </c>
      <c r="M1264" s="256" t="inlineStr">
        <is>
          <t>09.03.2026</t>
        </is>
      </c>
      <c r="N1264" s="256" t="inlineStr">
        <is>
          <t>IPH — Institute of Public Health</t>
        </is>
      </c>
      <c r="O1264" s="256" t="inlineStr">
        <is>
          <t>—</t>
        </is>
      </c>
      <c r="P1264" s="256" t="inlineStr">
        <is>
          <t>covered</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6" t="inlineStr">
        <is>
          <t>ND</t>
        </is>
      </c>
      <c r="L1265" s="256" t="inlineStr">
        <is>
          <t>1061/2026</t>
        </is>
      </c>
      <c r="M1265" s="256" t="inlineStr">
        <is>
          <t>09.03.2026</t>
        </is>
      </c>
      <c r="N1265" s="256" t="inlineStr">
        <is>
          <t>IPH — Institute of Public Health</t>
        </is>
      </c>
      <c r="O1265" s="256" t="inlineStr">
        <is>
          <t>—</t>
        </is>
      </c>
      <c r="P1265" s="256" t="inlineStr">
        <is>
          <t>covered</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6" t="inlineStr">
        <is>
          <t>ND mg/kg — all 29 residues</t>
        </is>
      </c>
      <c r="L1266" s="256" t="inlineStr">
        <is>
          <t>1061/2026</t>
        </is>
      </c>
      <c r="M1266" s="256" t="inlineStr">
        <is>
          <t>09.03.2026</t>
        </is>
      </c>
      <c r="N1266" s="256" t="inlineStr">
        <is>
          <t>IPH — Institute of Public Health</t>
        </is>
      </c>
      <c r="O1266" s="256" t="inlineStr">
        <is>
          <t>—</t>
        </is>
      </c>
      <c r="P1266" s="256" t="inlineStr">
        <is>
          <t>covered</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iCoA-PP_26-054</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iCoA-PP_26-054</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iCoA-PP_26-054</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6" t="inlineStr">
        <is>
          <t>2.1</t>
        </is>
      </c>
      <c r="L1283" s="256" t="inlineStr">
        <is>
          <t>1057/2026</t>
        </is>
      </c>
      <c r="M1283" s="256" t="inlineStr">
        <is>
          <t>09.03.2026</t>
        </is>
      </c>
      <c r="N1283" s="256" t="inlineStr">
        <is>
          <t>IPH — Institute of Public Health</t>
        </is>
      </c>
      <c r="O1283" s="256" t="inlineStr">
        <is>
          <t>—</t>
        </is>
      </c>
      <c r="P1283" s="256" t="inlineStr">
        <is>
          <t>covered</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6" t="inlineStr">
        <is>
          <t>ND</t>
        </is>
      </c>
      <c r="L1285" s="256" t="inlineStr">
        <is>
          <t>1057/2026</t>
        </is>
      </c>
      <c r="M1285" s="256" t="inlineStr">
        <is>
          <t>09.03.2026</t>
        </is>
      </c>
      <c r="N1285" s="256" t="inlineStr">
        <is>
          <t>IPH — Institute of Public Health</t>
        </is>
      </c>
      <c r="O1285" s="256" t="inlineStr">
        <is>
          <t>—</t>
        </is>
      </c>
      <c r="P1285" s="256" t="inlineStr">
        <is>
          <t>covered</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6" t="inlineStr">
        <is>
          <t>ND</t>
        </is>
      </c>
      <c r="L1286" s="256" t="inlineStr">
        <is>
          <t>1057/2026</t>
        </is>
      </c>
      <c r="M1286" s="256" t="inlineStr">
        <is>
          <t>09.03.2026</t>
        </is>
      </c>
      <c r="N1286" s="256" t="inlineStr">
        <is>
          <t>IPH — Institute of Public Health</t>
        </is>
      </c>
      <c r="O1286" s="256" t="inlineStr">
        <is>
          <t>—</t>
        </is>
      </c>
      <c r="P1286" s="256" t="inlineStr">
        <is>
          <t>covered</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6" t="inlineStr">
        <is>
          <t>ND</t>
        </is>
      </c>
      <c r="L1287" s="256" t="inlineStr">
        <is>
          <t>1057/2026</t>
        </is>
      </c>
      <c r="M1287" s="256" t="inlineStr">
        <is>
          <t>09.03.2026</t>
        </is>
      </c>
      <c r="N1287" s="256" t="inlineStr">
        <is>
          <t>IPH — Institute of Public Health</t>
        </is>
      </c>
      <c r="O1287" s="256" t="inlineStr">
        <is>
          <t>—</t>
        </is>
      </c>
      <c r="P1287" s="256" t="inlineStr">
        <is>
          <t>covered</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6" t="inlineStr">
        <is>
          <t>ND</t>
        </is>
      </c>
      <c r="L1288" s="256" t="inlineStr">
        <is>
          <t>1057/2026</t>
        </is>
      </c>
      <c r="M1288" s="256" t="inlineStr">
        <is>
          <t>09.03.2026</t>
        </is>
      </c>
      <c r="N1288" s="256" t="inlineStr">
        <is>
          <t>IPH — Institute of Public Health</t>
        </is>
      </c>
      <c r="O1288" s="256" t="inlineStr">
        <is>
          <t>—</t>
        </is>
      </c>
      <c r="P1288" s="256" t="inlineStr">
        <is>
          <t>covered</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6" t="inlineStr">
        <is>
          <t>ND mg/kg — all 29 residues</t>
        </is>
      </c>
      <c r="L1289" s="256" t="inlineStr">
        <is>
          <t>1057/2026</t>
        </is>
      </c>
      <c r="M1289" s="256" t="inlineStr">
        <is>
          <t>09.03.2026</t>
        </is>
      </c>
      <c r="N1289" s="256" t="inlineStr">
        <is>
          <t>IPH — Institute of Public Health</t>
        </is>
      </c>
      <c r="O1289" s="256" t="inlineStr">
        <is>
          <t>—</t>
        </is>
      </c>
      <c r="P1289" s="256" t="inlineStr">
        <is>
          <t>covered</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iCoA-PP_26-055</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iCoA-PP_26-055</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iCoA-PP_26-055</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 mg/kg — all 29 residues</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iCoA-PP_26-056</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iCoA-PP_26-056</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iCoA-PP_26-056</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6" t="inlineStr">
        <is>
          <t>2</t>
        </is>
      </c>
      <c r="L1329" s="256" t="inlineStr">
        <is>
          <t>1062/2026</t>
        </is>
      </c>
      <c r="M1329" s="256" t="inlineStr">
        <is>
          <t>11.03.2026</t>
        </is>
      </c>
      <c r="N1329" s="256" t="inlineStr">
        <is>
          <t>IPH — Institute of Public Health</t>
        </is>
      </c>
      <c r="O1329" s="256" t="inlineStr">
        <is>
          <t>—</t>
        </is>
      </c>
      <c r="P1329" s="256" t="inlineStr">
        <is>
          <t>covered</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6" t="inlineStr">
        <is>
          <t>ND</t>
        </is>
      </c>
      <c r="L1331" s="256" t="inlineStr">
        <is>
          <t>1062/2026</t>
        </is>
      </c>
      <c r="M1331" s="256" t="inlineStr">
        <is>
          <t>11.03.2026</t>
        </is>
      </c>
      <c r="N1331" s="256" t="inlineStr">
        <is>
          <t>IPH — Institute of Public Health</t>
        </is>
      </c>
      <c r="O1331" s="256" t="inlineStr">
        <is>
          <t>—</t>
        </is>
      </c>
      <c r="P1331" s="256" t="inlineStr">
        <is>
          <t>covered</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6" t="inlineStr">
        <is>
          <t>ND</t>
        </is>
      </c>
      <c r="L1332" s="256" t="inlineStr">
        <is>
          <t>1062/2026</t>
        </is>
      </c>
      <c r="M1332" s="256" t="inlineStr">
        <is>
          <t>11.03.2026</t>
        </is>
      </c>
      <c r="N1332" s="256" t="inlineStr">
        <is>
          <t>IPH — Institute of Public Health</t>
        </is>
      </c>
      <c r="O1332" s="256" t="inlineStr">
        <is>
          <t>—</t>
        </is>
      </c>
      <c r="P1332" s="256" t="inlineStr">
        <is>
          <t>covered</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6" t="inlineStr">
        <is>
          <t>ND</t>
        </is>
      </c>
      <c r="L1333" s="256" t="inlineStr">
        <is>
          <t>1062/2026</t>
        </is>
      </c>
      <c r="M1333" s="256" t="inlineStr">
        <is>
          <t>11.03.2026</t>
        </is>
      </c>
      <c r="N1333" s="256" t="inlineStr">
        <is>
          <t>IPH — Institute of Public Health</t>
        </is>
      </c>
      <c r="O1333" s="256" t="inlineStr">
        <is>
          <t>—</t>
        </is>
      </c>
      <c r="P1333" s="256" t="inlineStr">
        <is>
          <t>covered</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6" t="inlineStr">
        <is>
          <t>ND</t>
        </is>
      </c>
      <c r="L1334" s="256" t="inlineStr">
        <is>
          <t>1062/2026</t>
        </is>
      </c>
      <c r="M1334" s="256" t="inlineStr">
        <is>
          <t>11.03.2026</t>
        </is>
      </c>
      <c r="N1334" s="256" t="inlineStr">
        <is>
          <t>IPH — Institute of Public Health</t>
        </is>
      </c>
      <c r="O1334" s="256" t="inlineStr">
        <is>
          <t>—</t>
        </is>
      </c>
      <c r="P1334" s="256" t="inlineStr">
        <is>
          <t>covered</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6" t="inlineStr">
        <is>
          <t>ND mg/kg — all 29 residues</t>
        </is>
      </c>
      <c r="L1335" s="256" t="inlineStr">
        <is>
          <t>1062/2026</t>
        </is>
      </c>
      <c r="M1335" s="256" t="inlineStr">
        <is>
          <t>11.03.2026</t>
        </is>
      </c>
      <c r="N1335" s="256" t="inlineStr">
        <is>
          <t>IPH — Institute of Public Health</t>
        </is>
      </c>
      <c r="O1335" s="256" t="inlineStr">
        <is>
          <t>—</t>
        </is>
      </c>
      <c r="P1335" s="256" t="inlineStr">
        <is>
          <t>covered</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iCoA-PP_26-057</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iCoA-PP_26-057</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iCoA-PP_26-057</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29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iCoA-PP_26-058</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iCoA-PP_26-058</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iCoA-PP_26-058</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 mg/kg — all 29 residues</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iCoA-PP_26-059</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iCoA-PP_26-059</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iCoA-PP_26-059</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 mg/kg — all 29 residues</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iCoA-PP_26-060</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iCoA-PP_26-060</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iCoA-PP_26-060</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 mg/kg — all 29 residues</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iCoA-PP_26-061</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iCoA-PP_26-061</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iCoA-PP_26-061</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 mg/kg — all 29 residues</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iCoA-PP_26-062</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iCoA-PP_26-062</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iCoA-PP_26-062</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 mg/kg — all 29 residues</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iCoA-PP_26-063</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iCoA-PP_26-063</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iCoA-PP_26-063</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 mg/kg — all 29 residues</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iCoA-PP_26-064</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iCoA-PP_26-064</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iCoA-PP_26-064</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 mg/kg — all 29 residues</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iCoA-PP_26-065</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iCoA-PP_26-065</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iCoA-PP_26-065</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 mg/kg — all 29 residues</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iCoA-PP_26-067</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iCoA-PP_26-067</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iCoA-PP_26-067</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iCoA-PP_26-066</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iCoA-PP_26-066</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iCoA-PP_26-066</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 mg/kg — all 29 residues</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iCoA-PP_26-071</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iCoA-PP_26-071</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iCoA-PP_26-071</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iCoA-PP_26-070</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iCoA-PP_26-070</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iCoA-PP_26-070</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iCoA-PP_26-072</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iCoA-PP_26-072</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iCoA-PP_26-072</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iCoA-PP_26-076</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iCoA-PP_26-076</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iCoA-PP_26-076</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iCoA-PP_26-075</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iCoA-PP_26-075</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iCoA-PP_26-075</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6" t="inlineStr">
        <is>
          <t>&lt; 2</t>
        </is>
      </c>
      <c r="L1720" s="256" t="inlineStr">
        <is>
          <t>3663/2026</t>
        </is>
      </c>
      <c r="M1720" s="256" t="inlineStr">
        <is>
          <t>22.06.2026</t>
        </is>
      </c>
      <c r="N1720" s="256" t="inlineStr">
        <is>
          <t>IPH — Institute of Public Health</t>
        </is>
      </c>
      <c r="O1720" s="256" t="inlineStr">
        <is>
          <t>—</t>
        </is>
      </c>
      <c r="P1720" s="256" t="inlineStr">
        <is>
          <t>covered</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6" t="inlineStr">
        <is>
          <t>0.029</t>
        </is>
      </c>
      <c r="L1722" s="256" t="inlineStr">
        <is>
          <t>3663/2026</t>
        </is>
      </c>
      <c r="M1722" s="256" t="inlineStr">
        <is>
          <t>22.06.2026</t>
        </is>
      </c>
      <c r="N1722" s="256" t="inlineStr">
        <is>
          <t>IPH — Institute of Public Health</t>
        </is>
      </c>
      <c r="O1722" s="256" t="inlineStr">
        <is>
          <t>—</t>
        </is>
      </c>
      <c r="P1722" s="256" t="inlineStr">
        <is>
          <t>covered</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6" t="inlineStr">
        <is>
          <t>0.038</t>
        </is>
      </c>
      <c r="L1723" s="256" t="inlineStr">
        <is>
          <t>3663/2026</t>
        </is>
      </c>
      <c r="M1723" s="256" t="inlineStr">
        <is>
          <t>22.06.2026</t>
        </is>
      </c>
      <c r="N1723" s="256" t="inlineStr">
        <is>
          <t>IPH — Institute of Public Health</t>
        </is>
      </c>
      <c r="O1723" s="256" t="inlineStr">
        <is>
          <t>—</t>
        </is>
      </c>
      <c r="P1723" s="256" t="inlineStr">
        <is>
          <t>covered</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6" t="inlineStr">
        <is>
          <t>0.044</t>
        </is>
      </c>
      <c r="L1724" s="256" t="inlineStr">
        <is>
          <t>3663/2026</t>
        </is>
      </c>
      <c r="M1724" s="256" t="inlineStr">
        <is>
          <t>22.06.2026</t>
        </is>
      </c>
      <c r="N1724" s="256" t="inlineStr">
        <is>
          <t>IPH — Institute of Public Health</t>
        </is>
      </c>
      <c r="O1724" s="256" t="inlineStr">
        <is>
          <t>—</t>
        </is>
      </c>
      <c r="P1724" s="256" t="inlineStr">
        <is>
          <t>covered</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6" t="inlineStr">
        <is>
          <t>0.012</t>
        </is>
      </c>
      <c r="L1725" s="256" t="inlineStr">
        <is>
          <t>3663/2026</t>
        </is>
      </c>
      <c r="M1725" s="256" t="inlineStr">
        <is>
          <t>22.06.2026</t>
        </is>
      </c>
      <c r="N1725" s="256" t="inlineStr">
        <is>
          <t>IPH — Institute of Public Health</t>
        </is>
      </c>
      <c r="O1725" s="256" t="inlineStr">
        <is>
          <t>—</t>
        </is>
      </c>
      <c r="P1725" s="256" t="inlineStr">
        <is>
          <t>covered</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6" t="inlineStr">
        <is>
          <t>&lt; 0,01 mg/kg — all 29 residues</t>
        </is>
      </c>
      <c r="L1726" s="256" t="inlineStr">
        <is>
          <t>3663/2026</t>
        </is>
      </c>
      <c r="M1726" s="256" t="inlineStr">
        <is>
          <t>22.06.2026</t>
        </is>
      </c>
      <c r="N1726" s="256" t="inlineStr">
        <is>
          <t>IPH — Institute of Public Health</t>
        </is>
      </c>
      <c r="O1726" s="256" t="inlineStr">
        <is>
          <t>—</t>
        </is>
      </c>
      <c r="P1726" s="256" t="inlineStr">
        <is>
          <t>covered</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6" t="inlineStr">
        <is>
          <t>&lt; 2</t>
        </is>
      </c>
      <c r="L1743" s="256" t="inlineStr">
        <is>
          <t>3662/2026</t>
        </is>
      </c>
      <c r="M1743" s="256" t="inlineStr">
        <is>
          <t>22.06.2026</t>
        </is>
      </c>
      <c r="N1743" s="256" t="inlineStr">
        <is>
          <t>IPH — Institute of Public Health</t>
        </is>
      </c>
      <c r="O1743" s="256" t="inlineStr">
        <is>
          <t>—</t>
        </is>
      </c>
      <c r="P1743" s="256" t="inlineStr">
        <is>
          <t>covered</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29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29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6" t="inlineStr">
        <is>
          <t>&lt; 2</t>
        </is>
      </c>
      <c r="L1789" s="256" t="inlineStr">
        <is>
          <t>3660/2026</t>
        </is>
      </c>
      <c r="M1789" s="256" t="inlineStr">
        <is>
          <t>22.06.2026</t>
        </is>
      </c>
      <c r="N1789" s="256" t="inlineStr">
        <is>
          <t>IPH — Institute of Public Health</t>
        </is>
      </c>
      <c r="O1789" s="256" t="inlineStr">
        <is>
          <t>—</t>
        </is>
      </c>
      <c r="P1789" s="256" t="inlineStr">
        <is>
          <t>covered</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29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6" t="inlineStr">
        <is>
          <t>&lt; 2</t>
        </is>
      </c>
      <c r="L1812" s="256" t="inlineStr">
        <is>
          <t>3661/2026</t>
        </is>
      </c>
      <c r="M1812" s="256" t="inlineStr">
        <is>
          <t>22.06.2026</t>
        </is>
      </c>
      <c r="N1812" s="256" t="inlineStr">
        <is>
          <t>IPH — Institute of Public Health</t>
        </is>
      </c>
      <c r="O1812" s="256" t="inlineStr">
        <is>
          <t>—</t>
        </is>
      </c>
      <c r="P1812" s="256" t="inlineStr">
        <is>
          <t>covered</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6" t="inlineStr">
        <is>
          <t>0.234</t>
        </is>
      </c>
      <c r="L1814" s="256" t="inlineStr">
        <is>
          <t>3661/2026</t>
        </is>
      </c>
      <c r="M1814" s="256" t="inlineStr">
        <is>
          <t>22.06.2026</t>
        </is>
      </c>
      <c r="N1814" s="256" t="inlineStr">
        <is>
          <t>IPH — Institute of Public Health</t>
        </is>
      </c>
      <c r="O1814" s="256" t="inlineStr">
        <is>
          <t>—</t>
        </is>
      </c>
      <c r="P1814" s="256" t="inlineStr">
        <is>
          <t>covered</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6" t="inlineStr">
        <is>
          <t>0.04</t>
        </is>
      </c>
      <c r="L1815" s="256" t="inlineStr">
        <is>
          <t>3661/2026</t>
        </is>
      </c>
      <c r="M1815" s="256" t="inlineStr">
        <is>
          <t>22.06.2026</t>
        </is>
      </c>
      <c r="N1815" s="256" t="inlineStr">
        <is>
          <t>IPH — Institute of Public Health</t>
        </is>
      </c>
      <c r="O1815" s="256" t="inlineStr">
        <is>
          <t>—</t>
        </is>
      </c>
      <c r="P1815" s="256" t="inlineStr">
        <is>
          <t>covered</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6" t="inlineStr">
        <is>
          <t>0.056</t>
        </is>
      </c>
      <c r="L1816" s="256" t="inlineStr">
        <is>
          <t>3661/2026</t>
        </is>
      </c>
      <c r="M1816" s="256" t="inlineStr">
        <is>
          <t>22.06.2026</t>
        </is>
      </c>
      <c r="N1816" s="256" t="inlineStr">
        <is>
          <t>IPH — Institute of Public Health</t>
        </is>
      </c>
      <c r="O1816" s="256" t="inlineStr">
        <is>
          <t>—</t>
        </is>
      </c>
      <c r="P1816" s="256" t="inlineStr">
        <is>
          <t>covered</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6" t="inlineStr">
        <is>
          <t>0.034</t>
        </is>
      </c>
      <c r="L1817" s="256" t="inlineStr">
        <is>
          <t>3661/2026</t>
        </is>
      </c>
      <c r="M1817" s="256" t="inlineStr">
        <is>
          <t>22.06.2026</t>
        </is>
      </c>
      <c r="N1817" s="256" t="inlineStr">
        <is>
          <t>IPH — Institute of Public Health</t>
        </is>
      </c>
      <c r="O1817" s="256" t="inlineStr">
        <is>
          <t>—</t>
        </is>
      </c>
      <c r="P1817" s="256" t="inlineStr">
        <is>
          <t>covered</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6" t="inlineStr">
        <is>
          <t>&lt; 0,01 mg/kg — all 29 residues</t>
        </is>
      </c>
      <c r="L1818" s="256" t="inlineStr">
        <is>
          <t>3661/2026</t>
        </is>
      </c>
      <c r="M1818" s="256" t="inlineStr">
        <is>
          <t>22.06.2026</t>
        </is>
      </c>
      <c r="N1818" s="256" t="inlineStr">
        <is>
          <t>IPH — Institute of Public Health</t>
        </is>
      </c>
      <c r="O1818" s="256" t="inlineStr">
        <is>
          <t>—</t>
        </is>
      </c>
      <c r="P1818" s="256" t="inlineStr">
        <is>
          <t>covered</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6" t="inlineStr">
        <is>
          <t>&lt; 2</t>
        </is>
      </c>
      <c r="L1835" s="256" t="inlineStr">
        <is>
          <t>3657/2026</t>
        </is>
      </c>
      <c r="M1835" s="256" t="inlineStr">
        <is>
          <t>22.06.2026</t>
        </is>
      </c>
      <c r="N1835" s="256" t="inlineStr">
        <is>
          <t>IPH — Institute of Public Health</t>
        </is>
      </c>
      <c r="O1835" s="256" t="inlineStr">
        <is>
          <t>—</t>
        </is>
      </c>
      <c r="P1835" s="256" t="inlineStr">
        <is>
          <t>covered</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6" t="inlineStr">
        <is>
          <t>0.054</t>
        </is>
      </c>
      <c r="L1837" s="256" t="inlineStr">
        <is>
          <t>3657/2026</t>
        </is>
      </c>
      <c r="M1837" s="256" t="inlineStr">
        <is>
          <t>22.06.2026</t>
        </is>
      </c>
      <c r="N1837" s="256" t="inlineStr">
        <is>
          <t>IPH — Institute of Public Health</t>
        </is>
      </c>
      <c r="O1837" s="256" t="inlineStr">
        <is>
          <t>—</t>
        </is>
      </c>
      <c r="P1837" s="256" t="inlineStr">
        <is>
          <t>covered</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6" t="inlineStr">
        <is>
          <t>0.035</t>
        </is>
      </c>
      <c r="L1838" s="256" t="inlineStr">
        <is>
          <t>3657/2026</t>
        </is>
      </c>
      <c r="M1838" s="256" t="inlineStr">
        <is>
          <t>22.06.2026</t>
        </is>
      </c>
      <c r="N1838" s="256" t="inlineStr">
        <is>
          <t>IPH — Institute of Public Health</t>
        </is>
      </c>
      <c r="O1838" s="256" t="inlineStr">
        <is>
          <t>—</t>
        </is>
      </c>
      <c r="P1838" s="256" t="inlineStr">
        <is>
          <t>covered</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6" t="inlineStr">
        <is>
          <t>0.058</t>
        </is>
      </c>
      <c r="L1839" s="256" t="inlineStr">
        <is>
          <t>3657/2026</t>
        </is>
      </c>
      <c r="M1839" s="256" t="inlineStr">
        <is>
          <t>22.06.2026</t>
        </is>
      </c>
      <c r="N1839" s="256" t="inlineStr">
        <is>
          <t>IPH — Institute of Public Health</t>
        </is>
      </c>
      <c r="O1839" s="256" t="inlineStr">
        <is>
          <t>—</t>
        </is>
      </c>
      <c r="P1839" s="256" t="inlineStr">
        <is>
          <t>covered</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6" t="inlineStr">
        <is>
          <t>0.009</t>
        </is>
      </c>
      <c r="L1840" s="256" t="inlineStr">
        <is>
          <t>3657/2026</t>
        </is>
      </c>
      <c r="M1840" s="256" t="inlineStr">
        <is>
          <t>22.06.2026</t>
        </is>
      </c>
      <c r="N1840" s="256" t="inlineStr">
        <is>
          <t>IPH — Institute of Public Health</t>
        </is>
      </c>
      <c r="O1840" s="256" t="inlineStr">
        <is>
          <t>—</t>
        </is>
      </c>
      <c r="P1840" s="256" t="inlineStr">
        <is>
          <t>covered</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6" t="inlineStr">
        <is>
          <t>&lt; 0,01 mg/kg — all 29 residues</t>
        </is>
      </c>
      <c r="L1841" s="256" t="inlineStr">
        <is>
          <t>3657/2026</t>
        </is>
      </c>
      <c r="M1841" s="256" t="inlineStr">
        <is>
          <t>22.06.2026</t>
        </is>
      </c>
      <c r="N1841" s="256" t="inlineStr">
        <is>
          <t>IPH — Institute of Public Health</t>
        </is>
      </c>
      <c r="O1841" s="256" t="inlineStr">
        <is>
          <t>—</t>
        </is>
      </c>
      <c r="P1841" s="256" t="inlineStr">
        <is>
          <t>covered</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6" t="inlineStr">
        <is>
          <t>&lt; 2</t>
        </is>
      </c>
      <c r="L1858" s="256" t="inlineStr">
        <is>
          <t>3924/2026</t>
        </is>
      </c>
      <c r="M1858" s="256" t="inlineStr">
        <is>
          <t>20.07.2026</t>
        </is>
      </c>
      <c r="N1858" s="256" t="inlineStr">
        <is>
          <t>IPH — Institute of Public Health</t>
        </is>
      </c>
      <c r="O1858" s="256" t="inlineStr">
        <is>
          <t>—</t>
        </is>
      </c>
      <c r="P1858" s="256" t="inlineStr">
        <is>
          <t>covered</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6" t="inlineStr">
        <is>
          <t>0.036</t>
        </is>
      </c>
      <c r="L1860" s="256" t="inlineStr">
        <is>
          <t>3924/2026</t>
        </is>
      </c>
      <c r="M1860" s="256" t="inlineStr">
        <is>
          <t>20.07.2026</t>
        </is>
      </c>
      <c r="N1860" s="256" t="inlineStr">
        <is>
          <t>IPH — Institute of Public Health</t>
        </is>
      </c>
      <c r="O1860" s="256" t="inlineStr">
        <is>
          <t>—</t>
        </is>
      </c>
      <c r="P1860" s="256" t="inlineStr">
        <is>
          <t>covered</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6" t="inlineStr">
        <is>
          <t>0.015</t>
        </is>
      </c>
      <c r="L1861" s="256" t="inlineStr">
        <is>
          <t>3924/2026</t>
        </is>
      </c>
      <c r="M1861" s="256" t="inlineStr">
        <is>
          <t>20.07.2026</t>
        </is>
      </c>
      <c r="N1861" s="256" t="inlineStr">
        <is>
          <t>IPH — Institute of Public Health</t>
        </is>
      </c>
      <c r="O1861" s="256" t="inlineStr">
        <is>
          <t>—</t>
        </is>
      </c>
      <c r="P1861" s="256" t="inlineStr">
        <is>
          <t>covered</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6" t="inlineStr">
        <is>
          <t>0</t>
        </is>
      </c>
      <c r="L1862" s="256" t="inlineStr">
        <is>
          <t>3924/2026</t>
        </is>
      </c>
      <c r="M1862" s="256" t="inlineStr">
        <is>
          <t>20.07.2026</t>
        </is>
      </c>
      <c r="N1862" s="256" t="inlineStr">
        <is>
          <t>IPH — Institute of Public Health</t>
        </is>
      </c>
      <c r="O1862" s="256" t="inlineStr">
        <is>
          <t>—</t>
        </is>
      </c>
      <c r="P1862" s="256" t="inlineStr">
        <is>
          <t>covered</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6" t="inlineStr">
        <is>
          <t>0.043</t>
        </is>
      </c>
      <c r="L1863" s="256" t="inlineStr">
        <is>
          <t>3924/2026</t>
        </is>
      </c>
      <c r="M1863" s="256" t="inlineStr">
        <is>
          <t>20.07.2026</t>
        </is>
      </c>
      <c r="N1863" s="256" t="inlineStr">
        <is>
          <t>IPH — Institute of Public Health</t>
        </is>
      </c>
      <c r="O1863" s="256" t="inlineStr">
        <is>
          <t>—</t>
        </is>
      </c>
      <c r="P1863" s="256" t="inlineStr">
        <is>
          <t>covered</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6" t="inlineStr">
        <is>
          <t>&lt; 0,01 mg/kg — all 29 residues</t>
        </is>
      </c>
      <c r="L1864" s="256" t="inlineStr">
        <is>
          <t>3924/2026</t>
        </is>
      </c>
      <c r="M1864" s="256" t="inlineStr">
        <is>
          <t>20.07.2026</t>
        </is>
      </c>
      <c r="N1864" s="256" t="inlineStr">
        <is>
          <t>IPH — Institute of Public Health</t>
        </is>
      </c>
      <c r="O1864" s="256" t="inlineStr">
        <is>
          <t>—</t>
        </is>
      </c>
      <c r="P1864" s="256" t="inlineStr">
        <is>
          <t>covered</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6" t="inlineStr">
        <is>
          <t>&lt; 2</t>
        </is>
      </c>
      <c r="L1881" s="256" t="inlineStr">
        <is>
          <t>3925/2026</t>
        </is>
      </c>
      <c r="M1881" s="256" t="inlineStr">
        <is>
          <t>20.07.2026</t>
        </is>
      </c>
      <c r="N1881" s="256" t="inlineStr">
        <is>
          <t>IPH — Institute of Public Health</t>
        </is>
      </c>
      <c r="O1881" s="256" t="inlineStr">
        <is>
          <t>—</t>
        </is>
      </c>
      <c r="P1881" s="256" t="inlineStr">
        <is>
          <t>covered</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6" t="inlineStr">
        <is>
          <t>&lt; 0,01 mg/kg — all 26 residues</t>
        </is>
      </c>
      <c r="L1887" s="256" t="inlineStr">
        <is>
          <t>3925/2026</t>
        </is>
      </c>
      <c r="M1887" s="256" t="inlineStr">
        <is>
          <t>20.07.2026</t>
        </is>
      </c>
      <c r="N1887" s="256" t="inlineStr">
        <is>
          <t>IPH — Institute of Public Health</t>
        </is>
      </c>
      <c r="O1887" s="256" t="inlineStr">
        <is>
          <t>—</t>
        </is>
      </c>
      <c r="P1887" s="256" t="inlineStr">
        <is>
          <t>covered</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6" t="inlineStr">
        <is>
          <t>&lt; 2</t>
        </is>
      </c>
      <c r="L1904" s="256" t="inlineStr">
        <is>
          <t>3658/2026</t>
        </is>
      </c>
      <c r="M1904" s="256" t="inlineStr">
        <is>
          <t>22.06.2026</t>
        </is>
      </c>
      <c r="N1904" s="256" t="inlineStr">
        <is>
          <t>IPH — Institute of Public Health</t>
        </is>
      </c>
      <c r="O1904" s="256" t="inlineStr">
        <is>
          <t>—</t>
        </is>
      </c>
      <c r="P1904" s="256" t="inlineStr">
        <is>
          <t>covered</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6" t="inlineStr">
        <is>
          <t>0.066</t>
        </is>
      </c>
      <c r="L1906" s="256" t="inlineStr">
        <is>
          <t>3658/2026</t>
        </is>
      </c>
      <c r="M1906" s="256" t="inlineStr">
        <is>
          <t>22.06.2026</t>
        </is>
      </c>
      <c r="N1906" s="256" t="inlineStr">
        <is>
          <t>IPH — Institute of Public Health</t>
        </is>
      </c>
      <c r="O1906" s="256" t="inlineStr">
        <is>
          <t>—</t>
        </is>
      </c>
      <c r="P1906" s="256" t="inlineStr">
        <is>
          <t>covered</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6" t="inlineStr">
        <is>
          <t>0.029</t>
        </is>
      </c>
      <c r="L1907" s="256" t="inlineStr">
        <is>
          <t>3658/2026</t>
        </is>
      </c>
      <c r="M1907" s="256" t="inlineStr">
        <is>
          <t>22.06.2026</t>
        </is>
      </c>
      <c r="N1907" s="256" t="inlineStr">
        <is>
          <t>IPH — Institute of Public Health</t>
        </is>
      </c>
      <c r="O1907" s="256" t="inlineStr">
        <is>
          <t>—</t>
        </is>
      </c>
      <c r="P1907" s="256" t="inlineStr">
        <is>
          <t>covered</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6" t="inlineStr">
        <is>
          <t>0.052</t>
        </is>
      </c>
      <c r="L1908" s="256" t="inlineStr">
        <is>
          <t>3658/2026</t>
        </is>
      </c>
      <c r="M1908" s="256" t="inlineStr">
        <is>
          <t>22.06.2026</t>
        </is>
      </c>
      <c r="N1908" s="256" t="inlineStr">
        <is>
          <t>IPH — Institute of Public Health</t>
        </is>
      </c>
      <c r="O1908" s="256" t="inlineStr">
        <is>
          <t>—</t>
        </is>
      </c>
      <c r="P1908" s="256" t="inlineStr">
        <is>
          <t>covered</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6" t="inlineStr">
        <is>
          <t>0.013</t>
        </is>
      </c>
      <c r="L1909" s="256" t="inlineStr">
        <is>
          <t>3658/2026</t>
        </is>
      </c>
      <c r="M1909" s="256" t="inlineStr">
        <is>
          <t>22.06.2026</t>
        </is>
      </c>
      <c r="N1909" s="256" t="inlineStr">
        <is>
          <t>IPH — Institute of Public Health</t>
        </is>
      </c>
      <c r="O1909" s="256" t="inlineStr">
        <is>
          <t>—</t>
        </is>
      </c>
      <c r="P1909" s="256" t="inlineStr">
        <is>
          <t>covered</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6" t="inlineStr">
        <is>
          <t>&lt; 0,01 mg/kg — all 29 residues</t>
        </is>
      </c>
      <c r="L1910" s="256" t="inlineStr">
        <is>
          <t>3658/2026</t>
        </is>
      </c>
      <c r="M1910" s="256" t="inlineStr">
        <is>
          <t>22.06.2026</t>
        </is>
      </c>
      <c r="N1910" s="256" t="inlineStr">
        <is>
          <t>IPH — Institute of Public Health</t>
        </is>
      </c>
      <c r="O1910" s="256" t="inlineStr">
        <is>
          <t>—</t>
        </is>
      </c>
      <c r="P1910" s="256" t="inlineStr">
        <is>
          <t>covered</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iCoA-PP_26-110</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iCoA-PP_26-110</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iCoA-PP_26-110</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iCoA-PP_26-088</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iCoA-PP_26-088</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iCoA-PP_26-088</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 mg/kg — all 29 residues</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iCoA-PP_26-089</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iCoA-PP_26-089</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iCoA-PP_26-089</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 mg/kg — all 29 residues</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iCoA-PP_26-093</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iCoA-PP_26-093</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iCoA-PP_26-093</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iCoA-PP_26-090</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iCoA-PP_26-090</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iCoA-PP_26-090</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iCoA-PP_26-092</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iCoA-PP_26-092</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iCoA-PP_26-092</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iCoA-PP_26-097</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iCoA-PP_26-097</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iCoA-PP_26-097</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29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iCoA-PP_26-094</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iCoA-PP_26-094</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iCoA-PP_26-094</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iCoA-PP_26-095</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iCoA-PP_26-095</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iCoA-PP_26-095</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 mg/kg — all 29 residues</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iCoA-PP_26-096</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iCoA-PP_26-096</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iCoA-PP_26-096</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 mg/kg — all 29 residues</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iCoA-PP_26-099</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iCoA-PP_26-099</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iCoA-PP_26-099</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iCoA-PP_26-100</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iCoA-PP_26-100</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iCoA-PP_26-100</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iCoA-PP_26-101</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iCoA-PP_26-101</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iCoA-PP_26-101</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iCoA-PP_26-102</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iCoA-PP_26-102</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iCoA-PP_26-102</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29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iCoA-PP_26-103</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iCoA-PP_26-103</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iCoA-PP_26-103</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 mg/kg — all 29 residues</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iCoA-PP_26-104</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iCoA-PP_26-104</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iCoA-PP_26-104</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iCoA-PP_26-105</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iCoA-PP_26-105</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iCoA-PP_26-105</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iCoA-PP_26-106</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iCoA-PP_26-106</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iCoA-PP_26-106</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 mg/kg — all 29 residues</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iCoA-PP_26-108</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iCoA-PP_26-108</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iCoA-PP_26-108</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 mg/kg — all 29 residues</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iCoA-PP_26-107</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iCoA-PP_26-107</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iCoA-PP_26-107</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iCoA-PP_26-091</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iCoA-PP_26-091</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iCoA-PP_26-091</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iCoA-PP_26-111</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iCoA-PP_26-111</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iCoA-PP_26-111</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29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iCoA-PP_26-112</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iCoA-PP_26-112</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iCoA-PP_26-112</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iCoA-PP_26-023</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iCoA-PP_26-133</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iCoA-PP_26-133</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iCoA-PP_26-133</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iCoA-PP_26-113</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iCoA-PP_26-113</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iCoA-PP_26-113</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29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iCoA-PP_26-114</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iCoA-PP_26-114</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iCoA-PP_26-114</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iCoA-PP_26-115</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iCoA-PP_26-115</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iCoA-PP_26-115</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iCoA-PP_26-116</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iCoA-PP_26-116</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iCoA-PP_26-116</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 mg/kg — all 29 residues</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iCoA-PP_26-117</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iCoA-PP_26-117</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iCoA-PP_26-117</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 mg/kg — all 29 residues</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iCoA-PP_26-118</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iCoA-PP_26-118</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iCoA-PP_26-118</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 mg/kg — all 29 residues</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iCoA-PP_26-119</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iCoA-PP_26-119</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iCoA-PP_26-119</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29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iCoA-PP_26-120</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iCoA-PP_26-120</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iCoA-PP_26-120</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iCoA-PP_26-121</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iCoA-PP_26-121</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iCoA-PP_26-121</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iCoA-PP_26-122</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iCoA-PP_26-122</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iCoA-PP_26-122</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iCoA-PP_26-123</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iCoA-PP_26-123</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iCoA-PP_26-123</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 mg/kg — all 29 residues</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iCoA-PP_26-124</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iCoA-PP_26-124</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iCoA-PP_26-124</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29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iCoA-PP_26-125</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iCoA-PP_26-125</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iCoA-PP_26-125</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 mg/kg — all 29 residues</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iCoA-PP_26-128</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29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29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iCoA-PP_26-136</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iCoA-PP_26-136</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iCoA-PP_26-136</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iCoA-PP_26-129</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iCoA-PP_26-129</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iCoA-PP_26-129</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29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iCoA-PP_26-130</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iCoA-PP_26-130</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iCoA-PP_26-130</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iCoA-PP_26-132</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iCoA-PP_26-132</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iCoA-PP_26-132</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iCoA-PP_26-131</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iCoA-PP_26-131</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iCoA-PP_26-131</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 mg/kg — all 29 residues</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iCoA-PP_26-137</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iCoA-PP_26-137</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iCoA-PP_26-137</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iCoA-PP_26-138</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iCoA-PP_26-138</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iCoA-PP_26-138</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29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iCoA-PP_26-139</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iCoA-PP_26-139</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iCoA-PP_26-139</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29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iCoA-PP_26-140</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iCoA-PP_26-140</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iCoA-PP_26-140</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 mg/kg — all 29 residues</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iCoA-PP_26-141</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iCoA-PP_26-141</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iCoA-PP_26-141</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 mg/kg — all 29 residues</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iCoA-PP_26-142</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iCoA-PP_26-142</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iCoA-PP_26-142</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 mg/kg — all 29 residues</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iCoA-PP_26-163</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iCoA-PP_26-163</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iCoA-PP_26-163</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 mg/kg — all 29 residues</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iCoA-PP_26-164</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iCoA-PP_26-164</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iCoA-PP_26-164</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iCoA-PP_26-143</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iCoA-PP_26-143</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iCoA-PP_26-143</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iCoA-PP_26-165</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iCoA-PP_26-165</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iCoA-PP_26-165</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 mg/kg — all 29 residues</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iCoA-PP_26-166</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iCoA-PP_26-166</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iCoA-PP_26-166</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iCoA-PP_26-167</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iCoA-PP_26-167</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iCoA-PP_26-167</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 mg/kg — all 29 residues</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iCoA-PP_26-168</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iCoA-PP_26-168</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iCoA-PP_26-168</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 mg/kg — all 29 residues</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0.234</t>
        </is>
      </c>
      <c r="L3286" s="256" t="inlineStr">
        <is>
          <t>3661/2026</t>
        </is>
      </c>
      <c r="M3286" s="256" t="inlineStr">
        <is>
          <t>22.06.2026</t>
        </is>
      </c>
      <c r="N3286" s="256" t="inlineStr">
        <is>
          <t>IPH — Institute of Public Health</t>
        </is>
      </c>
      <c r="O3286" s="256" t="inlineStr">
        <is>
          <t>—</t>
        </is>
      </c>
      <c r="P3286" s="256" t="inlineStr">
        <is>
          <t>carried from the initial testing (CoQ-PP_26-079) — covered</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0.04</t>
        </is>
      </c>
      <c r="L3287" s="256" t="inlineStr">
        <is>
          <t>3661/2026</t>
        </is>
      </c>
      <c r="M3287" s="256" t="inlineStr">
        <is>
          <t>22.06.2026</t>
        </is>
      </c>
      <c r="N3287" s="256" t="inlineStr">
        <is>
          <t>IPH — Institute of Public Health</t>
        </is>
      </c>
      <c r="O3287" s="256" t="inlineStr">
        <is>
          <t>—</t>
        </is>
      </c>
      <c r="P3287" s="256" t="inlineStr">
        <is>
          <t>carried from the initial testing (CoQ-PP_26-079) — covered</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0.056</t>
        </is>
      </c>
      <c r="L3288" s="256" t="inlineStr">
        <is>
          <t>3661/2026</t>
        </is>
      </c>
      <c r="M3288" s="256" t="inlineStr">
        <is>
          <t>22.06.2026</t>
        </is>
      </c>
      <c r="N3288" s="256" t="inlineStr">
        <is>
          <t>IPH — Institute of Public Health</t>
        </is>
      </c>
      <c r="O3288" s="256" t="inlineStr">
        <is>
          <t>—</t>
        </is>
      </c>
      <c r="P3288" s="256" t="inlineStr">
        <is>
          <t>carried from the initial testing (CoQ-PP_26-079) — covered</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0.034</t>
        </is>
      </c>
      <c r="L3289" s="256" t="inlineStr">
        <is>
          <t>3661/2026</t>
        </is>
      </c>
      <c r="M3289" s="256" t="inlineStr">
        <is>
          <t>22.06.2026</t>
        </is>
      </c>
      <c r="N3289" s="256" t="inlineStr">
        <is>
          <t>IPH — Institute of Public Health</t>
        </is>
      </c>
      <c r="O3289" s="256" t="inlineStr">
        <is>
          <t>—</t>
        </is>
      </c>
      <c r="P3289" s="256" t="inlineStr">
        <is>
          <t>carried from the initial testing (CoQ-PP_26-079) — covered</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&lt; 0,01 mg/kg — all 29 residues</t>
        </is>
      </c>
      <c r="L3290" s="256" t="inlineStr">
        <is>
          <t>3661/2026</t>
        </is>
      </c>
      <c r="M3290" s="256" t="inlineStr">
        <is>
          <t>22.06.2026</t>
        </is>
      </c>
      <c r="N3290" s="256" t="inlineStr">
        <is>
          <t>IPH — Institute of Public Health</t>
        </is>
      </c>
      <c r="O3290" s="256" t="inlineStr">
        <is>
          <t>—</t>
        </is>
      </c>
      <c r="P3290" s="256" t="inlineStr">
        <is>
          <t>carried from the initial testing (CoQ-PP_26-079) — covered</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0.029</t>
        </is>
      </c>
      <c r="L3309" s="256" t="inlineStr">
        <is>
          <t>3663/2026</t>
        </is>
      </c>
      <c r="M3309" s="256" t="inlineStr">
        <is>
          <t>22.06.2026</t>
        </is>
      </c>
      <c r="N3309" s="256" t="inlineStr">
        <is>
          <t>IPH — Institute of Public Health</t>
        </is>
      </c>
      <c r="O3309" s="256" t="inlineStr">
        <is>
          <t>—</t>
        </is>
      </c>
      <c r="P3309" s="256" t="inlineStr">
        <is>
          <t>carried from the initial testing (CoQ-PP_26-075) — covered</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0.038</t>
        </is>
      </c>
      <c r="L3310" s="256" t="inlineStr">
        <is>
          <t>3663/2026</t>
        </is>
      </c>
      <c r="M3310" s="256" t="inlineStr">
        <is>
          <t>22.06.2026</t>
        </is>
      </c>
      <c r="N3310" s="256" t="inlineStr">
        <is>
          <t>IPH — Institute of Public Health</t>
        </is>
      </c>
      <c r="O3310" s="256" t="inlineStr">
        <is>
          <t>—</t>
        </is>
      </c>
      <c r="P3310" s="256" t="inlineStr">
        <is>
          <t>carried from the initial testing (CoQ-PP_26-075) — covered</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0.044</t>
        </is>
      </c>
      <c r="L3311" s="256" t="inlineStr">
        <is>
          <t>3663/2026</t>
        </is>
      </c>
      <c r="M3311" s="256" t="inlineStr">
        <is>
          <t>22.06.2026</t>
        </is>
      </c>
      <c r="N3311" s="256" t="inlineStr">
        <is>
          <t>IPH — Institute of Public Health</t>
        </is>
      </c>
      <c r="O3311" s="256" t="inlineStr">
        <is>
          <t>—</t>
        </is>
      </c>
      <c r="P3311" s="256" t="inlineStr">
        <is>
          <t>carried from the initial testing (CoQ-PP_26-075) — covered</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0.012</t>
        </is>
      </c>
      <c r="L3312" s="256" t="inlineStr">
        <is>
          <t>3663/2026</t>
        </is>
      </c>
      <c r="M3312" s="256" t="inlineStr">
        <is>
          <t>22.06.2026</t>
        </is>
      </c>
      <c r="N3312" s="256" t="inlineStr">
        <is>
          <t>IPH — Institute of Public Health</t>
        </is>
      </c>
      <c r="O3312" s="256" t="inlineStr">
        <is>
          <t>—</t>
        </is>
      </c>
      <c r="P3312" s="256" t="inlineStr">
        <is>
          <t>carried from the initial testing (CoQ-PP_26-075) — covered</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&lt; 0,01 mg/kg — all 29 residues</t>
        </is>
      </c>
      <c r="L3313" s="256" t="inlineStr">
        <is>
          <t>3663/2026</t>
        </is>
      </c>
      <c r="M3313" s="256" t="inlineStr">
        <is>
          <t>22.06.2026</t>
        </is>
      </c>
      <c r="N3313" s="256" t="inlineStr">
        <is>
          <t>IPH — Institute of Public Health</t>
        </is>
      </c>
      <c r="O3313" s="256" t="inlineStr">
        <is>
          <t>—</t>
        </is>
      </c>
      <c r="P3313" s="256" t="inlineStr">
        <is>
          <t>carried from the initial testing (CoQ-PP_26-075) — covered</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iCoA-PP_26-171</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iCoA-PP_26-171</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iCoA-PP_26-171</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 mg/kg — all 29 residues</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iCoA-PP_26-172</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iCoA-PP_26-172</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iCoA-PP_26-172</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 mg/kg — all 29 residues</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iCoA-PP_26-153</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iCoA-PP_26-153</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iCoA-PP_26-153</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iCoA-PP_26-154</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iCoA-PP_26-154</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iCoA-PP_26-154</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 mg/kg — all 29 residues</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iCoA-PP_26-155</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iCoA-PP_26-155</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iCoA-PP_26-155</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iCoA-PP_26-024</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 mg/kg — all 29 residues</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iCoA-PP_26-156</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iCoA-PP_26-156</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iCoA-PP_26-156</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iCoA-PP_26-144</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iCoA-PP_26-144</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iCoA-PP_26-144</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iCoA-PP_26-157</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iCoA-PP_26-157</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iCoA-PP_26-157</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iCoA-PP_26-158</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iCoA-PP_26-158</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iCoA-PP_26-158</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ND</t>
        </is>
      </c>
      <c r="L3516" s="256" t="inlineStr">
        <is>
          <t>1057/2026</t>
        </is>
      </c>
      <c r="M3516" s="256" t="inlineStr">
        <is>
          <t>09.03.2026</t>
        </is>
      </c>
      <c r="N3516" s="256" t="inlineStr">
        <is>
          <t>IPH — Institute of Public Health</t>
        </is>
      </c>
      <c r="O3516" s="256" t="inlineStr">
        <is>
          <t>—</t>
        </is>
      </c>
      <c r="P3516" s="256" t="inlineStr">
        <is>
          <t>carried from the initial testing (CoQ-PP_26-056) — covered</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ND</t>
        </is>
      </c>
      <c r="L3517" s="256" t="inlineStr">
        <is>
          <t>1057/2026</t>
        </is>
      </c>
      <c r="M3517" s="256" t="inlineStr">
        <is>
          <t>09.03.2026</t>
        </is>
      </c>
      <c r="N3517" s="256" t="inlineStr">
        <is>
          <t>IPH — Institute of Public Health</t>
        </is>
      </c>
      <c r="O3517" s="256" t="inlineStr">
        <is>
          <t>—</t>
        </is>
      </c>
      <c r="P3517" s="256" t="inlineStr">
        <is>
          <t>carried from the initial testing (CoQ-PP_26-056) — covered</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ND</t>
        </is>
      </c>
      <c r="L3518" s="256" t="inlineStr">
        <is>
          <t>1057/2026</t>
        </is>
      </c>
      <c r="M3518" s="256" t="inlineStr">
        <is>
          <t>09.03.2026</t>
        </is>
      </c>
      <c r="N3518" s="256" t="inlineStr">
        <is>
          <t>IPH — Institute of Public Health</t>
        </is>
      </c>
      <c r="O3518" s="256" t="inlineStr">
        <is>
          <t>—</t>
        </is>
      </c>
      <c r="P3518" s="256" t="inlineStr">
        <is>
          <t>carried from the initial testing (CoQ-PP_26-056) — covered</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ND</t>
        </is>
      </c>
      <c r="L3519" s="256" t="inlineStr">
        <is>
          <t>1057/2026</t>
        </is>
      </c>
      <c r="M3519" s="256" t="inlineStr">
        <is>
          <t>09.03.2026</t>
        </is>
      </c>
      <c r="N3519" s="256" t="inlineStr">
        <is>
          <t>IPH — Institute of Public Health</t>
        </is>
      </c>
      <c r="O3519" s="256" t="inlineStr">
        <is>
          <t>—</t>
        </is>
      </c>
      <c r="P3519" s="256" t="inlineStr">
        <is>
          <t>carried from the initial testing (CoQ-PP_26-056) — covered</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ND mg/kg — all 29 residues</t>
        </is>
      </c>
      <c r="L3520" s="256" t="inlineStr">
        <is>
          <t>1057/2026</t>
        </is>
      </c>
      <c r="M3520" s="256" t="inlineStr">
        <is>
          <t>09.03.2026</t>
        </is>
      </c>
      <c r="N3520" s="256" t="inlineStr">
        <is>
          <t>IPH — Institute of Public Health</t>
        </is>
      </c>
      <c r="O3520" s="256" t="inlineStr">
        <is>
          <t>—</t>
        </is>
      </c>
      <c r="P3520" s="256" t="inlineStr">
        <is>
          <t>carried from the initial testing (CoQ-PP_26-056) — covered</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iCoA-PP_26-159</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iCoA-PP_26-159</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iCoA-PP_26-159</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 mg/kg — all 29 residues</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iCoA-PP_26-160</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iCoA-PP_26-160</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iCoA-PP_26-160</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 mg/kg — all 29 residues</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iCoA-PP_26-161</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iCoA-PP_26-161</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iCoA-PP_26-161</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iCoA-PP_26-162</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iCoA-PP_26-162</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iCoA-PP_26-162</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 mg/kg — all 29 residues</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iCoA-PP_26-145</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iCoA-PP_26-145</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iCoA-PP_26-145</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ND</t>
        </is>
      </c>
      <c r="L3631" s="256" t="inlineStr">
        <is>
          <t>1062/2026</t>
        </is>
      </c>
      <c r="M3631" s="256" t="inlineStr">
        <is>
          <t>11.03.2026</t>
        </is>
      </c>
      <c r="N3631" s="256" t="inlineStr">
        <is>
          <t>IPH — Institute of Public Health</t>
        </is>
      </c>
      <c r="O3631" s="256" t="inlineStr">
        <is>
          <t>—</t>
        </is>
      </c>
      <c r="P3631" s="256" t="inlineStr">
        <is>
          <t>carried from the initial testing (CoQ-PP_26-058) — covered</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ND</t>
        </is>
      </c>
      <c r="L3632" s="256" t="inlineStr">
        <is>
          <t>1062/2026</t>
        </is>
      </c>
      <c r="M3632" s="256" t="inlineStr">
        <is>
          <t>11.03.2026</t>
        </is>
      </c>
      <c r="N3632" s="256" t="inlineStr">
        <is>
          <t>IPH — Institute of Public Health</t>
        </is>
      </c>
      <c r="O3632" s="256" t="inlineStr">
        <is>
          <t>—</t>
        </is>
      </c>
      <c r="P3632" s="256" t="inlineStr">
        <is>
          <t>carried from the initial testing (CoQ-PP_26-058) — covered</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ND</t>
        </is>
      </c>
      <c r="L3633" s="256" t="inlineStr">
        <is>
          <t>1062/2026</t>
        </is>
      </c>
      <c r="M3633" s="256" t="inlineStr">
        <is>
          <t>11.03.2026</t>
        </is>
      </c>
      <c r="N3633" s="256" t="inlineStr">
        <is>
          <t>IPH — Institute of Public Health</t>
        </is>
      </c>
      <c r="O3633" s="256" t="inlineStr">
        <is>
          <t>—</t>
        </is>
      </c>
      <c r="P3633" s="256" t="inlineStr">
        <is>
          <t>carried from the initial testing (CoQ-PP_26-058) — covered</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ND</t>
        </is>
      </c>
      <c r="L3634" s="256" t="inlineStr">
        <is>
          <t>1062/2026</t>
        </is>
      </c>
      <c r="M3634" s="256" t="inlineStr">
        <is>
          <t>11.03.2026</t>
        </is>
      </c>
      <c r="N3634" s="256" t="inlineStr">
        <is>
          <t>IPH — Institute of Public Health</t>
        </is>
      </c>
      <c r="O3634" s="256" t="inlineStr">
        <is>
          <t>—</t>
        </is>
      </c>
      <c r="P3634" s="256" t="inlineStr">
        <is>
          <t>carried from the initial testing (CoQ-PP_26-058) — covered</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ND mg/kg — all 29 residues</t>
        </is>
      </c>
      <c r="L3635" s="256" t="inlineStr">
        <is>
          <t>1062/2026</t>
        </is>
      </c>
      <c r="M3635" s="256" t="inlineStr">
        <is>
          <t>11.03.2026</t>
        </is>
      </c>
      <c r="N3635" s="256" t="inlineStr">
        <is>
          <t>IPH — Institute of Public Health</t>
        </is>
      </c>
      <c r="O3635" s="256" t="inlineStr">
        <is>
          <t>—</t>
        </is>
      </c>
      <c r="P3635" s="256" t="inlineStr">
        <is>
          <t>carried from the initial testing (CoQ-PP_26-058) — covered</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iCoA-PP_26-146</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iCoA-PP_26-146</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iCoA-PP_26-146</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 mg/kg — all 29 residues</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iCoA-PP_26-147</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iCoA-PP_26-147</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iCoA-PP_26-147</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0.054</t>
        </is>
      </c>
      <c r="L3700" s="256" t="inlineStr">
        <is>
          <t>3657/2026</t>
        </is>
      </c>
      <c r="M3700" s="256" t="inlineStr">
        <is>
          <t>22.06.2026</t>
        </is>
      </c>
      <c r="N3700" s="256" t="inlineStr">
        <is>
          <t>IPH — Institute of Public Health</t>
        </is>
      </c>
      <c r="O3700" s="256" t="inlineStr">
        <is>
          <t>—</t>
        </is>
      </c>
      <c r="P3700" s="256" t="inlineStr">
        <is>
          <t>carried from the initial testing (CoQ-PP_26-080) — covered</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0.035</t>
        </is>
      </c>
      <c r="L3701" s="256" t="inlineStr">
        <is>
          <t>3657/2026</t>
        </is>
      </c>
      <c r="M3701" s="256" t="inlineStr">
        <is>
          <t>22.06.2026</t>
        </is>
      </c>
      <c r="N3701" s="256" t="inlineStr">
        <is>
          <t>IPH — Institute of Public Health</t>
        </is>
      </c>
      <c r="O3701" s="256" t="inlineStr">
        <is>
          <t>—</t>
        </is>
      </c>
      <c r="P3701" s="256" t="inlineStr">
        <is>
          <t>carried from the initial testing (CoQ-PP_26-080) — covered</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0.058</t>
        </is>
      </c>
      <c r="L3702" s="256" t="inlineStr">
        <is>
          <t>3657/2026</t>
        </is>
      </c>
      <c r="M3702" s="256" t="inlineStr">
        <is>
          <t>22.06.2026</t>
        </is>
      </c>
      <c r="N3702" s="256" t="inlineStr">
        <is>
          <t>IPH — Institute of Public Health</t>
        </is>
      </c>
      <c r="O3702" s="256" t="inlineStr">
        <is>
          <t>—</t>
        </is>
      </c>
      <c r="P3702" s="256" t="inlineStr">
        <is>
          <t>carried from the initial testing (CoQ-PP_26-080) — covered</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0.009</t>
        </is>
      </c>
      <c r="L3703" s="256" t="inlineStr">
        <is>
          <t>3657/2026</t>
        </is>
      </c>
      <c r="M3703" s="256" t="inlineStr">
        <is>
          <t>22.06.2026</t>
        </is>
      </c>
      <c r="N3703" s="256" t="inlineStr">
        <is>
          <t>IPH — Institute of Public Health</t>
        </is>
      </c>
      <c r="O3703" s="256" t="inlineStr">
        <is>
          <t>—</t>
        </is>
      </c>
      <c r="P3703" s="256" t="inlineStr">
        <is>
          <t>carried from the initial testing (CoQ-PP_26-080) — covered</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&lt; 0,01 mg/kg — all 29 residues</t>
        </is>
      </c>
      <c r="L3704" s="256" t="inlineStr">
        <is>
          <t>3657/2026</t>
        </is>
      </c>
      <c r="M3704" s="256" t="inlineStr">
        <is>
          <t>22.06.2026</t>
        </is>
      </c>
      <c r="N3704" s="256" t="inlineStr">
        <is>
          <t>IPH — Institute of Public Health</t>
        </is>
      </c>
      <c r="O3704" s="256" t="inlineStr">
        <is>
          <t>—</t>
        </is>
      </c>
      <c r="P3704" s="256" t="inlineStr">
        <is>
          <t>carried from the initial testing (CoQ-PP_26-080) — covered</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iCoA-PP_26-149</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iCoA-PP_26-149</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iCoA-PP_26-149</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ND mg/kg — all 26 residues</t>
        </is>
      </c>
      <c r="L3727" s="256" t="inlineStr">
        <is>
          <t>1065/2026</t>
        </is>
      </c>
      <c r="M3727" s="256" t="inlineStr">
        <is>
          <t>11.03.2026</t>
        </is>
      </c>
      <c r="N3727" s="256" t="inlineStr">
        <is>
          <t>IPH — Institute of Public Health</t>
        </is>
      </c>
      <c r="O3727" s="256" t="inlineStr">
        <is>
          <t>—</t>
        </is>
      </c>
      <c r="P3727" s="256" t="inlineStr">
        <is>
          <t>carried from the initial testing (CoQ-PP_26-052) — covered</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iCoA-PP_26-150</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iCoA-PP_26-150</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iCoA-PP_26-150</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ND</t>
        </is>
      </c>
      <c r="L3746" s="256" t="inlineStr">
        <is>
          <t>1061/2026</t>
        </is>
      </c>
      <c r="M3746" s="256" t="inlineStr">
        <is>
          <t>09.03.2026</t>
        </is>
      </c>
      <c r="N3746" s="256" t="inlineStr">
        <is>
          <t>IPH — Institute of Public Health</t>
        </is>
      </c>
      <c r="O3746" s="256" t="inlineStr">
        <is>
          <t>—</t>
        </is>
      </c>
      <c r="P3746" s="256" t="inlineStr">
        <is>
          <t>carried from the initial testing (CoQ-PP_26-055) — covered</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ND</t>
        </is>
      </c>
      <c r="L3747" s="256" t="inlineStr">
        <is>
          <t>1061/2026</t>
        </is>
      </c>
      <c r="M3747" s="256" t="inlineStr">
        <is>
          <t>09.03.2026</t>
        </is>
      </c>
      <c r="N3747" s="256" t="inlineStr">
        <is>
          <t>IPH — Institute of Public Health</t>
        </is>
      </c>
      <c r="O3747" s="256" t="inlineStr">
        <is>
          <t>—</t>
        </is>
      </c>
      <c r="P3747" s="256" t="inlineStr">
        <is>
          <t>carried from the initial testing (CoQ-PP_26-055) — covered</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ND</t>
        </is>
      </c>
      <c r="L3748" s="256" t="inlineStr">
        <is>
          <t>1061/2026</t>
        </is>
      </c>
      <c r="M3748" s="256" t="inlineStr">
        <is>
          <t>09.03.2026</t>
        </is>
      </c>
      <c r="N3748" s="256" t="inlineStr">
        <is>
          <t>IPH — Institute of Public Health</t>
        </is>
      </c>
      <c r="O3748" s="256" t="inlineStr">
        <is>
          <t>—</t>
        </is>
      </c>
      <c r="P3748" s="256" t="inlineStr">
        <is>
          <t>carried from the initial testing (CoQ-PP_26-055) — covered</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ND</t>
        </is>
      </c>
      <c r="L3749" s="256" t="inlineStr">
        <is>
          <t>1061/2026</t>
        </is>
      </c>
      <c r="M3749" s="256" t="inlineStr">
        <is>
          <t>09.03.2026</t>
        </is>
      </c>
      <c r="N3749" s="256" t="inlineStr">
        <is>
          <t>IPH — Institute of Public Health</t>
        </is>
      </c>
      <c r="O3749" s="256" t="inlineStr">
        <is>
          <t>—</t>
        </is>
      </c>
      <c r="P3749" s="256" t="inlineStr">
        <is>
          <t>carried from the initial testing (CoQ-PP_26-055) — covered</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ND mg/kg — all 29 residues</t>
        </is>
      </c>
      <c r="L3750" s="256" t="inlineStr">
        <is>
          <t>1061/2026</t>
        </is>
      </c>
      <c r="M3750" s="256" t="inlineStr">
        <is>
          <t>09.03.2026</t>
        </is>
      </c>
      <c r="N3750" s="256" t="inlineStr">
        <is>
          <t>IPH — Institute of Public Health</t>
        </is>
      </c>
      <c r="O3750" s="256" t="inlineStr">
        <is>
          <t>—</t>
        </is>
      </c>
      <c r="P3750" s="256" t="inlineStr">
        <is>
          <t>carried from the initial testing (CoQ-PP_26-055) — covered</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iCoA-PP_26-151</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iCoA-PP_26-151</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iCoA-PP_26-151</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 mg/kg — all 29 residues</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iCoA-PP_26-152</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iCoA-PP_26-152</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iCoA-PP_26-152</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0.078</t>
        </is>
      </c>
      <c r="L3792" s="256" t="inlineStr">
        <is>
          <t>329/2026</t>
        </is>
      </c>
      <c r="M3792" s="256" t="inlineStr">
        <is>
          <t>11.02.2026</t>
        </is>
      </c>
      <c r="N3792" s="256" t="inlineStr">
        <is>
          <t>IPH — Institute of Public Health</t>
        </is>
      </c>
      <c r="O3792" s="256" t="inlineStr">
        <is>
          <t>—</t>
        </is>
      </c>
      <c r="P3792" s="256" t="inlineStr">
        <is>
          <t>carried from the initial testing (CoQ-PP_26-046) — covered</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ND</t>
        </is>
      </c>
      <c r="L3793" s="256" t="inlineStr">
        <is>
          <t>329/2026</t>
        </is>
      </c>
      <c r="M3793" s="256" t="inlineStr">
        <is>
          <t>11.02.2026</t>
        </is>
      </c>
      <c r="N3793" s="256" t="inlineStr">
        <is>
          <t>IPH — Institute of Public Health</t>
        </is>
      </c>
      <c r="O3793" s="256" t="inlineStr">
        <is>
          <t>—</t>
        </is>
      </c>
      <c r="P3793" s="256" t="inlineStr">
        <is>
          <t>carried from the initial testing (CoQ-PP_26-046) — covered</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0.087</t>
        </is>
      </c>
      <c r="L3794" s="256" t="inlineStr">
        <is>
          <t>329/2026</t>
        </is>
      </c>
      <c r="M3794" s="256" t="inlineStr">
        <is>
          <t>11.02.2026</t>
        </is>
      </c>
      <c r="N3794" s="256" t="inlineStr">
        <is>
          <t>IPH — Institute of Public Health</t>
        </is>
      </c>
      <c r="O3794" s="256" t="inlineStr">
        <is>
          <t>—</t>
        </is>
      </c>
      <c r="P3794" s="256" t="inlineStr">
        <is>
          <t>carried from the initial testing (CoQ-PP_26-046) — covered</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ND</t>
        </is>
      </c>
      <c r="L3795" s="256" t="inlineStr">
        <is>
          <t>329/2026</t>
        </is>
      </c>
      <c r="M3795" s="256" t="inlineStr">
        <is>
          <t>11.02.2026</t>
        </is>
      </c>
      <c r="N3795" s="256" t="inlineStr">
        <is>
          <t>IPH — Institute of Public Health</t>
        </is>
      </c>
      <c r="O3795" s="256" t="inlineStr">
        <is>
          <t>—</t>
        </is>
      </c>
      <c r="P3795" s="256" t="inlineStr">
        <is>
          <t>carried from the initial testing (CoQ-PP_26-046) — covered</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ND mg/kg — all 29 residues</t>
        </is>
      </c>
      <c r="L3796" s="256" t="inlineStr">
        <is>
          <t>329/2026</t>
        </is>
      </c>
      <c r="M3796" s="256" t="inlineStr">
        <is>
          <t>11.02.2026</t>
        </is>
      </c>
      <c r="N3796" s="256" t="inlineStr">
        <is>
          <t>IPH — Institute of Public Health</t>
        </is>
      </c>
      <c r="O3796" s="256" t="inlineStr">
        <is>
          <t>—</t>
        </is>
      </c>
      <c r="P3796" s="256" t="inlineStr">
        <is>
          <t>carried from the initial testing (CoQ-PP_26-046) — covered</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iCoA-PP_26-078</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iCoA-PP_26-078</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iCoA-PP_26-078</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iCoA-PP_26-079</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iCoA-PP_26-079</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iCoA-PP_26-079</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6" t="inlineStr">
        <is>
          <t>&lt; 2</t>
        </is>
      </c>
      <c r="L3859" s="256" t="inlineStr">
        <is>
          <t>3656/2026</t>
        </is>
      </c>
      <c r="M3859" s="256" t="inlineStr">
        <is>
          <t>22.06.2026</t>
        </is>
      </c>
      <c r="N3859" s="256" t="inlineStr">
        <is>
          <t>IPH — Institute of Public Health</t>
        </is>
      </c>
      <c r="O3859" s="256" t="inlineStr">
        <is>
          <t>—</t>
        </is>
      </c>
      <c r="P3859" s="256" t="inlineStr">
        <is>
          <t>covered</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6" t="inlineStr">
        <is>
          <t>0.11</t>
        </is>
      </c>
      <c r="L3861" s="256" t="inlineStr">
        <is>
          <t>3656/2026</t>
        </is>
      </c>
      <c r="M3861" s="256" t="inlineStr">
        <is>
          <t>22.06.2026</t>
        </is>
      </c>
      <c r="N3861" s="256" t="inlineStr">
        <is>
          <t>IPH — Institute of Public Health</t>
        </is>
      </c>
      <c r="O3861" s="256" t="inlineStr">
        <is>
          <t>—</t>
        </is>
      </c>
      <c r="P3861" s="256" t="inlineStr">
        <is>
          <t>covered</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6" t="inlineStr">
        <is>
          <t>0.009</t>
        </is>
      </c>
      <c r="L3862" s="256" t="inlineStr">
        <is>
          <t>3656/2026</t>
        </is>
      </c>
      <c r="M3862" s="256" t="inlineStr">
        <is>
          <t>22.06.2026</t>
        </is>
      </c>
      <c r="N3862" s="256" t="inlineStr">
        <is>
          <t>IPH — Institute of Public Health</t>
        </is>
      </c>
      <c r="O3862" s="256" t="inlineStr">
        <is>
          <t>—</t>
        </is>
      </c>
      <c r="P3862" s="256" t="inlineStr">
        <is>
          <t>covered</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6" t="inlineStr">
        <is>
          <t>0.045</t>
        </is>
      </c>
      <c r="L3863" s="256" t="inlineStr">
        <is>
          <t>3656/2026</t>
        </is>
      </c>
      <c r="M3863" s="256" t="inlineStr">
        <is>
          <t>22.06.2026</t>
        </is>
      </c>
      <c r="N3863" s="256" t="inlineStr">
        <is>
          <t>IPH — Institute of Public Health</t>
        </is>
      </c>
      <c r="O3863" s="256" t="inlineStr">
        <is>
          <t>—</t>
        </is>
      </c>
      <c r="P3863" s="256" t="inlineStr">
        <is>
          <t>covered</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6" t="inlineStr">
        <is>
          <t>0.027</t>
        </is>
      </c>
      <c r="L3864" s="256" t="inlineStr">
        <is>
          <t>3656/2026</t>
        </is>
      </c>
      <c r="M3864" s="256" t="inlineStr">
        <is>
          <t>22.06.2026</t>
        </is>
      </c>
      <c r="N3864" s="256" t="inlineStr">
        <is>
          <t>IPH — Institute of Public Health</t>
        </is>
      </c>
      <c r="O3864" s="256" t="inlineStr">
        <is>
          <t>—</t>
        </is>
      </c>
      <c r="P3864" s="256" t="inlineStr">
        <is>
          <t>covered</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6" t="inlineStr">
        <is>
          <t>&lt; 0,01 mg/kg — all 29 residues</t>
        </is>
      </c>
      <c r="L3865" s="256" t="inlineStr">
        <is>
          <t>3656/2026</t>
        </is>
      </c>
      <c r="M3865" s="256" t="inlineStr">
        <is>
          <t>22.06.2026</t>
        </is>
      </c>
      <c r="N3865" s="256" t="inlineStr">
        <is>
          <t>IPH — Institute of Public Health</t>
        </is>
      </c>
      <c r="O3865" s="256" t="inlineStr">
        <is>
          <t>—</t>
        </is>
      </c>
      <c r="P3865" s="256" t="inlineStr">
        <is>
          <t>covered</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6" t="inlineStr">
        <is>
          <t>&lt; 2</t>
        </is>
      </c>
      <c r="L3882" s="256" t="inlineStr">
        <is>
          <t>3655/2026</t>
        </is>
      </c>
      <c r="M3882" s="256" t="inlineStr">
        <is>
          <t>22.06.2026</t>
        </is>
      </c>
      <c r="N3882" s="256" t="inlineStr">
        <is>
          <t>IPH — Institute of Public Health</t>
        </is>
      </c>
      <c r="O3882" s="256" t="inlineStr">
        <is>
          <t>—</t>
        </is>
      </c>
      <c r="P3882" s="256" t="inlineStr">
        <is>
          <t>covered</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6" t="inlineStr">
        <is>
          <t>0.1</t>
        </is>
      </c>
      <c r="L3884" s="256" t="inlineStr">
        <is>
          <t>3655/2026</t>
        </is>
      </c>
      <c r="M3884" s="256" t="inlineStr">
        <is>
          <t>22.06.2026</t>
        </is>
      </c>
      <c r="N3884" s="256" t="inlineStr">
        <is>
          <t>IPH — Institute of Public Health</t>
        </is>
      </c>
      <c r="O3884" s="256" t="inlineStr">
        <is>
          <t>—</t>
        </is>
      </c>
      <c r="P3884" s="256" t="inlineStr">
        <is>
          <t>covered</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6" t="inlineStr">
        <is>
          <t>0.01</t>
        </is>
      </c>
      <c r="L3885" s="256" t="inlineStr">
        <is>
          <t>3655/2026</t>
        </is>
      </c>
      <c r="M3885" s="256" t="inlineStr">
        <is>
          <t>22.06.2026</t>
        </is>
      </c>
      <c r="N3885" s="256" t="inlineStr">
        <is>
          <t>IPH — Institute of Public Health</t>
        </is>
      </c>
      <c r="O3885" s="256" t="inlineStr">
        <is>
          <t>—</t>
        </is>
      </c>
      <c r="P3885" s="256" t="inlineStr">
        <is>
          <t>covered</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6" t="inlineStr">
        <is>
          <t>0.043</t>
        </is>
      </c>
      <c r="L3886" s="256" t="inlineStr">
        <is>
          <t>3655/2026</t>
        </is>
      </c>
      <c r="M3886" s="256" t="inlineStr">
        <is>
          <t>22.06.2026</t>
        </is>
      </c>
      <c r="N3886" s="256" t="inlineStr">
        <is>
          <t>IPH — Institute of Public Health</t>
        </is>
      </c>
      <c r="O3886" s="256" t="inlineStr">
        <is>
          <t>—</t>
        </is>
      </c>
      <c r="P3886" s="256" t="inlineStr">
        <is>
          <t>covered</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6" t="inlineStr">
        <is>
          <t>0.014</t>
        </is>
      </c>
      <c r="L3887" s="256" t="inlineStr">
        <is>
          <t>3655/2026</t>
        </is>
      </c>
      <c r="M3887" s="256" t="inlineStr">
        <is>
          <t>22.06.2026</t>
        </is>
      </c>
      <c r="N3887" s="256" t="inlineStr">
        <is>
          <t>IPH — Institute of Public Health</t>
        </is>
      </c>
      <c r="O3887" s="256" t="inlineStr">
        <is>
          <t>—</t>
        </is>
      </c>
      <c r="P3887" s="256" t="inlineStr">
        <is>
          <t>covered</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&lt; 0,01 mg/kg — all 29 residues</t>
        </is>
      </c>
      <c r="L3888" s="256" t="inlineStr">
        <is>
          <t>3655/2026</t>
        </is>
      </c>
      <c r="M3888" s="256" t="inlineStr">
        <is>
          <t>22.06.2026</t>
        </is>
      </c>
      <c r="N3888" s="256" t="inlineStr">
        <is>
          <t>IPH — Institute of Public Health</t>
        </is>
      </c>
      <c r="O3888" s="256" t="inlineStr">
        <is>
          <t>—</t>
        </is>
      </c>
      <c r="P3888" s="256" t="inlineStr">
        <is>
          <t>covered</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6" t="inlineStr">
        <is>
          <t>&lt; 2</t>
        </is>
      </c>
      <c r="L3905" s="256" t="inlineStr">
        <is>
          <t>3654/2026</t>
        </is>
      </c>
      <c r="M3905" s="256" t="inlineStr">
        <is>
          <t>22.06.2026</t>
        </is>
      </c>
      <c r="N3905" s="256" t="inlineStr">
        <is>
          <t>IPH — Institute of Public Health</t>
        </is>
      </c>
      <c r="O3905" s="256" t="inlineStr">
        <is>
          <t>—</t>
        </is>
      </c>
      <c r="P3905" s="256" t="inlineStr">
        <is>
          <t>covered</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6" t="inlineStr">
        <is>
          <t>0.093</t>
        </is>
      </c>
      <c r="L3907" s="256" t="inlineStr">
        <is>
          <t>3654/2026</t>
        </is>
      </c>
      <c r="M3907" s="256" t="inlineStr">
        <is>
          <t>22.06.2026</t>
        </is>
      </c>
      <c r="N3907" s="256" t="inlineStr">
        <is>
          <t>IPH — Institute of Public Health</t>
        </is>
      </c>
      <c r="O3907" s="256" t="inlineStr">
        <is>
          <t>—</t>
        </is>
      </c>
      <c r="P3907" s="256" t="inlineStr">
        <is>
          <t>covered</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6" t="inlineStr">
        <is>
          <t>0.008</t>
        </is>
      </c>
      <c r="L3908" s="256" t="inlineStr">
        <is>
          <t>3654/2026</t>
        </is>
      </c>
      <c r="M3908" s="256" t="inlineStr">
        <is>
          <t>22.06.2026</t>
        </is>
      </c>
      <c r="N3908" s="256" t="inlineStr">
        <is>
          <t>IPH — Institute of Public Health</t>
        </is>
      </c>
      <c r="O3908" s="256" t="inlineStr">
        <is>
          <t>—</t>
        </is>
      </c>
      <c r="P3908" s="256" t="inlineStr">
        <is>
          <t>covered</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6" t="inlineStr">
        <is>
          <t>0.045</t>
        </is>
      </c>
      <c r="L3909" s="256" t="inlineStr">
        <is>
          <t>3654/2026</t>
        </is>
      </c>
      <c r="M3909" s="256" t="inlineStr">
        <is>
          <t>22.06.2026</t>
        </is>
      </c>
      <c r="N3909" s="256" t="inlineStr">
        <is>
          <t>IPH — Institute of Public Health</t>
        </is>
      </c>
      <c r="O3909" s="256" t="inlineStr">
        <is>
          <t>—</t>
        </is>
      </c>
      <c r="P3909" s="256" t="inlineStr">
        <is>
          <t>covered</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6" t="inlineStr">
        <is>
          <t>0.03</t>
        </is>
      </c>
      <c r="L3910" s="256" t="inlineStr">
        <is>
          <t>3654/2026</t>
        </is>
      </c>
      <c r="M3910" s="256" t="inlineStr">
        <is>
          <t>22.06.2026</t>
        </is>
      </c>
      <c r="N3910" s="256" t="inlineStr">
        <is>
          <t>IPH — Institute of Public Health</t>
        </is>
      </c>
      <c r="O3910" s="256" t="inlineStr">
        <is>
          <t>—</t>
        </is>
      </c>
      <c r="P3910" s="256" t="inlineStr">
        <is>
          <t>covered</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6" t="inlineStr">
        <is>
          <t>&lt; 0,01 mg/kg — all 29 residues</t>
        </is>
      </c>
      <c r="L3911" s="256" t="inlineStr">
        <is>
          <t>3654/2026</t>
        </is>
      </c>
      <c r="M3911" s="256" t="inlineStr">
        <is>
          <t>22.06.2026</t>
        </is>
      </c>
      <c r="N3911" s="256" t="inlineStr">
        <is>
          <t>IPH — Institute of Public Health</t>
        </is>
      </c>
      <c r="O3911" s="256" t="inlineStr">
        <is>
          <t>—</t>
        </is>
      </c>
      <c r="P3911" s="256" t="inlineStr">
        <is>
          <t>covered</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iCoA-PP_26-134</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iCoA-PP_26-134</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iCoA-PP_26-134</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iCoA-PP_26-135</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iCoA-PP_26-135</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iCoA-PP_26-135</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HPA1024</t>
        </is>
      </c>
      <c r="C58" s="256" t="inlineStr"/>
      <c r="D58" s="256" t="inlineStr"/>
      <c r="E58" s="256" t="inlineStr">
        <is>
          <t>Purely Plant in-house</t>
        </is>
      </c>
      <c r="F58" s="256" t="inlineStr"/>
      <c r="G58" s="256" t="inlineStr">
        <is>
          <t>10.2</t>
        </is>
      </c>
      <c r="H58" s="256" t="inlineStr">
        <is>
          <t>Aflatoxins Σ</t>
        </is>
      </c>
      <c r="I58" s="256" t="inlineStr"/>
      <c r="J58" s="256" t="inlineStr"/>
      <c r="K58" s="256" t="inlineStr"/>
      <c r="L58" s="256" t="inlineStr">
        <is>
          <t>&lt; 2</t>
        </is>
      </c>
      <c r="M58" s="256" t="inlineStr">
        <is>
          <t>n/a — Purely Plant in-house CoA (Batch HPA1024, no certificate/report number printed)</t>
        </is>
      </c>
      <c r="N58" s="256" t="inlineStr">
        <is>
          <t>23.01.2025</t>
        </is>
      </c>
      <c r="O58" s="256" t="inlineStr">
        <is>
          <t>Purely Plant GmbH (in-house)</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11.1</t>
        </is>
      </c>
      <c r="H59" s="256" t="inlineStr">
        <is>
          <t>Pb</t>
        </is>
      </c>
      <c r="I59" s="256" t="inlineStr"/>
      <c r="J59" s="256" t="inlineStr"/>
      <c r="K59" s="256" t="inlineStr"/>
      <c r="L59" s="256" t="inlineStr">
        <is>
          <t>0.02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11.2</t>
        </is>
      </c>
      <c r="H60" s="256" t="inlineStr">
        <is>
          <t>Cd</t>
        </is>
      </c>
      <c r="I60" s="256" t="inlineStr"/>
      <c r="J60" s="256" t="inlineStr"/>
      <c r="K60" s="256" t="inlineStr"/>
      <c r="L60" s="256" t="inlineStr">
        <is>
          <t>0.013</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11.3</t>
        </is>
      </c>
      <c r="H61" s="256" t="inlineStr">
        <is>
          <t>As</t>
        </is>
      </c>
      <c r="I61" s="256" t="inlineStr"/>
      <c r="J61" s="256" t="inlineStr"/>
      <c r="K61" s="256" t="inlineStr"/>
      <c r="L61" s="256" t="inlineStr">
        <is>
          <t>0.017</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11.4</t>
        </is>
      </c>
      <c r="H62" s="256" t="inlineStr">
        <is>
          <t>Hg</t>
        </is>
      </c>
      <c r="I62" s="256" t="inlineStr"/>
      <c r="J62" s="256" t="inlineStr"/>
      <c r="K62" s="256" t="inlineStr"/>
      <c r="L62" s="256" t="inlineStr">
        <is>
          <t>0.0026</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12</t>
        </is>
      </c>
      <c r="H63" s="256" t="inlineStr">
        <is>
          <t>Pesticides</t>
        </is>
      </c>
      <c r="I63" s="256" t="inlineStr"/>
      <c r="J63" s="256" t="inlineStr"/>
      <c r="K63" s="256" t="inlineStr"/>
      <c r="L63" s="256" t="inlineStr">
        <is>
          <t>N.D.</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4</t>
        </is>
      </c>
      <c r="H64" s="256" t="inlineStr">
        <is>
          <t>Total Δ9-THC</t>
        </is>
      </c>
      <c r="I64" s="256" t="inlineStr"/>
      <c r="J64" s="256" t="inlineStr"/>
      <c r="K64" s="256" t="inlineStr"/>
      <c r="L64" s="256" t="inlineStr">
        <is>
          <t>14.97</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5</t>
        </is>
      </c>
      <c r="H65" s="256" t="inlineStr">
        <is>
          <t>Total CBD</t>
        </is>
      </c>
      <c r="I65" s="256" t="inlineStr"/>
      <c r="J65" s="256" t="inlineStr"/>
      <c r="K65" s="256" t="inlineStr"/>
      <c r="L65" s="256" t="inlineStr">
        <is>
          <t>0.04</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9.1</t>
        </is>
      </c>
      <c r="H66" s="256" t="inlineStr">
        <is>
          <t>TAMC</t>
        </is>
      </c>
      <c r="I66" s="256" t="inlineStr"/>
      <c r="J66" s="256" t="inlineStr"/>
      <c r="K66" s="256" t="inlineStr"/>
      <c r="L66" s="256" t="inlineStr">
        <is>
          <t>5.2·10^4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9.2</t>
        </is>
      </c>
      <c r="H67" s="256" t="inlineStr">
        <is>
          <t>TYMC</t>
        </is>
      </c>
      <c r="I67" s="256" t="inlineStr"/>
      <c r="J67" s="256" t="inlineStr"/>
      <c r="K67" s="256" t="inlineStr"/>
      <c r="L67" s="256" t="inlineStr">
        <is>
          <t>7·10^2</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9.3</t>
        </is>
      </c>
      <c r="H68" s="256" t="inlineStr">
        <is>
          <t>Bile-tolerant GNB</t>
        </is>
      </c>
      <c r="I68" s="256" t="inlineStr"/>
      <c r="J68" s="256" t="inlineStr"/>
      <c r="K68" s="256" t="inlineStr"/>
      <c r="L68" s="256" t="inlineStr">
        <is>
          <t>&lt;10</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9.4</t>
        </is>
      </c>
      <c r="H69" s="256" t="inlineStr">
        <is>
          <t>Salmonella</t>
        </is>
      </c>
      <c r="I69" s="256" t="inlineStr"/>
      <c r="J69" s="256" t="inlineStr"/>
      <c r="K69" s="256" t="inlineStr"/>
      <c r="L69" s="256" t="inlineStr">
        <is>
          <t>Absent</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9.5</t>
        </is>
      </c>
      <c r="H70" s="256" t="inlineStr">
        <is>
          <t>E. coli</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J31112501</t>
        </is>
      </c>
      <c r="C71" s="256" t="inlineStr"/>
      <c r="D71" s="256" t="inlineStr"/>
      <c r="E71" s="256" t="inlineStr">
        <is>
          <t>Farmahem — cannabinoids</t>
        </is>
      </c>
      <c r="F71" s="256" t="inlineStr"/>
      <c r="G71" s="256" t="inlineStr">
        <is>
          <t>4</t>
        </is>
      </c>
      <c r="H71" s="256" t="inlineStr">
        <is>
          <t>Total Δ9-THC</t>
        </is>
      </c>
      <c r="I71" s="256" t="inlineStr"/>
      <c r="J71" s="256" t="inlineStr"/>
      <c r="K71" s="256" t="inlineStr"/>
      <c r="L71" s="256" t="inlineStr">
        <is>
          <t>20.21</t>
        </is>
      </c>
      <c r="M71" s="256" t="inlineStr">
        <is>
          <t>100-1-К/26</t>
        </is>
      </c>
      <c r="N71" s="256" t="inlineStr">
        <is>
          <t>09.04.2026</t>
        </is>
      </c>
      <c r="O71" s="256" t="inlineStr">
        <is>
          <t>Farmahem</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5</t>
        </is>
      </c>
      <c r="H72" s="256" t="inlineStr">
        <is>
          <t>Total CBD</t>
        </is>
      </c>
      <c r="I72" s="256" t="inlineStr"/>
      <c r="J72" s="256" t="inlineStr"/>
      <c r="K72" s="256" t="inlineStr"/>
      <c r="L72" s="256" t="inlineStr">
        <is>
          <t>&lt; LOQ (&lt;0.20)</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6</t>
        </is>
      </c>
      <c r="H73" s="256" t="inlineStr">
        <is>
          <t>Total CBN</t>
        </is>
      </c>
      <c r="I73" s="256" t="inlineStr"/>
      <c r="J73" s="256" t="inlineStr"/>
      <c r="K73" s="256" t="inlineStr"/>
      <c r="L73" s="256" t="inlineStr">
        <is>
          <t>&lt; LOQ</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loss on drying</t>
        </is>
      </c>
      <c r="F74" s="256" t="inlineStr"/>
      <c r="G74" s="256" t="inlineStr">
        <is>
          <t>8</t>
        </is>
      </c>
      <c r="H74" s="256" t="inlineStr">
        <is>
          <t>Loss on drying</t>
        </is>
      </c>
      <c r="I74" s="256" t="inlineStr"/>
      <c r="J74" s="256" t="inlineStr"/>
      <c r="K74" s="256" t="inlineStr"/>
      <c r="L74" s="256" t="inlineStr">
        <is>
          <t>7.6</t>
        </is>
      </c>
      <c r="M74" s="256" t="inlineStr">
        <is>
          <t>100-1-ГС/26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J31122501</t>
        </is>
      </c>
      <c r="C75" s="256" t="inlineStr"/>
      <c r="D75" s="256" t="inlineStr"/>
      <c r="E75" s="256" t="inlineStr">
        <is>
          <t>IPH microbiology</t>
        </is>
      </c>
      <c r="F75" s="256" t="inlineStr"/>
      <c r="G75" s="256" t="inlineStr">
        <is>
          <t>9.1</t>
        </is>
      </c>
      <c r="H75" s="256" t="inlineStr">
        <is>
          <t>TAMC</t>
        </is>
      </c>
      <c r="I75" s="256" t="inlineStr"/>
      <c r="J75" s="256" t="inlineStr"/>
      <c r="K75" s="256" t="inlineStr"/>
      <c r="L75" s="256" t="inlineStr">
        <is>
          <t>1900</t>
        </is>
      </c>
      <c r="M75" s="256" t="inlineStr">
        <is>
          <t>230/0393/26 (Trimiran cvet)</t>
        </is>
      </c>
      <c r="N75" s="256" t="inlineStr">
        <is>
          <t>07.04.2026</t>
        </is>
      </c>
      <c r="O75" s="256" t="inlineStr">
        <is>
          <t>IPH — Institute of Public Health</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9.2</t>
        </is>
      </c>
      <c r="H76" s="256" t="inlineStr">
        <is>
          <t>TYMC</t>
        </is>
      </c>
      <c r="I76" s="256" t="inlineStr"/>
      <c r="J76" s="256" t="inlineStr"/>
      <c r="K76" s="256" t="inlineStr"/>
      <c r="L76" s="256" t="inlineStr">
        <is>
          <t>840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9.3</t>
        </is>
      </c>
      <c r="H77" s="256" t="inlineStr">
        <is>
          <t>Bile-tolerant GNB</t>
        </is>
      </c>
      <c r="I77" s="256" t="inlineStr"/>
      <c r="J77" s="256" t="inlineStr"/>
      <c r="K77" s="256" t="inlineStr"/>
      <c r="L77" s="256" t="inlineStr">
        <is>
          <t>&lt; 10^3 and &gt; 10^2</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9.4</t>
        </is>
      </c>
      <c r="H78" s="256" t="inlineStr">
        <is>
          <t>Salmonella</t>
        </is>
      </c>
      <c r="I78" s="256" t="inlineStr"/>
      <c r="J78" s="256" t="inlineStr"/>
      <c r="K78" s="256" t="inlineStr"/>
      <c r="L78" s="256" t="inlineStr">
        <is>
          <t>Одговара (Complies/Absent)</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9.5</t>
        </is>
      </c>
      <c r="H79" s="256" t="inlineStr">
        <is>
          <t>E. coli</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Farmahem — cannabinoids</t>
        </is>
      </c>
      <c r="F80" s="256" t="inlineStr"/>
      <c r="G80" s="256" t="inlineStr">
        <is>
          <t>4</t>
        </is>
      </c>
      <c r="H80" s="256" t="inlineStr">
        <is>
          <t>Total Δ9-THC</t>
        </is>
      </c>
      <c r="I80" s="256" t="inlineStr"/>
      <c r="J80" s="256" t="inlineStr"/>
      <c r="K80" s="256" t="inlineStr"/>
      <c r="L80" s="256" t="inlineStr">
        <is>
          <t>21.84</t>
        </is>
      </c>
      <c r="M80" s="256" t="inlineStr">
        <is>
          <t>100-3-К/26</t>
        </is>
      </c>
      <c r="N80" s="256" t="inlineStr">
        <is>
          <t>09.04.2026</t>
        </is>
      </c>
      <c r="O80" s="256" t="inlineStr">
        <is>
          <t>Farmahem</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5</t>
        </is>
      </c>
      <c r="H81" s="256" t="inlineStr">
        <is>
          <t>Total CBD</t>
        </is>
      </c>
      <c r="I81" s="256" t="inlineStr"/>
      <c r="J81" s="256" t="inlineStr"/>
      <c r="K81" s="256" t="inlineStr"/>
      <c r="L81" s="256" t="inlineStr">
        <is>
          <t>&lt; LOQ (&lt;0.20)</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6</t>
        </is>
      </c>
      <c r="H82" s="256" t="inlineStr">
        <is>
          <t>Total CBN</t>
        </is>
      </c>
      <c r="I82" s="256" t="inlineStr"/>
      <c r="J82" s="256" t="inlineStr"/>
      <c r="K82" s="256" t="inlineStr"/>
      <c r="L82" s="256" t="inlineStr">
        <is>
          <t>&lt; LOQ</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loss on drying</t>
        </is>
      </c>
      <c r="F83" s="256" t="inlineStr"/>
      <c r="G83" s="256" t="inlineStr">
        <is>
          <t>8</t>
        </is>
      </c>
      <c r="H83" s="256" t="inlineStr">
        <is>
          <t>Loss on drying</t>
        </is>
      </c>
      <c r="I83" s="256" t="inlineStr"/>
      <c r="J83" s="256" t="inlineStr"/>
      <c r="K83" s="256" t="inlineStr"/>
      <c r="L83" s="256" t="inlineStr">
        <is>
          <t>10.3</t>
        </is>
      </c>
      <c r="M83" s="256" t="inlineStr">
        <is>
          <t>100-3-ГС/26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IPH mycotoxins, metals, pesticides</t>
        </is>
      </c>
      <c r="F84" s="256" t="inlineStr"/>
      <c r="G84" s="256" t="inlineStr">
        <is>
          <t>10.2</t>
        </is>
      </c>
      <c r="H84" s="256" t="inlineStr">
        <is>
          <t>Aflatoxins Σ</t>
        </is>
      </c>
      <c r="I84" s="256" t="inlineStr"/>
      <c r="J84" s="256" t="inlineStr"/>
      <c r="K84" s="256" t="inlineStr"/>
      <c r="L84" s="256" t="inlineStr">
        <is>
          <t>COMPLIES (numeric value not present in captured source excerpt for report 1625/2026 — see Bundle cross-reference)</t>
        </is>
      </c>
      <c r="M84" s="256" t="inlineStr">
        <is>
          <t>1625/2026</t>
        </is>
      </c>
      <c r="N84" s="256" t="inlineStr">
        <is>
          <t>23.04.2026</t>
        </is>
      </c>
      <c r="O84" s="256" t="inlineStr">
        <is>
          <t>IPH — Institute of Public Health</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12</t>
        </is>
      </c>
      <c r="H85" s="256" t="inlineStr">
        <is>
          <t>Pesticides</t>
        </is>
      </c>
      <c r="I85" s="256" t="inlineStr"/>
      <c r="J85" s="256" t="inlineStr"/>
      <c r="K85" s="256" t="inlineStr"/>
      <c r="L85" s="256" t="inlineStr">
        <is>
          <t>н.д.</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JD112501</t>
        </is>
      </c>
      <c r="C86" s="256" t="inlineStr"/>
      <c r="D86" s="256" t="inlineStr"/>
      <c r="E86" s="256" t="inlineStr">
        <is>
          <t>UKIM CNP potency</t>
        </is>
      </c>
      <c r="F86" s="256" t="inlineStr"/>
      <c r="G86" s="256" t="inlineStr">
        <is>
          <t>4</t>
        </is>
      </c>
      <c r="H86" s="256" t="inlineStr">
        <is>
          <t>Total Δ9-THC</t>
        </is>
      </c>
      <c r="I86" s="256" t="inlineStr"/>
      <c r="J86" s="256" t="inlineStr"/>
      <c r="K86" s="256" t="inlineStr"/>
      <c r="L86" s="256" t="inlineStr">
        <is>
          <t>13.93</t>
        </is>
      </c>
      <c r="M86" s="256" t="inlineStr">
        <is>
          <t>ППК26065</t>
        </is>
      </c>
      <c r="N86" s="256" t="inlineStr">
        <is>
          <t>11.05.2026</t>
        </is>
      </c>
      <c r="O86" s="256" t="inlineStr">
        <is>
          <t>UKIM Faculty of Pharmacy — Center for Natural Products</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JD112501</t>
        </is>
      </c>
      <c r="C87" s="256" t="inlineStr"/>
      <c r="D87" s="256" t="inlineStr"/>
      <c r="E87" s="256" t="inlineStr">
        <is>
          <t>UKIM CNP potency</t>
        </is>
      </c>
      <c r="F87" s="256" t="inlineStr"/>
      <c r="G87" s="256" t="inlineStr">
        <is>
          <t>5</t>
        </is>
      </c>
      <c r="H87" s="256" t="inlineStr">
        <is>
          <t>Total CBD</t>
        </is>
      </c>
      <c r="I87" s="256" t="inlineStr"/>
      <c r="J87" s="256" t="inlineStr"/>
      <c r="K87" s="256" t="inlineStr"/>
      <c r="L87" s="256" t="inlineStr">
        <is>
          <t>0.04</t>
        </is>
      </c>
      <c r="M87" s="256" t="inlineStr">
        <is>
          <t>ППК26065</t>
        </is>
      </c>
      <c r="N87" s="256" t="inlineStr">
        <is>
          <t>11.05.2026</t>
        </is>
      </c>
      <c r="O87" s="256" t="inlineStr">
        <is>
          <t>UKIM Faculty of Pharmacy — Center for Natural Products</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JD112501</t>
        </is>
      </c>
      <c r="C88" s="256" t="inlineStr"/>
      <c r="D88" s="256" t="inlineStr"/>
      <c r="E88" s="256" t="inlineStr">
        <is>
          <t>UKIM CNP potency</t>
        </is>
      </c>
      <c r="F88" s="256" t="inlineStr"/>
      <c r="G88" s="256" t="inlineStr">
        <is>
          <t>8</t>
        </is>
      </c>
      <c r="H88" s="256" t="inlineStr">
        <is>
          <t>Loss on drying</t>
        </is>
      </c>
      <c r="I88" s="256" t="inlineStr"/>
      <c r="J88" s="256" t="inlineStr"/>
      <c r="K88" s="256" t="inlineStr"/>
      <c r="L88" s="256" t="inlineStr">
        <is>
          <t>6.38</t>
        </is>
      </c>
      <c r="M88" s="256" t="inlineStr">
        <is>
          <t>ППК26065</t>
        </is>
      </c>
      <c r="N88" s="256" t="inlineStr">
        <is>
          <t>11.05.2026</t>
        </is>
      </c>
      <c r="O88" s="256" t="inlineStr">
        <is>
          <t>UKIM Faculty of Pharmacy — Center for Natural Products</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IPH microbiology</t>
        </is>
      </c>
      <c r="F89" s="256" t="inlineStr"/>
      <c r="G89" s="256" t="inlineStr">
        <is>
          <t>9.1</t>
        </is>
      </c>
      <c r="H89" s="256" t="inlineStr">
        <is>
          <t>TAMC</t>
        </is>
      </c>
      <c r="I89" s="256" t="inlineStr"/>
      <c r="J89" s="256" t="inlineStr"/>
      <c r="K89" s="256" t="inlineStr"/>
      <c r="L89" s="256" t="inlineStr">
        <is>
          <t>1×10⁴</t>
        </is>
      </c>
      <c r="M89" s="256" t="inlineStr">
        <is>
          <t>306/0550/26</t>
        </is>
      </c>
      <c r="N89" s="256" t="inlineStr">
        <is>
          <t>28.04.2026</t>
        </is>
      </c>
      <c r="O89" s="256" t="inlineStr">
        <is>
          <t>IPH — Institute of Public Health</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IPH microbiology</t>
        </is>
      </c>
      <c r="F90" s="256" t="inlineStr"/>
      <c r="G90" s="256" t="inlineStr">
        <is>
          <t>9.2</t>
        </is>
      </c>
      <c r="H90" s="256" t="inlineStr">
        <is>
          <t>TYMC</t>
        </is>
      </c>
      <c r="I90" s="256" t="inlineStr"/>
      <c r="J90" s="256" t="inlineStr"/>
      <c r="K90" s="256" t="inlineStr"/>
      <c r="L90" s="256" t="inlineStr">
        <is>
          <t>6,7×10³</t>
        </is>
      </c>
      <c r="M90" s="256" t="inlineStr">
        <is>
          <t>306/0550/26</t>
        </is>
      </c>
      <c r="N90" s="256" t="inlineStr">
        <is>
          <t>28.04.2026</t>
        </is>
      </c>
      <c r="O90" s="256" t="inlineStr">
        <is>
          <t>IPH — Institute of Public Health</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IPH microbiology</t>
        </is>
      </c>
      <c r="F91" s="256" t="inlineStr"/>
      <c r="G91" s="256" t="inlineStr">
        <is>
          <t>9.3</t>
        </is>
      </c>
      <c r="H91" s="256" t="inlineStr">
        <is>
          <t>Bile-tolerant GNB</t>
        </is>
      </c>
      <c r="I91" s="256" t="inlineStr"/>
      <c r="J91" s="256" t="inlineStr"/>
      <c r="K91" s="256" t="inlineStr"/>
      <c r="L91" s="256" t="inlineStr">
        <is>
          <t>&lt; 10³ и &gt; 10²</t>
        </is>
      </c>
      <c r="M91" s="256" t="inlineStr">
        <is>
          <t>306/0550/26</t>
        </is>
      </c>
      <c r="N91" s="256" t="inlineStr">
        <is>
          <t>28.04.2026</t>
        </is>
      </c>
      <c r="O91" s="256" t="inlineStr">
        <is>
          <t>IPH — Institute of Public Health</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9.4</t>
        </is>
      </c>
      <c r="H92" s="256" t="inlineStr">
        <is>
          <t>Salmonella</t>
        </is>
      </c>
      <c r="I92" s="256" t="inlineStr"/>
      <c r="J92" s="256" t="inlineStr"/>
      <c r="K92" s="256" t="inlineStr"/>
      <c r="L92" s="256" t="inlineStr">
        <is>
          <t>Одговара (absent)</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9.5</t>
        </is>
      </c>
      <c r="H93" s="256" t="inlineStr">
        <is>
          <t>E. coli</t>
        </is>
      </c>
      <c r="I93" s="256" t="inlineStr"/>
      <c r="J93" s="256" t="inlineStr"/>
      <c r="K93" s="256" t="inlineStr"/>
      <c r="L93" s="256" t="inlineStr">
        <is>
          <t>Одговара (absent)</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mycotoxins, metals, pesticides</t>
        </is>
      </c>
      <c r="F94" s="256" t="inlineStr"/>
      <c r="G94" s="256" t="inlineStr">
        <is>
          <t>10.2</t>
        </is>
      </c>
      <c r="H94" s="256" t="inlineStr">
        <is>
          <t>Aflatoxins Σ</t>
        </is>
      </c>
      <c r="I94" s="256" t="inlineStr"/>
      <c r="J94" s="256" t="inlineStr"/>
      <c r="K94" s="256" t="inlineStr"/>
      <c r="L94" s="256" t="inlineStr">
        <is>
          <t>&lt;2</t>
        </is>
      </c>
      <c r="M94" s="256" t="inlineStr">
        <is>
          <t>2365/2026</t>
        </is>
      </c>
      <c r="N94" s="256" t="inlineStr">
        <is>
          <t>30.04.2026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mycotoxins, metals, pesticides</t>
        </is>
      </c>
      <c r="F95" s="256" t="inlineStr"/>
      <c r="G95" s="256" t="inlineStr">
        <is>
          <t>11.1</t>
        </is>
      </c>
      <c r="H95" s="256" t="inlineStr">
        <is>
          <t>Pb</t>
        </is>
      </c>
      <c r="I95" s="256" t="inlineStr"/>
      <c r="J95" s="256" t="inlineStr"/>
      <c r="K95" s="256" t="inlineStr"/>
      <c r="L95" s="256" t="inlineStr">
        <is>
          <t>0.0109</t>
        </is>
      </c>
      <c r="M95" s="256" t="inlineStr">
        <is>
          <t>2365/2026</t>
        </is>
      </c>
      <c r="N95" s="256" t="inlineStr">
        <is>
          <t>30.04.2026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mycotoxins, metals, pesticides</t>
        </is>
      </c>
      <c r="F96" s="256" t="inlineStr"/>
      <c r="G96" s="256" t="inlineStr">
        <is>
          <t>11.2</t>
        </is>
      </c>
      <c r="H96" s="256" t="inlineStr">
        <is>
          <t>Cd</t>
        </is>
      </c>
      <c r="I96" s="256" t="inlineStr"/>
      <c r="J96" s="256" t="inlineStr"/>
      <c r="K96" s="256" t="inlineStr"/>
      <c r="L96" s="256" t="inlineStr">
        <is>
          <t>0.01287</t>
        </is>
      </c>
      <c r="M96" s="256" t="inlineStr">
        <is>
          <t>2365/2026</t>
        </is>
      </c>
      <c r="N96" s="256" t="inlineStr">
        <is>
          <t>30.04.2026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11.3</t>
        </is>
      </c>
      <c r="H97" s="256" t="inlineStr">
        <is>
          <t>As</t>
        </is>
      </c>
      <c r="I97" s="256" t="inlineStr"/>
      <c r="J97" s="256" t="inlineStr"/>
      <c r="K97" s="256" t="inlineStr"/>
      <c r="L97" s="256" t="inlineStr">
        <is>
          <t>0.0175</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11.4</t>
        </is>
      </c>
      <c r="H98" s="256" t="inlineStr">
        <is>
          <t>Hg</t>
        </is>
      </c>
      <c r="I98" s="256" t="inlineStr"/>
      <c r="J98" s="256" t="inlineStr"/>
      <c r="K98" s="256" t="inlineStr"/>
      <c r="L98" s="256" t="inlineStr">
        <is>
          <t>0.0165</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12</t>
        </is>
      </c>
      <c r="H99" s="256" t="inlineStr">
        <is>
          <t>Pesticides</t>
        </is>
      </c>
      <c r="I99" s="256" t="inlineStr"/>
      <c r="J99" s="256" t="inlineStr"/>
      <c r="K99" s="256" t="inlineStr"/>
      <c r="L99" s="256" t="inlineStr">
        <is>
          <t>N.D.</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OPM1024</t>
        </is>
      </c>
      <c r="C100" s="256" t="inlineStr"/>
      <c r="D100" s="256" t="inlineStr"/>
      <c r="E100" s="256" t="inlineStr">
        <is>
          <t>Purely Plant in-house</t>
        </is>
      </c>
      <c r="F100" s="256" t="inlineStr"/>
      <c r="G100" s="256" t="inlineStr">
        <is>
          <t>10.2</t>
        </is>
      </c>
      <c r="H100" s="256" t="inlineStr">
        <is>
          <t>Aflatoxins Σ</t>
        </is>
      </c>
      <c r="I100" s="256" t="inlineStr"/>
      <c r="J100" s="256" t="inlineStr"/>
      <c r="K100" s="256" t="inlineStr"/>
      <c r="L100" s="256" t="inlineStr">
        <is>
          <t>&lt; 2</t>
        </is>
      </c>
      <c r="M100" s="256" t="inlineStr">
        <is>
          <t>n/a — Purely Plant in-house CoA (Batch OPM1024, no certificate/report number printed)</t>
        </is>
      </c>
      <c r="N100" s="256" t="inlineStr">
        <is>
          <t>23.04.2025</t>
        </is>
      </c>
      <c r="O100" s="256" t="inlineStr">
        <is>
          <t>Purely Plant GmbH (in-house)</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OPM1024</t>
        </is>
      </c>
      <c r="C101" s="256" t="inlineStr"/>
      <c r="D101" s="256" t="inlineStr"/>
      <c r="E101" s="256" t="inlineStr">
        <is>
          <t>Purely Plant in-house</t>
        </is>
      </c>
      <c r="F101" s="256" t="inlineStr"/>
      <c r="G101" s="256" t="inlineStr">
        <is>
          <t>11.1</t>
        </is>
      </c>
      <c r="H101" s="256" t="inlineStr">
        <is>
          <t>Pb</t>
        </is>
      </c>
      <c r="I101" s="256" t="inlineStr"/>
      <c r="J101" s="256" t="inlineStr"/>
      <c r="K101" s="256" t="inlineStr"/>
      <c r="L101" s="256" t="inlineStr">
        <is>
          <t>0.031</t>
        </is>
      </c>
      <c r="M101" s="256" t="inlineStr">
        <is>
          <t>n/a — Purely Plant in-house CoA (Batch OPM1024, no certificate/report number printed)</t>
        </is>
      </c>
      <c r="N101" s="256" t="inlineStr">
        <is>
          <t>23.04.2025</t>
        </is>
      </c>
      <c r="O101" s="256" t="inlineStr">
        <is>
          <t>Purely Plant GmbH (in-house)</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OPM1024</t>
        </is>
      </c>
      <c r="C102" s="256" t="inlineStr"/>
      <c r="D102" s="256" t="inlineStr"/>
      <c r="E102" s="256" t="inlineStr">
        <is>
          <t>Purely Plant in-house</t>
        </is>
      </c>
      <c r="F102" s="256" t="inlineStr"/>
      <c r="G102" s="256" t="inlineStr">
        <is>
          <t>11.2</t>
        </is>
      </c>
      <c r="H102" s="256" t="inlineStr">
        <is>
          <t>Cd</t>
        </is>
      </c>
      <c r="I102" s="256" t="inlineStr"/>
      <c r="J102" s="256" t="inlineStr"/>
      <c r="K102" s="256" t="inlineStr"/>
      <c r="L102" s="256" t="inlineStr">
        <is>
          <t>0.017</t>
        </is>
      </c>
      <c r="M102" s="256" t="inlineStr">
        <is>
          <t>n/a — Purely Plant in-house CoA (Batch OPM1024, no certificate/report number printed)</t>
        </is>
      </c>
      <c r="N102" s="256" t="inlineStr">
        <is>
          <t>23.04.2025</t>
        </is>
      </c>
      <c r="O102" s="256" t="inlineStr">
        <is>
          <t>Purely Plant GmbH (in-house)</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11.3</t>
        </is>
      </c>
      <c r="H103" s="256" t="inlineStr">
        <is>
          <t>As</t>
        </is>
      </c>
      <c r="I103" s="256" t="inlineStr"/>
      <c r="J103" s="256" t="inlineStr"/>
      <c r="K103" s="256" t="inlineStr"/>
      <c r="L103" s="256" t="inlineStr">
        <is>
          <t>0.045</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11.4</t>
        </is>
      </c>
      <c r="H104" s="256" t="inlineStr">
        <is>
          <t>Hg</t>
        </is>
      </c>
      <c r="I104" s="256" t="inlineStr"/>
      <c r="J104" s="256" t="inlineStr"/>
      <c r="K104" s="256" t="inlineStr"/>
      <c r="L104" s="256" t="inlineStr">
        <is>
          <t>0.005</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12</t>
        </is>
      </c>
      <c r="H105" s="256" t="inlineStr">
        <is>
          <t>Pesticides</t>
        </is>
      </c>
      <c r="I105" s="256" t="inlineStr"/>
      <c r="J105" s="256" t="inlineStr"/>
      <c r="K105" s="256" t="inlineStr"/>
      <c r="L105" s="256" t="inlineStr">
        <is>
          <t>N.D.</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4</t>
        </is>
      </c>
      <c r="H106" s="256" t="inlineStr">
        <is>
          <t>Total Δ9-THC</t>
        </is>
      </c>
      <c r="I106" s="256" t="inlineStr"/>
      <c r="J106" s="256" t="inlineStr"/>
      <c r="K106" s="256" t="inlineStr"/>
      <c r="L106" s="256" t="inlineStr">
        <is>
          <t>19.96</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5</t>
        </is>
      </c>
      <c r="H107" s="256" t="inlineStr">
        <is>
          <t>Total CBD</t>
        </is>
      </c>
      <c r="I107" s="256" t="inlineStr"/>
      <c r="J107" s="256" t="inlineStr"/>
      <c r="K107" s="256" t="inlineStr"/>
      <c r="L107" s="256" t="inlineStr">
        <is>
          <t>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9.1</t>
        </is>
      </c>
      <c r="H108" s="256" t="inlineStr">
        <is>
          <t>TAMC</t>
        </is>
      </c>
      <c r="I108" s="256" t="inlineStr"/>
      <c r="J108" s="256" t="inlineStr"/>
      <c r="K108" s="256" t="inlineStr"/>
      <c r="L108" s="256" t="inlineStr">
        <is>
          <t>1.3·10^4</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9.2</t>
        </is>
      </c>
      <c r="H109" s="256" t="inlineStr">
        <is>
          <t>TYMC</t>
        </is>
      </c>
      <c r="I109" s="256" t="inlineStr"/>
      <c r="J109" s="256" t="inlineStr"/>
      <c r="K109" s="256" t="inlineStr"/>
      <c r="L109" s="256" t="inlineStr">
        <is>
          <t>7·10^2</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9.3</t>
        </is>
      </c>
      <c r="H110" s="256" t="inlineStr">
        <is>
          <t>Bile-tolerant GNB</t>
        </is>
      </c>
      <c r="I110" s="256" t="inlineStr"/>
      <c r="J110" s="256" t="inlineStr"/>
      <c r="K110" s="256" t="inlineStr"/>
      <c r="L110" s="256" t="inlineStr">
        <is>
          <t>&lt;10²&gt;10³</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9.4</t>
        </is>
      </c>
      <c r="H111" s="256" t="inlineStr">
        <is>
          <t>Salmonella</t>
        </is>
      </c>
      <c r="I111" s="256" t="inlineStr"/>
      <c r="J111" s="256" t="inlineStr"/>
      <c r="K111" s="256" t="inlineStr"/>
      <c r="L111" s="256" t="inlineStr">
        <is>
          <t>Absent</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9.5</t>
        </is>
      </c>
      <c r="H112" s="256" t="inlineStr">
        <is>
          <t>E. coli</t>
        </is>
      </c>
      <c r="I112" s="256" t="inlineStr"/>
      <c r="J112" s="256" t="inlineStr"/>
      <c r="K112" s="256" t="inlineStr"/>
      <c r="L112" s="256" t="inlineStr">
        <is>
          <t>Absent</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P060212</t>
        </is>
      </c>
      <c r="C113" s="256" t="inlineStr">
        <is>
          <t>P060212</t>
        </is>
      </c>
      <c r="D113" s="256" t="inlineStr"/>
      <c r="E113" s="256" t="inlineStr">
        <is>
          <t>IPH microbiology</t>
        </is>
      </c>
      <c r="F113" s="256" t="inlineStr"/>
      <c r="G113" s="256" t="inlineStr">
        <is>
          <t>9.1</t>
        </is>
      </c>
      <c r="H113" s="256" t="inlineStr">
        <is>
          <t>TAMC</t>
        </is>
      </c>
      <c r="I113" s="256" t="inlineStr"/>
      <c r="J113" s="256" t="inlineStr"/>
      <c r="K113" s="256" t="inlineStr"/>
      <c r="L113" s="256" t="inlineStr">
        <is>
          <t>1×10⁴</t>
        </is>
      </c>
      <c r="M113" s="256" t="inlineStr">
        <is>
          <t>306-0550-26</t>
        </is>
      </c>
      <c r="N113" s="256" t="inlineStr">
        <is>
          <t>28.04.2026</t>
        </is>
      </c>
      <c r="O113" s="256" t="inlineStr">
        <is>
          <t>IPH — Institute of Public Health</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P060212</t>
        </is>
      </c>
      <c r="C114" s="256" t="inlineStr">
        <is>
          <t>P060212</t>
        </is>
      </c>
      <c r="D114" s="256" t="inlineStr"/>
      <c r="E114" s="256" t="inlineStr">
        <is>
          <t>IPH microbiology</t>
        </is>
      </c>
      <c r="F114" s="256" t="inlineStr"/>
      <c r="G114" s="256" t="inlineStr">
        <is>
          <t>9.2</t>
        </is>
      </c>
      <c r="H114" s="256" t="inlineStr">
        <is>
          <t>TYMC</t>
        </is>
      </c>
      <c r="I114" s="256" t="inlineStr"/>
      <c r="J114" s="256" t="inlineStr"/>
      <c r="K114" s="256" t="inlineStr"/>
      <c r="L114" s="256" t="inlineStr">
        <is>
          <t>6.7×10³</t>
        </is>
      </c>
      <c r="M114" s="256" t="inlineStr">
        <is>
          <t>306-0550-26</t>
        </is>
      </c>
      <c r="N114" s="256" t="inlineStr">
        <is>
          <t>28.04.2026</t>
        </is>
      </c>
      <c r="O114" s="256" t="inlineStr">
        <is>
          <t>IPH — Institute of Public Health</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P060212</t>
        </is>
      </c>
      <c r="C115" s="256" t="inlineStr">
        <is>
          <t>P060212</t>
        </is>
      </c>
      <c r="D115" s="256" t="inlineStr"/>
      <c r="E115" s="256" t="inlineStr">
        <is>
          <t>IPH microbiology</t>
        </is>
      </c>
      <c r="F115" s="256" t="inlineStr"/>
      <c r="G115" s="256" t="inlineStr">
        <is>
          <t>9.3</t>
        </is>
      </c>
      <c r="H115" s="256" t="inlineStr">
        <is>
          <t>Bile-tolerant GNB</t>
        </is>
      </c>
      <c r="I115" s="256" t="inlineStr"/>
      <c r="J115" s="256" t="inlineStr"/>
      <c r="K115" s="256" t="inlineStr"/>
      <c r="L115" s="256" t="inlineStr">
        <is>
          <t>&lt; 10³ и &gt;10²</t>
        </is>
      </c>
      <c r="M115" s="256" t="inlineStr">
        <is>
          <t>306-0550-26</t>
        </is>
      </c>
      <c r="N115" s="256" t="inlineStr">
        <is>
          <t>28.04.2026</t>
        </is>
      </c>
      <c r="O115" s="256" t="inlineStr">
        <is>
          <t>IPH — Institute of Public Health</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9.4</t>
        </is>
      </c>
      <c r="H116" s="256" t="inlineStr">
        <is>
          <t>Salmonella</t>
        </is>
      </c>
      <c r="I116" s="256" t="inlineStr"/>
      <c r="J116" s="256" t="inlineStr"/>
      <c r="K116" s="256" t="inlineStr"/>
      <c r="L116" s="256" t="inlineStr">
        <is>
          <t>Отсутна/g</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9.5</t>
        </is>
      </c>
      <c r="H117" s="256" t="inlineStr">
        <is>
          <t>E. coli</t>
        </is>
      </c>
      <c r="I117" s="256" t="inlineStr"/>
      <c r="J117" s="256" t="inlineStr"/>
      <c r="K117" s="256" t="inlineStr"/>
      <c r="L117" s="256" t="inlineStr">
        <is>
          <t>Отсутна/25 g</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30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v52</t>
        </is>
      </c>
    </row>
    <row r="3" ht="39" customHeight="1" s="70">
      <c r="A3" s="266" t="inlineStr">
        <is>
          <t>What it is</t>
        </is>
      </c>
      <c r="B3" s="267" t="inlineStr">
        <is>
          <t>Built 20.09.2026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v52</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78" customHeight="1" s="70">
      <c r="A57" s="266" t="inlineStr">
        <is>
          <t>v50</t>
        </is>
      </c>
      <c r="B57" s="267"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6" t="inlineStr">
        <is>
          <t>v7</t>
        </is>
      </c>
      <c r="B58" s="267"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6" t="inlineStr">
        <is>
          <t>v9</t>
        </is>
      </c>
      <c r="B59" s="267"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6" t="inlineStr">
        <is>
          <t>v10</t>
        </is>
      </c>
      <c r="B60" s="267" t="inlineStr">
        <is>
          <t>The 30 IJZ-MB certificates of 31.08 and 01.09.2026 as testing instances credited to #9; the iCoA rule; the Head of QC's harvest and packaging dates (Batch Dates); one iCoA per P lot; the iCoA Issuance sheet.</t>
        </is>
      </c>
    </row>
    <row r="61" ht="26" customHeight="1" s="70">
      <c r="A61" s="266" t="inlineStr">
        <is>
          <t>v11</t>
        </is>
      </c>
      <c r="B61"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6" t="inlineStr">
        <is>
          <t>v12</t>
        </is>
      </c>
      <c r="B62" s="267" t="inlineStr">
        <is>
          <t>The Delivery T1–T3 sheet: the 78 cultivation batches delivered in the three tranches of 31.07, 14.08 and 28.08.2026, each against its row on Batch Coverage.</t>
        </is>
      </c>
    </row>
    <row r="63" ht="26" customHeight="1" s="70">
      <c r="A63" s="266" t="inlineStr">
        <is>
          <t>v13</t>
        </is>
      </c>
      <c r="B63" s="267" t="inlineStr">
        <is>
          <t>The strain ruling (Cap Junky, Head of QC 07.09.2026) and the ImB Register: the customer's own certificate register, scanned 04.09.2026, 43 entries against their desk lots.</t>
        </is>
      </c>
    </row>
    <row r="64" ht="13" customHeight="1" s="70">
      <c r="A64" s="266" t="inlineStr">
        <is>
          <t>v20</t>
        </is>
      </c>
      <c r="B64" s="267" t="inlineStr">
        <is>
          <t>The owner's own workbook, built outside this pipeline and vendored in as the base for everything after it — not a version this desk produced.</t>
        </is>
      </c>
    </row>
    <row r="65" ht="26" customHeight="1" s="70">
      <c r="A65" s="266" t="inlineStr">
        <is>
          <t>v21</t>
        </is>
      </c>
      <c r="B65" s="267" t="inlineStr">
        <is>
          <t>The owner's v20 pass reconciled in: 387 certificates, all 600 determinations of Tranches 1 and 2 resolved through cell_resolution.py; 69 cells filled, 0 non-blank cells overwritten.</t>
        </is>
      </c>
    </row>
    <row r="66" ht="26" customHeight="1" s="70">
      <c r="A66" s="266" t="inlineStr">
        <is>
          <t>v22</t>
        </is>
      </c>
      <c r="B66" s="267" t="inlineStr">
        <is>
          <t>The rulings of 10.09.2026 written into the workbook's own live Excel formulas: release-versus-retest by position, the issuance dates, the internal-CoA register.</t>
        </is>
      </c>
    </row>
    <row r="67" ht="39" customHeight="1" s="70">
      <c r="A67" s="266" t="inlineStr">
        <is>
          <t>v23</t>
        </is>
      </c>
      <c r="B67"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6" t="inlineStr">
        <is>
          <t>v24</t>
        </is>
      </c>
      <c r="B68"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6" t="inlineStr">
        <is>
          <t>v25</t>
        </is>
      </c>
      <c r="B69"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6" t="inlineStr">
        <is>
          <t>v42</t>
        </is>
      </c>
      <c r="B70"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6" t="inlineStr">
        <is>
          <t>v26</t>
        </is>
      </c>
      <c r="B71"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6" t="inlineStr">
        <is>
          <t>v34</t>
        </is>
      </c>
      <c r="B72"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6" t="inlineStr">
        <is>
          <t>v35</t>
        </is>
      </c>
      <c r="B73"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6" t="inlineStr">
        <is>
          <t>v37</t>
        </is>
      </c>
      <c r="B74"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6" t="inlineStr">
        <is>
          <t>v40</t>
        </is>
      </c>
      <c r="B75"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6" t="inlineStr">
        <is>
          <t>v36</t>
        </is>
      </c>
      <c r="B76"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6" t="inlineStr">
        <is>
          <t>v33</t>
        </is>
      </c>
      <c r="B77"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6" t="inlineStr">
        <is>
          <t>v32</t>
        </is>
      </c>
      <c r="B78"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6" t="inlineStr">
        <is>
          <t>v31</t>
        </is>
      </c>
      <c r="B79"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6" t="inlineStr">
        <is>
          <t>v30</t>
        </is>
      </c>
      <c r="B80"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6" t="inlineStr">
        <is>
          <t>v29 · 15.09.2026, later the same day</t>
        </is>
      </c>
      <c r="B81"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6" t="inlineStr">
        <is>
          <t>v29</t>
        </is>
      </c>
      <c r="B82"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6" t="inlineStr">
        <is>
          <t>v28</t>
        </is>
      </c>
      <c r="B83"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6" t="inlineStr">
        <is>
          <t>v27</t>
        </is>
      </c>
      <c r="B84"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4" t="inlineStr">
        <is>
          <t>ISSUANCE METHODOLOGY</t>
        </is>
      </c>
    </row>
    <row r="88">
      <c r="A88" s="265" t="inlineStr">
        <is>
          <t>ISSUANCE METHODOLOGY — how the certificates are ordered, tested and dated (v52, built 20.09.2026)</t>
        </is>
      </c>
    </row>
    <row r="89" ht="52" customHeight="1" s="70">
      <c r="A89" s="266" t="inlineStr">
        <is>
          <t>What this is</t>
        </is>
      </c>
      <c r="B89" s="267"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6" t="inlineStr">
        <is>
          <t>Who ruled what</t>
        </is>
      </c>
      <c r="B90" s="267"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8" t="inlineStr">
        <is>
          <t>THE TWO DOCUMENTS, AND WHY THERE ARE TWO</t>
        </is>
      </c>
    </row>
    <row r="93" ht="26" customHeight="1" s="70">
      <c r="A93" s="266" t="inlineStr">
        <is>
          <t>Certificate of Quality</t>
        </is>
      </c>
      <c r="B93" s="267" t="inlineStr">
        <is>
          <t>CoQ-PP_26-nnn. The release document for a production lot: every determination of the specification, the result, the document each result rests on, and the disposition. It is the certificate that leaves the site.</t>
        </is>
      </c>
    </row>
    <row r="94" ht="26" customHeight="1" s="70">
      <c r="A94" s="266" t="inlineStr">
        <is>
          <t>Internal CoA</t>
        </is>
      </c>
      <c r="B94" s="267"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6" t="inlineStr">
        <is>
          <t>Why both exist</t>
        </is>
      </c>
      <c r="B95" s="267"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6" t="inlineStr">
        <is>
          <t>One for one</t>
        </is>
      </c>
      <c r="B96" s="267" t="inlineStr">
        <is>
          <t>Owner, 20.09.2026: "there should be one iCOA per COQ, retest and initial." The two series are therefore the same length — 172 and 172 — and every certificate of quality names exactly one internal certificate.</t>
        </is>
      </c>
    </row>
    <row r="98">
      <c r="A98" s="268" t="inlineStr">
        <is>
          <t>STEP 1 — WHICH TESTING IS A ROUND</t>
        </is>
      </c>
    </row>
    <row r="99" ht="39" customHeight="1" s="70">
      <c r="A99" s="266" t="inlineStr">
        <is>
          <t>The rule</t>
        </is>
      </c>
      <c r="B99" s="267"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6" t="inlineStr">
        <is>
          <t>What it replaced</t>
        </is>
      </c>
      <c r="B100" s="267" t="inlineStr">
        <is>
          <t>The desk had been reading the series a certificate's number belongs to — 197- and 220- meant post-release, everything else meant release. That is a proxy, and a proxy fails wherever the numbering does.</t>
        </is>
      </c>
    </row>
    <row r="101" ht="26" customHeight="1" s="70">
      <c r="A101" s="266" t="inlineStr">
        <is>
          <t>Ties are release</t>
        </is>
      </c>
      <c r="B101" s="267"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6" t="inlineStr">
        <is>
          <t>A retest exists only if</t>
        </is>
      </c>
      <c r="B102" s="267" t="inlineStr">
        <is>
          <t>some parameter was actually tested twice. A batch tested once has exactly one certificate of quality. This is not a rule anyone had to write down — it falls out of the record.</t>
        </is>
      </c>
    </row>
    <row r="103" ht="26" customHeight="1" s="70">
      <c r="A103" s="266" t="inlineStr">
        <is>
          <t>A retest round holds</t>
        </is>
      </c>
      <c r="B103" s="267"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6" t="inlineStr">
        <is>
          <t>The campaign exception</t>
        </is>
      </c>
      <c r="B104" s="267"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6" t="inlineStr">
        <is>
          <t>The IJZ-MB exception</t>
        </is>
      </c>
      <c r="B105" s="267"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8" t="inlineStr">
        <is>
          <t>STEP 2 — WHICH ROUNDS GET A CERTIFICATE</t>
        </is>
      </c>
    </row>
    <row r="108" ht="26" customHeight="1" s="70">
      <c r="A108" s="266" t="inlineStr">
        <is>
          <t>The ruling in force</t>
        </is>
      </c>
      <c r="B108" s="267" t="inlineStr">
        <is>
          <t>Owner, 20.09.2026: one internal certificate per certificate of quality, retest and initial. A round that no certificate of quality follows issues no internal certificate.</t>
        </is>
      </c>
    </row>
    <row r="109" ht="26" customHeight="1" s="70">
      <c r="A109" s="266" t="inlineStr">
        <is>
          <t>What it replaced</t>
        </is>
      </c>
      <c r="B109" s="267" t="inlineStr">
        <is>
          <t>Owner, 10.09.2026: "the register encompasses every internal certificate that exists or ever will" — one per testing round, whether or not a certificate of quality followed. Under that rule the series was 215.</t>
        </is>
      </c>
    </row>
    <row r="110" ht="39" customHeight="1" s="70">
      <c r="A110" s="266" t="inlineStr">
        <is>
          <t>The 43 withdrawn</t>
        </is>
      </c>
      <c r="B110" s="267"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6" t="inlineStr">
        <is>
          <t>What the 43 were</t>
        </is>
      </c>
      <c r="B111" s="267"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6" t="inlineStr">
        <is>
          <t>What they were NOT</t>
        </is>
      </c>
      <c r="B112" s="267"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6" t="inlineStr">
        <is>
          <t>The arithmetic</t>
        </is>
      </c>
      <c r="B113" s="267" t="inlineStr">
        <is>
          <t>89 release rounds + 83 campaign retests = 172 internal certificates, one per certificate of quality, numbered contiguously 001–172.</t>
        </is>
      </c>
    </row>
    <row r="115">
      <c r="A115" s="268" t="inlineStr">
        <is>
          <t>STEP 3 — WHEN THE WORK WAS DONE (the testing date)</t>
        </is>
      </c>
    </row>
    <row r="116" ht="26" customHeight="1" s="70">
      <c r="A116" s="266" t="inlineStr">
        <is>
          <t>The principle</t>
        </is>
      </c>
      <c r="B116" s="267"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6" t="inlineStr">
        <is>
          <t>Release round</t>
        </is>
      </c>
      <c r="B117" s="267" t="inlineStr">
        <is>
          <t>The FIRST day of packaging (owner, 11.09.2026). The Batch Dates sheet carries a packaging window and 26 batches were packaged over more than one day; the certificate is dated on the day packaging started.</t>
        </is>
      </c>
    </row>
    <row r="118" ht="52" customHeight="1" s="70">
      <c r="A118" s="266" t="inlineStr">
        <is>
          <t>Where in the day</t>
        </is>
      </c>
      <c r="B118" s="267" t="inlineStr">
        <is>
          <t>On the BULK, before primary packaging and before the sample for release testing is drawn (SP-COA-COQ, the specimen internal certificate of 02.06.2026: "Examination performed prior to sampling for release testing, before primary packaging"; "examined on the date of packaging on the bulk prior to filling"). So the sequence of a release round is: examine the bulk in house -&gt; fill -&gt; draw the sample for release testing -&gt; the external laboratories report -&gt; the certificate of quality issues. The internal certificate is the FIRST document of the round, not a later addition to it.</t>
        </is>
      </c>
    </row>
    <row r="119" ht="13" customHeight="1" s="70">
      <c r="A119" s="266" t="inlineStr">
        <is>
          <t>Campaign retest</t>
        </is>
      </c>
      <c r="B119" s="267" t="inlineStr">
        <is>
          <t>The day that batch was sampled — not the day the campaign started. See the calendar below.</t>
        </is>
      </c>
    </row>
    <row r="120" ht="39" customHeight="1" s="70">
      <c r="A120" s="266" t="inlineStr">
        <is>
          <t>Order within a campaign</t>
        </is>
      </c>
      <c r="B120" s="267"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1" ht="13" customHeight="1" s="70">
      <c r="A121" s="266" t="inlineStr">
        <is>
          <t>Retest outside a campaign</t>
        </is>
      </c>
      <c r="B121" s="267" t="inlineStr">
        <is>
          <t>Has no sampling date on file and is dated at its own certificate. Since 20.09.2026 such a round issues no internal certificate at all.</t>
        </is>
      </c>
    </row>
    <row r="122" ht="26" customHeight="1" s="70">
      <c r="A122" s="266" t="inlineStr">
        <is>
          <t>No packaging date on file</t>
        </is>
      </c>
      <c r="B122" s="267"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4">
      <c r="A124" s="268" t="inlineStr">
        <is>
          <t>THE SAMPLING CALENDAR (owner, 15.09.2026)</t>
        </is>
      </c>
    </row>
    <row r="125" ht="52" customHeight="1" s="70">
      <c r="A125" s="266" t="inlineStr">
        <is>
          <t>How it was set</t>
        </is>
      </c>
      <c r="B125" s="267"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6" ht="26" customHeight="1" s="70">
      <c r="A126" s="266" t="inlineStr">
        <is>
          <t>Tranche 1 · 197-</t>
        </is>
      </c>
      <c r="B126" s="267" t="inlineStr">
        <is>
          <t>Sampled 21–24.07.2026 (Tue–Fri), 6 / 5 / 5 / 5 batches across the four days, 21 certificates. Farmahem received the cannabinoid samples 27.07.2026 and the mycotoxin samples 29.07.2026. Internal certificates issued 27.07.2026.</t>
        </is>
      </c>
    </row>
    <row r="127" ht="13" customHeight="1" s="70">
      <c r="A127" s="266" t="inlineStr">
        <is>
          <t>Tranche 2 · 220-</t>
        </is>
      </c>
      <c r="B127" s="267" t="inlineStr">
        <is>
          <t>Sampled 12–14.08.2026 (Wed–Fri), 11 / 11 / 10, 32 certificates. Received by Farmahem 17.08.2026. Internal certificates issued 17.08.2026.</t>
        </is>
      </c>
    </row>
    <row r="128" ht="13" customHeight="1" s="70">
      <c r="A128" s="266" t="inlineStr">
        <is>
          <t>Tranche 3 · 227-</t>
        </is>
      </c>
      <c r="B128" s="267" t="inlineStr">
        <is>
          <t>Sampled 19–21.08.2026 (Wed–Fri), 10 / 10 / 10, 30 certificates. Received by Farmahem 24.08.2026. Internal certificates issued 24.08.2026.</t>
        </is>
      </c>
    </row>
    <row r="129" ht="39" customHeight="1" s="70">
      <c r="A129" s="266" t="inlineStr">
        <is>
          <t>Self-checked</t>
        </is>
      </c>
      <c r="B129" s="267"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0" ht="26" customHeight="1" s="70">
      <c r="A130" s="266" t="inlineStr">
        <is>
          <t>A campaign is identified by</t>
        </is>
      </c>
      <c r="B130" s="267" t="inlineStr">
        <is>
          <t>its certificate series, never by a delivery list. The tranche lists are delivery groupings and the laboratory tested batches that appear on none of them.</t>
        </is>
      </c>
    </row>
    <row r="131" ht="26" customHeight="1" s="70">
      <c r="A131" s="266" t="inlineStr">
        <is>
          <t>The laboratory's letters</t>
        </is>
      </c>
      <c r="B131" s="267"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3">
      <c r="A133" s="268" t="inlineStr">
        <is>
          <t>STEP 4 — WHEN THE INTERNAL CERTIFICATE ISSUES</t>
        </is>
      </c>
    </row>
    <row r="134" ht="13" customHeight="1" s="70">
      <c r="A134" s="266" t="inlineStr">
        <is>
          <t>Release round</t>
        </is>
      </c>
      <c r="B134" s="267" t="inlineStr">
        <is>
          <t>On its testing date — the first day of packaging.</t>
        </is>
      </c>
    </row>
    <row r="135" ht="26" customHeight="1" s="70">
      <c r="A135" s="266" t="inlineStr">
        <is>
          <t>Campaign retest</t>
        </is>
      </c>
      <c r="B135" s="267" t="inlineStr">
        <is>
          <t>On the campaign's own issue day, ONE day for the whole campaign, two or three days after that campaign's last sampling day: 27.07.2026, 17.08.2026 and 24.08.2026 respectively.</t>
        </is>
      </c>
    </row>
    <row r="136" ht="26" customHeight="1" s="70">
      <c r="A136" s="266" t="inlineStr">
        <is>
          <t>The floor</t>
        </is>
      </c>
      <c r="B136" s="267" t="inlineStr">
        <is>
          <t>The specification SOP took effect 01.06.2026, and nothing controlled by it can be dated before it existed. Anything that would otherwise fall earlier is issued with the backlog on 03.06.2026 — one day for all of it, ordered within that day by packaging.</t>
        </is>
      </c>
    </row>
    <row r="138">
      <c r="A138" s="268" t="inlineStr">
        <is>
          <t>STEP 5 — WHEN THE CERTIFICATE OF QUALITY ISSUES</t>
        </is>
      </c>
    </row>
    <row r="139" ht="39" customHeight="1" s="70">
      <c r="A139" s="266" t="inlineStr">
        <is>
          <t>The rule</t>
        </is>
      </c>
      <c r="B139" s="267"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0" ht="13" customHeight="1" s="70">
      <c r="A140" s="266" t="inlineStr">
        <is>
          <t>Never before its iCoA</t>
        </is>
      </c>
      <c r="B140" s="267" t="inlineStr">
        <is>
          <t>A certificate of quality cannot predate the internal certificate it cites.</t>
        </is>
      </c>
    </row>
    <row r="141" ht="26" customHeight="1" s="70">
      <c r="A141" s="266" t="inlineStr">
        <is>
          <t>Never before packaging finished</t>
        </is>
      </c>
      <c r="B141" s="267"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2" ht="39" customHeight="1" s="70">
      <c r="A142" s="266" t="inlineStr">
        <is>
          <t>Legacy and post-SOP</t>
        </is>
      </c>
      <c r="B142" s="267"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3" ht="26" customHeight="1" s="70">
      <c r="A143" s="266" t="inlineStr">
        <is>
          <t>The adherence flag</t>
        </is>
      </c>
      <c r="B143" s="267" t="inlineStr">
        <is>
          <t>A certificate never precedes a document it cites — so a legacy lot whose latest external certificate is dated after 06.06.2026 takes the post-SOP rule instead and is flagged in Status. The flags are printed under the CoQ Register table.</t>
        </is>
      </c>
    </row>
    <row r="144" ht="39" customHeight="1" s="70">
      <c r="A144" s="266" t="inlineStr">
        <is>
          <t>Missing initial certificate</t>
        </is>
      </c>
      <c r="B144" s="267"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5" ht="13" customHeight="1" s="70">
      <c r="A145" s="266" t="inlineStr">
        <is>
          <t>Working days</t>
        </is>
      </c>
      <c r="B145" s="267" t="inlineStr">
        <is>
          <t>Monday to Friday. Public holidays are not applied. Nothing is dated on a weekend.</t>
        </is>
      </c>
    </row>
    <row r="147">
      <c r="A147" s="268" t="inlineStr">
        <is>
          <t>STEP 6 — THE ORDER OF ISSUING, AND THE NUMBERS</t>
        </is>
      </c>
    </row>
    <row r="148" ht="13" customHeight="1" s="70">
      <c r="A148" s="266" t="inlineStr">
        <is>
          <t>Both series</t>
        </is>
      </c>
      <c r="B148" s="267" t="inlineStr">
        <is>
          <t>are numbered in the ORDER OF ISSUE, one series per year of issue. The code is a position in that order, not an identifier a batch carries around.</t>
        </is>
      </c>
    </row>
    <row r="149" ht="26" customHeight="1" s="70">
      <c r="A149" s="266" t="inlineStr">
        <is>
          <t>Internal certificates</t>
        </is>
      </c>
      <c r="B149" s="267"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0" ht="26" customHeight="1" s="70">
      <c r="A150" s="266" t="inlineStr">
        <is>
          <t>Certificates of quality</t>
        </is>
      </c>
      <c r="B150" s="267" t="inlineStr">
        <is>
          <t>CoQ-PP_26-nnn, legacy lots first in chronological order of packaging, then the post-SOP lots each on its own rule date. A reissue is numbered in date order WITH the release series, not in a series of its own.</t>
        </is>
      </c>
    </row>
    <row r="151" ht="52" customHeight="1" s="70">
      <c r="A151" s="266" t="inlineStr">
        <is>
          <t>The numbers are literals</t>
        </is>
      </c>
      <c r="B151" s="267"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2" ht="26" customHeight="1" s="70">
      <c r="A152" s="266" t="inlineStr">
        <is>
          <t>Renumbering</t>
        </is>
      </c>
      <c r="B152" s="267"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3" ht="26" customHeight="1" s="70">
      <c r="A153" s="266" t="inlineStr">
        <is>
          <t>Rows below the series</t>
        </is>
      </c>
      <c r="B153" s="267"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5">
      <c r="A155" s="268" t="inlineStr">
        <is>
          <t>THE SITE PROCEDURES BEHIND THE INTERNAL CERTIFICATE</t>
        </is>
      </c>
    </row>
    <row r="156" ht="39" customHeight="1" s="70">
      <c r="A156" s="266" t="inlineStr">
        <is>
          <t>Why they are named</t>
        </is>
      </c>
      <c r="B156" s="267"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7" ht="13" customHeight="1" s="70">
      <c r="A157" s="266" t="inlineStr">
        <is>
          <t>QCSOP 021 v.01</t>
        </is>
      </c>
      <c r="B157" s="267" t="inlineStr">
        <is>
          <t>Macroscopic examination — determination #1, identification A (appearance). Ph. Eur. mon. 3028, Description.</t>
        </is>
      </c>
    </row>
    <row r="158" ht="13" customHeight="1" s="70">
      <c r="A158" s="266" t="inlineStr">
        <is>
          <t>QCSOP 022 v.01</t>
        </is>
      </c>
      <c r="B158" s="267" t="inlineStr">
        <is>
          <t>Microscopic examination — determination #2, identification B. Ph. Eur. 2.8.23.</t>
        </is>
      </c>
    </row>
    <row r="159" ht="13" customHeight="1" s="70">
      <c r="A159" s="266" t="inlineStr">
        <is>
          <t>QCSOP 005 v.02</t>
        </is>
      </c>
      <c r="B159" s="267" t="inlineStr">
        <is>
          <t>Gravimetric examination — determination #7, foreign matter. Ph. Eur. 2.8.2.</t>
        </is>
      </c>
    </row>
    <row r="160" ht="13" customHeight="1" s="70">
      <c r="A160" s="266" t="inlineStr">
        <is>
          <t>QCSOP 011 v.02</t>
        </is>
      </c>
      <c r="B160" s="267" t="inlineStr">
        <is>
          <t>The internal certificate of analysis itself — the controlled form. It prints in the footer of every one of the 172.</t>
        </is>
      </c>
    </row>
    <row r="161" ht="13" customHeight="1" s="70">
      <c r="A161" s="266" t="inlineStr">
        <is>
          <t>QCSOP 014</t>
        </is>
      </c>
      <c r="B161" s="267" t="inlineStr">
        <is>
          <t>Out-of-specification handling. Named on the certificate rather than described, so a reader knows which procedure governs a result that fails.</t>
        </is>
      </c>
    </row>
    <row r="162" ht="13" customHeight="1" s="70">
      <c r="A162" s="266" t="inlineStr">
        <is>
          <t>QCSOP 009 / Annex 8</t>
        </is>
      </c>
      <c r="B162" s="267" t="inlineStr">
        <is>
          <t>The retention sample. Annex 8 is the annex that travels with QCSOP 009; the certificate states that a retention sample is held under it.</t>
        </is>
      </c>
    </row>
    <row r="163" ht="26" customHeight="1" s="70">
      <c r="A163" s="266" t="inlineStr">
        <is>
          <t>Not printed, and why</t>
        </is>
      </c>
      <c r="B163" s="267"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5">
      <c r="A165" s="268" t="inlineStr">
        <is>
          <t>WHAT THE INTERNAL CERTIFICATE CERTIFIES</t>
        </is>
      </c>
    </row>
    <row r="166" ht="26" customHeight="1" s="70">
      <c r="A166" s="266" t="inlineStr">
        <is>
          <t>Always</t>
        </is>
      </c>
      <c r="B166" s="267" t="inlineStr">
        <is>
          <t>Determination #1 identification A (appearance), #2 identification B (microscopy) and #7 foreign matter — performed in house, on the first day of packaging for a release round and at its own sampling for a retest.</t>
        </is>
      </c>
    </row>
    <row r="167" ht="26" customHeight="1" s="70">
      <c r="A167" s="266" t="inlineStr">
        <is>
          <t>Plus</t>
        </is>
      </c>
      <c r="B167" s="267"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8" ht="26" customHeight="1" s="70">
      <c r="A168" s="266" t="inlineStr">
        <is>
          <t>Never</t>
        </is>
      </c>
      <c r="B168" s="267" t="inlineStr">
        <is>
          <t>A determination with no result at all is covered by nothing. An internal certificate can only certify what was tested, and inventing coverage for an untested parameter is the failure this work exists to prevent.</t>
        </is>
      </c>
    </row>
    <row r="170">
      <c r="A170" s="268" t="inlineStr">
        <is>
          <t>WHAT A REISSUED CERTIFICATE OF QUALITY CARRIES</t>
        </is>
      </c>
    </row>
    <row r="171" ht="13" customHeight="1" s="70">
      <c r="A171" s="266" t="inlineStr">
        <is>
          <t>Retested determinations</t>
        </is>
      </c>
      <c r="B171" s="267" t="inlineStr">
        <is>
          <t>The retest result and the document that reports it — cannabinoids with identification C by Farmahem, and mycotoxins.</t>
        </is>
      </c>
    </row>
    <row r="172" ht="26" customHeight="1" s="70">
      <c r="A172" s="266" t="inlineStr">
        <is>
          <t>Not retested</t>
        </is>
      </c>
      <c r="B172" s="267" t="inlineStr">
        <is>
          <t>The INITIAL certificate's result and its document (owner, 15.09.2026), marked "(initial)" on the CoQ References tab so a reader can see which rows were carried rather than re-measured.</t>
        </is>
      </c>
    </row>
    <row r="173" ht="26" customHeight="1" s="70">
      <c r="A173" s="266" t="inlineStr">
        <is>
          <t>Supersession</t>
        </is>
      </c>
      <c r="B173" s="267" t="inlineStr">
        <is>
          <t>A reissue names the initial certificate of the same lot by the REGISTER's own code, looked up by key, so it follows a renumbering rather than freezing a number that has moved. An initial certificate reads n/a.</t>
        </is>
      </c>
    </row>
    <row r="174" ht="13" customHeight="1" s="70">
      <c r="A174" s="266" t="inlineStr">
        <is>
          <t>Identification C</t>
        </is>
      </c>
      <c r="B174" s="267" t="inlineStr">
        <is>
          <t>Reported as Conforms, referenced to the external certificate that covers Total THC.</t>
        </is>
      </c>
    </row>
    <row r="175" ht="26" customHeight="1" s="70">
      <c r="A175" s="266" t="inlineStr">
        <is>
          <t>Who is retested at all</t>
        </is>
      </c>
      <c r="B175" s="267" t="inlineStr">
        <is>
          <t>Owner, 15.09.2026: only the tranche batches are for sale and only they were retested at the QP's request. A batch on no tranche list carries its release certificate and no retest row.</t>
        </is>
      </c>
    </row>
    <row r="177">
      <c r="A177" s="268" t="inlineStr">
        <is>
          <t>ISSUABLE — WHAT EACH STATE MEANS</t>
        </is>
      </c>
    </row>
    <row r="178" ht="13" customHeight="1" s="70">
      <c r="A178" s="266" t="inlineStr">
        <is>
          <t>yes</t>
        </is>
      </c>
      <c r="B178" s="267" t="inlineStr">
        <is>
          <t>Issued, or issuable now: the certificate has a code, a date, and every document it rests on.</t>
        </is>
      </c>
    </row>
    <row r="179" ht="39" customHeight="1" s="70">
      <c r="A179" s="266" t="inlineStr">
        <is>
          <t>allocated</t>
        </is>
      </c>
      <c r="B179" s="267"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0" ht="39" customHeight="1" s="70">
      <c r="A180" s="266" t="inlineStr">
        <is>
          <t>ruled</t>
        </is>
      </c>
      <c r="B180" s="267"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1" ht="13" customHeight="1" s="70">
      <c r="A181" s="266" t="inlineStr">
        <is>
          <t>no</t>
        </is>
      </c>
      <c r="B181" s="267" t="inlineStr">
        <is>
          <t>Not yet issuable. The row says what is missing.</t>
        </is>
      </c>
    </row>
    <row r="183">
      <c r="A183" s="268" t="inlineStr">
        <is>
          <t>WHERE EACH RULE ACTUALLY LIVES</t>
        </is>
      </c>
    </row>
    <row r="184" ht="13" customHeight="1" s="70">
      <c r="A184" s="266" t="inlineStr">
        <is>
          <t>testing_series.py</t>
        </is>
      </c>
      <c r="B184" s="267" t="inlineStr">
        <is>
          <t>Which testing is a release and which a retest; the re-analysis series; the IJZ-MB campaign.</t>
        </is>
      </c>
    </row>
    <row r="185" ht="13" customHeight="1" s="70">
      <c r="A185" s="266" t="inlineStr">
        <is>
          <t>sampling_dates.py</t>
        </is>
      </c>
      <c r="B185" s="267" t="inlineStr">
        <is>
          <t>The three campaigns: sampling days, the per-day split, the receipt dates and the one issue day each. Self-checking.</t>
        </is>
      </c>
    </row>
    <row r="186" ht="13" customHeight="1" s="70">
      <c r="A186" s="266" t="inlineStr">
        <is>
          <t>issuance_schedule.py</t>
        </is>
      </c>
      <c r="B186" s="267" t="inlineStr">
        <is>
          <t>The dates: the SOP floor, the backlog days, the 5–10 day lag, and the three terms a certificate of quality can never precede.</t>
        </is>
      </c>
    </row>
    <row r="187" ht="13" customHeight="1" s="70">
      <c r="A187" s="266" t="inlineStr">
        <is>
          <t>icoa_register.py</t>
        </is>
      </c>
      <c r="B187" s="267" t="inlineStr">
        <is>
          <t>The internal-certificate series itself — the rows, the order, the codes. The iCoA Register sheet renders it.</t>
        </is>
      </c>
    </row>
    <row r="188" ht="13" customHeight="1" s="70">
      <c r="A188" s="266" t="inlineStr">
        <is>
          <t>coq_master_register.py</t>
        </is>
      </c>
      <c r="B188" s="267" t="inlineStr">
        <is>
          <t>The certificate-of-quality register by document code, with its lineage and its references.</t>
        </is>
      </c>
    </row>
    <row r="189" ht="13" customHeight="1" s="70">
      <c r="A189" s="266" t="inlineStr">
        <is>
          <t>verify_workbook.py</t>
        </is>
      </c>
      <c r="B189" s="267" t="inlineStr">
        <is>
          <t>Compares the sheets against the series on every run, so the two cannot drift apart unnoticed.</t>
        </is>
      </c>
    </row>
    <row r="190" ht="13" customHeight="1" s="70">
      <c r="A190" s="266" t="inlineStr">
        <is>
          <t>This section</t>
        </is>
      </c>
      <c r="B190" s="267" t="inlineStr">
        <is>
          <t>Carries no data and no formula. It states what those modules do. If it ever disagrees with them, THEY are right — they are the ones that run.</t>
        </is>
      </c>
    </row>
    <row r="192">
      <c r="A192" s="268" t="inlineStr">
        <is>
          <t>THE RULINGS, IN THE ORDER THEY WERE GIVEN</t>
        </is>
      </c>
    </row>
    <row r="193" ht="13" customHeight="1" s="70">
      <c r="A193" s="266" t="inlineStr">
        <is>
          <t>04.09.2026</t>
        </is>
      </c>
      <c r="B193" s="267" t="inlineStr">
        <is>
          <t>Head of QC: the harvest and packaging dates per batch (the Batch Dates sheet). One iCoA per P lot for identification A, B and foreign matter.</t>
        </is>
      </c>
    </row>
    <row r="194" ht="26" customHeight="1" s="70">
      <c r="A194" s="266" t="inlineStr">
        <is>
          <t>05.09.2026</t>
        </is>
      </c>
      <c r="B194" s="267" t="inlineStr">
        <is>
          <t>Head of QC: the preliminary CoQ issuance register — CoQ-PP_26-nnn, one series for the year of issue, in the order of issue. Evening: a lot whose initial certificate is not on file keeps its planned certificate and number.</t>
        </is>
      </c>
    </row>
    <row r="195" ht="39" customHeight="1" s="70">
      <c r="A195" s="266" t="inlineStr">
        <is>
          <t>10.09.2026</t>
        </is>
      </c>
      <c r="B195" s="267"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6" ht="13" customHeight="1" s="70">
      <c r="A196" s="266" t="inlineStr">
        <is>
          <t>11.09.2026</t>
        </is>
      </c>
      <c r="B196" s="267" t="inlineStr">
        <is>
          <t>Owner: the release round's testing date is the FIRST day of the packaging window.</t>
        </is>
      </c>
    </row>
    <row r="197" ht="13" customHeight="1" s="70">
      <c r="A197" s="266" t="inlineStr">
        <is>
          <t>12.09.2026</t>
        </is>
      </c>
      <c r="B197" s="267" t="inlineStr">
        <is>
          <t>Owner: the Tranche 3 227- potency certificates are retests too.</t>
        </is>
      </c>
    </row>
    <row r="198" ht="13" customHeight="1" s="70">
      <c r="A198" s="266" t="inlineStr">
        <is>
          <t>14.09.2026</t>
        </is>
      </c>
      <c r="B198" s="267" t="inlineStr">
        <is>
          <t>Owner: six tabs, not sixteen — the leaf sheets fold onto one Reference sheet. This section is one of them.</t>
        </is>
      </c>
    </row>
    <row r="199" ht="39" customHeight="1" s="70">
      <c r="A199" s="266" t="inlineStr">
        <is>
          <t>15.09.2026</t>
        </is>
      </c>
      <c r="B199" s="267"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0" ht="26" customHeight="1" s="70">
      <c r="A200" s="266" t="inlineStr">
        <is>
          <t>17.09.2026</t>
        </is>
      </c>
      <c r="B200" s="267" t="inlineStr">
        <is>
          <t>Head of QC: one register ordered by the certificate's own document code, carrying the supersession and the internal certificate each one cites. The potency tolerance corrections.</t>
        </is>
      </c>
    </row>
    <row r="201" ht="26" customHeight="1" s="70">
      <c r="A201" s="266" t="inlineStr">
        <is>
          <t>18.09.2026</t>
        </is>
      </c>
      <c r="B201" s="267" t="inlineStr">
        <is>
          <t>Head of QC: "assign codes if they're missing" — the rows withheld only for want of a packaging date take their codes. The tranche grouping as it now stands.</t>
        </is>
      </c>
    </row>
    <row r="202" ht="26" customHeight="1" s="70">
      <c r="A202" s="266" t="inlineStr">
        <is>
          <t>20.09.2026</t>
        </is>
      </c>
      <c r="B202" s="267" t="inlineStr">
        <is>
          <t>Owner: one internal certificate per certificate of quality, retest and initial. This REPLACES the ruling of 10.09.2026 and cut the series from 215 to 172, renumbered contiguously 001–172.</t>
        </is>
      </c>
    </row>
    <row r="205" ht="20" customHeight="1" s="70">
      <c r="A205" s="264" t="inlineStr">
        <is>
          <t>DELIVERY T1–T3</t>
        </is>
      </c>
    </row>
    <row r="206" ht="24" customHeight="1" s="70">
      <c r="A206" s="119" t="inlineStr">
        <is>
          <t>Tranche</t>
        </is>
      </c>
      <c r="B206" s="119" t="inlineStr">
        <is>
          <t>Delivered</t>
        </is>
      </c>
      <c r="C206" s="119" t="inlineStr">
        <is>
          <t>Batch (as delivered)</t>
        </is>
      </c>
      <c r="D206" s="119" t="inlineStr">
        <is>
          <t>Strain</t>
        </is>
      </c>
      <c r="E206" s="119" t="inlineStr">
        <is>
          <t>kg</t>
        </is>
      </c>
      <c r="F206" s="119" t="inlineStr">
        <is>
          <t>Bracket</t>
        </is>
      </c>
      <c r="G206" s="119" t="inlineStr">
        <is>
          <t>Declared</t>
        </is>
      </c>
      <c r="H206" s="119" t="inlineStr">
        <is>
          <t>P lot</t>
        </is>
      </c>
      <c r="I206" s="119" t="inlineStr">
        <is>
          <t>Desk lot</t>
        </is>
      </c>
      <c r="J206" s="119" t="inlineStr">
        <is>
          <t>CoQ status</t>
        </is>
      </c>
      <c r="K206" s="119" t="inlineStr">
        <is>
          <t>Missing</t>
        </is>
      </c>
      <c r="L206" s="119" t="inlineStr">
        <is>
          <t>Total THC on the eCoA</t>
        </is>
      </c>
      <c r="M206" s="119" t="inlineStr">
        <is>
          <t>Certificate</t>
        </is>
      </c>
      <c r="N206" s="119" t="inlineStr">
        <is>
          <t>Δ</t>
        </is>
      </c>
      <c r="O206" s="119" t="inlineStr">
        <is>
          <t>Ready to issue</t>
        </is>
      </c>
    </row>
    <row r="207">
      <c r="A207" s="243" t="n">
        <v>1</v>
      </c>
      <c r="B207" s="243" t="inlineStr">
        <is>
          <t>31.07.2026</t>
        </is>
      </c>
      <c r="C207" s="244" t="inlineStr">
        <is>
          <t>BG1024</t>
        </is>
      </c>
      <c r="D207" s="243" t="inlineStr">
        <is>
          <t>Blue Gelato</t>
        </is>
      </c>
      <c r="E207" s="274" t="n">
        <v>43.87</v>
      </c>
      <c r="F207" s="243" t="inlineStr">
        <is>
          <t>19–22%</t>
        </is>
      </c>
      <c r="G207" s="275" t="n">
        <v>0.218</v>
      </c>
      <c r="H207" s="243" t="inlineStr">
        <is>
          <t>—</t>
        </is>
      </c>
      <c r="I207" s="243" t="inlineStr">
        <is>
          <t>BG1024</t>
        </is>
      </c>
      <c r="J207" s="243" t="inlineStr">
        <is>
          <t>✓ COMPLETE</t>
        </is>
      </c>
      <c r="K207" s="246" t="inlineStr">
        <is>
          <t>—</t>
        </is>
      </c>
      <c r="L207" s="275" t="n">
        <v>0.218</v>
      </c>
      <c r="M207" s="243" t="inlineStr">
        <is>
          <t>ППК25050</t>
        </is>
      </c>
      <c r="N207" s="275" t="n">
        <v>0</v>
      </c>
      <c r="O207" s="250" t="inlineStr">
        <is>
          <t>yes — all 12 determinations covered</t>
        </is>
      </c>
    </row>
    <row r="208">
      <c r="A208" s="243" t="n">
        <v>1</v>
      </c>
      <c r="B208" s="243" t="inlineStr">
        <is>
          <t>31.07.2026</t>
        </is>
      </c>
      <c r="C208" s="244" t="inlineStr">
        <is>
          <t>BSS1024</t>
        </is>
      </c>
      <c r="D208" s="243" t="inlineStr">
        <is>
          <t>Blue Sunset Sherbet</t>
        </is>
      </c>
      <c r="E208" s="274" t="n">
        <v>50.2</v>
      </c>
      <c r="F208" s="243" t="inlineStr">
        <is>
          <t>19–22%</t>
        </is>
      </c>
      <c r="G208" s="275" t="n">
        <v>0.21</v>
      </c>
      <c r="H208" s="243" t="inlineStr">
        <is>
          <t>—</t>
        </is>
      </c>
      <c r="I208" s="243" t="inlineStr">
        <is>
          <t>BSS1024</t>
        </is>
      </c>
      <c r="J208" s="243" t="inlineStr">
        <is>
          <t>✓ COMPLETE</t>
        </is>
      </c>
      <c r="K208" s="246" t="inlineStr">
        <is>
          <t>—</t>
        </is>
      </c>
      <c r="L208" s="275" t="n">
        <v>0.2103</v>
      </c>
      <c r="M208" s="243" t="inlineStr">
        <is>
          <t>ППК25051</t>
        </is>
      </c>
      <c r="N208" s="275" t="n">
        <v>0.0003000000000000114</v>
      </c>
      <c r="O208" s="250" t="inlineStr">
        <is>
          <t>yes — all 12 determinations covered</t>
        </is>
      </c>
    </row>
    <row r="209">
      <c r="A209" s="243" t="n">
        <v>1</v>
      </c>
      <c r="B209" s="243" t="inlineStr">
        <is>
          <t>31.07.2026</t>
        </is>
      </c>
      <c r="C209" s="244" t="inlineStr">
        <is>
          <t>CC012601/1</t>
        </is>
      </c>
      <c r="D209" s="243" t="inlineStr">
        <is>
          <t>Cash Cow</t>
        </is>
      </c>
      <c r="E209" s="274" t="n">
        <v>9.15</v>
      </c>
      <c r="F209" s="243" t="inlineStr">
        <is>
          <t>13–16%</t>
        </is>
      </c>
      <c r="G209" s="275" t="n">
        <v>0.1563</v>
      </c>
      <c r="H209" s="243" t="inlineStr">
        <is>
          <t>P060332</t>
        </is>
      </c>
      <c r="I209" s="243" t="inlineStr">
        <is>
          <t>CC012601/1</t>
        </is>
      </c>
      <c r="J209" s="243" t="inlineStr">
        <is>
          <t>❌ 4 MISSING</t>
        </is>
      </c>
      <c r="K209" s="246" t="inlineStr">
        <is>
          <t>#8 LoD; #9 Microbiology (on file 09.09, not recorded); #11 Heavy metals; #12 Pesticides</t>
        </is>
      </c>
      <c r="L209" s="275" t="inlineStr">
        <is>
          <t>— none on the desk —</t>
        </is>
      </c>
      <c r="M209" s="243" t="inlineStr">
        <is>
          <t>—</t>
        </is>
      </c>
      <c r="N209" s="275" t="inlineStr">
        <is>
          <t>—</t>
        </is>
      </c>
      <c r="O209" s="251" t="inlineStr">
        <is>
          <t>no — 4 missing</t>
        </is>
      </c>
    </row>
    <row r="210">
      <c r="A210" s="243" t="n">
        <v>1</v>
      </c>
      <c r="B210" s="243" t="inlineStr">
        <is>
          <t>31.07.2026</t>
        </is>
      </c>
      <c r="C210" s="244" t="inlineStr">
        <is>
          <t>CJ052501/01</t>
        </is>
      </c>
      <c r="D210" s="243" t="inlineStr">
        <is>
          <t>Cap Junky</t>
        </is>
      </c>
      <c r="E210" s="274" t="n">
        <v>64.53</v>
      </c>
      <c r="F210" s="243" t="inlineStr">
        <is>
          <t>19–22%</t>
        </is>
      </c>
      <c r="G210" s="275" t="n">
        <v>0.2029</v>
      </c>
      <c r="H210" s="243" t="inlineStr">
        <is>
          <t>P050162</t>
        </is>
      </c>
      <c r="I210" s="243" t="inlineStr">
        <is>
          <t>CJ052501/01</t>
        </is>
      </c>
      <c r="J210" s="243" t="inlineStr">
        <is>
          <t>✓ COMPLETE</t>
        </is>
      </c>
      <c r="K210" s="246" t="inlineStr">
        <is>
          <t>—</t>
        </is>
      </c>
      <c r="L210" s="275" t="n">
        <v>0.2029</v>
      </c>
      <c r="M210" s="243" t="inlineStr">
        <is>
          <t>None</t>
        </is>
      </c>
      <c r="N210" s="275" t="n">
        <v>0</v>
      </c>
      <c r="O210" s="250" t="inlineStr">
        <is>
          <t>yes — all 12 determinations covered</t>
        </is>
      </c>
    </row>
    <row r="211">
      <c r="A211" s="243" t="n">
        <v>1</v>
      </c>
      <c r="B211" s="243" t="inlineStr">
        <is>
          <t>31.07.2026</t>
        </is>
      </c>
      <c r="C211" s="244" t="inlineStr">
        <is>
          <t>CJ062501/2</t>
        </is>
      </c>
      <c r="D211" s="243" t="inlineStr">
        <is>
          <t>Cap Junky</t>
        </is>
      </c>
      <c r="E211" s="274" t="n">
        <v>146.52</v>
      </c>
      <c r="F211" s="243" t="inlineStr">
        <is>
          <t>16–19%</t>
        </is>
      </c>
      <c r="G211" s="275" t="n">
        <v>0.1656</v>
      </c>
      <c r="H211" s="243" t="inlineStr">
        <is>
          <t>P050212</t>
        </is>
      </c>
      <c r="I211" s="243" t="inlineStr">
        <is>
          <t>CJ062501/2</t>
        </is>
      </c>
      <c r="J211" s="243" t="inlineStr">
        <is>
          <t>✓ COMPLETE</t>
        </is>
      </c>
      <c r="K211" s="246" t="inlineStr">
        <is>
          <t>—</t>
        </is>
      </c>
      <c r="L211" s="275" t="n">
        <v>0.1656</v>
      </c>
      <c r="M211" s="243" t="inlineStr">
        <is>
          <t>ППК25322</t>
        </is>
      </c>
      <c r="N211" s="275" t="n">
        <v>0</v>
      </c>
      <c r="O211" s="250" t="inlineStr">
        <is>
          <t>yes — all 12 determinations covered</t>
        </is>
      </c>
    </row>
    <row r="212">
      <c r="A212" s="243" t="n">
        <v>1</v>
      </c>
      <c r="B212" s="243" t="inlineStr">
        <is>
          <t>31.07.2026</t>
        </is>
      </c>
      <c r="C212" s="244" t="inlineStr">
        <is>
          <t>CJ082501/2</t>
        </is>
      </c>
      <c r="D212" s="243" t="inlineStr">
        <is>
          <t>Cap Junky</t>
        </is>
      </c>
      <c r="E212" s="274" t="n">
        <v>14.75</v>
      </c>
      <c r="F212" s="243" t="inlineStr">
        <is>
          <t>19–22%</t>
        </is>
      </c>
      <c r="G212" s="275" t="n">
        <v>0.2084</v>
      </c>
      <c r="H212" s="243" t="inlineStr">
        <is>
          <t>P060032</t>
        </is>
      </c>
      <c r="I212" s="243" t="inlineStr">
        <is>
          <t>CJ082501/2</t>
        </is>
      </c>
      <c r="J212" s="243" t="inlineStr">
        <is>
          <t>✓ COMPLETE</t>
        </is>
      </c>
      <c r="K212" s="246" t="inlineStr">
        <is>
          <t>—</t>
        </is>
      </c>
      <c r="L212" s="275" t="n">
        <v>0.2084</v>
      </c>
      <c r="M212" s="243" t="inlineStr">
        <is>
          <t>ППК26003</t>
        </is>
      </c>
      <c r="N212" s="275" t="n">
        <v>0</v>
      </c>
      <c r="O212" s="250" t="inlineStr">
        <is>
          <t>yes — all 12 determinations covered</t>
        </is>
      </c>
    </row>
    <row r="213">
      <c r="A213" s="243" t="n">
        <v>1</v>
      </c>
      <c r="B213" s="243" t="inlineStr">
        <is>
          <t>31.07.2026</t>
        </is>
      </c>
      <c r="C213" s="244" t="inlineStr">
        <is>
          <t>FB012602</t>
        </is>
      </c>
      <c r="D213" s="243" t="inlineStr">
        <is>
          <t>Fat Bastard</t>
        </is>
      </c>
      <c r="E213" s="274" t="n">
        <v>75.92</v>
      </c>
      <c r="F213" s="243" t="inlineStr">
        <is>
          <t>19–22%</t>
        </is>
      </c>
      <c r="G213" s="275" t="n">
        <v>0.1977</v>
      </c>
      <c r="H213" s="243" t="inlineStr">
        <is>
          <t>P060352</t>
        </is>
      </c>
      <c r="I213" s="243" t="inlineStr">
        <is>
          <t>FB012602*</t>
        </is>
      </c>
      <c r="J213" s="243" t="inlineStr">
        <is>
          <t>❌ 4 MISSING</t>
        </is>
      </c>
      <c r="K213" s="246" t="inlineStr">
        <is>
          <t>#8 LoD; #9 Microbiology (on file 09.09, not recorded); #11 Heavy metals; #12 Pesticides</t>
        </is>
      </c>
      <c r="L213" s="275" t="inlineStr">
        <is>
          <t>— none on the desk —</t>
        </is>
      </c>
      <c r="M213" s="243" t="inlineStr">
        <is>
          <t>—</t>
        </is>
      </c>
      <c r="N213" s="275" t="inlineStr">
        <is>
          <t>—</t>
        </is>
      </c>
      <c r="O213" s="251" t="inlineStr">
        <is>
          <t>no — 4 missing</t>
        </is>
      </c>
    </row>
    <row r="214">
      <c r="A214" s="243" t="n">
        <v>1</v>
      </c>
      <c r="B214" s="243" t="inlineStr">
        <is>
          <t>31.07.2026</t>
        </is>
      </c>
      <c r="C214" s="244" t="inlineStr">
        <is>
          <t>GG012603</t>
        </is>
      </c>
      <c r="D214" s="243" t="inlineStr">
        <is>
          <t>GG4</t>
        </is>
      </c>
      <c r="E214" s="274" t="n">
        <v>40</v>
      </c>
      <c r="F214" s="243" t="inlineStr">
        <is>
          <t>13–16%</t>
        </is>
      </c>
      <c r="G214" s="275" t="n">
        <v>0.1559</v>
      </c>
      <c r="H214" s="243" t="inlineStr">
        <is>
          <t>P060402</t>
        </is>
      </c>
      <c r="I214" s="243" t="inlineStr">
        <is>
          <t>GG012603</t>
        </is>
      </c>
      <c r="J214" s="243" t="inlineStr">
        <is>
          <t>○ 3 ON FILE, NOT RECORDED</t>
        </is>
      </c>
      <c r="K214" s="246" t="inlineStr">
        <is>
          <t>#9 Microbiology (on file 09.09, not recorded); #11 Heavy metals (on file 09.09, not recorded); #12 Pesticides (on file 09.09, not recorded)</t>
        </is>
      </c>
      <c r="L214" s="276" t="n">
        <v>0.1759</v>
      </c>
      <c r="M214" s="277" t="inlineStr">
        <is>
          <t>ППК26114</t>
        </is>
      </c>
      <c r="N214" s="276" t="n">
        <v>0.02</v>
      </c>
      <c r="O214" s="278" t="inlineStr">
        <is>
          <t>no — 3 on file, not recorded  |  POTENCY: the certificate reads 17.59 %, outside the 13–16% it was delivered under</t>
        </is>
      </c>
    </row>
    <row r="215">
      <c r="A215" s="243" t="n">
        <v>1</v>
      </c>
      <c r="B215" s="243" t="inlineStr">
        <is>
          <t>31.07.2026</t>
        </is>
      </c>
      <c r="C215" s="244" t="inlineStr">
        <is>
          <t>GG1024_01</t>
        </is>
      </c>
      <c r="D215" s="243" t="inlineStr">
        <is>
          <t>Gorilla Glue</t>
        </is>
      </c>
      <c r="E215" s="274" t="n">
        <v>0.87</v>
      </c>
      <c r="F215" s="243" t="inlineStr">
        <is>
          <t>16–19%</t>
        </is>
      </c>
      <c r="G215" s="275" t="n">
        <v>0.17</v>
      </c>
      <c r="H215" s="243" t="inlineStr">
        <is>
          <t>P050092</t>
        </is>
      </c>
      <c r="I215" s="243" t="inlineStr">
        <is>
          <t>GG1024_01</t>
        </is>
      </c>
      <c r="J215" s="243" t="inlineStr">
        <is>
          <t>✓ COMPLETE</t>
        </is>
      </c>
      <c r="K215" s="246" t="inlineStr">
        <is>
          <t>—</t>
        </is>
      </c>
      <c r="L215" s="275" t="n">
        <v>0.1722</v>
      </c>
      <c r="M215" s="243" t="inlineStr">
        <is>
          <t>ППК25104</t>
        </is>
      </c>
      <c r="N215" s="275" t="n">
        <v>0.002199999999999988</v>
      </c>
      <c r="O215" s="250" t="inlineStr">
        <is>
          <t>yes — all 12 determinations covered</t>
        </is>
      </c>
    </row>
    <row r="216">
      <c r="A216" s="243" t="n">
        <v>1</v>
      </c>
      <c r="B216" s="243" t="inlineStr">
        <is>
          <t>31.07.2026</t>
        </is>
      </c>
      <c r="C216" s="244" t="inlineStr">
        <is>
          <t>GP052501</t>
        </is>
      </c>
      <c r="D216" s="243" t="inlineStr">
        <is>
          <t>Grape Pie</t>
        </is>
      </c>
      <c r="E216" s="274" t="n">
        <v>151.14</v>
      </c>
      <c r="F216" s="243" t="inlineStr">
        <is>
          <t>16–19%</t>
        </is>
      </c>
      <c r="G216" s="275" t="n">
        <v>0.1898</v>
      </c>
      <c r="H216" s="243" t="inlineStr">
        <is>
          <t>P050152</t>
        </is>
      </c>
      <c r="I216" s="243" t="inlineStr">
        <is>
          <t>GP052501</t>
        </is>
      </c>
      <c r="J216" s="243" t="inlineStr">
        <is>
          <t>✓ COMPLETE</t>
        </is>
      </c>
      <c r="K216" s="246" t="inlineStr">
        <is>
          <t>—</t>
        </is>
      </c>
      <c r="L216" s="275" t="n">
        <v>0.1898</v>
      </c>
      <c r="M216" s="243" t="inlineStr">
        <is>
          <t>ППК25279</t>
        </is>
      </c>
      <c r="N216" s="275" t="n">
        <v>0</v>
      </c>
      <c r="O216" s="250" t="inlineStr">
        <is>
          <t>yes — all 12 determinations covered</t>
        </is>
      </c>
    </row>
    <row r="217">
      <c r="A217" s="243" t="n">
        <v>1</v>
      </c>
      <c r="B217" s="243" t="inlineStr">
        <is>
          <t>31.07.2026</t>
        </is>
      </c>
      <c r="C217" s="244" t="inlineStr">
        <is>
          <t>GP0824_02</t>
        </is>
      </c>
      <c r="D217" s="243" t="inlineStr">
        <is>
          <t>Grape Pie</t>
        </is>
      </c>
      <c r="E217" s="274" t="n">
        <v>208.46</v>
      </c>
      <c r="F217" s="243" t="inlineStr">
        <is>
          <t>22–25%</t>
        </is>
      </c>
      <c r="G217" s="275" t="n">
        <v>0.2379</v>
      </c>
      <c r="H217" s="243" t="inlineStr">
        <is>
          <t>P050022</t>
        </is>
      </c>
      <c r="I217" s="243" t="inlineStr">
        <is>
          <t>GP0824_02</t>
        </is>
      </c>
      <c r="J217" s="243" t="inlineStr">
        <is>
          <t>✓ COMPLETE</t>
        </is>
      </c>
      <c r="K217" s="246" t="inlineStr">
        <is>
          <t>—</t>
        </is>
      </c>
      <c r="L217" s="275" t="n">
        <v>0.2379</v>
      </c>
      <c r="M217" s="243" t="inlineStr">
        <is>
          <t>ППК25139</t>
        </is>
      </c>
      <c r="N217" s="275" t="n">
        <v>0</v>
      </c>
      <c r="O217" s="250" t="inlineStr">
        <is>
          <t>yes — all 12 determinations covered</t>
        </is>
      </c>
    </row>
    <row r="218">
      <c r="A218" s="243" t="n">
        <v>1</v>
      </c>
      <c r="B218" s="243" t="inlineStr">
        <is>
          <t>31.07.2026</t>
        </is>
      </c>
      <c r="C218" s="244" t="inlineStr">
        <is>
          <t>GP082501/2</t>
        </is>
      </c>
      <c r="D218" s="243" t="inlineStr">
        <is>
          <t>Grape Pie</t>
        </is>
      </c>
      <c r="E218" s="274" t="n">
        <v>22.84</v>
      </c>
      <c r="F218" s="243" t="inlineStr">
        <is>
          <t>13–16%</t>
        </is>
      </c>
      <c r="G218" s="275" t="n">
        <v>0.1483</v>
      </c>
      <c r="H218" s="243" t="inlineStr">
        <is>
          <t>P050322</t>
        </is>
      </c>
      <c r="I218" s="243" t="inlineStr">
        <is>
          <t>GP082501/2</t>
        </is>
      </c>
      <c r="J218" s="243" t="inlineStr">
        <is>
          <t>✓ COMPLETE</t>
        </is>
      </c>
      <c r="K218" s="246" t="inlineStr">
        <is>
          <t>—</t>
        </is>
      </c>
      <c r="L218" s="275" t="n">
        <v>0.1483</v>
      </c>
      <c r="M218" s="243" t="inlineStr">
        <is>
          <t>ППК25381</t>
        </is>
      </c>
      <c r="N218" s="275" t="n">
        <v>0</v>
      </c>
      <c r="O218" s="250" t="inlineStr">
        <is>
          <t>yes — all 12 determinations covered</t>
        </is>
      </c>
    </row>
    <row r="219">
      <c r="A219" s="243" t="n">
        <v>1</v>
      </c>
      <c r="B219" s="243" t="inlineStr">
        <is>
          <t>31.07.2026</t>
        </is>
      </c>
      <c r="C219" s="244" t="inlineStr">
        <is>
          <t>HPA1024</t>
        </is>
      </c>
      <c r="D219" s="243" t="inlineStr">
        <is>
          <t>High Pro Amnesia</t>
        </is>
      </c>
      <c r="E219" s="274" t="n">
        <v>40.83</v>
      </c>
      <c r="F219" s="243" t="inlineStr">
        <is>
          <t>13–16%</t>
        </is>
      </c>
      <c r="G219" s="275" t="n">
        <v>0.1497</v>
      </c>
      <c r="H219" s="243" t="inlineStr">
        <is>
          <t>—</t>
        </is>
      </c>
      <c r="I219" s="243" t="inlineStr">
        <is>
          <t>HPA1024</t>
        </is>
      </c>
      <c r="J219" s="243" t="inlineStr">
        <is>
          <t>❌ 4 MISSING</t>
        </is>
      </c>
      <c r="K219" s="246" t="inlineStr">
        <is>
          <t>#8 LoD; #9 Microbiology; #11 Heavy metals; #12 Pesticides</t>
        </is>
      </c>
      <c r="L219" s="275" t="n">
        <v>0.1497</v>
      </c>
      <c r="M219" s="243" t="inlineStr">
        <is>
          <t>None</t>
        </is>
      </c>
      <c r="N219" s="275" t="n">
        <v>0</v>
      </c>
      <c r="O219" s="251" t="inlineStr">
        <is>
          <t>no — 4 missing</t>
        </is>
      </c>
    </row>
    <row r="220">
      <c r="A220" s="243" t="n">
        <v>1</v>
      </c>
      <c r="B220" s="243" t="inlineStr">
        <is>
          <t>31.07.2026</t>
        </is>
      </c>
      <c r="C220" s="244" t="inlineStr">
        <is>
          <t>HPA1024_01</t>
        </is>
      </c>
      <c r="D220" s="243" t="inlineStr">
        <is>
          <t>High Pro Amnesia</t>
        </is>
      </c>
      <c r="E220" s="274" t="n">
        <v>140.5</v>
      </c>
      <c r="F220" s="243" t="inlineStr">
        <is>
          <t>22–25%</t>
        </is>
      </c>
      <c r="G220" s="275" t="n">
        <v>0.2243</v>
      </c>
      <c r="H220" s="243" t="inlineStr">
        <is>
          <t>P050052</t>
        </is>
      </c>
      <c r="I220" s="243" t="inlineStr">
        <is>
          <t>HPA1024_01</t>
        </is>
      </c>
      <c r="J220" s="243" t="inlineStr">
        <is>
          <t>✓ COMPLETE</t>
        </is>
      </c>
      <c r="K220" s="246" t="inlineStr">
        <is>
          <t>—</t>
        </is>
      </c>
      <c r="L220" s="275" t="n">
        <v>0.2243</v>
      </c>
      <c r="M220" s="243" t="inlineStr">
        <is>
          <t>None</t>
        </is>
      </c>
      <c r="N220" s="275" t="n">
        <v>0</v>
      </c>
      <c r="O220" s="250" t="inlineStr">
        <is>
          <t>yes — all 12 determinations covered</t>
        </is>
      </c>
    </row>
    <row r="221">
      <c r="A221" s="243" t="n">
        <v>1</v>
      </c>
      <c r="B221" s="243" t="inlineStr">
        <is>
          <t>31.07.2026</t>
        </is>
      </c>
      <c r="C221" s="244" t="inlineStr">
        <is>
          <t>J31102501</t>
        </is>
      </c>
      <c r="D221" s="243" t="inlineStr">
        <is>
          <t>Jokerz 31</t>
        </is>
      </c>
      <c r="E221" s="274" t="n">
        <v>23.64</v>
      </c>
      <c r="F221" s="243" t="inlineStr">
        <is>
          <t>19–22%</t>
        </is>
      </c>
      <c r="G221" s="275" t="n">
        <v>0.1914</v>
      </c>
      <c r="H221" s="243" t="inlineStr">
        <is>
          <t>P060152</t>
        </is>
      </c>
      <c r="I221" s="243" t="inlineStr">
        <is>
          <t>J31102501</t>
        </is>
      </c>
      <c r="J221" s="243" t="inlineStr">
        <is>
          <t>○ 3 ON FILE, NOT RECORDED</t>
        </is>
      </c>
      <c r="K221" s="246" t="inlineStr">
        <is>
          <t>#9 Microbiology (on file 09.09, not recorded); #11 Heavy metals (on file 09.09, not recorded); #12 Pesticides (on file 09.09, not recorded)</t>
        </is>
      </c>
      <c r="L221" s="275" t="n">
        <v>0.1914</v>
      </c>
      <c r="M221" s="243" t="inlineStr">
        <is>
          <t>051-1-К/26</t>
        </is>
      </c>
      <c r="N221" s="275" t="n">
        <v>0</v>
      </c>
      <c r="O221" s="251" t="inlineStr">
        <is>
          <t>no — 3 on file, not recorded</t>
        </is>
      </c>
    </row>
    <row r="222">
      <c r="A222" s="243" t="n">
        <v>1</v>
      </c>
      <c r="B222" s="243" t="inlineStr">
        <is>
          <t>31.07.2026</t>
        </is>
      </c>
      <c r="C222" s="244" t="inlineStr">
        <is>
          <t>JD112501</t>
        </is>
      </c>
      <c r="D222" s="243" t="inlineStr">
        <is>
          <t>Jelly Donuts</t>
        </is>
      </c>
      <c r="E222" s="274" t="n">
        <v>41.54</v>
      </c>
      <c r="F222" s="243" t="inlineStr">
        <is>
          <t>19–22%</t>
        </is>
      </c>
      <c r="G222" s="275" t="n">
        <v>0.1964</v>
      </c>
      <c r="H222" s="243" t="inlineStr">
        <is>
          <t>P060212</t>
        </is>
      </c>
      <c r="I222" s="243" t="inlineStr">
        <is>
          <t>JD112501</t>
        </is>
      </c>
      <c r="J222" s="243" t="inlineStr">
        <is>
          <t>✓ COMPLETE</t>
        </is>
      </c>
      <c r="K222" s="246" t="inlineStr">
        <is>
          <t>—</t>
        </is>
      </c>
      <c r="L222" s="275" t="n">
        <v>0.1964</v>
      </c>
      <c r="M222" s="243" t="inlineStr">
        <is>
          <t>ППК26063</t>
        </is>
      </c>
      <c r="N222" s="275" t="n">
        <v>0</v>
      </c>
      <c r="O222" s="250" t="inlineStr">
        <is>
          <t>yes — all 12 determinations covered</t>
        </is>
      </c>
    </row>
    <row r="223">
      <c r="A223" s="243" t="n">
        <v>1</v>
      </c>
      <c r="B223" s="243" t="inlineStr">
        <is>
          <t>31.07.2026</t>
        </is>
      </c>
      <c r="C223" s="244" t="inlineStr">
        <is>
          <t>OPM1024</t>
        </is>
      </c>
      <c r="D223" s="243" t="inlineStr">
        <is>
          <t>Orange Punch Mimosa</t>
        </is>
      </c>
      <c r="E223" s="274" t="n">
        <v>45.46</v>
      </c>
      <c r="F223" s="243" t="inlineStr">
        <is>
          <t>19–22%</t>
        </is>
      </c>
      <c r="G223" s="275" t="n">
        <v>0.1996</v>
      </c>
      <c r="H223" s="243" t="inlineStr">
        <is>
          <t>—</t>
        </is>
      </c>
      <c r="I223" s="243" t="inlineStr">
        <is>
          <t>OPM1024</t>
        </is>
      </c>
      <c r="J223" s="243" t="inlineStr">
        <is>
          <t>❌ 4 MISSING</t>
        </is>
      </c>
      <c r="K223" s="246" t="inlineStr">
        <is>
          <t>#8 LoD; #9 Microbiology; #11 Heavy metals; #12 Pesticides</t>
        </is>
      </c>
      <c r="L223" s="275" t="n">
        <v>0.1996</v>
      </c>
      <c r="M223" s="243" t="inlineStr">
        <is>
          <t>None</t>
        </is>
      </c>
      <c r="N223" s="275" t="n">
        <v>0</v>
      </c>
      <c r="O223" s="251" t="inlineStr">
        <is>
          <t>no — 4 missing</t>
        </is>
      </c>
    </row>
    <row r="224">
      <c r="A224" s="243" t="n">
        <v>1</v>
      </c>
      <c r="B224" s="243" t="inlineStr">
        <is>
          <t>31.07.2026</t>
        </is>
      </c>
      <c r="C224" s="244" t="inlineStr">
        <is>
          <t>OPM1024_02</t>
        </is>
      </c>
      <c r="D224" s="243" t="inlineStr">
        <is>
          <t>Orange Punch Mimosa</t>
        </is>
      </c>
      <c r="E224" s="274" t="n">
        <v>156.14</v>
      </c>
      <c r="F224" s="243" t="inlineStr">
        <is>
          <t>16–19%</t>
        </is>
      </c>
      <c r="G224" s="275" t="n">
        <v>0.1827</v>
      </c>
      <c r="H224" s="243" t="inlineStr">
        <is>
          <t>P050062</t>
        </is>
      </c>
      <c r="I224" s="243" t="inlineStr">
        <is>
          <t>OPM1024_02</t>
        </is>
      </c>
      <c r="J224" s="243" t="inlineStr">
        <is>
          <t>✓ COMPLETE</t>
        </is>
      </c>
      <c r="K224" s="246" t="inlineStr">
        <is>
          <t>—</t>
        </is>
      </c>
      <c r="L224" s="275" t="n">
        <v>0.1827</v>
      </c>
      <c r="M224" s="243" t="inlineStr">
        <is>
          <t>ППК25154</t>
        </is>
      </c>
      <c r="N224" s="275" t="n">
        <v>0</v>
      </c>
      <c r="O224" s="250" t="inlineStr">
        <is>
          <t>yes — all 12 determinations covered</t>
        </is>
      </c>
    </row>
    <row r="225">
      <c r="A225" s="243" t="n">
        <v>1</v>
      </c>
      <c r="B225" s="243" t="inlineStr">
        <is>
          <t>31.07.2026</t>
        </is>
      </c>
      <c r="C225" s="244" t="inlineStr">
        <is>
          <t>OPM122501</t>
        </is>
      </c>
      <c r="D225" s="243" t="inlineStr">
        <is>
          <t>Orange Punch Mimosa</t>
        </is>
      </c>
      <c r="E225" s="274" t="n">
        <v>104.26</v>
      </c>
      <c r="F225" s="243" t="inlineStr">
        <is>
          <t>10–13%</t>
        </is>
      </c>
      <c r="G225" s="275" t="n">
        <v>0.11</v>
      </c>
      <c r="H225" s="243" t="inlineStr">
        <is>
          <t>P060242</t>
        </is>
      </c>
      <c r="I225" s="243" t="inlineStr">
        <is>
          <t>OPM122501</t>
        </is>
      </c>
      <c r="J225" s="243" t="inlineStr">
        <is>
          <t>✓ COMPLETE</t>
        </is>
      </c>
      <c r="K225" s="246" t="inlineStr">
        <is>
          <t>—</t>
        </is>
      </c>
      <c r="L225" s="276" t="n">
        <v>0.0809</v>
      </c>
      <c r="M225" s="277" t="inlineStr">
        <is>
          <t>100-4-К/26</t>
        </is>
      </c>
      <c r="N225" s="276" t="n">
        <v>-0.0291</v>
      </c>
      <c r="O225" s="278" t="inlineStr">
        <is>
          <t>yes — all 12 determinations covered  |  POTENCY: the certificate reads 8.09 %, outside the 10–13% it was delivered under</t>
        </is>
      </c>
    </row>
    <row r="226">
      <c r="A226" s="243" t="n">
        <v>1</v>
      </c>
      <c r="B226" s="243" t="inlineStr">
        <is>
          <t>31.07.2026</t>
        </is>
      </c>
      <c r="C226" s="244" t="inlineStr">
        <is>
          <t>PM092501</t>
        </is>
      </c>
      <c r="D226" s="243" t="inlineStr">
        <is>
          <t>Permanent Marker</t>
        </is>
      </c>
      <c r="E226" s="274" t="n">
        <v>20.23</v>
      </c>
      <c r="F226" s="243" t="inlineStr">
        <is>
          <t>13–16%</t>
        </is>
      </c>
      <c r="G226" s="275" t="n">
        <v>0.1406</v>
      </c>
      <c r="H226" s="243" t="inlineStr">
        <is>
          <t>P060062</t>
        </is>
      </c>
      <c r="I226" s="243" t="inlineStr">
        <is>
          <t>PM092501</t>
        </is>
      </c>
      <c r="J226" s="243" t="inlineStr">
        <is>
          <t>✓ COMPLETE</t>
        </is>
      </c>
      <c r="K226" s="246" t="inlineStr">
        <is>
          <t>—</t>
        </is>
      </c>
      <c r="L226" s="275" t="inlineStr">
        <is>
          <t>— none on the desk —</t>
        </is>
      </c>
      <c r="M226" s="243" t="inlineStr">
        <is>
          <t>—</t>
        </is>
      </c>
      <c r="N226" s="275" t="inlineStr">
        <is>
          <t>—</t>
        </is>
      </c>
      <c r="O226" s="250" t="inlineStr">
        <is>
          <t>yes — all 12 determinations covered</t>
        </is>
      </c>
    </row>
    <row r="227">
      <c r="A227" s="243" t="n">
        <v>1</v>
      </c>
      <c r="B227" s="243" t="inlineStr">
        <is>
          <t>31.07.2026</t>
        </is>
      </c>
      <c r="C227" s="244" t="inlineStr">
        <is>
          <t>SCR012603</t>
        </is>
      </c>
      <c r="D227" s="243" t="inlineStr">
        <is>
          <t>Scrambler</t>
        </is>
      </c>
      <c r="E227" s="274" t="n">
        <v>79.81</v>
      </c>
      <c r="F227" s="243" t="inlineStr">
        <is>
          <t>16–19%</t>
        </is>
      </c>
      <c r="G227" s="275" t="n">
        <v>0.17</v>
      </c>
      <c r="H227" s="243" t="inlineStr">
        <is>
          <t>P060382</t>
        </is>
      </c>
      <c r="I227" s="243" t="inlineStr">
        <is>
          <t>SCR012603</t>
        </is>
      </c>
      <c r="J227" s="243" t="inlineStr">
        <is>
          <t>❌ 4 MISSING</t>
        </is>
      </c>
      <c r="K227" s="246" t="inlineStr">
        <is>
          <t>#8 LoD; #9 Microbiology (on file 09.09, not recorded); #11 Heavy metals; #12 Pesticides</t>
        </is>
      </c>
      <c r="L227" s="275" t="inlineStr">
        <is>
          <t>— none on the desk —</t>
        </is>
      </c>
      <c r="M227" s="243" t="inlineStr">
        <is>
          <t>—</t>
        </is>
      </c>
      <c r="N227" s="275" t="inlineStr">
        <is>
          <t>—</t>
        </is>
      </c>
      <c r="O227" s="251" t="inlineStr">
        <is>
          <t>no — 4 missing</t>
        </is>
      </c>
    </row>
    <row r="228">
      <c r="A228" s="243" t="n">
        <v>2</v>
      </c>
      <c r="B228" s="243" t="inlineStr">
        <is>
          <t>14.08.2026</t>
        </is>
      </c>
      <c r="C228" s="244" t="inlineStr">
        <is>
          <t>ACC102501</t>
        </is>
      </c>
      <c r="D228" s="243" t="inlineStr">
        <is>
          <t>Amnesia Core Cut</t>
        </is>
      </c>
      <c r="E228" s="274" t="n">
        <v>38.88</v>
      </c>
      <c r="F228" s="243" t="inlineStr">
        <is>
          <t>10–13%</t>
        </is>
      </c>
      <c r="G228" s="275" t="n">
        <v>0.1291</v>
      </c>
      <c r="H228" s="243" t="inlineStr">
        <is>
          <t>P060122</t>
        </is>
      </c>
      <c r="I228" s="243" t="inlineStr">
        <is>
          <t>ACC102501</t>
        </is>
      </c>
      <c r="J228" s="243" t="inlineStr">
        <is>
          <t>○ 4 ON FILE, NOT RECORDED</t>
        </is>
      </c>
      <c r="K228" s="246" t="inlineStr">
        <is>
          <t>#8 LoD (on file 09.09, not recorded); #9 Microbiology (on file 09.09, not recorded); #11 Heavy metals (on file 09.09, not recorded); #12 Pesticides (on file 09.09, not recorded)</t>
        </is>
      </c>
      <c r="L228" s="275" t="inlineStr">
        <is>
          <t>— none on the desk —</t>
        </is>
      </c>
      <c r="M228" s="243" t="inlineStr">
        <is>
          <t>—</t>
        </is>
      </c>
      <c r="N228" s="275" t="inlineStr">
        <is>
          <t>—</t>
        </is>
      </c>
      <c r="O228" s="251" t="inlineStr">
        <is>
          <t>no — 4 on file, not recorded</t>
        </is>
      </c>
    </row>
    <row r="229">
      <c r="A229" s="243" t="n">
        <v>2</v>
      </c>
      <c r="B229" s="243" t="inlineStr">
        <is>
          <t>14.08.2026</t>
        </is>
      </c>
      <c r="C229" s="244" t="inlineStr">
        <is>
          <t>BSS052501</t>
        </is>
      </c>
      <c r="D229" s="243" t="inlineStr">
        <is>
          <t>Blue Sunset Sherbet</t>
        </is>
      </c>
      <c r="E229" s="274" t="n">
        <v>345.71</v>
      </c>
      <c r="F229" s="243" t="inlineStr">
        <is>
          <t>19–22%</t>
        </is>
      </c>
      <c r="G229" s="275" t="n">
        <v>0.2047</v>
      </c>
      <c r="H229" s="243" t="inlineStr">
        <is>
          <t>P050192</t>
        </is>
      </c>
      <c r="I229" s="243" t="inlineStr">
        <is>
          <t>BSS052501</t>
        </is>
      </c>
      <c r="J229" s="243" t="inlineStr">
        <is>
          <t>⚠ 1 MISSING</t>
        </is>
      </c>
      <c r="K229" s="246" t="inlineStr">
        <is>
          <t>#8 LoD</t>
        </is>
      </c>
      <c r="L229" s="275" t="n">
        <v>0.2039</v>
      </c>
      <c r="M229" s="243" t="inlineStr">
        <is>
          <t>2025/</t>
        </is>
      </c>
      <c r="N229" s="275" t="n">
        <v>-0.0007999999999999829</v>
      </c>
      <c r="O229" s="251" t="inlineStr">
        <is>
          <t>no — 1 missing</t>
        </is>
      </c>
    </row>
    <row r="230">
      <c r="A230" s="243" t="n">
        <v>2</v>
      </c>
      <c r="B230" s="243" t="inlineStr">
        <is>
          <t>14.08.2026</t>
        </is>
      </c>
      <c r="C230" s="244" t="inlineStr">
        <is>
          <t>CC012603</t>
        </is>
      </c>
      <c r="D230" s="243" t="inlineStr">
        <is>
          <t>Cash Cow</t>
        </is>
      </c>
      <c r="E230" s="274" t="n">
        <v>56.18</v>
      </c>
      <c r="F230" s="243" t="inlineStr">
        <is>
          <t>10–13%</t>
        </is>
      </c>
      <c r="G230" s="275" t="n">
        <v>0.1232</v>
      </c>
      <c r="H230" s="243" t="inlineStr">
        <is>
          <t>P060372</t>
        </is>
      </c>
      <c r="I230" s="243" t="inlineStr">
        <is>
          <t>CC012603</t>
        </is>
      </c>
      <c r="J230" s="243" t="inlineStr">
        <is>
          <t>❌ 4 MISSING</t>
        </is>
      </c>
      <c r="K230" s="246" t="inlineStr">
        <is>
          <t>#8 LoD; #9 Microbiology (on file 09.09, not recorded); #11 Heavy metals; #12 Pesticides</t>
        </is>
      </c>
      <c r="L230" s="275" t="inlineStr">
        <is>
          <t>— none on the desk —</t>
        </is>
      </c>
      <c r="M230" s="243" t="inlineStr">
        <is>
          <t>—</t>
        </is>
      </c>
      <c r="N230" s="275" t="inlineStr">
        <is>
          <t>—</t>
        </is>
      </c>
      <c r="O230" s="251" t="inlineStr">
        <is>
          <t>no — 4 missing</t>
        </is>
      </c>
    </row>
    <row r="231">
      <c r="A231" s="243" t="n">
        <v>2</v>
      </c>
      <c r="B231" s="243" t="inlineStr">
        <is>
          <t>14.08.2026</t>
        </is>
      </c>
      <c r="C231" s="244" t="inlineStr">
        <is>
          <t>CF102501</t>
        </is>
      </c>
      <c r="D231" s="243" t="inlineStr">
        <is>
          <t>Chem Flyer</t>
        </is>
      </c>
      <c r="E231" s="274" t="n">
        <v>48.35</v>
      </c>
      <c r="F231" s="243" t="inlineStr">
        <is>
          <t>7–10%</t>
        </is>
      </c>
      <c r="G231" s="275" t="n">
        <v>0.0983</v>
      </c>
      <c r="H231" s="243" t="inlineStr">
        <is>
          <t>P060132</t>
        </is>
      </c>
      <c r="I231" s="243" t="inlineStr">
        <is>
          <t>CF102501</t>
        </is>
      </c>
      <c r="J231" s="243" t="inlineStr">
        <is>
          <t>○ 4 ON FILE, NOT RECORDED</t>
        </is>
      </c>
      <c r="K231" s="246" t="inlineStr">
        <is>
          <t>#8 LoD (on file 09.09, not recorded); #9 Microbiology (on file 09.09, not recorded); #11 Heavy metals (on file 09.09, not recorded); #12 Pesticides (on file 09.09, not recorded)</t>
        </is>
      </c>
      <c r="L231" s="275" t="inlineStr">
        <is>
          <t>— none on the desk —</t>
        </is>
      </c>
      <c r="M231" s="243" t="inlineStr">
        <is>
          <t>—</t>
        </is>
      </c>
      <c r="N231" s="275" t="inlineStr">
        <is>
          <t>—</t>
        </is>
      </c>
      <c r="O231" s="251" t="inlineStr">
        <is>
          <t>no — 4 on file, not recorded</t>
        </is>
      </c>
    </row>
    <row r="232">
      <c r="A232" s="243" t="n">
        <v>2</v>
      </c>
      <c r="B232" s="243" t="inlineStr">
        <is>
          <t>14.08.2026</t>
        </is>
      </c>
      <c r="C232" s="244" t="inlineStr">
        <is>
          <t>CJ062501/1</t>
        </is>
      </c>
      <c r="D232" s="243" t="inlineStr">
        <is>
          <t>Cap Junky</t>
        </is>
      </c>
      <c r="E232" s="274" t="n">
        <v>77.72</v>
      </c>
      <c r="F232" s="243" t="inlineStr">
        <is>
          <t>19–22%</t>
        </is>
      </c>
      <c r="G232" s="275" t="n">
        <v>0.2151</v>
      </c>
      <c r="H232" s="243" t="inlineStr">
        <is>
          <t>P050222</t>
        </is>
      </c>
      <c r="I232" s="243" t="inlineStr">
        <is>
          <t>CJ062501/1</t>
        </is>
      </c>
      <c r="J232" s="243" t="inlineStr">
        <is>
          <t>✓ COMPLETE</t>
        </is>
      </c>
      <c r="K232" s="246" t="inlineStr">
        <is>
          <t>—</t>
        </is>
      </c>
      <c r="L232" s="275" t="n">
        <v>0.2151</v>
      </c>
      <c r="M232" s="243" t="inlineStr">
        <is>
          <t>ППК25321</t>
        </is>
      </c>
      <c r="N232" s="275" t="n">
        <v>0</v>
      </c>
      <c r="O232" s="250" t="inlineStr">
        <is>
          <t>yes — all 12 determinations covered</t>
        </is>
      </c>
    </row>
    <row r="233">
      <c r="A233" s="243" t="n">
        <v>2</v>
      </c>
      <c r="B233" s="243" t="inlineStr">
        <is>
          <t>14.08.2026</t>
        </is>
      </c>
      <c r="C233" s="244" t="inlineStr">
        <is>
          <t>CJ082501/1</t>
        </is>
      </c>
      <c r="D233" s="243" t="inlineStr">
        <is>
          <t>Cap Junky</t>
        </is>
      </c>
      <c r="E233" s="274" t="n">
        <v>115.6</v>
      </c>
      <c r="F233" s="243" t="inlineStr">
        <is>
          <t>22–25%</t>
        </is>
      </c>
      <c r="G233" s="275" t="n">
        <v>0.2496</v>
      </c>
      <c r="H233" s="243" t="inlineStr">
        <is>
          <t>P060022</t>
        </is>
      </c>
      <c r="I233" s="243" t="inlineStr">
        <is>
          <t>CJ082501/1</t>
        </is>
      </c>
      <c r="J233" s="243" t="inlineStr">
        <is>
          <t>✓ COMPLETE</t>
        </is>
      </c>
      <c r="K233" s="246" t="inlineStr">
        <is>
          <t>—</t>
        </is>
      </c>
      <c r="L233" s="275" t="n">
        <v>0.2496</v>
      </c>
      <c r="M233" s="243" t="inlineStr">
        <is>
          <t>ППК26002</t>
        </is>
      </c>
      <c r="N233" s="275" t="n">
        <v>0</v>
      </c>
      <c r="O233" s="250" t="inlineStr">
        <is>
          <t>yes — all 12 determinations covered</t>
        </is>
      </c>
    </row>
    <row r="234">
      <c r="A234" s="243" t="n">
        <v>2</v>
      </c>
      <c r="B234" s="243" t="inlineStr">
        <is>
          <t>14.08.2026</t>
        </is>
      </c>
      <c r="C234" s="244" t="inlineStr">
        <is>
          <t>CJ092501</t>
        </is>
      </c>
      <c r="D234" s="243" t="inlineStr">
        <is>
          <t>Cap Junky</t>
        </is>
      </c>
      <c r="E234" s="274" t="n">
        <v>28.38</v>
      </c>
      <c r="F234" s="243" t="inlineStr">
        <is>
          <t>22–25%</t>
        </is>
      </c>
      <c r="G234" s="275" t="n">
        <v>0.223</v>
      </c>
      <c r="H234" s="243" t="inlineStr">
        <is>
          <t>P060072</t>
        </is>
      </c>
      <c r="I234" s="243" t="inlineStr">
        <is>
          <t>CJ092501</t>
        </is>
      </c>
      <c r="J234" s="243" t="inlineStr">
        <is>
          <t>✓ COMPLETE</t>
        </is>
      </c>
      <c r="K234" s="246" t="inlineStr">
        <is>
          <t>—</t>
        </is>
      </c>
      <c r="L234" s="275" t="n">
        <v>0.223</v>
      </c>
      <c r="M234" s="243" t="inlineStr">
        <is>
          <t>ППК26007</t>
        </is>
      </c>
      <c r="N234" s="275" t="n">
        <v>0</v>
      </c>
      <c r="O234" s="250" t="inlineStr">
        <is>
          <t>yes — all 12 determinations covered</t>
        </is>
      </c>
    </row>
    <row r="235">
      <c r="A235" s="243" t="n">
        <v>2</v>
      </c>
      <c r="B235" s="243" t="inlineStr">
        <is>
          <t>14.08.2026</t>
        </is>
      </c>
      <c r="C235" s="244" t="inlineStr">
        <is>
          <t>CLE072501</t>
        </is>
      </c>
      <c r="D235" s="243" t="inlineStr">
        <is>
          <t>Clemosa A Bud</t>
        </is>
      </c>
      <c r="E235" s="274" t="n">
        <v>27.07</v>
      </c>
      <c r="F235" s="243" t="inlineStr">
        <is>
          <t>7–10%</t>
        </is>
      </c>
      <c r="G235" s="275" t="n">
        <v>0.08019999999999999</v>
      </c>
      <c r="H235" s="243" t="inlineStr">
        <is>
          <t>P050282</t>
        </is>
      </c>
      <c r="I235" s="243" t="inlineStr">
        <is>
          <t>CLE072501</t>
        </is>
      </c>
      <c r="J235" s="243" t="inlineStr">
        <is>
          <t>✓ COMPLETE</t>
        </is>
      </c>
      <c r="K235" s="246" t="inlineStr">
        <is>
          <t>—</t>
        </is>
      </c>
      <c r="L235" s="275" t="n">
        <v>0.08019999999999999</v>
      </c>
      <c r="M235" s="243" t="inlineStr">
        <is>
          <t>ППК25370</t>
        </is>
      </c>
      <c r="N235" s="275" t="n">
        <v>0</v>
      </c>
      <c r="O235" s="250" t="inlineStr">
        <is>
          <t>yes — all 12 determinations covered</t>
        </is>
      </c>
    </row>
    <row r="236">
      <c r="A236" s="243" t="n">
        <v>2</v>
      </c>
      <c r="B236" s="243" t="inlineStr">
        <is>
          <t>14.08.2026</t>
        </is>
      </c>
      <c r="C236" s="244" t="inlineStr">
        <is>
          <t>FB012601/1</t>
        </is>
      </c>
      <c r="D236" s="243" t="inlineStr">
        <is>
          <t>Fat Bastard</t>
        </is>
      </c>
      <c r="E236" s="274" t="n">
        <v>8.85</v>
      </c>
      <c r="F236" s="243" t="inlineStr">
        <is>
          <t>13–16%</t>
        </is>
      </c>
      <c r="G236" s="275" t="n">
        <v>0.1468</v>
      </c>
      <c r="H236" s="243" t="inlineStr">
        <is>
          <t>P060322</t>
        </is>
      </c>
      <c r="I236" s="243" t="inlineStr">
        <is>
          <t>FB012601_1</t>
        </is>
      </c>
      <c r="J236" s="243" t="inlineStr">
        <is>
          <t>✓ COMPLETE</t>
        </is>
      </c>
      <c r="K236" s="246" t="inlineStr">
        <is>
          <t>—</t>
        </is>
      </c>
      <c r="L236" s="275" t="n">
        <v>0.1468</v>
      </c>
      <c r="M236" s="243" t="inlineStr">
        <is>
          <t>ППК26067</t>
        </is>
      </c>
      <c r="N236" s="275" t="n">
        <v>0</v>
      </c>
      <c r="O236" s="250" t="inlineStr">
        <is>
          <t>yes — all 12 determinations covered</t>
        </is>
      </c>
    </row>
    <row r="237">
      <c r="A237" s="243" t="n">
        <v>2</v>
      </c>
      <c r="B237" s="243" t="inlineStr">
        <is>
          <t>14.08.2026</t>
        </is>
      </c>
      <c r="C237" s="244" t="inlineStr">
        <is>
          <t>GG1024</t>
        </is>
      </c>
      <c r="D237" s="243" t="inlineStr">
        <is>
          <t>Gorilla Glue</t>
        </is>
      </c>
      <c r="E237" s="274" t="n">
        <v>44.84</v>
      </c>
      <c r="F237" s="243" t="inlineStr">
        <is>
          <t>13–16%</t>
        </is>
      </c>
      <c r="G237" s="275" t="n">
        <v>0.1334</v>
      </c>
      <c r="H237" s="243" t="inlineStr">
        <is>
          <t>—</t>
        </is>
      </c>
      <c r="I237" s="243" t="inlineStr">
        <is>
          <t>GG1024</t>
        </is>
      </c>
      <c r="J237" s="243" t="inlineStr">
        <is>
          <t>○ 4 ON FILE, NOT RECORDED</t>
        </is>
      </c>
      <c r="K237" s="246" t="inlineStr">
        <is>
          <t>#8 LoD (on file 09.09, not recorded); #9 Microbiology (on file 09.09, not recorded); #11 Heavy metals (on file 09.09, not recorded); #12 Pesticides (on file 09.09, not recorded)</t>
        </is>
      </c>
      <c r="L237" s="275" t="n">
        <v>0.1334</v>
      </c>
      <c r="M237" s="243" t="inlineStr">
        <is>
          <t>None</t>
        </is>
      </c>
      <c r="N237" s="275" t="n">
        <v>0</v>
      </c>
      <c r="O237" s="251" t="inlineStr">
        <is>
          <t>no — 4 on file, not recorded</t>
        </is>
      </c>
    </row>
    <row r="238">
      <c r="A238" s="243" t="n">
        <v>2</v>
      </c>
      <c r="B238" s="243" t="inlineStr">
        <is>
          <t>14.08.2026</t>
        </is>
      </c>
      <c r="C238" s="244" t="inlineStr">
        <is>
          <t>GP072501/2</t>
        </is>
      </c>
      <c r="D238" s="243" t="inlineStr">
        <is>
          <t>Grape Pie</t>
        </is>
      </c>
      <c r="E238" s="274" t="n">
        <v>13.63</v>
      </c>
      <c r="F238" s="243" t="inlineStr">
        <is>
          <t>19–22%</t>
        </is>
      </c>
      <c r="G238" s="275" t="n">
        <v>0.1981</v>
      </c>
      <c r="H238" s="243" t="inlineStr">
        <is>
          <t>P050302</t>
        </is>
      </c>
      <c r="I238" s="243" t="inlineStr">
        <is>
          <t>GP072501/2</t>
        </is>
      </c>
      <c r="J238" s="243" t="inlineStr">
        <is>
          <t>✓ COMPLETE</t>
        </is>
      </c>
      <c r="K238" s="246" t="inlineStr">
        <is>
          <t>—</t>
        </is>
      </c>
      <c r="L238" s="275" t="n">
        <v>0.1981</v>
      </c>
      <c r="M238" s="243" t="inlineStr">
        <is>
          <t>ППК25379</t>
        </is>
      </c>
      <c r="N238" s="275" t="n">
        <v>0</v>
      </c>
      <c r="O238" s="250" t="inlineStr">
        <is>
          <t>yes — all 12 determinations covered</t>
        </is>
      </c>
    </row>
    <row r="239">
      <c r="A239" s="243" t="n">
        <v>2</v>
      </c>
      <c r="B239" s="243" t="inlineStr">
        <is>
          <t>14.08.2026</t>
        </is>
      </c>
      <c r="C239" s="244" t="inlineStr">
        <is>
          <t>GP0824_03</t>
        </is>
      </c>
      <c r="D239" s="243" t="inlineStr">
        <is>
          <t>Grape Pie</t>
        </is>
      </c>
      <c r="E239" s="274" t="n">
        <v>237.67</v>
      </c>
      <c r="F239" s="243" t="inlineStr">
        <is>
          <t>≥ 25%</t>
        </is>
      </c>
      <c r="G239" s="275" t="n">
        <v>0.2545</v>
      </c>
      <c r="H239" s="243" t="inlineStr">
        <is>
          <t>P050072</t>
        </is>
      </c>
      <c r="I239" s="243" t="inlineStr">
        <is>
          <t>GP0824_03</t>
        </is>
      </c>
      <c r="J239" s="243" t="inlineStr">
        <is>
          <t>✓ COMPLETE</t>
        </is>
      </c>
      <c r="K239" s="246" t="inlineStr">
        <is>
          <t>—</t>
        </is>
      </c>
      <c r="L239" s="275" t="n">
        <v>0.2545</v>
      </c>
      <c r="M239" s="243" t="inlineStr">
        <is>
          <t>ППК25175</t>
        </is>
      </c>
      <c r="N239" s="275" t="n">
        <v>0</v>
      </c>
      <c r="O239" s="250" t="inlineStr">
        <is>
          <t>yes — all 12 determinations covered</t>
        </is>
      </c>
    </row>
    <row r="240">
      <c r="A240" s="243" t="n">
        <v>2</v>
      </c>
      <c r="B240" s="243" t="inlineStr">
        <is>
          <t>14.08.2026</t>
        </is>
      </c>
      <c r="C240" s="244" t="inlineStr">
        <is>
          <t>GP082501/1</t>
        </is>
      </c>
      <c r="D240" s="243" t="inlineStr">
        <is>
          <t>Grape Pie</t>
        </is>
      </c>
      <c r="E240" s="274" t="n">
        <v>200.42</v>
      </c>
      <c r="F240" s="243" t="inlineStr">
        <is>
          <t>19–22%</t>
        </is>
      </c>
      <c r="G240" s="275" t="n">
        <v>0.2129</v>
      </c>
      <c r="H240" s="243" t="inlineStr">
        <is>
          <t>P050312</t>
        </is>
      </c>
      <c r="I240" s="243" t="inlineStr">
        <is>
          <t>GP082501/1</t>
        </is>
      </c>
      <c r="J240" s="243" t="inlineStr">
        <is>
          <t>✓ COMPLETE</t>
        </is>
      </c>
      <c r="K240" s="246" t="inlineStr">
        <is>
          <t>—</t>
        </is>
      </c>
      <c r="L240" s="275" t="n">
        <v>0.2129</v>
      </c>
      <c r="M240" s="243" t="inlineStr">
        <is>
          <t>ППК25380</t>
        </is>
      </c>
      <c r="N240" s="275" t="n">
        <v>0</v>
      </c>
      <c r="O240" s="250" t="inlineStr">
        <is>
          <t>yes — all 12 determinations covered</t>
        </is>
      </c>
    </row>
    <row r="241">
      <c r="A241" s="243" t="n">
        <v>2</v>
      </c>
      <c r="B241" s="243" t="inlineStr">
        <is>
          <t>14.08.2026</t>
        </is>
      </c>
      <c r="C241" s="244" t="inlineStr">
        <is>
          <t>GP092501</t>
        </is>
      </c>
      <c r="D241" s="243" t="inlineStr">
        <is>
          <t>Grape Pie</t>
        </is>
      </c>
      <c r="E241" s="274" t="n">
        <v>171.03</v>
      </c>
      <c r="F241" s="243" t="inlineStr">
        <is>
          <t>≥ 25%</t>
        </is>
      </c>
      <c r="G241" s="275" t="n">
        <v>0.2573</v>
      </c>
      <c r="H241" s="243" t="inlineStr">
        <is>
          <t>P060092</t>
        </is>
      </c>
      <c r="I241" s="243" t="inlineStr">
        <is>
          <t>GP092501</t>
        </is>
      </c>
      <c r="J241" s="243" t="inlineStr">
        <is>
          <t>✓ COMPLETE</t>
        </is>
      </c>
      <c r="K241" s="246" t="inlineStr">
        <is>
          <t>—</t>
        </is>
      </c>
      <c r="L241" s="275" t="n">
        <v>0.2573</v>
      </c>
      <c r="M241" s="243" t="inlineStr">
        <is>
          <t>ППК26009</t>
        </is>
      </c>
      <c r="N241" s="275" t="n">
        <v>0</v>
      </c>
      <c r="O241" s="250" t="inlineStr">
        <is>
          <t>yes — all 12 determinations covered</t>
        </is>
      </c>
    </row>
    <row r="242">
      <c r="A242" s="243" t="n">
        <v>2</v>
      </c>
      <c r="B242" s="243" t="inlineStr">
        <is>
          <t>14.08.2026</t>
        </is>
      </c>
      <c r="C242" s="244" t="inlineStr">
        <is>
          <t>GRC102501/2</t>
        </is>
      </c>
      <c r="D242" s="243" t="inlineStr">
        <is>
          <t>Grapes And Cream</t>
        </is>
      </c>
      <c r="E242" s="274" t="n">
        <v>20.17</v>
      </c>
      <c r="F242" s="243" t="inlineStr">
        <is>
          <t>10–13%</t>
        </is>
      </c>
      <c r="G242" s="275" t="n">
        <v>0.1153</v>
      </c>
      <c r="H242" s="243" t="inlineStr">
        <is>
          <t>P060182</t>
        </is>
      </c>
      <c r="I242" s="243" t="inlineStr">
        <is>
          <t>GRC102501 (through its P lot; the desk row is the roll-up GRC102501)</t>
        </is>
      </c>
      <c r="J242" s="243" t="inlineStr">
        <is>
          <t>○ 2 ON FILE, NOT RECORDED</t>
        </is>
      </c>
      <c r="K242" s="246" t="inlineStr">
        <is>
          <t>#11 Heavy metals (on file 09.09, not recorded); #12 Pesticides (on file 09.09, not recorded)</t>
        </is>
      </c>
      <c r="L242" s="275" t="n">
        <v>0.1153</v>
      </c>
      <c r="M242" s="243" t="inlineStr">
        <is>
          <t>None</t>
        </is>
      </c>
      <c r="N242" s="275" t="n">
        <v>0</v>
      </c>
      <c r="O242" s="251" t="inlineStr">
        <is>
          <t>no — 2 on file, not recorded</t>
        </is>
      </c>
    </row>
    <row r="243">
      <c r="A243" s="243" t="n">
        <v>2</v>
      </c>
      <c r="B243" s="243" t="inlineStr">
        <is>
          <t>14.08.2026</t>
        </is>
      </c>
      <c r="C243" s="244" t="inlineStr">
        <is>
          <t>HPA052501</t>
        </is>
      </c>
      <c r="D243" s="243" t="inlineStr">
        <is>
          <t>High Pro Amnesia</t>
        </is>
      </c>
      <c r="E243" s="274" t="n">
        <v>249.95</v>
      </c>
      <c r="F243" s="243" t="inlineStr">
        <is>
          <t>19–22%</t>
        </is>
      </c>
      <c r="G243" s="275" t="n">
        <v>0.2039</v>
      </c>
      <c r="H243" s="243" t="inlineStr">
        <is>
          <t>P050182</t>
        </is>
      </c>
      <c r="I243" s="243" t="inlineStr">
        <is>
          <t>HPA052501</t>
        </is>
      </c>
      <c r="J243" s="243" t="inlineStr">
        <is>
          <t>✓ COMPLETE</t>
        </is>
      </c>
      <c r="K243" s="246" t="inlineStr">
        <is>
          <t>—</t>
        </is>
      </c>
      <c r="L243" s="275" t="n">
        <v>0.2039</v>
      </c>
      <c r="M243" s="243" t="inlineStr">
        <is>
          <t>ППК25278</t>
        </is>
      </c>
      <c r="N243" s="275" t="n">
        <v>0</v>
      </c>
      <c r="O243" s="250" t="inlineStr">
        <is>
          <t>yes — all 12 determinations covered</t>
        </is>
      </c>
    </row>
    <row r="244">
      <c r="A244" s="243" t="n">
        <v>2</v>
      </c>
      <c r="B244" s="243" t="inlineStr">
        <is>
          <t>14.08.2026</t>
        </is>
      </c>
      <c r="C244" s="244" t="inlineStr">
        <is>
          <t>JD012603/01</t>
        </is>
      </c>
      <c r="D244" s="243" t="inlineStr">
        <is>
          <t>Jelly Donuts</t>
        </is>
      </c>
      <c r="E244" s="274" t="n">
        <v>12</v>
      </c>
      <c r="F244" s="243" t="inlineStr">
        <is>
          <t>16–19%</t>
        </is>
      </c>
      <c r="G244" s="275" t="n">
        <v>0.1671</v>
      </c>
      <c r="H244" s="243" t="inlineStr">
        <is>
          <t>P060362</t>
        </is>
      </c>
      <c r="I244" s="243" t="inlineStr">
        <is>
          <t>JD012603 (through its P lot; the desk row is the roll-up JD012603)</t>
        </is>
      </c>
      <c r="J244" s="243" t="inlineStr">
        <is>
          <t>○ 3 ON FILE, NOT RECORDED</t>
        </is>
      </c>
      <c r="K244" s="246" t="inlineStr">
        <is>
          <t>#9 Microbiology (on file 09.09, not recorded); #11 Heavy metals (on file 09.09, not recorded); #12 Pesticides (on file 09.09, not recorded)</t>
        </is>
      </c>
      <c r="L244" s="275" t="inlineStr">
        <is>
          <t>— none on the desk —</t>
        </is>
      </c>
      <c r="M244" s="243" t="inlineStr">
        <is>
          <t>—</t>
        </is>
      </c>
      <c r="N244" s="275" t="inlineStr">
        <is>
          <t>—</t>
        </is>
      </c>
      <c r="O244" s="251" t="inlineStr">
        <is>
          <t>no — 3 on file, not recorded</t>
        </is>
      </c>
    </row>
    <row r="245">
      <c r="A245" s="243" t="n">
        <v>2</v>
      </c>
      <c r="B245" s="243" t="inlineStr">
        <is>
          <t>14.08.2026</t>
        </is>
      </c>
      <c r="C245" s="244" t="inlineStr">
        <is>
          <t>JD012603/02</t>
        </is>
      </c>
      <c r="D245" s="243" t="inlineStr">
        <is>
          <t>Jelly Donuts</t>
        </is>
      </c>
      <c r="E245" s="274" t="n">
        <v>46</v>
      </c>
      <c r="F245" s="243" t="inlineStr">
        <is>
          <t>13–16%</t>
        </is>
      </c>
      <c r="G245" s="275" t="n">
        <v>0.133</v>
      </c>
      <c r="H245" s="243" t="inlineStr">
        <is>
          <t>P060412</t>
        </is>
      </c>
      <c r="I245" s="243" t="inlineStr">
        <is>
          <t>JD012603 (through its P lot; the desk row is the roll-up JD012603)</t>
        </is>
      </c>
      <c r="J245" s="243" t="inlineStr">
        <is>
          <t>○ 3 ON FILE, NOT RECORDED</t>
        </is>
      </c>
      <c r="K245" s="246" t="inlineStr">
        <is>
          <t>#9 Microbiology (on file 09.09, not recorded); #11 Heavy metals (on file 09.09, not recorded); #12 Pesticides (on file 09.09, not recorded)</t>
        </is>
      </c>
      <c r="L245" s="276" t="n">
        <v>0.2054</v>
      </c>
      <c r="M245" s="277" t="inlineStr">
        <is>
          <t>ППК26113</t>
        </is>
      </c>
      <c r="N245" s="276" t="n">
        <v>0.07239999999999998</v>
      </c>
      <c r="O245" s="278" t="inlineStr">
        <is>
          <t>no — 3 on file, not recorded  |  POTENCY: the certificate reads 20.54 %, outside the 13–16% it was delivered under</t>
        </is>
      </c>
    </row>
    <row r="246">
      <c r="A246" s="243" t="n">
        <v>2</v>
      </c>
      <c r="B246" s="243" t="inlineStr">
        <is>
          <t>14.08.2026</t>
        </is>
      </c>
      <c r="C246" s="244" t="inlineStr">
        <is>
          <t>JD012603/02V</t>
        </is>
      </c>
      <c r="D246" s="243" t="inlineStr">
        <is>
          <t>Jelly Donuts</t>
        </is>
      </c>
      <c r="E246" s="274" t="n">
        <v>11</v>
      </c>
      <c r="F246" s="243" t="inlineStr">
        <is>
          <t>13–16%</t>
        </is>
      </c>
      <c r="G246" s="275" t="n">
        <v>0.1497</v>
      </c>
      <c r="H246" s="243" t="inlineStr">
        <is>
          <t>P060422</t>
        </is>
      </c>
      <c r="I246" s="243" t="inlineStr">
        <is>
          <t>JD012603 (through its P lot; the desk row is the roll-up JD012603)</t>
        </is>
      </c>
      <c r="J246" s="243" t="inlineStr">
        <is>
          <t>○ 3 ON FILE, NOT RECORDED</t>
        </is>
      </c>
      <c r="K246" s="246" t="inlineStr">
        <is>
          <t>#9 Microbiology (on file 09.09, not recorded); #11 Heavy metals (on file 09.09, not recorded); #12 Pesticides (on file 09.09, not recorded)</t>
        </is>
      </c>
      <c r="L246" s="275" t="n">
        <v>0.1516</v>
      </c>
      <c r="M246" s="243" t="inlineStr">
        <is>
          <t>ППК26111</t>
        </is>
      </c>
      <c r="N246" s="275" t="n">
        <v>0.001899999999999995</v>
      </c>
      <c r="O246" s="251" t="inlineStr">
        <is>
          <t>no — 3 on file, not recorded</t>
        </is>
      </c>
    </row>
    <row r="247">
      <c r="A247" s="243" t="n">
        <v>2</v>
      </c>
      <c r="B247" s="243" t="inlineStr">
        <is>
          <t>14.08.2026</t>
        </is>
      </c>
      <c r="C247" s="244" t="inlineStr">
        <is>
          <t>KC102501</t>
        </is>
      </c>
      <c r="D247" s="243" t="inlineStr">
        <is>
          <t>Kush Crasher</t>
        </is>
      </c>
      <c r="E247" s="274" t="n">
        <v>21.67</v>
      </c>
      <c r="F247" s="243" t="inlineStr">
        <is>
          <t>16–19%</t>
        </is>
      </c>
      <c r="G247" s="275" t="n">
        <v>0.174</v>
      </c>
      <c r="H247" s="243" t="inlineStr">
        <is>
          <t>P060172</t>
        </is>
      </c>
      <c r="I247" s="243" t="inlineStr">
        <is>
          <t>KC102501</t>
        </is>
      </c>
      <c r="J247" s="243" t="inlineStr">
        <is>
          <t>○ 3 ON FILE, NOT RECORDED</t>
        </is>
      </c>
      <c r="K247" s="246" t="inlineStr">
        <is>
          <t>#9 Microbiology (on file 09.09, not recorded); #11 Heavy metals (on file 09.09, not recorded); #12 Pesticides (on file 09.09, not recorded)</t>
        </is>
      </c>
      <c r="L247" s="275" t="n">
        <v>0.1704</v>
      </c>
      <c r="M247" s="243" t="inlineStr">
        <is>
          <t>051-4-К/26</t>
        </is>
      </c>
      <c r="N247" s="275" t="n">
        <v>-0.003599999999999994</v>
      </c>
      <c r="O247" s="251" t="inlineStr">
        <is>
          <t>no — 3 on file, not recorded</t>
        </is>
      </c>
    </row>
    <row r="248">
      <c r="A248" s="243" t="n">
        <v>2</v>
      </c>
      <c r="B248" s="243" t="inlineStr">
        <is>
          <t>14.08.2026</t>
        </is>
      </c>
      <c r="C248" s="244" t="inlineStr">
        <is>
          <t>MB0824_05</t>
        </is>
      </c>
      <c r="D248" s="243" t="inlineStr">
        <is>
          <t>Motor Breath</t>
        </is>
      </c>
      <c r="E248" s="274" t="n">
        <v>244.06</v>
      </c>
      <c r="F248" s="243" t="inlineStr">
        <is>
          <t>16–19%</t>
        </is>
      </c>
      <c r="G248" s="275" t="n">
        <v>0.1682</v>
      </c>
      <c r="H248" s="243" t="inlineStr">
        <is>
          <t>P050112</t>
        </is>
      </c>
      <c r="I248" s="243" t="inlineStr">
        <is>
          <t>MB0824_05</t>
        </is>
      </c>
      <c r="J248" s="243" t="inlineStr">
        <is>
          <t>✓ COMPLETE</t>
        </is>
      </c>
      <c r="K248" s="246" t="inlineStr">
        <is>
          <t>—</t>
        </is>
      </c>
      <c r="L248" s="275" t="n">
        <v>0.1682</v>
      </c>
      <c r="M248" s="243" t="inlineStr">
        <is>
          <t>None</t>
        </is>
      </c>
      <c r="N248" s="275" t="n">
        <v>0</v>
      </c>
      <c r="O248" s="250" t="inlineStr">
        <is>
          <t>yes — all 12 determinations covered</t>
        </is>
      </c>
    </row>
    <row r="249">
      <c r="A249" s="243" t="n">
        <v>2</v>
      </c>
      <c r="B249" s="243" t="inlineStr">
        <is>
          <t>14.08.2026</t>
        </is>
      </c>
      <c r="C249" s="244" t="inlineStr">
        <is>
          <t>OMP1024_01</t>
        </is>
      </c>
      <c r="D249" s="243" t="inlineStr">
        <is>
          <t>Orange Punch Mimosa</t>
        </is>
      </c>
      <c r="E249" s="274" t="n">
        <v>213.59</v>
      </c>
      <c r="F249" s="243" t="inlineStr">
        <is>
          <t>13–16%</t>
        </is>
      </c>
      <c r="G249" s="275" t="n">
        <v>0.1538</v>
      </c>
      <c r="H249" s="243" t="inlineStr">
        <is>
          <t>P050042</t>
        </is>
      </c>
      <c r="I249" s="243" t="inlineStr">
        <is>
          <t>OMP1024_01</t>
        </is>
      </c>
      <c r="J249" s="243" t="inlineStr">
        <is>
          <t>✓ COMPLETE</t>
        </is>
      </c>
      <c r="K249" s="246" t="inlineStr">
        <is>
          <t>—</t>
        </is>
      </c>
      <c r="L249" s="275" t="inlineStr">
        <is>
          <t>— none on the desk —</t>
        </is>
      </c>
      <c r="M249" s="243" t="inlineStr">
        <is>
          <t>—</t>
        </is>
      </c>
      <c r="N249" s="275" t="inlineStr">
        <is>
          <t>—</t>
        </is>
      </c>
      <c r="O249" s="250" t="inlineStr">
        <is>
          <t>yes — all 12 determinations covered</t>
        </is>
      </c>
    </row>
    <row r="250">
      <c r="A250" s="243" t="n">
        <v>2</v>
      </c>
      <c r="B250" s="243" t="inlineStr">
        <is>
          <t>14.08.2026</t>
        </is>
      </c>
      <c r="C250" s="244" t="inlineStr">
        <is>
          <t>OPM092501</t>
        </is>
      </c>
      <c r="D250" s="243" t="inlineStr">
        <is>
          <t>Orange Punch Mimosa</t>
        </is>
      </c>
      <c r="E250" s="274" t="n">
        <v>14.76</v>
      </c>
      <c r="F250" s="243" t="inlineStr">
        <is>
          <t>7–10%</t>
        </is>
      </c>
      <c r="G250" s="275" t="n">
        <v>0.09429999999999999</v>
      </c>
      <c r="H250" s="243" t="inlineStr">
        <is>
          <t>P060042</t>
        </is>
      </c>
      <c r="I250" s="243" t="inlineStr">
        <is>
          <t>OPM092501</t>
        </is>
      </c>
      <c r="J250" s="243" t="inlineStr">
        <is>
          <t>✓ COMPLETE</t>
        </is>
      </c>
      <c r="K250" s="246" t="inlineStr">
        <is>
          <t>—</t>
        </is>
      </c>
      <c r="L250" s="275" t="n">
        <v>0.09429999999999999</v>
      </c>
      <c r="M250" s="243" t="inlineStr">
        <is>
          <t>ППК26008</t>
        </is>
      </c>
      <c r="N250" s="275" t="n">
        <v>0</v>
      </c>
      <c r="O250" s="250" t="inlineStr">
        <is>
          <t>yes — all 12 determinations covered</t>
        </is>
      </c>
    </row>
    <row r="251">
      <c r="A251" s="243" t="n">
        <v>2</v>
      </c>
      <c r="B251" s="243" t="inlineStr">
        <is>
          <t>14.08.2026</t>
        </is>
      </c>
      <c r="C251" s="244" t="inlineStr">
        <is>
          <t>OPM1024_03</t>
        </is>
      </c>
      <c r="D251" s="243" t="inlineStr">
        <is>
          <t>Orange Punch Mimosa</t>
        </is>
      </c>
      <c r="E251" s="274" t="n">
        <v>267.59</v>
      </c>
      <c r="F251" s="243" t="inlineStr">
        <is>
          <t>16–19%</t>
        </is>
      </c>
      <c r="G251" s="275" t="n">
        <v>0.1655</v>
      </c>
      <c r="H251" s="243" t="inlineStr">
        <is>
          <t>P050082</t>
        </is>
      </c>
      <c r="I251" s="243" t="inlineStr">
        <is>
          <t>OPM1024_03</t>
        </is>
      </c>
      <c r="J251" s="243" t="inlineStr">
        <is>
          <t>✓ COMPLETE</t>
        </is>
      </c>
      <c r="K251" s="246" t="inlineStr">
        <is>
          <t>—</t>
        </is>
      </c>
      <c r="L251" s="275" t="n">
        <v>0.1655</v>
      </c>
      <c r="M251" s="243" t="inlineStr">
        <is>
          <t>ППК25210</t>
        </is>
      </c>
      <c r="N251" s="275" t="n">
        <v>0</v>
      </c>
      <c r="O251" s="250" t="inlineStr">
        <is>
          <t>yes — all 12 determinations covered</t>
        </is>
      </c>
    </row>
    <row r="252">
      <c r="A252" s="243" t="n">
        <v>2</v>
      </c>
      <c r="B252" s="243" t="inlineStr">
        <is>
          <t>14.08.2026</t>
        </is>
      </c>
      <c r="C252" s="244" t="inlineStr">
        <is>
          <t>PM112501</t>
        </is>
      </c>
      <c r="D252" s="243" t="inlineStr">
        <is>
          <t>Permanent Marker</t>
        </is>
      </c>
      <c r="E252" s="274" t="n">
        <v>48.09</v>
      </c>
      <c r="F252" s="243" t="inlineStr">
        <is>
          <t>13–16%</t>
        </is>
      </c>
      <c r="G252" s="275" t="n">
        <v>0.13</v>
      </c>
      <c r="H252" s="243" t="inlineStr">
        <is>
          <t>P060232</t>
        </is>
      </c>
      <c r="I252" s="243" t="inlineStr">
        <is>
          <t>PM112501</t>
        </is>
      </c>
      <c r="J252" s="243" t="inlineStr">
        <is>
          <t>○ 3 ON FILE, NOT RECORDED</t>
        </is>
      </c>
      <c r="K252" s="246" t="inlineStr">
        <is>
          <t>#9 Microbiology (on file 09.09, not recorded); #11 Heavy metals (on file 09.09, not recorded); #12 Pesticides (on file 09.09, not recorded)</t>
        </is>
      </c>
      <c r="L252" s="275" t="n">
        <v>0.1333</v>
      </c>
      <c r="M252" s="243" t="inlineStr">
        <is>
          <t>ППК26030</t>
        </is>
      </c>
      <c r="N252" s="275" t="n">
        <v>0.003300000000000001</v>
      </c>
      <c r="O252" s="251" t="inlineStr">
        <is>
          <t>no — 3 on file, not recorded</t>
        </is>
      </c>
    </row>
    <row r="253">
      <c r="A253" s="243" t="n">
        <v>2</v>
      </c>
      <c r="B253" s="243" t="inlineStr">
        <is>
          <t>14.08.2026</t>
        </is>
      </c>
      <c r="C253" s="244" t="inlineStr">
        <is>
          <t>PUM102501</t>
        </is>
      </c>
      <c r="D253" s="243" t="inlineStr">
        <is>
          <t>Pure Michigen</t>
        </is>
      </c>
      <c r="E253" s="274" t="n">
        <v>49.91</v>
      </c>
      <c r="F253" s="243" t="inlineStr">
        <is>
          <t>13–16%</t>
        </is>
      </c>
      <c r="G253" s="275" t="n">
        <v>0.1563</v>
      </c>
      <c r="H253" s="243" t="inlineStr">
        <is>
          <t>P060112</t>
        </is>
      </c>
      <c r="I253" s="243" t="inlineStr">
        <is>
          <t>PUM102501</t>
        </is>
      </c>
      <c r="J253" s="243" t="inlineStr">
        <is>
          <t>○ 4 ON FILE, NOT RECORDED</t>
        </is>
      </c>
      <c r="K253" s="246" t="inlineStr">
        <is>
          <t>#8 LoD (on file 09.09, not recorded); #9 Microbiology (on file 09.09, not recorded); #11 Heavy metals (on file 09.09, not recorded); #12 Pesticides (on file 09.09, not recorded)</t>
        </is>
      </c>
      <c r="L253" s="275" t="inlineStr">
        <is>
          <t>— none on the desk —</t>
        </is>
      </c>
      <c r="M253" s="243" t="inlineStr">
        <is>
          <t>—</t>
        </is>
      </c>
      <c r="N253" s="275" t="inlineStr">
        <is>
          <t>—</t>
        </is>
      </c>
      <c r="O253" s="251" t="inlineStr">
        <is>
          <t>no — 4 on file, not recorded</t>
        </is>
      </c>
    </row>
    <row r="254">
      <c r="A254" s="243" t="n">
        <v>2</v>
      </c>
      <c r="B254" s="243" t="inlineStr">
        <is>
          <t>14.08.2026</t>
        </is>
      </c>
      <c r="C254" s="244" t="inlineStr">
        <is>
          <t>SCR112501</t>
        </is>
      </c>
      <c r="D254" s="243" t="inlineStr">
        <is>
          <t>Scrambler</t>
        </is>
      </c>
      <c r="E254" s="274" t="n">
        <v>23.44</v>
      </c>
      <c r="F254" s="243" t="inlineStr">
        <is>
          <t>16–19%</t>
        </is>
      </c>
      <c r="G254" s="275" t="n">
        <v>0.1713</v>
      </c>
      <c r="H254" s="243" t="inlineStr">
        <is>
          <t>P060282</t>
        </is>
      </c>
      <c r="I254" s="243" t="inlineStr">
        <is>
          <t>SCR112501</t>
        </is>
      </c>
      <c r="J254" s="243" t="inlineStr">
        <is>
          <t>✓ COMPLETE</t>
        </is>
      </c>
      <c r="K254" s="246" t="inlineStr">
        <is>
          <t>—</t>
        </is>
      </c>
      <c r="L254" s="275" t="n">
        <v>0.1713</v>
      </c>
      <c r="M254" s="243" t="inlineStr">
        <is>
          <t>ППК26069</t>
        </is>
      </c>
      <c r="N254" s="275" t="n">
        <v>0</v>
      </c>
      <c r="O254" s="250" t="inlineStr">
        <is>
          <t>yes — all 12 determinations covered</t>
        </is>
      </c>
    </row>
    <row r="255">
      <c r="A255" s="243" t="n">
        <v>2</v>
      </c>
      <c r="B255" s="243" t="inlineStr">
        <is>
          <t>14.08.2026</t>
        </is>
      </c>
      <c r="C255" s="244" t="inlineStr">
        <is>
          <t>SJ092501</t>
        </is>
      </c>
      <c r="D255" s="243" t="inlineStr">
        <is>
          <t>Sleepy Joe</t>
        </is>
      </c>
      <c r="E255" s="274" t="n">
        <v>28.68</v>
      </c>
      <c r="F255" s="243" t="inlineStr">
        <is>
          <t>10–13%</t>
        </is>
      </c>
      <c r="G255" s="275" t="n">
        <v>0.1096</v>
      </c>
      <c r="H255" s="243" t="inlineStr">
        <is>
          <t>—</t>
        </is>
      </c>
      <c r="I255" s="243" t="inlineStr">
        <is>
          <t>SJ0925021 (through the certificates that print this batch (85/2026, 9/0012/26, ППК26006); the desk names the lot SJ0925021)</t>
        </is>
      </c>
      <c r="J255" s="243" t="inlineStr">
        <is>
          <t>✓ COMPLETE</t>
        </is>
      </c>
      <c r="K255" s="246" t="inlineStr">
        <is>
          <t>—</t>
        </is>
      </c>
      <c r="L255" s="275" t="n">
        <v>0.1096</v>
      </c>
      <c r="M255" s="243" t="inlineStr">
        <is>
          <t>ППК26006</t>
        </is>
      </c>
      <c r="N255" s="275" t="n">
        <v>0</v>
      </c>
      <c r="O255" s="250" t="inlineStr">
        <is>
          <t>yes — all 12 determinations covered</t>
        </is>
      </c>
    </row>
    <row r="256">
      <c r="A256" s="243" t="n">
        <v>2</v>
      </c>
      <c r="B256" s="243" t="inlineStr">
        <is>
          <t>14.08.2026</t>
        </is>
      </c>
      <c r="C256" s="244" t="inlineStr">
        <is>
          <t>WC082501</t>
        </is>
      </c>
      <c r="D256" s="243" t="inlineStr">
        <is>
          <t>Wedding Crusher</t>
        </is>
      </c>
      <c r="E256" s="274" t="n">
        <v>82.63</v>
      </c>
      <c r="F256" s="243" t="inlineStr">
        <is>
          <t>19–22%</t>
        </is>
      </c>
      <c r="G256" s="275" t="n">
        <v>0.2167</v>
      </c>
      <c r="H256" s="243" t="inlineStr">
        <is>
          <t>P060012</t>
        </is>
      </c>
      <c r="I256" s="243" t="inlineStr">
        <is>
          <t>WC082501</t>
        </is>
      </c>
      <c r="J256" s="243" t="inlineStr">
        <is>
          <t>✓ COMPLETE</t>
        </is>
      </c>
      <c r="K256" s="246" t="inlineStr">
        <is>
          <t>—</t>
        </is>
      </c>
      <c r="L256" s="275" t="n">
        <v>0.2167</v>
      </c>
      <c r="M256" s="243" t="inlineStr">
        <is>
          <t>ППК26001</t>
        </is>
      </c>
      <c r="N256" s="275" t="n">
        <v>0</v>
      </c>
      <c r="O256" s="250" t="inlineStr">
        <is>
          <t>yes — all 12 determinations covered</t>
        </is>
      </c>
    </row>
    <row r="257">
      <c r="A257" s="243" t="n">
        <v>3</v>
      </c>
      <c r="B257" s="243" t="inlineStr">
        <is>
          <t>28.08.2026</t>
        </is>
      </c>
      <c r="C257" s="244" t="inlineStr">
        <is>
          <t>AB092501</t>
        </is>
      </c>
      <c r="D257" s="243" t="inlineStr">
        <is>
          <t>Apple and Banana</t>
        </is>
      </c>
      <c r="E257" s="274" t="n">
        <v>24.37</v>
      </c>
      <c r="F257" s="243" t="inlineStr">
        <is>
          <t>16–19%</t>
        </is>
      </c>
      <c r="G257" s="275" t="n">
        <v>0.1693</v>
      </c>
      <c r="H257" s="243" t="inlineStr">
        <is>
          <t>P060052</t>
        </is>
      </c>
      <c r="I257" s="243" t="inlineStr">
        <is>
          <t>AB092501</t>
        </is>
      </c>
      <c r="J257" s="243" t="inlineStr">
        <is>
          <t>✓ COMPLETE</t>
        </is>
      </c>
      <c r="K257" s="246" t="inlineStr">
        <is>
          <t>—</t>
        </is>
      </c>
      <c r="L257" s="275" t="n">
        <v>0.1693</v>
      </c>
      <c r="M257" s="243" t="inlineStr">
        <is>
          <t>ППК26005</t>
        </is>
      </c>
      <c r="N257" s="275" t="n">
        <v>0</v>
      </c>
      <c r="O257" s="250" t="inlineStr">
        <is>
          <t>yes — all 12 determinations covered</t>
        </is>
      </c>
    </row>
    <row r="258">
      <c r="A258" s="243" t="n">
        <v>3</v>
      </c>
      <c r="B258" s="243" t="inlineStr">
        <is>
          <t>28.08.2026</t>
        </is>
      </c>
      <c r="C258" s="244" t="inlineStr">
        <is>
          <t>BSS1024_01/1</t>
        </is>
      </c>
      <c r="D258" s="243" t="inlineStr">
        <is>
          <t>Blue Sunset Sherbet</t>
        </is>
      </c>
      <c r="E258" s="274" t="n">
        <v>251.02</v>
      </c>
      <c r="F258" s="243" t="inlineStr">
        <is>
          <t>22–25%</t>
        </is>
      </c>
      <c r="G258" s="275" t="n">
        <v>0.2342</v>
      </c>
      <c r="H258" s="243" t="inlineStr">
        <is>
          <t>P050122</t>
        </is>
      </c>
      <c r="I258" s="243" t="inlineStr">
        <is>
          <t>BSS1024_01/1</t>
        </is>
      </c>
      <c r="J258" s="243" t="inlineStr">
        <is>
          <t>✓ COMPLETE</t>
        </is>
      </c>
      <c r="K258" s="246" t="inlineStr">
        <is>
          <t>—</t>
        </is>
      </c>
      <c r="L258" s="275" t="inlineStr">
        <is>
          <t>— none on the desk —</t>
        </is>
      </c>
      <c r="M258" s="243" t="inlineStr">
        <is>
          <t>—</t>
        </is>
      </c>
      <c r="N258" s="275" t="inlineStr">
        <is>
          <t>—</t>
        </is>
      </c>
      <c r="O258" s="250" t="inlineStr">
        <is>
          <t>yes — all 12 determinations covered</t>
        </is>
      </c>
    </row>
    <row r="259">
      <c r="A259" s="243" t="n">
        <v>3</v>
      </c>
      <c r="B259" s="243" t="inlineStr">
        <is>
          <t>28.08.2026</t>
        </is>
      </c>
      <c r="C259" s="244" t="inlineStr">
        <is>
          <t>CC112501</t>
        </is>
      </c>
      <c r="D259" s="243" t="inlineStr">
        <is>
          <t>Cash Cow</t>
        </is>
      </c>
      <c r="E259" s="274" t="n">
        <v>13.94</v>
      </c>
      <c r="F259" s="243" t="inlineStr">
        <is>
          <t>13–16%</t>
        </is>
      </c>
      <c r="G259" s="275" t="n">
        <v>0.1335</v>
      </c>
      <c r="H259" s="243" t="inlineStr">
        <is>
          <t>P060272</t>
        </is>
      </c>
      <c r="I259" s="243" t="inlineStr">
        <is>
          <t>CC112501</t>
        </is>
      </c>
      <c r="J259" s="243" t="inlineStr">
        <is>
          <t>✓ COMPLETE</t>
        </is>
      </c>
      <c r="K259" s="246" t="inlineStr">
        <is>
          <t>—</t>
        </is>
      </c>
      <c r="L259" s="275" t="n">
        <v>0.1335</v>
      </c>
      <c r="M259" s="243" t="inlineStr">
        <is>
          <t>ППК26068</t>
        </is>
      </c>
      <c r="N259" s="275" t="n">
        <v>0</v>
      </c>
      <c r="O259" s="250" t="inlineStr">
        <is>
          <t>yes — all 12 determinations covered</t>
        </is>
      </c>
    </row>
    <row r="260">
      <c r="A260" s="243" t="n">
        <v>3</v>
      </c>
      <c r="B260" s="243" t="inlineStr">
        <is>
          <t>28.08.2026</t>
        </is>
      </c>
      <c r="C260" s="244" t="inlineStr">
        <is>
          <t>CJ052501/02</t>
        </is>
      </c>
      <c r="D260" s="243" t="inlineStr">
        <is>
          <t>Cap Junky</t>
        </is>
      </c>
      <c r="E260" s="274" t="n">
        <v>43.95</v>
      </c>
      <c r="F260" s="243" t="inlineStr">
        <is>
          <t>13–16%</t>
        </is>
      </c>
      <c r="G260" s="275" t="n">
        <v>0.1449</v>
      </c>
      <c r="H260" s="243" t="inlineStr">
        <is>
          <t>P050172</t>
        </is>
      </c>
      <c r="I260" s="243" t="inlineStr">
        <is>
          <t>CJ052501/02</t>
        </is>
      </c>
      <c r="J260" s="243" t="inlineStr">
        <is>
          <t>✓ COMPLETE</t>
        </is>
      </c>
      <c r="K260" s="246" t="inlineStr">
        <is>
          <t>—</t>
        </is>
      </c>
      <c r="L260" s="275" t="n">
        <v>0.1493</v>
      </c>
      <c r="M260" s="243" t="inlineStr">
        <is>
          <t>ППК25281</t>
        </is>
      </c>
      <c r="N260" s="275" t="n">
        <v>0.004399999999999995</v>
      </c>
      <c r="O260" s="250" t="inlineStr">
        <is>
          <t>yes — all 12 determinations covered</t>
        </is>
      </c>
    </row>
    <row r="261">
      <c r="A261" s="243" t="n">
        <v>3</v>
      </c>
      <c r="B261" s="243" t="inlineStr">
        <is>
          <t>28.08.2026</t>
        </is>
      </c>
      <c r="C261" s="244" t="inlineStr">
        <is>
          <t>CJ072501</t>
        </is>
      </c>
      <c r="D261" s="243" t="inlineStr">
        <is>
          <t>Cap Junky</t>
        </is>
      </c>
      <c r="E261" s="274" t="n">
        <v>39.72</v>
      </c>
      <c r="F261" s="243" t="inlineStr">
        <is>
          <t>22–25%</t>
        </is>
      </c>
      <c r="G261" s="275" t="n">
        <v>0.237</v>
      </c>
      <c r="H261" s="243" t="inlineStr">
        <is>
          <t>P050252</t>
        </is>
      </c>
      <c r="I261" s="243" t="inlineStr">
        <is>
          <t>CJ072501</t>
        </is>
      </c>
      <c r="J261" s="243" t="inlineStr">
        <is>
          <t>✓ COMPLETE</t>
        </is>
      </c>
      <c r="K261" s="246" t="inlineStr">
        <is>
          <t>—</t>
        </is>
      </c>
      <c r="L261" s="275" t="n">
        <v>0.237</v>
      </c>
      <c r="M261" s="243" t="inlineStr">
        <is>
          <t>ППК25367</t>
        </is>
      </c>
      <c r="N261" s="275" t="n">
        <v>0</v>
      </c>
      <c r="O261" s="250" t="inlineStr">
        <is>
          <t>yes — all 12 determinations covered</t>
        </is>
      </c>
    </row>
    <row r="262">
      <c r="A262" s="243" t="n">
        <v>3</v>
      </c>
      <c r="B262" s="243" t="inlineStr">
        <is>
          <t>28.08.2026</t>
        </is>
      </c>
      <c r="C262" s="244" t="inlineStr">
        <is>
          <t>CJ1024</t>
        </is>
      </c>
      <c r="D262" s="243" t="inlineStr">
        <is>
          <t>Cap Junky</t>
        </is>
      </c>
      <c r="E262" s="274" t="n">
        <v>21.21</v>
      </c>
      <c r="F262" s="243" t="inlineStr">
        <is>
          <t>22–25%</t>
        </is>
      </c>
      <c r="G262" s="275" t="n">
        <v>0.23</v>
      </c>
      <c r="H262" s="243" t="inlineStr">
        <is>
          <t>—</t>
        </is>
      </c>
      <c r="I262" s="243" t="inlineStr">
        <is>
          <t>CJ1024</t>
        </is>
      </c>
      <c r="J262" s="243" t="inlineStr">
        <is>
          <t>✓ COMPLETE</t>
        </is>
      </c>
      <c r="K262" s="246" t="inlineStr">
        <is>
          <t>—</t>
        </is>
      </c>
      <c r="L262" s="275" t="n">
        <v>0.23</v>
      </c>
      <c r="M262" s="243" t="inlineStr">
        <is>
          <t>ППК25052</t>
        </is>
      </c>
      <c r="N262" s="275" t="n">
        <v>0</v>
      </c>
      <c r="O262" s="250" t="inlineStr">
        <is>
          <t>yes — all 12 determinations covered</t>
        </is>
      </c>
    </row>
    <row r="263">
      <c r="A263" s="243" t="n">
        <v>3</v>
      </c>
      <c r="B263" s="243" t="inlineStr">
        <is>
          <t>28.08.2026</t>
        </is>
      </c>
      <c r="C263" s="244" t="inlineStr">
        <is>
          <t>FB012603</t>
        </is>
      </c>
      <c r="D263" s="243" t="inlineStr">
        <is>
          <t>Fat Bastard</t>
        </is>
      </c>
      <c r="E263" s="274" t="n">
        <v>75</v>
      </c>
      <c r="F263" s="243" t="inlineStr">
        <is>
          <t>13–16%</t>
        </is>
      </c>
      <c r="G263" s="275" t="n">
        <v>0.1465</v>
      </c>
      <c r="H263" s="243" t="inlineStr">
        <is>
          <t>P060432</t>
        </is>
      </c>
      <c r="I263" s="243" t="inlineStr">
        <is>
          <t>FB012603</t>
        </is>
      </c>
      <c r="J263" s="243" t="inlineStr">
        <is>
          <t>○ 3 ON FILE, NOT RECORDED</t>
        </is>
      </c>
      <c r="K263" s="246" t="inlineStr">
        <is>
          <t>#10 Mycotoxins (on file 09.09, not recorded); #11 Heavy metals (on file 09.09, not recorded); #12 Pesticides (on file 09.09, not recorded)</t>
        </is>
      </c>
      <c r="L263" s="276" t="n">
        <v>0.2083</v>
      </c>
      <c r="M263" s="277" t="inlineStr">
        <is>
          <t>ППК26112</t>
        </is>
      </c>
      <c r="N263" s="276" t="n">
        <v>0.06179999999999998</v>
      </c>
      <c r="O263" s="278" t="inlineStr">
        <is>
          <t>no — 3 on file, not recorded  |  POTENCY: the certificate reads 20.83 %, outside the 13–16% it was delivered under</t>
        </is>
      </c>
    </row>
    <row r="264">
      <c r="A264" s="243" t="n">
        <v>3</v>
      </c>
      <c r="B264" s="243" t="inlineStr">
        <is>
          <t>28.08.2026</t>
        </is>
      </c>
      <c r="C264" s="244" t="inlineStr">
        <is>
          <t>FB012603V</t>
        </is>
      </c>
      <c r="D264" s="243" t="inlineStr">
        <is>
          <t>Fat Bastard</t>
        </is>
      </c>
      <c r="E264" s="274" t="n">
        <v>16</v>
      </c>
      <c r="F264" s="243" t="inlineStr">
        <is>
          <t>13–16%</t>
        </is>
      </c>
      <c r="G264" s="275" t="n">
        <v>0.156</v>
      </c>
      <c r="H264" s="243" t="inlineStr">
        <is>
          <t>P060392</t>
        </is>
      </c>
      <c r="I264" s="243" t="inlineStr">
        <is>
          <t>FB012603V</t>
        </is>
      </c>
      <c r="J264" s="243" t="inlineStr">
        <is>
          <t>○ 3 ON FILE, NOT RECORDED</t>
        </is>
      </c>
      <c r="K264" s="246" t="inlineStr">
        <is>
          <t>#10 Mycotoxins (on file 09.09, not recorded); #11 Heavy metals (on file 09.09, not recorded); #12 Pesticides (on file 09.09, not recorded)</t>
        </is>
      </c>
      <c r="L264" s="276" t="n">
        <v>0.1829</v>
      </c>
      <c r="M264" s="277" t="inlineStr">
        <is>
          <t>ППК26110</t>
        </is>
      </c>
      <c r="N264" s="276" t="n">
        <v>0.02689999999999999</v>
      </c>
      <c r="O264" s="278" t="inlineStr">
        <is>
          <t>no — 3 on file, not recorded  |  POTENCY: the certificate reads 18.29 %, outside the 13–16% it was delivered under</t>
        </is>
      </c>
    </row>
    <row r="265">
      <c r="A265" s="243" t="n">
        <v>3</v>
      </c>
      <c r="B265" s="243" t="inlineStr">
        <is>
          <t>28.08.2026</t>
        </is>
      </c>
      <c r="C265" s="244" t="inlineStr">
        <is>
          <t>FB112501</t>
        </is>
      </c>
      <c r="D265" s="243" t="inlineStr">
        <is>
          <t>Fat Bastard</t>
        </is>
      </c>
      <c r="E265" s="274" t="n">
        <v>42.1</v>
      </c>
      <c r="F265" s="243" t="inlineStr">
        <is>
          <t>16–19%</t>
        </is>
      </c>
      <c r="G265" s="275" t="n">
        <v>0.1669</v>
      </c>
      <c r="H265" s="243" t="inlineStr">
        <is>
          <t>P060292</t>
        </is>
      </c>
      <c r="I265" s="243" t="inlineStr">
        <is>
          <t>FB112501</t>
        </is>
      </c>
      <c r="J265" s="243" t="inlineStr">
        <is>
          <t>✓ COMPLETE</t>
        </is>
      </c>
      <c r="K265" s="246" t="inlineStr">
        <is>
          <t>—</t>
        </is>
      </c>
      <c r="L265" s="275" t="n">
        <v>0.1669</v>
      </c>
      <c r="M265" s="243" t="inlineStr">
        <is>
          <t>ППК26066</t>
        </is>
      </c>
      <c r="N265" s="275" t="n">
        <v>0</v>
      </c>
      <c r="O265" s="250" t="inlineStr">
        <is>
          <t>yes — all 12 determinations covered</t>
        </is>
      </c>
    </row>
    <row r="266">
      <c r="A266" s="243" t="n">
        <v>3</v>
      </c>
      <c r="B266" s="243" t="inlineStr">
        <is>
          <t>28.08.2026</t>
        </is>
      </c>
      <c r="C266" s="244" t="inlineStr">
        <is>
          <t>GG012601</t>
        </is>
      </c>
      <c r="D266" s="243" t="inlineStr">
        <is>
          <t>GG4</t>
        </is>
      </c>
      <c r="E266" s="274" t="n">
        <v>77.84999999999999</v>
      </c>
      <c r="F266" s="243" t="inlineStr">
        <is>
          <t>13–16%</t>
        </is>
      </c>
      <c r="G266" s="275" t="n">
        <v>0.1535</v>
      </c>
      <c r="H266" s="243" t="inlineStr">
        <is>
          <t>P060302</t>
        </is>
      </c>
      <c r="I266" s="243" t="inlineStr">
        <is>
          <t>GG012601＊</t>
        </is>
      </c>
      <c r="J266" s="243" t="inlineStr">
        <is>
          <t>✓ COMPLETE</t>
        </is>
      </c>
      <c r="K266" s="246" t="inlineStr">
        <is>
          <t>—</t>
        </is>
      </c>
      <c r="L266" s="275" t="n">
        <v>0.1535</v>
      </c>
      <c r="M266" s="243" t="inlineStr">
        <is>
          <t>ППК26062</t>
        </is>
      </c>
      <c r="N266" s="275" t="n">
        <v>0</v>
      </c>
      <c r="O266" s="250" t="inlineStr">
        <is>
          <t>yes — all 12 determinations covered</t>
        </is>
      </c>
    </row>
    <row r="267">
      <c r="A267" s="243" t="n">
        <v>3</v>
      </c>
      <c r="B267" s="243" t="inlineStr">
        <is>
          <t>28.08.2026</t>
        </is>
      </c>
      <c r="C267" s="244" t="inlineStr">
        <is>
          <t>GG1024_02</t>
        </is>
      </c>
      <c r="D267" s="243" t="inlineStr">
        <is>
          <t>Gorilla Glue</t>
        </is>
      </c>
      <c r="E267" s="274" t="n">
        <v>184.89</v>
      </c>
      <c r="F267" s="243" t="inlineStr">
        <is>
          <t>13–16%</t>
        </is>
      </c>
      <c r="G267" s="275" t="n">
        <v>0.1595</v>
      </c>
      <c r="H267" s="243" t="inlineStr">
        <is>
          <t>P050012</t>
        </is>
      </c>
      <c r="I267" s="243" t="inlineStr">
        <is>
          <t>GG1024_02</t>
        </is>
      </c>
      <c r="J267" s="243" t="inlineStr">
        <is>
          <t>✓ COMPLETE</t>
        </is>
      </c>
      <c r="K267" s="246" t="inlineStr">
        <is>
          <t>—</t>
        </is>
      </c>
      <c r="L267" s="275" t="n">
        <v>0.1595</v>
      </c>
      <c r="M267" s="243" t="inlineStr">
        <is>
          <t>ППК25140</t>
        </is>
      </c>
      <c r="N267" s="275" t="n">
        <v>0</v>
      </c>
      <c r="O267" s="250" t="inlineStr">
        <is>
          <t>yes — all 12 determinations covered</t>
        </is>
      </c>
    </row>
    <row r="268">
      <c r="A268" s="243" t="n">
        <v>3</v>
      </c>
      <c r="B268" s="243" t="inlineStr">
        <is>
          <t>28.08.2026</t>
        </is>
      </c>
      <c r="C268" s="244" t="inlineStr">
        <is>
          <t>GG112501</t>
        </is>
      </c>
      <c r="D268" s="243" t="inlineStr">
        <is>
          <t>GG4</t>
        </is>
      </c>
      <c r="E268" s="274" t="n">
        <v>56.19</v>
      </c>
      <c r="F268" s="243" t="inlineStr">
        <is>
          <t>16–19%</t>
        </is>
      </c>
      <c r="G268" s="275" t="n">
        <v>0.1794</v>
      </c>
      <c r="H268" s="243" t="inlineStr">
        <is>
          <t>P060252</t>
        </is>
      </c>
      <c r="I268" s="243" t="inlineStr">
        <is>
          <t>GG112501</t>
        </is>
      </c>
      <c r="J268" s="243" t="inlineStr">
        <is>
          <t>✓ COMPLETE</t>
        </is>
      </c>
      <c r="K268" s="246" t="inlineStr">
        <is>
          <t>—</t>
        </is>
      </c>
      <c r="L268" s="275" t="n">
        <v>0.1794</v>
      </c>
      <c r="M268" s="243" t="inlineStr">
        <is>
          <t>ППК26061</t>
        </is>
      </c>
      <c r="N268" s="275" t="n">
        <v>0</v>
      </c>
      <c r="O268" s="250" t="inlineStr">
        <is>
          <t>yes — all 12 determinations covered</t>
        </is>
      </c>
    </row>
    <row r="269">
      <c r="A269" s="243" t="n">
        <v>3</v>
      </c>
      <c r="B269" s="243" t="inlineStr">
        <is>
          <t>28.08.2026</t>
        </is>
      </c>
      <c r="C269" s="244" t="inlineStr">
        <is>
          <t>GP062501</t>
        </is>
      </c>
      <c r="D269" s="243" t="inlineStr">
        <is>
          <t>Grape Pie</t>
        </is>
      </c>
      <c r="E269" s="274" t="n">
        <v>303.41</v>
      </c>
      <c r="F269" s="243" t="inlineStr">
        <is>
          <t>22–25%</t>
        </is>
      </c>
      <c r="G269" s="275" t="n">
        <v>0.2289</v>
      </c>
      <c r="H269" s="243" t="inlineStr">
        <is>
          <t>P050202</t>
        </is>
      </c>
      <c r="I269" s="243" t="inlineStr">
        <is>
          <t>GP062501</t>
        </is>
      </c>
      <c r="J269" s="243" t="inlineStr">
        <is>
          <t>✓ COMPLETE</t>
        </is>
      </c>
      <c r="K269" s="246" t="inlineStr">
        <is>
          <t>—</t>
        </is>
      </c>
      <c r="L269" s="275" t="n">
        <v>0.2489</v>
      </c>
      <c r="M269" s="243" t="inlineStr">
        <is>
          <t>NGP/QCG/SOP-024-Ver02 F3-Ver.02</t>
        </is>
      </c>
      <c r="N269" s="275" t="n">
        <v>0.02</v>
      </c>
      <c r="O269" s="250" t="inlineStr">
        <is>
          <t>yes — all 12 determinations covered</t>
        </is>
      </c>
    </row>
    <row r="270">
      <c r="A270" s="243" t="n">
        <v>3</v>
      </c>
      <c r="B270" s="243" t="inlineStr">
        <is>
          <t>28.08.2026</t>
        </is>
      </c>
      <c r="C270" s="244" t="inlineStr">
        <is>
          <t>GP072501/1</t>
        </is>
      </c>
      <c r="D270" s="243" t="inlineStr">
        <is>
          <t>Grape Pie</t>
        </is>
      </c>
      <c r="E270" s="274" t="n">
        <v>229.79</v>
      </c>
      <c r="F270" s="243" t="inlineStr">
        <is>
          <t>19–22%</t>
        </is>
      </c>
      <c r="G270" s="275" t="n">
        <v>0.2136</v>
      </c>
      <c r="H270" s="243" t="inlineStr">
        <is>
          <t>P050292</t>
        </is>
      </c>
      <c r="I270" s="243" t="inlineStr">
        <is>
          <t>GP072501/1</t>
        </is>
      </c>
      <c r="J270" s="243" t="inlineStr">
        <is>
          <t>✓ COMPLETE</t>
        </is>
      </c>
      <c r="K270" s="246" t="inlineStr">
        <is>
          <t>—</t>
        </is>
      </c>
      <c r="L270" s="275" t="n">
        <v>0.2136</v>
      </c>
      <c r="M270" s="243" t="inlineStr">
        <is>
          <t>ППК25378</t>
        </is>
      </c>
      <c r="N270" s="275" t="n">
        <v>0</v>
      </c>
      <c r="O270" s="250" t="inlineStr">
        <is>
          <t>yes — all 12 determinations covered</t>
        </is>
      </c>
    </row>
    <row r="271">
      <c r="A271" s="243" t="n">
        <v>3</v>
      </c>
      <c r="B271" s="243" t="inlineStr">
        <is>
          <t>28.08.2026</t>
        </is>
      </c>
      <c r="C271" s="244" t="inlineStr">
        <is>
          <t>GRC102501/1</t>
        </is>
      </c>
      <c r="D271" s="243" t="inlineStr">
        <is>
          <t>Grapes And Cream</t>
        </is>
      </c>
      <c r="E271" s="274" t="n">
        <v>10.69</v>
      </c>
      <c r="F271" s="243" t="inlineStr">
        <is>
          <t>7–10%</t>
        </is>
      </c>
      <c r="G271" s="275" t="n">
        <v>0.07049999999999999</v>
      </c>
      <c r="H271" s="243" t="inlineStr">
        <is>
          <t>P060142</t>
        </is>
      </c>
      <c r="I271" s="243" t="inlineStr">
        <is>
          <t>GRC102501 (through its P lot; the desk row is the roll-up GRC102501)</t>
        </is>
      </c>
      <c r="J271" s="243" t="inlineStr">
        <is>
          <t>○ 2 ON FILE, NOT RECORDED</t>
        </is>
      </c>
      <c r="K271" s="246" t="inlineStr">
        <is>
          <t>#11 Heavy metals (on file 09.09, not recorded); #12 Pesticides (on file 09.09, not recorded)</t>
        </is>
      </c>
      <c r="L271" s="275" t="inlineStr">
        <is>
          <t>— none on the desk —</t>
        </is>
      </c>
      <c r="M271" s="243" t="inlineStr">
        <is>
          <t>—</t>
        </is>
      </c>
      <c r="N271" s="275" t="inlineStr">
        <is>
          <t>—</t>
        </is>
      </c>
      <c r="O271" s="251" t="inlineStr">
        <is>
          <t>no — 2 on file, not recorded</t>
        </is>
      </c>
    </row>
    <row r="272">
      <c r="A272" s="243" t="n">
        <v>3</v>
      </c>
      <c r="B272" s="243" t="inlineStr">
        <is>
          <t>28.08.2026</t>
        </is>
      </c>
      <c r="C272" s="244" t="inlineStr">
        <is>
          <t>J31112501</t>
        </is>
      </c>
      <c r="D272" s="243" t="inlineStr">
        <is>
          <t>Jokerz 31</t>
        </is>
      </c>
      <c r="E272" s="274" t="n">
        <v>86.38</v>
      </c>
      <c r="F272" s="243" t="inlineStr">
        <is>
          <t>≥ 25%</t>
        </is>
      </c>
      <c r="G272" s="275" t="n">
        <v>0.25</v>
      </c>
      <c r="H272" s="243" t="inlineStr">
        <is>
          <t>P060202</t>
        </is>
      </c>
      <c r="I272" s="243" t="inlineStr">
        <is>
          <t>J31112501</t>
        </is>
      </c>
      <c r="J272" s="243" t="inlineStr">
        <is>
          <t>○ 3 ON FILE, NOT RECORDED</t>
        </is>
      </c>
      <c r="K272" s="246" t="inlineStr">
        <is>
          <t>#10 Mycotoxins (on file 09.09, not recorded); #11 Heavy metals (on file 09.09, not recorded); #12 Pesticides (on file 09.09, not recorded)</t>
        </is>
      </c>
      <c r="L272" s="275" t="n">
        <v>0.2527</v>
      </c>
      <c r="M272" s="243" t="inlineStr">
        <is>
          <t>None</t>
        </is>
      </c>
      <c r="N272" s="275" t="n">
        <v>0.002699999999999996</v>
      </c>
      <c r="O272" s="251" t="inlineStr">
        <is>
          <t>no — 3 on file, not recorded</t>
        </is>
      </c>
    </row>
    <row r="273">
      <c r="A273" s="243" t="n">
        <v>3</v>
      </c>
      <c r="B273" s="243" t="inlineStr">
        <is>
          <t>28.08.2026</t>
        </is>
      </c>
      <c r="C273" s="244" t="inlineStr">
        <is>
          <t>J31122501</t>
        </is>
      </c>
      <c r="D273" s="243" t="inlineStr">
        <is>
          <t>Jokerz 31</t>
        </is>
      </c>
      <c r="E273" s="274" t="n">
        <v>136.64</v>
      </c>
      <c r="F273" s="243" t="inlineStr">
        <is>
          <t>19–22%</t>
        </is>
      </c>
      <c r="G273" s="275" t="n">
        <v>0.2177</v>
      </c>
      <c r="H273" s="243" t="inlineStr">
        <is>
          <t>P060262</t>
        </is>
      </c>
      <c r="I273" s="243" t="inlineStr">
        <is>
          <t>J31122501</t>
        </is>
      </c>
      <c r="J273" s="243" t="inlineStr">
        <is>
          <t>⚠ 1 MISSING</t>
        </is>
      </c>
      <c r="K273" s="246" t="inlineStr">
        <is>
          <t>#8 LoD</t>
        </is>
      </c>
      <c r="L273" s="275" t="inlineStr">
        <is>
          <t>— none on the desk —</t>
        </is>
      </c>
      <c r="M273" s="243" t="inlineStr">
        <is>
          <t>—</t>
        </is>
      </c>
      <c r="N273" s="275" t="inlineStr">
        <is>
          <t>—</t>
        </is>
      </c>
      <c r="O273" s="251" t="inlineStr">
        <is>
          <t>no — 1 missing</t>
        </is>
      </c>
    </row>
    <row r="274">
      <c r="A274" s="243" t="n">
        <v>3</v>
      </c>
      <c r="B274" s="243" t="inlineStr">
        <is>
          <t>28.08.2026</t>
        </is>
      </c>
      <c r="C274" s="244" t="inlineStr">
        <is>
          <t>JD012601</t>
        </is>
      </c>
      <c r="D274" s="243" t="inlineStr">
        <is>
          <t>Jelly Donuts</t>
        </is>
      </c>
      <c r="E274" s="274" t="n">
        <v>78.93000000000001</v>
      </c>
      <c r="F274" s="243" t="inlineStr">
        <is>
          <t>16–19%</t>
        </is>
      </c>
      <c r="G274" s="275" t="n">
        <v>0.1816</v>
      </c>
      <c r="H274" s="243" t="inlineStr">
        <is>
          <t>P060312</t>
        </is>
      </c>
      <c r="I274" s="243" t="inlineStr">
        <is>
          <t>JD012601＊</t>
        </is>
      </c>
      <c r="J274" s="243" t="inlineStr">
        <is>
          <t>✓ COMPLETE</t>
        </is>
      </c>
      <c r="K274" s="246" t="inlineStr">
        <is>
          <t>—</t>
        </is>
      </c>
      <c r="L274" s="275" t="n">
        <v>0.1816</v>
      </c>
      <c r="M274" s="243" t="inlineStr">
        <is>
          <t>ППК26064</t>
        </is>
      </c>
      <c r="N274" s="275" t="n">
        <v>0</v>
      </c>
      <c r="O274" s="250" t="inlineStr">
        <is>
          <t>yes — all 12 determinations covered</t>
        </is>
      </c>
    </row>
    <row r="275">
      <c r="A275" s="243" t="n">
        <v>3</v>
      </c>
      <c r="B275" s="243" t="inlineStr">
        <is>
          <t>28.08.2026</t>
        </is>
      </c>
      <c r="C275" s="244" t="inlineStr">
        <is>
          <t>MB0824_04</t>
        </is>
      </c>
      <c r="D275" s="243" t="inlineStr">
        <is>
          <t>Motor Breath</t>
        </is>
      </c>
      <c r="E275" s="274" t="n">
        <v>175.22</v>
      </c>
      <c r="F275" s="243" t="inlineStr">
        <is>
          <t>16–19%</t>
        </is>
      </c>
      <c r="G275" s="275" t="n">
        <v>0.1867</v>
      </c>
      <c r="H275" s="243" t="inlineStr">
        <is>
          <t>P050032</t>
        </is>
      </c>
      <c r="I275" s="243" t="inlineStr">
        <is>
          <t>MB0824_04</t>
        </is>
      </c>
      <c r="J275" s="243" t="inlineStr">
        <is>
          <t>✓ COMPLETE</t>
        </is>
      </c>
      <c r="K275" s="246" t="inlineStr">
        <is>
          <t>—</t>
        </is>
      </c>
      <c r="L275" s="275" t="inlineStr">
        <is>
          <t>— none on the desk —</t>
        </is>
      </c>
      <c r="M275" s="243" t="inlineStr">
        <is>
          <t>—</t>
        </is>
      </c>
      <c r="N275" s="275" t="inlineStr">
        <is>
          <t>—</t>
        </is>
      </c>
      <c r="O275" s="250" t="inlineStr">
        <is>
          <t>yes — all 12 determinations covered</t>
        </is>
      </c>
    </row>
    <row r="276">
      <c r="A276" s="243" t="n">
        <v>3</v>
      </c>
      <c r="B276" s="243" t="inlineStr">
        <is>
          <t>28.08.2026</t>
        </is>
      </c>
      <c r="C276" s="244" t="inlineStr">
        <is>
          <t>OPM052501</t>
        </is>
      </c>
      <c r="D276" s="243" t="inlineStr">
        <is>
          <t>Orange Punch Mimosa</t>
        </is>
      </c>
      <c r="E276" s="274" t="n">
        <v>292.95</v>
      </c>
      <c r="F276" s="243" t="inlineStr">
        <is>
          <t>13–16%</t>
        </is>
      </c>
      <c r="G276" s="275" t="n">
        <v>0.1416</v>
      </c>
      <c r="H276" s="243" t="inlineStr">
        <is>
          <t>P050132</t>
        </is>
      </c>
      <c r="I276" s="243" t="inlineStr">
        <is>
          <t>OPM052501</t>
        </is>
      </c>
      <c r="J276" s="243" t="inlineStr">
        <is>
          <t>✓ COMPLETE</t>
        </is>
      </c>
      <c r="K276" s="246" t="inlineStr">
        <is>
          <t>—</t>
        </is>
      </c>
      <c r="L276" s="275" t="inlineStr">
        <is>
          <t>— none on the desk —</t>
        </is>
      </c>
      <c r="M276" s="243" t="inlineStr">
        <is>
          <t>—</t>
        </is>
      </c>
      <c r="N276" s="275" t="inlineStr">
        <is>
          <t>—</t>
        </is>
      </c>
      <c r="O276" s="250" t="inlineStr">
        <is>
          <t>yes — all 12 determinations covered</t>
        </is>
      </c>
    </row>
    <row r="277">
      <c r="A277" s="243" t="n">
        <v>3</v>
      </c>
      <c r="B277" s="243" t="inlineStr">
        <is>
          <t>28.08.2026</t>
        </is>
      </c>
      <c r="C277" s="244" t="inlineStr">
        <is>
          <t>OPM112501</t>
        </is>
      </c>
      <c r="D277" s="243" t="inlineStr">
        <is>
          <t>Orange Punch Mimosa</t>
        </is>
      </c>
      <c r="E277" s="274" t="n">
        <v>39.37</v>
      </c>
      <c r="F277" s="243" t="inlineStr">
        <is>
          <t>7–10%</t>
        </is>
      </c>
      <c r="G277" s="275" t="n">
        <v>0.08</v>
      </c>
      <c r="H277" s="243" t="inlineStr">
        <is>
          <t>P060222</t>
        </is>
      </c>
      <c r="I277" s="243" t="inlineStr">
        <is>
          <t>OPM112501</t>
        </is>
      </c>
      <c r="J277" s="243" t="inlineStr">
        <is>
          <t>⚠ 3 MISSING</t>
        </is>
      </c>
      <c r="K277" s="246" t="inlineStr">
        <is>
          <t>#10 Mycotoxins; #11 Heavy metals (on file 09.09, not recorded); #12 Pesticides (on file 09.09, not recorded)</t>
        </is>
      </c>
      <c r="L277" s="275" t="inlineStr">
        <is>
          <t>— none on the desk —</t>
        </is>
      </c>
      <c r="M277" s="243" t="inlineStr">
        <is>
          <t>—</t>
        </is>
      </c>
      <c r="N277" s="275" t="inlineStr">
        <is>
          <t>—</t>
        </is>
      </c>
      <c r="O277" s="251" t="inlineStr">
        <is>
          <t>no — 3 missing</t>
        </is>
      </c>
    </row>
    <row r="278">
      <c r="A278" s="243" t="n">
        <v>3</v>
      </c>
      <c r="B278" s="243" t="inlineStr">
        <is>
          <t>28.08.2026</t>
        </is>
      </c>
      <c r="C278" s="244" t="inlineStr">
        <is>
          <t>PM072501</t>
        </is>
      </c>
      <c r="D278" s="243" t="inlineStr">
        <is>
          <t>Permanent Marker</t>
        </is>
      </c>
      <c r="E278" s="274" t="n">
        <v>26.78</v>
      </c>
      <c r="F278" s="243" t="inlineStr">
        <is>
          <t>10–13%</t>
        </is>
      </c>
      <c r="G278" s="275" t="n">
        <v>0.1001</v>
      </c>
      <c r="H278" s="243" t="inlineStr">
        <is>
          <t>P050272</t>
        </is>
      </c>
      <c r="I278" s="243" t="inlineStr">
        <is>
          <t>PM072501</t>
        </is>
      </c>
      <c r="J278" s="243" t="inlineStr">
        <is>
          <t>✓ COMPLETE</t>
        </is>
      </c>
      <c r="K278" s="246" t="inlineStr">
        <is>
          <t>—</t>
        </is>
      </c>
      <c r="L278" s="275" t="inlineStr">
        <is>
          <t>— none on the desk —</t>
        </is>
      </c>
      <c r="M278" s="243" t="inlineStr">
        <is>
          <t>—</t>
        </is>
      </c>
      <c r="N278" s="275" t="inlineStr">
        <is>
          <t>—</t>
        </is>
      </c>
      <c r="O278" s="250" t="inlineStr">
        <is>
          <t>yes — all 12 determinations covered</t>
        </is>
      </c>
    </row>
    <row r="279">
      <c r="A279" s="243" t="n">
        <v>3</v>
      </c>
      <c r="B279" s="243" t="inlineStr">
        <is>
          <t>28.08.2026</t>
        </is>
      </c>
      <c r="C279" s="244" t="inlineStr">
        <is>
          <t>SCR012601</t>
        </is>
      </c>
      <c r="D279" s="243" t="inlineStr">
        <is>
          <t>Scrambler</t>
        </is>
      </c>
      <c r="E279" s="274" t="n">
        <v>90</v>
      </c>
      <c r="F279" s="243" t="inlineStr">
        <is>
          <t>16–19%</t>
        </is>
      </c>
      <c r="G279" s="275" t="n">
        <v>0.1807</v>
      </c>
      <c r="H279" s="243" t="inlineStr">
        <is>
          <t>P060342</t>
        </is>
      </c>
      <c r="I279" s="243" t="inlineStr">
        <is>
          <t>SCR012601*</t>
        </is>
      </c>
      <c r="J279" s="243" t="inlineStr">
        <is>
          <t>❌ 4 MISSING</t>
        </is>
      </c>
      <c r="K279" s="246" t="inlineStr">
        <is>
          <t>#8 LoD; #10 Mycotoxins; #11 Heavy metals; #12 Pesticides</t>
        </is>
      </c>
      <c r="L279" s="275" t="inlineStr">
        <is>
          <t>— none on the desk —</t>
        </is>
      </c>
      <c r="M279" s="243" t="inlineStr">
        <is>
          <t>—</t>
        </is>
      </c>
      <c r="N279" s="275" t="inlineStr">
        <is>
          <t>—</t>
        </is>
      </c>
      <c r="O279" s="251" t="inlineStr">
        <is>
          <t>no — 4 missing</t>
        </is>
      </c>
    </row>
    <row r="280">
      <c r="A280" s="243" t="n">
        <v>3</v>
      </c>
      <c r="B280" s="243" t="inlineStr">
        <is>
          <t>28.08.2026</t>
        </is>
      </c>
      <c r="C280" s="244" t="inlineStr">
        <is>
          <t>SCR022601</t>
        </is>
      </c>
      <c r="D280" s="243" t="inlineStr">
        <is>
          <t>Scrambler</t>
        </is>
      </c>
      <c r="E280" s="274" t="n">
        <v>210</v>
      </c>
      <c r="F280" s="243" t="inlineStr">
        <is>
          <t>16–19%</t>
        </is>
      </c>
      <c r="G280" s="275" t="n">
        <v>0.16</v>
      </c>
      <c r="H280" s="243" t="inlineStr">
        <is>
          <t>P060442</t>
        </is>
      </c>
      <c r="I280" s="243" t="inlineStr">
        <is>
          <t>SCR022601</t>
        </is>
      </c>
      <c r="J280" s="243" t="inlineStr">
        <is>
          <t>○ 3 ON FILE, NOT RECORDED</t>
        </is>
      </c>
      <c r="K280" s="246" t="inlineStr">
        <is>
          <t>#10 Mycotoxins (on file 09.09, not recorded); #11 Heavy metals (on file 09.09, not recorded); #12 Pesticides (on file 09.09, not recorded)</t>
        </is>
      </c>
      <c r="L280" s="275" t="inlineStr">
        <is>
          <t>— none on the desk —</t>
        </is>
      </c>
      <c r="M280" s="243" t="inlineStr">
        <is>
          <t>—</t>
        </is>
      </c>
      <c r="N280" s="275" t="inlineStr">
        <is>
          <t>—</t>
        </is>
      </c>
      <c r="O280" s="251" t="inlineStr">
        <is>
          <t>no — 3 on file, not recorded</t>
        </is>
      </c>
    </row>
    <row r="281">
      <c r="A281" s="243" t="n">
        <v>3</v>
      </c>
      <c r="B281" s="243" t="inlineStr">
        <is>
          <t>28.08.2026</t>
        </is>
      </c>
      <c r="C281" s="244" t="inlineStr">
        <is>
          <t>SJ102501</t>
        </is>
      </c>
      <c r="D281" s="243" t="inlineStr">
        <is>
          <t>Sleepy Joe</t>
        </is>
      </c>
      <c r="E281" s="274" t="n">
        <v>66.37</v>
      </c>
      <c r="F281" s="243" t="inlineStr">
        <is>
          <t>10–13%</t>
        </is>
      </c>
      <c r="G281" s="275" t="n">
        <v>0.112</v>
      </c>
      <c r="H281" s="243" t="inlineStr">
        <is>
          <t>P060162</t>
        </is>
      </c>
      <c r="I281" s="243" t="inlineStr">
        <is>
          <t>SJ102501</t>
        </is>
      </c>
      <c r="J281" s="243" t="inlineStr">
        <is>
          <t>⚠ 3 MISSING</t>
        </is>
      </c>
      <c r="K281" s="246" t="inlineStr">
        <is>
          <t>#10 Mycotoxins; #11 Heavy metals; #12 Pesticides (on file 09.09, not recorded)</t>
        </is>
      </c>
      <c r="L281" s="275" t="n">
        <v>0.112</v>
      </c>
      <c r="M281" s="243" t="inlineStr">
        <is>
          <t>051-3-К/26</t>
        </is>
      </c>
      <c r="N281" s="275" t="n">
        <v>0</v>
      </c>
      <c r="O281" s="251" t="inlineStr">
        <is>
          <t>no — 3 missing</t>
        </is>
      </c>
    </row>
    <row r="282">
      <c r="A282" s="243" t="n">
        <v>3</v>
      </c>
      <c r="B282" s="243" t="inlineStr">
        <is>
          <t>28.08.2026</t>
        </is>
      </c>
      <c r="C282" s="244" t="inlineStr">
        <is>
          <t>SJ112501</t>
        </is>
      </c>
      <c r="D282" s="243" t="inlineStr">
        <is>
          <t>Sleepy Joe</t>
        </is>
      </c>
      <c r="E282" s="274" t="n">
        <v>48.6</v>
      </c>
      <c r="F282" s="243" t="inlineStr">
        <is>
          <t>7–10%</t>
        </is>
      </c>
      <c r="G282" s="275" t="n">
        <v>0.09</v>
      </c>
      <c r="H282" s="243" t="inlineStr">
        <is>
          <t>P060192</t>
        </is>
      </c>
      <c r="I282" s="243" t="inlineStr">
        <is>
          <t>SJ112501</t>
        </is>
      </c>
      <c r="J282" s="243" t="inlineStr">
        <is>
          <t>○ 4 ON FILE, NOT RECORDED</t>
        </is>
      </c>
      <c r="K282" s="246" t="inlineStr">
        <is>
          <t>#9 Microbiology (on file 09.09, not recorded); #10 Mycotoxins (on file 09.09, not recorded); #11 Heavy metals (on file 09.09, not recorded); #12 Pesticides (on file 09.09, not recorded)</t>
        </is>
      </c>
      <c r="L282" s="275" t="inlineStr">
        <is>
          <t>— none on the desk —</t>
        </is>
      </c>
      <c r="M282" s="243" t="inlineStr">
        <is>
          <t>—</t>
        </is>
      </c>
      <c r="N282" s="275" t="inlineStr">
        <is>
          <t>—</t>
        </is>
      </c>
      <c r="O282" s="251" t="inlineStr">
        <is>
          <t>no — 4 on file, not recorded</t>
        </is>
      </c>
    </row>
    <row r="283">
      <c r="A283" s="243" t="n">
        <v>3</v>
      </c>
      <c r="B283" s="243" t="inlineStr">
        <is>
          <t>28.08.2026</t>
        </is>
      </c>
      <c r="C283" s="244" t="inlineStr">
        <is>
          <t>WC072501</t>
        </is>
      </c>
      <c r="D283" s="243" t="inlineStr">
        <is>
          <t>Wedding Crusher</t>
        </is>
      </c>
      <c r="E283" s="274" t="n">
        <v>29.95</v>
      </c>
      <c r="F283" s="243" t="inlineStr">
        <is>
          <t>22–25%</t>
        </is>
      </c>
      <c r="G283" s="275" t="n">
        <v>0.2211</v>
      </c>
      <c r="H283" s="243" t="inlineStr">
        <is>
          <t>P050262</t>
        </is>
      </c>
      <c r="I283" s="243" t="inlineStr">
        <is>
          <t>WC072501</t>
        </is>
      </c>
      <c r="J283" s="243" t="inlineStr">
        <is>
          <t>✓ COMPLETE</t>
        </is>
      </c>
      <c r="K283" s="246" t="inlineStr">
        <is>
          <t>—</t>
        </is>
      </c>
      <c r="L283" s="275" t="n">
        <v>0.2211</v>
      </c>
      <c r="M283" s="243" t="inlineStr">
        <is>
          <t>ППК25369</t>
        </is>
      </c>
      <c r="N283" s="275" t="n">
        <v>0</v>
      </c>
      <c r="O283" s="250" t="inlineStr">
        <is>
          <t>yes — all 12 determinations covered</t>
        </is>
      </c>
    </row>
    <row r="284">
      <c r="A284" s="243" t="n">
        <v>3</v>
      </c>
      <c r="B284" s="243" t="inlineStr">
        <is>
          <t>28.08.2026</t>
        </is>
      </c>
      <c r="C284" s="244" t="inlineStr">
        <is>
          <t>WED102501</t>
        </is>
      </c>
      <c r="D284" s="243" t="inlineStr">
        <is>
          <t>Wedding Cake</t>
        </is>
      </c>
      <c r="E284" s="274" t="n">
        <v>34.41</v>
      </c>
      <c r="F284" s="243" t="inlineStr">
        <is>
          <t>22–25%</t>
        </is>
      </c>
      <c r="G284" s="275" t="n">
        <v>0.2205</v>
      </c>
      <c r="H284" s="243" t="inlineStr">
        <is>
          <t>P060102</t>
        </is>
      </c>
      <c r="I284" s="243" t="inlineStr">
        <is>
          <t>WED102501</t>
        </is>
      </c>
      <c r="J284" s="243" t="inlineStr">
        <is>
          <t>○ 3 ON FILE, NOT RECORDED</t>
        </is>
      </c>
      <c r="K284" s="246" t="inlineStr">
        <is>
          <t>#10 Mycotoxins (on file 09.09, not recorded); #11 Heavy metals (on file 09.09, not recorded); #12 Pesticides (on file 09.09, not recorded)</t>
        </is>
      </c>
      <c r="L284" s="275" t="inlineStr">
        <is>
          <t>— none on the desk —</t>
        </is>
      </c>
      <c r="M284" s="243" t="inlineStr">
        <is>
          <t>—</t>
        </is>
      </c>
      <c r="N284" s="275" t="inlineStr">
        <is>
          <t>—</t>
        </is>
      </c>
      <c r="O284" s="251" t="inlineStr">
        <is>
          <t>no — 3 on file, not recorded</t>
        </is>
      </c>
    </row>
    <row r="286" ht="62" customHeight="1" s="70">
      <c r="A286"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286" s="120" t="n"/>
      <c r="C286" s="120" t="n"/>
      <c r="D286" s="120" t="n"/>
      <c r="E286" s="120" t="n"/>
      <c r="F286" s="120" t="n"/>
      <c r="G286" s="120" t="n"/>
      <c r="H286" s="120" t="n"/>
      <c r="I286" s="120" t="n"/>
      <c r="J286" s="120" t="n"/>
      <c r="K286" s="120" t="n"/>
      <c r="L286" s="120" t="n"/>
      <c r="M286" s="120" t="n"/>
      <c r="N286" s="120" t="n"/>
      <c r="O286" s="121" t="n"/>
    </row>
    <row r="289" ht="20" customHeight="1" s="70">
      <c r="A289" s="264" t="inlineStr">
        <is>
          <t>IMB REGISTER</t>
        </is>
      </c>
    </row>
    <row r="290" ht="22" customHeight="1" s="70">
      <c r="A290" s="119" t="inlineStr">
        <is>
          <t>Cert No</t>
        </is>
      </c>
      <c r="B290" s="119" t="inlineStr">
        <is>
          <t>Strain (as printed)</t>
        </is>
      </c>
      <c r="C290" s="119" t="inlineStr">
        <is>
          <t>Strain (ruled)</t>
        </is>
      </c>
      <c r="D290" s="119" t="inlineStr">
        <is>
          <t>Batch</t>
        </is>
      </c>
      <c r="E290" s="119" t="inlineStr">
        <is>
          <t>Manufactured</t>
        </is>
      </c>
      <c r="F290" s="119" t="inlineStr">
        <is>
          <t>Retest</t>
        </is>
      </c>
      <c r="G290" s="119" t="inlineStr">
        <is>
          <t>Desk lot</t>
        </is>
      </c>
      <c r="H290" s="119" t="inlineStr">
        <is>
          <t>CoQ status</t>
        </is>
      </c>
      <c r="I290" s="119" t="inlineStr">
        <is>
          <t>Note</t>
        </is>
      </c>
    </row>
    <row r="291">
      <c r="A291" s="243" t="inlineStr">
        <is>
          <t>041</t>
        </is>
      </c>
      <c r="B291" s="243" t="inlineStr">
        <is>
          <t>Cap Junky</t>
        </is>
      </c>
      <c r="C291" s="243" t="inlineStr">
        <is>
          <t>Cap Junky</t>
        </is>
      </c>
      <c r="D291" s="244" t="inlineStr">
        <is>
          <t>P060022</t>
        </is>
      </c>
      <c r="E291" s="243" t="inlineStr">
        <is>
          <t>December 2025</t>
        </is>
      </c>
      <c r="F291" s="243" t="inlineStr">
        <is>
          <t>July 2026</t>
        </is>
      </c>
      <c r="G291" s="243" t="inlineStr">
        <is>
          <t>CJ082501/1</t>
        </is>
      </c>
      <c r="H291" s="243" t="inlineStr">
        <is>
          <t>✓ COMPLETE</t>
        </is>
      </c>
      <c r="I291" s="246" t="inlineStr"/>
    </row>
    <row r="292">
      <c r="A292" s="243" t="inlineStr">
        <is>
          <t>040</t>
        </is>
      </c>
      <c r="B292" s="243" t="inlineStr">
        <is>
          <t>Orange Punch Mimosa</t>
        </is>
      </c>
      <c r="C292" s="243" t="inlineStr">
        <is>
          <t>Orange Punch Mimosa</t>
        </is>
      </c>
      <c r="D292" s="244" t="inlineStr">
        <is>
          <t>P060042</t>
        </is>
      </c>
      <c r="E292" s="243" t="inlineStr">
        <is>
          <t>December 2026</t>
        </is>
      </c>
      <c r="F292" s="243" t="inlineStr">
        <is>
          <t>July 2026</t>
        </is>
      </c>
      <c r="G292" s="243" t="inlineStr">
        <is>
          <t>OPM092501</t>
        </is>
      </c>
      <c r="H292" s="243" t="inlineStr">
        <is>
          <t>✓ COMPLETE</t>
        </is>
      </c>
      <c r="I292" s="246" t="inlineStr"/>
    </row>
    <row r="293">
      <c r="A293" s="243" t="inlineStr">
        <is>
          <t>039</t>
        </is>
      </c>
      <c r="B293" s="243" t="inlineStr">
        <is>
          <t>Cap Junky</t>
        </is>
      </c>
      <c r="C293" s="243" t="inlineStr">
        <is>
          <t>Cap Junky</t>
        </is>
      </c>
      <c r="D293" s="244" t="inlineStr">
        <is>
          <t>P060072</t>
        </is>
      </c>
      <c r="E293" s="243" t="inlineStr">
        <is>
          <t>December 2026</t>
        </is>
      </c>
      <c r="F293" s="243" t="inlineStr">
        <is>
          <t>July 2026</t>
        </is>
      </c>
      <c r="G293" s="243" t="inlineStr">
        <is>
          <t>CJ092501</t>
        </is>
      </c>
      <c r="H293" s="243" t="inlineStr">
        <is>
          <t>✓ COMPLETE</t>
        </is>
      </c>
      <c r="I293" s="246" t="inlineStr"/>
    </row>
    <row r="294">
      <c r="A294" s="243" t="inlineStr">
        <is>
          <t>038</t>
        </is>
      </c>
      <c r="B294" s="243" t="inlineStr">
        <is>
          <t>Sleepy Joy</t>
        </is>
      </c>
      <c r="C294" s="249" t="inlineStr">
        <is>
          <t>Sleepy Joe</t>
        </is>
      </c>
      <c r="D294" s="244" t="inlineStr">
        <is>
          <t>P060082</t>
        </is>
      </c>
      <c r="E294" s="243" t="inlineStr">
        <is>
          <t>December 2025</t>
        </is>
      </c>
      <c r="F294" s="243" t="inlineStr">
        <is>
          <t>July 2026</t>
        </is>
      </c>
      <c r="G294" s="243" t="inlineStr">
        <is>
          <t>SJ0925021</t>
        </is>
      </c>
      <c r="H294" s="243" t="inlineStr">
        <is>
          <t>✓ COMPLETE</t>
        </is>
      </c>
      <c r="I294" s="246" t="inlineStr">
        <is>
          <t>strain ruled Sleepy Joe (18.09.2026); the register prints Sleepy Joy</t>
        </is>
      </c>
    </row>
    <row r="295">
      <c r="A295" s="243" t="inlineStr">
        <is>
          <t>037</t>
        </is>
      </c>
      <c r="B295" s="243" t="inlineStr">
        <is>
          <t>Apple and Banana</t>
        </is>
      </c>
      <c r="C295" s="243" t="inlineStr">
        <is>
          <t>Apple and Banana</t>
        </is>
      </c>
      <c r="D295" s="244" t="inlineStr">
        <is>
          <t>P060052</t>
        </is>
      </c>
      <c r="E295" s="243" t="inlineStr">
        <is>
          <t>December 2025</t>
        </is>
      </c>
      <c r="F295" s="243" t="inlineStr">
        <is>
          <t>July 2026</t>
        </is>
      </c>
      <c r="G295" s="243" t="inlineStr">
        <is>
          <t>AB092501</t>
        </is>
      </c>
      <c r="H295" s="243" t="inlineStr">
        <is>
          <t>✓ COMPLETE</t>
        </is>
      </c>
      <c r="I295" s="246" t="inlineStr"/>
    </row>
    <row r="296">
      <c r="A296" s="243" t="inlineStr">
        <is>
          <t>036</t>
        </is>
      </c>
      <c r="B296" s="243" t="inlineStr">
        <is>
          <t>Permanent Market</t>
        </is>
      </c>
      <c r="C296" s="249" t="inlineStr">
        <is>
          <t>Permanent Marker</t>
        </is>
      </c>
      <c r="D296" s="244" t="inlineStr">
        <is>
          <t>P060062</t>
        </is>
      </c>
      <c r="E296" s="243" t="inlineStr">
        <is>
          <t>December 2026</t>
        </is>
      </c>
      <c r="F296" s="243" t="inlineStr">
        <is>
          <t>July 2026</t>
        </is>
      </c>
      <c r="G296" s="243" t="inlineStr">
        <is>
          <t>PM092501</t>
        </is>
      </c>
      <c r="H296" s="243" t="inlineStr">
        <is>
          <t>✓ COMPLETE</t>
        </is>
      </c>
      <c r="I296" s="246" t="inlineStr">
        <is>
          <t>strain ruled Permanent Marker (18.09.2026); the register prints Permanent Market</t>
        </is>
      </c>
    </row>
    <row r="297">
      <c r="A297" s="243" t="inlineStr">
        <is>
          <t>035</t>
        </is>
      </c>
      <c r="B297" s="243" t="inlineStr">
        <is>
          <t>Wedding Crasher</t>
        </is>
      </c>
      <c r="C297" s="249" t="inlineStr">
        <is>
          <t>Wedding Crusher</t>
        </is>
      </c>
      <c r="D297" s="244" t="inlineStr">
        <is>
          <t>P060012</t>
        </is>
      </c>
      <c r="E297" s="243" t="inlineStr">
        <is>
          <t>December 2026</t>
        </is>
      </c>
      <c r="F297" s="243" t="inlineStr">
        <is>
          <t>July 2026</t>
        </is>
      </c>
      <c r="G297" s="243" t="inlineStr">
        <is>
          <t>WC082501</t>
        </is>
      </c>
      <c r="H297" s="243" t="inlineStr">
        <is>
          <t>✓ COMPLETE</t>
        </is>
      </c>
      <c r="I297" s="246" t="inlineStr">
        <is>
          <t>strain ruled Wedding Crusher (18.09.2026); the register prints Wedding Crasher</t>
        </is>
      </c>
    </row>
    <row r="298">
      <c r="A298" s="243" t="inlineStr">
        <is>
          <t>034</t>
        </is>
      </c>
      <c r="B298" s="243" t="inlineStr">
        <is>
          <t>Cap Junky</t>
        </is>
      </c>
      <c r="C298" s="243" t="inlineStr">
        <is>
          <t>Cap Junky</t>
        </is>
      </c>
      <c r="D298" s="244" t="inlineStr">
        <is>
          <t>P060032</t>
        </is>
      </c>
      <c r="E298" s="243" t="inlineStr">
        <is>
          <t>December 2025</t>
        </is>
      </c>
      <c r="F298" s="243" t="inlineStr">
        <is>
          <t>July 2026</t>
        </is>
      </c>
      <c r="G298" s="243" t="inlineStr">
        <is>
          <t>CJ082501/2</t>
        </is>
      </c>
      <c r="H298" s="243" t="inlineStr">
        <is>
          <t>✓ COMPLETE</t>
        </is>
      </c>
      <c r="I298" s="246" t="inlineStr"/>
    </row>
    <row r="299">
      <c r="A299" s="243" t="inlineStr">
        <is>
          <t>033</t>
        </is>
      </c>
      <c r="B299" s="243" t="inlineStr">
        <is>
          <t>Grape Pie</t>
        </is>
      </c>
      <c r="C299" s="243" t="inlineStr">
        <is>
          <t>Grape Pie</t>
        </is>
      </c>
      <c r="D299" s="244" t="inlineStr">
        <is>
          <t>P060092</t>
        </is>
      </c>
      <c r="E299" s="243" t="inlineStr">
        <is>
          <t>December 2025</t>
        </is>
      </c>
      <c r="F299" s="243" t="inlineStr">
        <is>
          <t>July 2026</t>
        </is>
      </c>
      <c r="G299" s="243" t="inlineStr">
        <is>
          <t>GP092501</t>
        </is>
      </c>
      <c r="H299" s="243" t="inlineStr">
        <is>
          <t>✓ COMPLETE</t>
        </is>
      </c>
      <c r="I299" s="246" t="inlineStr"/>
    </row>
    <row r="300">
      <c r="A300" s="243" t="inlineStr">
        <is>
          <t>032</t>
        </is>
      </c>
      <c r="B300" s="243" t="inlineStr">
        <is>
          <t>Cap Junky</t>
        </is>
      </c>
      <c r="C300" s="243" t="inlineStr">
        <is>
          <t>Cap Junky</t>
        </is>
      </c>
      <c r="D300" s="244" t="inlineStr">
        <is>
          <t>P050222</t>
        </is>
      </c>
      <c r="E300" s="243" t="inlineStr">
        <is>
          <t>September 2025</t>
        </is>
      </c>
      <c r="F300" s="243" t="inlineStr">
        <is>
          <t>April 2026</t>
        </is>
      </c>
      <c r="G300" s="243" t="inlineStr">
        <is>
          <t>CJ062501/1</t>
        </is>
      </c>
      <c r="H300" s="243" t="inlineStr">
        <is>
          <t>✓ COMPLETE</t>
        </is>
      </c>
      <c r="I300" s="246" t="inlineStr"/>
    </row>
    <row r="301">
      <c r="A301" s="243" t="inlineStr">
        <is>
          <t>031</t>
        </is>
      </c>
      <c r="B301" s="243" t="inlineStr">
        <is>
          <t>Cap Junky</t>
        </is>
      </c>
      <c r="C301" s="243" t="inlineStr">
        <is>
          <t>Cap Junky</t>
        </is>
      </c>
      <c r="D301" s="244" t="inlineStr">
        <is>
          <t>P050252</t>
        </is>
      </c>
      <c r="E301" s="243" t="inlineStr">
        <is>
          <t>October 2025</t>
        </is>
      </c>
      <c r="F301" s="243" t="inlineStr">
        <is>
          <t>May 2026</t>
        </is>
      </c>
      <c r="G301" s="243" t="inlineStr">
        <is>
          <t>CJ072501</t>
        </is>
      </c>
      <c r="H301" s="243" t="inlineStr">
        <is>
          <t>✓ COMPLETE</t>
        </is>
      </c>
      <c r="I301" s="246" t="inlineStr"/>
    </row>
    <row r="302">
      <c r="A302" s="243" t="inlineStr">
        <is>
          <t>030</t>
        </is>
      </c>
      <c r="B302" s="243" t="inlineStr">
        <is>
          <t>Wedding Crasher</t>
        </is>
      </c>
      <c r="C302" s="249" t="inlineStr">
        <is>
          <t>Wedding Crusher</t>
        </is>
      </c>
      <c r="D302" s="244" t="inlineStr">
        <is>
          <t>P050262</t>
        </is>
      </c>
      <c r="E302" s="243" t="inlineStr">
        <is>
          <t>October 2025</t>
        </is>
      </c>
      <c r="F302" s="243" t="inlineStr">
        <is>
          <t>May 2026</t>
        </is>
      </c>
      <c r="G302" s="243" t="inlineStr">
        <is>
          <t>WC072501</t>
        </is>
      </c>
      <c r="H302" s="243" t="inlineStr">
        <is>
          <t>✓ COMPLETE</t>
        </is>
      </c>
      <c r="I302" s="246" t="inlineStr">
        <is>
          <t>strain ruled Wedding Crusher (18.09.2026); the register prints Wedding Crasher</t>
        </is>
      </c>
    </row>
    <row r="303">
      <c r="A303" s="243" t="inlineStr">
        <is>
          <t>029</t>
        </is>
      </c>
      <c r="B303" s="243" t="inlineStr">
        <is>
          <t>Grape Pie</t>
        </is>
      </c>
      <c r="C303" s="243" t="inlineStr">
        <is>
          <t>Grape Pie</t>
        </is>
      </c>
      <c r="D303" s="244" t="inlineStr">
        <is>
          <t>P050152</t>
        </is>
      </c>
      <c r="E303" s="243" t="inlineStr">
        <is>
          <t>August 2025</t>
        </is>
      </c>
      <c r="F303" s="243" t="inlineStr">
        <is>
          <t>March 2026</t>
        </is>
      </c>
      <c r="G303" s="243" t="inlineStr">
        <is>
          <t>GP052501</t>
        </is>
      </c>
      <c r="H303" s="243" t="inlineStr">
        <is>
          <t>✓ COMPLETE</t>
        </is>
      </c>
      <c r="I303" s="246" t="inlineStr"/>
    </row>
    <row r="304">
      <c r="A304" s="243" t="inlineStr">
        <is>
          <t>028</t>
        </is>
      </c>
      <c r="B304" s="243" t="inlineStr">
        <is>
          <t>Cap Junkie</t>
        </is>
      </c>
      <c r="C304" s="249" t="inlineStr">
        <is>
          <t>Cap Junky</t>
        </is>
      </c>
      <c r="D304" s="244" t="inlineStr">
        <is>
          <t>P050212</t>
        </is>
      </c>
      <c r="E304" s="243" t="inlineStr">
        <is>
          <t>September 2025</t>
        </is>
      </c>
      <c r="F304" s="243" t="inlineStr">
        <is>
          <t>April 2026</t>
        </is>
      </c>
      <c r="G304" s="243" t="inlineStr">
        <is>
          <t>CJ062501/2</t>
        </is>
      </c>
      <c r="H304" s="243" t="inlineStr">
        <is>
          <t>✓ COMPLETE</t>
        </is>
      </c>
      <c r="I304" s="246" t="inlineStr">
        <is>
          <t>strain ruled Cap Junky (07.09.2026); the register prints Cap Junkie</t>
        </is>
      </c>
    </row>
    <row r="305">
      <c r="A305" s="243" t="inlineStr">
        <is>
          <t>027</t>
        </is>
      </c>
      <c r="B305" s="243" t="inlineStr">
        <is>
          <t>Clemosa a Bud</t>
        </is>
      </c>
      <c r="C305" s="249" t="inlineStr">
        <is>
          <t>Clemosa A Bud</t>
        </is>
      </c>
      <c r="D305" s="244" t="inlineStr">
        <is>
          <t>P050282</t>
        </is>
      </c>
      <c r="E305" s="243" t="inlineStr">
        <is>
          <t>October 2025</t>
        </is>
      </c>
      <c r="F305" s="243" t="inlineStr">
        <is>
          <t>May 2026</t>
        </is>
      </c>
      <c r="G305" s="243" t="inlineStr">
        <is>
          <t>CLE072501</t>
        </is>
      </c>
      <c r="H305" s="243" t="inlineStr">
        <is>
          <t>✓ COMPLETE</t>
        </is>
      </c>
      <c r="I305" s="246" t="inlineStr">
        <is>
          <t>strain ruled Clemosa A Bud (18.09.2026); the register prints Clemosa a Bud</t>
        </is>
      </c>
    </row>
    <row r="306">
      <c r="A306" s="243" t="inlineStr">
        <is>
          <t>026</t>
        </is>
      </c>
      <c r="B306" s="243" t="inlineStr">
        <is>
          <t>Permanent Market</t>
        </is>
      </c>
      <c r="C306" s="249" t="inlineStr">
        <is>
          <t>Permanent Marker</t>
        </is>
      </c>
      <c r="D306" s="244" t="inlineStr">
        <is>
          <t>P050272</t>
        </is>
      </c>
      <c r="E306" s="243" t="inlineStr">
        <is>
          <t>October 2025</t>
        </is>
      </c>
      <c r="F306" s="243" t="inlineStr">
        <is>
          <t>May 2026</t>
        </is>
      </c>
      <c r="G306" s="243" t="inlineStr">
        <is>
          <t>PM072501</t>
        </is>
      </c>
      <c r="H306" s="243" t="inlineStr">
        <is>
          <t>✓ COMPLETE</t>
        </is>
      </c>
      <c r="I306" s="246" t="inlineStr">
        <is>
          <t>strain ruled Permanent Marker (18.09.2026); the register prints Permanent Market</t>
        </is>
      </c>
    </row>
    <row r="307">
      <c r="A307" s="243" t="inlineStr">
        <is>
          <t>025</t>
        </is>
      </c>
      <c r="B307" s="243" t="inlineStr">
        <is>
          <t>Motor Breath</t>
        </is>
      </c>
      <c r="C307" s="243" t="inlineStr">
        <is>
          <t>Motor Breath</t>
        </is>
      </c>
      <c r="D307" s="244" t="inlineStr">
        <is>
          <t>P050112</t>
        </is>
      </c>
      <c r="E307" s="243" t="inlineStr">
        <is>
          <t>July 2025</t>
        </is>
      </c>
      <c r="F307" s="243" t="inlineStr">
        <is>
          <t>February 2025</t>
        </is>
      </c>
      <c r="G307" s="243" t="inlineStr">
        <is>
          <t>MB0824_05</t>
        </is>
      </c>
      <c r="H307" s="243" t="inlineStr">
        <is>
          <t>✓ COMPLETE</t>
        </is>
      </c>
      <c r="I307" s="246" t="inlineStr"/>
    </row>
    <row r="308">
      <c r="A308" s="243" t="inlineStr">
        <is>
          <t>024</t>
        </is>
      </c>
      <c r="B308" s="243" t="inlineStr">
        <is>
          <t>Orange Punch Mimosa</t>
        </is>
      </c>
      <c r="C308" s="243" t="inlineStr">
        <is>
          <t>Orange Punch Mimosa</t>
        </is>
      </c>
      <c r="D308" s="244" t="inlineStr">
        <is>
          <t>P050132</t>
        </is>
      </c>
      <c r="E308" s="243" t="inlineStr">
        <is>
          <t>August 2025</t>
        </is>
      </c>
      <c r="F308" s="243" t="inlineStr">
        <is>
          <t>March 2026</t>
        </is>
      </c>
      <c r="G308" s="243" t="inlineStr">
        <is>
          <t>OPM052501</t>
        </is>
      </c>
      <c r="H308" s="243" t="inlineStr">
        <is>
          <t>✓ COMPLETE</t>
        </is>
      </c>
      <c r="I308" s="246" t="inlineStr"/>
    </row>
    <row r="309">
      <c r="A309" s="243" t="inlineStr">
        <is>
          <t>023</t>
        </is>
      </c>
      <c r="B309" s="243" t="inlineStr">
        <is>
          <t>Orange Punch Mimosa</t>
        </is>
      </c>
      <c r="C309" s="243" t="inlineStr">
        <is>
          <t>Orange Punch Mimosa</t>
        </is>
      </c>
      <c r="D309" s="244" t="inlineStr">
        <is>
          <t>P050082</t>
        </is>
      </c>
      <c r="E309" s="243" t="inlineStr">
        <is>
          <t>June 2025</t>
        </is>
      </c>
      <c r="F309" s="243" t="inlineStr">
        <is>
          <t>January 2026</t>
        </is>
      </c>
      <c r="G309" s="243" t="inlineStr">
        <is>
          <t>OPM1024_03</t>
        </is>
      </c>
      <c r="H309" s="243" t="inlineStr">
        <is>
          <t>✓ COMPLETE</t>
        </is>
      </c>
      <c r="I309" s="246" t="inlineStr"/>
    </row>
    <row r="310">
      <c r="A310" s="243" t="inlineStr">
        <is>
          <t>022</t>
        </is>
      </c>
      <c r="B310" s="243" t="inlineStr">
        <is>
          <t>Cap Junky</t>
        </is>
      </c>
      <c r="C310" s="243" t="inlineStr">
        <is>
          <t>Cap Junky</t>
        </is>
      </c>
      <c r="D310" s="244" t="inlineStr">
        <is>
          <t>P050172</t>
        </is>
      </c>
      <c r="E310" s="243" t="inlineStr">
        <is>
          <t>August 2025</t>
        </is>
      </c>
      <c r="F310" s="243" t="inlineStr">
        <is>
          <t>March 2026</t>
        </is>
      </c>
      <c r="G310" s="243" t="inlineStr">
        <is>
          <t>CJ052501/02</t>
        </is>
      </c>
      <c r="H310" s="243" t="inlineStr">
        <is>
          <t>✓ COMPLETE</t>
        </is>
      </c>
      <c r="I310" s="246" t="inlineStr"/>
    </row>
    <row r="311">
      <c r="A311" s="243" t="inlineStr">
        <is>
          <t>020</t>
        </is>
      </c>
      <c r="B311" s="243" t="inlineStr">
        <is>
          <t>Grape Pie</t>
        </is>
      </c>
      <c r="C311" s="243" t="inlineStr">
        <is>
          <t>Grape Pie</t>
        </is>
      </c>
      <c r="D311" s="244" t="inlineStr">
        <is>
          <t>P050312</t>
        </is>
      </c>
      <c r="E311" s="243" t="inlineStr">
        <is>
          <t>November 2025</t>
        </is>
      </c>
      <c r="F311" s="243" t="inlineStr">
        <is>
          <t>June 2026</t>
        </is>
      </c>
      <c r="G311" s="243" t="inlineStr">
        <is>
          <t>GP082501/1</t>
        </is>
      </c>
      <c r="H311" s="243" t="inlineStr">
        <is>
          <t>✓ COMPLETE</t>
        </is>
      </c>
      <c r="I311" s="246" t="inlineStr"/>
    </row>
    <row r="312">
      <c r="A312" s="243" t="inlineStr">
        <is>
          <t>021</t>
        </is>
      </c>
      <c r="B312" s="243" t="inlineStr">
        <is>
          <t>Grape Pie</t>
        </is>
      </c>
      <c r="C312" s="243" t="inlineStr">
        <is>
          <t>Grape Pie</t>
        </is>
      </c>
      <c r="D312" s="244" t="inlineStr">
        <is>
          <t>P050322</t>
        </is>
      </c>
      <c r="E312" s="243" t="inlineStr">
        <is>
          <t>November 2025</t>
        </is>
      </c>
      <c r="F312" s="243" t="inlineStr">
        <is>
          <t>June 2026</t>
        </is>
      </c>
      <c r="G312" s="243" t="inlineStr">
        <is>
          <t>GP082501/2</t>
        </is>
      </c>
      <c r="H312" s="243" t="inlineStr">
        <is>
          <t>✓ COMPLETE</t>
        </is>
      </c>
      <c r="I312" s="246" t="inlineStr"/>
    </row>
    <row r="313">
      <c r="A313" s="243" t="inlineStr">
        <is>
          <t>019</t>
        </is>
      </c>
      <c r="B313" s="243" t="inlineStr">
        <is>
          <t>Grape Pie</t>
        </is>
      </c>
      <c r="C313" s="243" t="inlineStr">
        <is>
          <t>Grape Pie</t>
        </is>
      </c>
      <c r="D313" s="244" t="inlineStr">
        <is>
          <t>P050302</t>
        </is>
      </c>
      <c r="E313" s="243" t="inlineStr">
        <is>
          <t>November 2025</t>
        </is>
      </c>
      <c r="F313" s="243" t="inlineStr">
        <is>
          <t>June 2026</t>
        </is>
      </c>
      <c r="G313" s="243" t="inlineStr">
        <is>
          <t>GP072501/2</t>
        </is>
      </c>
      <c r="H313" s="243" t="inlineStr">
        <is>
          <t>✓ COMPLETE</t>
        </is>
      </c>
      <c r="I313" s="246" t="inlineStr"/>
    </row>
    <row r="314">
      <c r="A314" s="243" t="inlineStr">
        <is>
          <t>018</t>
        </is>
      </c>
      <c r="B314" s="243" t="inlineStr">
        <is>
          <t>Grape Pie</t>
        </is>
      </c>
      <c r="C314" s="243" t="inlineStr">
        <is>
          <t>Grape Pie</t>
        </is>
      </c>
      <c r="D314" s="244" t="inlineStr">
        <is>
          <t>P050292</t>
        </is>
      </c>
      <c r="E314" s="243" t="inlineStr">
        <is>
          <t>November 2025</t>
        </is>
      </c>
      <c r="F314" s="243" t="inlineStr">
        <is>
          <t>June 2026</t>
        </is>
      </c>
      <c r="G314" s="243" t="inlineStr">
        <is>
          <t>GP072501/1</t>
        </is>
      </c>
      <c r="H314" s="243" t="inlineStr">
        <is>
          <t>✓ COMPLETE</t>
        </is>
      </c>
      <c r="I314" s="246" t="inlineStr"/>
    </row>
    <row r="315">
      <c r="A315" s="243" t="inlineStr">
        <is>
          <t>017</t>
        </is>
      </c>
      <c r="B315" s="243" t="inlineStr">
        <is>
          <t>Blue Sunset Sherbet</t>
        </is>
      </c>
      <c r="C315" s="243" t="inlineStr">
        <is>
          <t>Blue Sunset Sherbet</t>
        </is>
      </c>
      <c r="D315" s="244" t="inlineStr">
        <is>
          <t>P050192</t>
        </is>
      </c>
      <c r="E315" s="243" t="inlineStr">
        <is>
          <t>August 2025</t>
        </is>
      </c>
      <c r="F315" s="243" t="inlineStr">
        <is>
          <t>— none printed —</t>
        </is>
      </c>
      <c r="G315" s="243" t="inlineStr">
        <is>
          <t>BSS052501</t>
        </is>
      </c>
      <c r="H315" s="243" t="inlineStr">
        <is>
          <t>⚠ 1 MISSING</t>
        </is>
      </c>
      <c r="I315" s="246" t="inlineStr"/>
    </row>
    <row r="316">
      <c r="A316" s="248" t="inlineStr">
        <is>
          <t>— not read —</t>
        </is>
      </c>
      <c r="B316" s="243" t="inlineStr">
        <is>
          <t>Cup Junkie</t>
        </is>
      </c>
      <c r="C316" s="249" t="inlineStr">
        <is>
          <t>Cap Junky</t>
        </is>
      </c>
      <c r="D316" s="244" t="inlineStr">
        <is>
          <t>P050162</t>
        </is>
      </c>
      <c r="E316" s="243" t="inlineStr">
        <is>
          <t>August 2025</t>
        </is>
      </c>
      <c r="F316" s="243" t="inlineStr">
        <is>
          <t>— none printed —</t>
        </is>
      </c>
      <c r="G316" s="243" t="inlineStr">
        <is>
          <t>CJ052501/01</t>
        </is>
      </c>
      <c r="H316" s="243" t="inlineStr">
        <is>
          <t>✓ COMPLETE</t>
        </is>
      </c>
      <c r="I316" s="246" t="inlineStr">
        <is>
          <t>strain ruled Cap Junky (07.09.2026); the register prints Cup Junkie</t>
        </is>
      </c>
    </row>
    <row r="317">
      <c r="A317" s="248" t="inlineStr">
        <is>
          <t>— not read —</t>
        </is>
      </c>
      <c r="B317" s="243" t="inlineStr">
        <is>
          <t>High Pro Amnesia</t>
        </is>
      </c>
      <c r="C317" s="243" t="inlineStr">
        <is>
          <t>High Pro Amnesia</t>
        </is>
      </c>
      <c r="D317" s="244" t="inlineStr">
        <is>
          <t>P050182</t>
        </is>
      </c>
      <c r="E317" s="243" t="inlineStr">
        <is>
          <t>August 2025</t>
        </is>
      </c>
      <c r="F317" s="243" t="inlineStr">
        <is>
          <t>— none printed —</t>
        </is>
      </c>
      <c r="G317" s="243" t="inlineStr">
        <is>
          <t>HPA052501</t>
        </is>
      </c>
      <c r="H317" s="243" t="inlineStr">
        <is>
          <t>✓ COMPLETE</t>
        </is>
      </c>
      <c r="I317" s="246" t="inlineStr"/>
    </row>
    <row r="318">
      <c r="A318" s="248" t="inlineStr">
        <is>
          <t>— not read —</t>
        </is>
      </c>
      <c r="B318" s="243" t="inlineStr">
        <is>
          <t>Blue Sunset Sherbet</t>
        </is>
      </c>
      <c r="C318" s="243" t="inlineStr">
        <is>
          <t>Blue Sunset Sherbet</t>
        </is>
      </c>
      <c r="D318" s="244" t="inlineStr">
        <is>
          <t>P050122</t>
        </is>
      </c>
      <c r="E318" s="243" t="inlineStr">
        <is>
          <t>June 2025</t>
        </is>
      </c>
      <c r="F318" s="243" t="inlineStr">
        <is>
          <t>— none printed —</t>
        </is>
      </c>
      <c r="G318" s="243" t="inlineStr">
        <is>
          <t>BSS1024_01/1</t>
        </is>
      </c>
      <c r="H318" s="243" t="inlineStr">
        <is>
          <t>✓ COMPLETE</t>
        </is>
      </c>
      <c r="I318" s="246" t="inlineStr"/>
    </row>
    <row r="319">
      <c r="A319" s="248" t="inlineStr">
        <is>
          <t>— not read —</t>
        </is>
      </c>
      <c r="B319" s="243" t="inlineStr">
        <is>
          <t>Gorilla Glue</t>
        </is>
      </c>
      <c r="C319" s="243" t="inlineStr">
        <is>
          <t>Gorilla Glue</t>
        </is>
      </c>
      <c r="D319" s="244" t="inlineStr">
        <is>
          <t>P050092</t>
        </is>
      </c>
      <c r="E319" s="243" t="inlineStr">
        <is>
          <t>March 2025</t>
        </is>
      </c>
      <c r="F319" s="243" t="inlineStr">
        <is>
          <t>— none printed —</t>
        </is>
      </c>
      <c r="G319" s="243" t="inlineStr">
        <is>
          <t>GG1024_01</t>
        </is>
      </c>
      <c r="H319" s="243" t="inlineStr">
        <is>
          <t>✓ COMPLETE</t>
        </is>
      </c>
      <c r="I319" s="246" t="inlineStr"/>
    </row>
    <row r="320">
      <c r="A320" s="248" t="inlineStr">
        <is>
          <t>— not read —</t>
        </is>
      </c>
      <c r="B320" s="243" t="inlineStr">
        <is>
          <t>Grape Pie</t>
        </is>
      </c>
      <c r="C320" s="243" t="inlineStr">
        <is>
          <t>Grape Pie</t>
        </is>
      </c>
      <c r="D320" s="244" t="inlineStr">
        <is>
          <t>P050102</t>
        </is>
      </c>
      <c r="E320" s="243" t="inlineStr">
        <is>
          <t>March 2025</t>
        </is>
      </c>
      <c r="F320" s="243" t="inlineStr">
        <is>
          <t>October 2025</t>
        </is>
      </c>
      <c r="G320" s="243" t="inlineStr">
        <is>
          <t>GP0824_01</t>
        </is>
      </c>
      <c r="H320" s="243" t="inlineStr">
        <is>
          <t>✓ COMPLETE</t>
        </is>
      </c>
      <c r="I320" s="246" t="inlineStr"/>
    </row>
    <row r="321">
      <c r="A321" s="248" t="inlineStr">
        <is>
          <t>— not read —</t>
        </is>
      </c>
      <c r="B321" s="243" t="inlineStr">
        <is>
          <t>Grape Pie</t>
        </is>
      </c>
      <c r="C321" s="243" t="inlineStr">
        <is>
          <t>Grape Pie</t>
        </is>
      </c>
      <c r="D321" s="244" t="inlineStr">
        <is>
          <t>P050072</t>
        </is>
      </c>
      <c r="E321" s="243" t="inlineStr">
        <is>
          <t>June 2025</t>
        </is>
      </c>
      <c r="F321" s="243" t="inlineStr">
        <is>
          <t>January 2026</t>
        </is>
      </c>
      <c r="G321" s="243" t="inlineStr">
        <is>
          <t>GP0824_03</t>
        </is>
      </c>
      <c r="H321" s="243" t="inlineStr">
        <is>
          <t>✓ COMPLETE</t>
        </is>
      </c>
      <c r="I321" s="246" t="inlineStr"/>
    </row>
    <row r="322">
      <c r="A322" s="248" t="inlineStr">
        <is>
          <t>— not read —</t>
        </is>
      </c>
      <c r="B322" s="243" t="inlineStr">
        <is>
          <t>Orange Punch Mimosa</t>
        </is>
      </c>
      <c r="C322" s="243" t="inlineStr">
        <is>
          <t>Orange Punch Mimosa</t>
        </is>
      </c>
      <c r="D322" s="244" t="inlineStr">
        <is>
          <t>P050062</t>
        </is>
      </c>
      <c r="E322" s="243" t="inlineStr">
        <is>
          <t>May 2025</t>
        </is>
      </c>
      <c r="F322" s="243" t="inlineStr">
        <is>
          <t>December 2025</t>
        </is>
      </c>
      <c r="G322" s="243" t="inlineStr">
        <is>
          <t>OPM1024_02</t>
        </is>
      </c>
      <c r="H322" s="243" t="inlineStr">
        <is>
          <t>✓ COMPLETE</t>
        </is>
      </c>
      <c r="I322" s="246" t="inlineStr"/>
    </row>
    <row r="323">
      <c r="A323" s="248" t="inlineStr">
        <is>
          <t>— not read —</t>
        </is>
      </c>
      <c r="B323" s="243" t="inlineStr">
        <is>
          <t>High Pro Amnesia</t>
        </is>
      </c>
      <c r="C323" s="243" t="inlineStr">
        <is>
          <t>High Pro Amnesia</t>
        </is>
      </c>
      <c r="D323" s="244" t="inlineStr">
        <is>
          <t>P050052</t>
        </is>
      </c>
      <c r="E323" s="243" t="inlineStr">
        <is>
          <t>May 2025</t>
        </is>
      </c>
      <c r="F323" s="243" t="inlineStr">
        <is>
          <t>December 2025</t>
        </is>
      </c>
      <c r="G323" s="243" t="inlineStr">
        <is>
          <t>HPA1024_01</t>
        </is>
      </c>
      <c r="H323" s="243" t="inlineStr">
        <is>
          <t>✓ COMPLETE</t>
        </is>
      </c>
      <c r="I323" s="246" t="inlineStr"/>
    </row>
    <row r="324">
      <c r="A324" s="248" t="inlineStr">
        <is>
          <t>— not read —</t>
        </is>
      </c>
      <c r="B324" s="243" t="inlineStr">
        <is>
          <t>Grape Pie</t>
        </is>
      </c>
      <c r="C324" s="243" t="inlineStr">
        <is>
          <t>Grape Pie</t>
        </is>
      </c>
      <c r="D324" s="244" t="inlineStr">
        <is>
          <t>P050022</t>
        </is>
      </c>
      <c r="E324" s="243" t="inlineStr">
        <is>
          <t>May 2025</t>
        </is>
      </c>
      <c r="F324" s="243" t="inlineStr">
        <is>
          <t>December 2025</t>
        </is>
      </c>
      <c r="G324" s="243" t="inlineStr">
        <is>
          <t>GP0824_02</t>
        </is>
      </c>
      <c r="H324" s="243" t="inlineStr">
        <is>
          <t>✓ COMPLETE</t>
        </is>
      </c>
      <c r="I324" s="246" t="inlineStr"/>
    </row>
    <row r="325">
      <c r="A325" s="248" t="inlineStr">
        <is>
          <t>— not read —</t>
        </is>
      </c>
      <c r="B325" s="243" t="inlineStr">
        <is>
          <t>Orange Punch Mimosa</t>
        </is>
      </c>
      <c r="C325" s="243" t="inlineStr">
        <is>
          <t>Orange Punch Mimosa</t>
        </is>
      </c>
      <c r="D325" s="244" t="inlineStr">
        <is>
          <t>P050042</t>
        </is>
      </c>
      <c r="E325" s="243" t="inlineStr">
        <is>
          <t>March 2025</t>
        </is>
      </c>
      <c r="F325" s="243" t="inlineStr">
        <is>
          <t>November 2025</t>
        </is>
      </c>
      <c r="G325" s="243" t="inlineStr">
        <is>
          <t>OMP1024_01</t>
        </is>
      </c>
      <c r="H325" s="243" t="inlineStr">
        <is>
          <t>✓ COMPLETE</t>
        </is>
      </c>
      <c r="I325" s="246" t="inlineStr"/>
    </row>
    <row r="326">
      <c r="A326" s="248" t="inlineStr">
        <is>
          <t>— not read —</t>
        </is>
      </c>
      <c r="B326" s="243" t="inlineStr">
        <is>
          <t>Motor Breath</t>
        </is>
      </c>
      <c r="C326" s="243" t="inlineStr">
        <is>
          <t>Motor Breath</t>
        </is>
      </c>
      <c r="D326" s="244" t="inlineStr">
        <is>
          <t>P050032</t>
        </is>
      </c>
      <c r="E326" s="243" t="inlineStr">
        <is>
          <t>April 2025</t>
        </is>
      </c>
      <c r="F326" s="243" t="inlineStr">
        <is>
          <t>November 2025</t>
        </is>
      </c>
      <c r="G326" s="243" t="inlineStr">
        <is>
          <t>MB0824_04</t>
        </is>
      </c>
      <c r="H326" s="243" t="inlineStr">
        <is>
          <t>✓ COMPLETE</t>
        </is>
      </c>
      <c r="I326" s="246" t="inlineStr"/>
    </row>
    <row r="327">
      <c r="A327" s="248" t="inlineStr">
        <is>
          <t>— not read —</t>
        </is>
      </c>
      <c r="B327" s="243" t="inlineStr">
        <is>
          <t>Gorilla Glue</t>
        </is>
      </c>
      <c r="C327" s="243" t="inlineStr">
        <is>
          <t>Gorilla Glue</t>
        </is>
      </c>
      <c r="D327" s="244" t="inlineStr">
        <is>
          <t>P050012</t>
        </is>
      </c>
      <c r="E327" s="243" t="inlineStr">
        <is>
          <t>April 2025</t>
        </is>
      </c>
      <c r="F327" s="243" t="inlineStr">
        <is>
          <t>November 2025</t>
        </is>
      </c>
      <c r="G327" s="243" t="inlineStr">
        <is>
          <t>GG1024_02</t>
        </is>
      </c>
      <c r="H327" s="243" t="inlineStr">
        <is>
          <t>✓ COMPLETE</t>
        </is>
      </c>
      <c r="I327" s="246" t="inlineStr"/>
    </row>
    <row r="328">
      <c r="A328" s="248" t="inlineStr">
        <is>
          <t>— not read —</t>
        </is>
      </c>
      <c r="B328" s="243" t="inlineStr">
        <is>
          <t>Blue Gelato</t>
        </is>
      </c>
      <c r="C328" s="243" t="inlineStr">
        <is>
          <t>Blue Gelato</t>
        </is>
      </c>
      <c r="D328" s="244" t="inlineStr">
        <is>
          <t>BG1024</t>
        </is>
      </c>
      <c r="E328" s="243" t="inlineStr">
        <is>
          <t>January 2025</t>
        </is>
      </c>
      <c r="F328" s="243" t="inlineStr">
        <is>
          <t>June 2025</t>
        </is>
      </c>
      <c r="G328" s="243" t="inlineStr">
        <is>
          <t>BG1024</t>
        </is>
      </c>
      <c r="H328" s="243" t="inlineStr">
        <is>
          <t>✓ COMPLETE</t>
        </is>
      </c>
      <c r="I328" s="246" t="inlineStr"/>
    </row>
    <row r="329">
      <c r="A329" s="248" t="inlineStr">
        <is>
          <t>— not read —</t>
        </is>
      </c>
      <c r="B329" s="243" t="inlineStr">
        <is>
          <t>Blue Sunset Sherbet</t>
        </is>
      </c>
      <c r="C329" s="243" t="inlineStr">
        <is>
          <t>Blue Sunset Sherbet</t>
        </is>
      </c>
      <c r="D329" s="244" t="inlineStr">
        <is>
          <t>BSS1024</t>
        </is>
      </c>
      <c r="E329" s="243" t="inlineStr">
        <is>
          <t>January 2025</t>
        </is>
      </c>
      <c r="F329" s="243" t="inlineStr">
        <is>
          <t>June 2025</t>
        </is>
      </c>
      <c r="G329" s="243" t="inlineStr">
        <is>
          <t>BSS1024</t>
        </is>
      </c>
      <c r="H329" s="243" t="inlineStr">
        <is>
          <t>✓ COMPLETE</t>
        </is>
      </c>
      <c r="I329" s="246" t="inlineStr"/>
    </row>
    <row r="330">
      <c r="A330" s="248" t="inlineStr">
        <is>
          <t>— not read —</t>
        </is>
      </c>
      <c r="B330" s="243" t="inlineStr">
        <is>
          <t>Cap Junky</t>
        </is>
      </c>
      <c r="C330" s="243" t="inlineStr">
        <is>
          <t>Cap Junky</t>
        </is>
      </c>
      <c r="D330" s="244" t="inlineStr">
        <is>
          <t>CJ1024</t>
        </is>
      </c>
      <c r="E330" s="243" t="inlineStr">
        <is>
          <t>January 2025</t>
        </is>
      </c>
      <c r="F330" s="243" t="inlineStr">
        <is>
          <t>June 2025</t>
        </is>
      </c>
      <c r="G330" s="243" t="inlineStr">
        <is>
          <t>CJ1024</t>
        </is>
      </c>
      <c r="H330" s="243" t="inlineStr">
        <is>
          <t>✓ COMPLETE</t>
        </is>
      </c>
      <c r="I330" s="246" t="inlineStr"/>
    </row>
    <row r="331">
      <c r="A331" s="248" t="inlineStr">
        <is>
          <t>— not read —</t>
        </is>
      </c>
      <c r="B331" s="243" t="inlineStr">
        <is>
          <t>Gorilla Glue</t>
        </is>
      </c>
      <c r="C331" s="243" t="inlineStr">
        <is>
          <t>Gorilla Glue</t>
        </is>
      </c>
      <c r="D331" s="244" t="inlineStr">
        <is>
          <t>GG1024</t>
        </is>
      </c>
      <c r="E331" s="243" t="inlineStr">
        <is>
          <t>January 2025</t>
        </is>
      </c>
      <c r="F331" s="243" t="inlineStr">
        <is>
          <t>— none printed —</t>
        </is>
      </c>
      <c r="G331" s="243" t="inlineStr">
        <is>
          <t>GG1024</t>
        </is>
      </c>
      <c r="H331" s="243" t="inlineStr">
        <is>
          <t>○ 4 ON FILE, NOT RECORDED</t>
        </is>
      </c>
      <c r="I331" s="246" t="inlineStr"/>
    </row>
    <row r="332">
      <c r="A332" s="248" t="inlineStr">
        <is>
          <t>— not read —</t>
        </is>
      </c>
      <c r="B332" s="243" t="inlineStr">
        <is>
          <t>Orange Punch Mimosa</t>
        </is>
      </c>
      <c r="C332" s="243" t="inlineStr">
        <is>
          <t>Orange Punch Mimosa</t>
        </is>
      </c>
      <c r="D332" s="244" t="inlineStr">
        <is>
          <t>OPM1024</t>
        </is>
      </c>
      <c r="E332" s="243" t="inlineStr">
        <is>
          <t>January 2025</t>
        </is>
      </c>
      <c r="F332" s="243" t="inlineStr">
        <is>
          <t>June 2025</t>
        </is>
      </c>
      <c r="G332" s="243" t="inlineStr">
        <is>
          <t>OPM1024</t>
        </is>
      </c>
      <c r="H332" s="243" t="inlineStr">
        <is>
          <t>❌ 4 MISSING</t>
        </is>
      </c>
      <c r="I332" s="246" t="inlineStr"/>
    </row>
    <row r="333">
      <c r="A333" s="248" t="inlineStr">
        <is>
          <t>— not read —</t>
        </is>
      </c>
      <c r="B333" s="243" t="inlineStr">
        <is>
          <t>High Pro Amnesia</t>
        </is>
      </c>
      <c r="C333" s="243" t="inlineStr">
        <is>
          <t>High Pro Amnesia</t>
        </is>
      </c>
      <c r="D333" s="244" t="inlineStr">
        <is>
          <t>HPA1024</t>
        </is>
      </c>
      <c r="E333" s="243" t="inlineStr">
        <is>
          <t>January 2025</t>
        </is>
      </c>
      <c r="F333" s="243" t="inlineStr">
        <is>
          <t>— none printed —</t>
        </is>
      </c>
      <c r="G333" s="243" t="inlineStr">
        <is>
          <t>HPA1024</t>
        </is>
      </c>
      <c r="H333" s="243" t="inlineStr">
        <is>
          <t>❌ 4 MISSING</t>
        </is>
      </c>
      <c r="I333" s="246" t="inlineStr"/>
    </row>
    <row r="335" ht="58" customHeight="1" s="70">
      <c r="A335"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5" s="120" t="n"/>
      <c r="C335" s="120" t="n"/>
      <c r="D335" s="120" t="n"/>
      <c r="E335" s="120" t="n"/>
      <c r="F335" s="120" t="n"/>
      <c r="G335" s="120" t="n"/>
      <c r="H335" s="120" t="n"/>
      <c r="I335" s="121" t="n"/>
    </row>
    <row r="338" ht="20" customHeight="1" s="70">
      <c r="A338" s="264" t="inlineStr">
        <is>
          <t>MIKRO COQ PARAMETER</t>
        </is>
      </c>
    </row>
    <row r="339" ht="16" customHeight="1" s="70">
      <c r="A339" s="119" t="inlineStr">
        <is>
          <t>BATCH IDENTIFICATION</t>
        </is>
      </c>
      <c r="B339" s="120" t="n"/>
      <c r="C339" s="121" t="n"/>
      <c r="D339" s="119" t="inlineStr">
        <is>
          <t>PHYSICAL  7–8</t>
        </is>
      </c>
      <c r="E339" s="120" t="n"/>
      <c r="F339" s="120" t="n"/>
      <c r="G339" s="120" t="n"/>
      <c r="H339" s="120" t="n"/>
      <c r="I339" s="121" t="n"/>
      <c r="J339" s="119" t="inlineStr">
        <is>
          <t>MICROBIOLOGY  9</t>
        </is>
      </c>
      <c r="K339" s="120" t="n"/>
      <c r="L339" s="120" t="n"/>
      <c r="M339" s="120" t="n"/>
      <c r="N339" s="120" t="n"/>
      <c r="O339" s="121" t="n"/>
      <c r="P339" s="119" t="inlineStr">
        <is>
          <t>CONTAMINANTS  10–12</t>
        </is>
      </c>
      <c r="Q339" s="120" t="n"/>
      <c r="R339" s="120" t="n"/>
      <c r="S339" s="120" t="n"/>
      <c r="T339" s="120" t="n"/>
      <c r="U339" s="120" t="n"/>
      <c r="V339" s="120" t="n"/>
      <c r="W339" s="120" t="n"/>
      <c r="X339" s="120" t="n"/>
      <c r="Y339" s="120" t="n"/>
      <c r="Z339" s="120" t="n"/>
      <c r="AA339" s="121" t="n"/>
    </row>
    <row r="340" ht="30" customHeight="1" s="70">
      <c r="A340" s="122" t="inlineStr">
        <is>
          <t>CU Batch</t>
        </is>
      </c>
      <c r="B340" s="122" t="inlineStr">
        <is>
          <t>P Batch</t>
        </is>
      </c>
      <c r="C340" s="122" t="inlineStr">
        <is>
          <t>STATUS</t>
        </is>
      </c>
      <c r="D340" s="119" t="inlineStr">
        <is>
          <t>#7 Foreign Matter
Ph. Eur. 2.8.2 / in-house</t>
        </is>
      </c>
      <c r="E340" s="120" t="n"/>
      <c r="F340" s="121" t="n"/>
      <c r="G340" s="119" t="inlineStr">
        <is>
          <t>#8 Loss on Drying
Ph. Eur. 2.2.32 · 40 °C, 24 h, 15–25 mbar</t>
        </is>
      </c>
      <c r="H340" s="120" t="n"/>
      <c r="I340" s="121" t="n"/>
      <c r="J340" s="119" t="inlineStr">
        <is>
          <t>#9 Microbiological Purity
Ph. Eur. 2.6.12 / 2.6.13 / 2.6.31 · cat. C</t>
        </is>
      </c>
      <c r="K340" s="120" t="n"/>
      <c r="L340" s="120" t="n"/>
      <c r="M340" s="120" t="n"/>
      <c r="N340" s="120" t="n"/>
      <c r="O340" s="121" t="n"/>
      <c r="P340" s="119" t="inlineStr">
        <is>
          <t>#10 Mycotoxins
Ph. Eur. 2.8.18 / 2.8.22 (HPLC-FLD)</t>
        </is>
      </c>
      <c r="Q340" s="120" t="n"/>
      <c r="R340" s="120" t="n"/>
      <c r="S340" s="121" t="n"/>
      <c r="T340" s="119" t="inlineStr">
        <is>
          <t>#11 Heavy Metals
Ph. Eur. 2.4.27 (ICP-MS)</t>
        </is>
      </c>
      <c r="U340" s="120" t="n"/>
      <c r="V340" s="120" t="n"/>
      <c r="W340" s="120" t="n"/>
      <c r="X340" s="121" t="n"/>
      <c r="Y340" s="119" t="inlineStr">
        <is>
          <t>#12 Pesticide Residues
Ph. Eur. 2.8.13 (LC-MS/MS) · CUMCS equivalency</t>
        </is>
      </c>
      <c r="Z340" s="120" t="n"/>
      <c r="AA340" s="121" t="n"/>
    </row>
    <row r="341" ht="26" customHeight="1" s="70">
      <c r="A341" s="279" t="n"/>
      <c r="B341" s="279" t="n"/>
      <c r="C341" s="279" t="n"/>
      <c r="D341" s="123" t="inlineStr">
        <is>
          <t>A.C.: ≤ 2.0 % (25–50 g); leaves &lt; 1 cm; no seeds</t>
        </is>
      </c>
      <c r="E341" s="121" t="n"/>
      <c r="F341" s="123" t="inlineStr"/>
      <c r="G341" s="123" t="inlineStr">
        <is>
          <t>A.C.: ≤ 12.0 %</t>
        </is>
      </c>
      <c r="H341" s="121" t="n"/>
      <c r="I341" s="123" t="inlineStr"/>
      <c r="J341" s="123" t="inlineStr">
        <is>
          <t>A.C.: ≤ 10⁵ CFU/g</t>
        </is>
      </c>
      <c r="K341" s="123" t="inlineStr">
        <is>
          <t>A.C.: ≤ 10⁴ CFU/g</t>
        </is>
      </c>
      <c r="L341" s="123" t="inlineStr">
        <is>
          <t>A.C.: ≤ 10⁴ CFU/g</t>
        </is>
      </c>
      <c r="M341" s="123" t="inlineStr">
        <is>
          <t>A.C.: Absence / 25 g</t>
        </is>
      </c>
      <c r="N341" s="123" t="inlineStr">
        <is>
          <t>A.C.: Absence / 1 g</t>
        </is>
      </c>
      <c r="O341" s="123" t="inlineStr"/>
      <c r="P341" s="123" t="inlineStr">
        <is>
          <t>A.C.: ≤ 2 µg/kg</t>
        </is>
      </c>
      <c r="Q341" s="123" t="inlineStr">
        <is>
          <t>A.C.: ≤ 4 µg/kg</t>
        </is>
      </c>
      <c r="R341" s="123" t="inlineStr">
        <is>
          <t>A.C.: ≤ 20 µg/kg</t>
        </is>
      </c>
      <c r="S341" s="123" t="inlineStr"/>
      <c r="T341" s="123" t="inlineStr">
        <is>
          <t>A.C.: ≤ 0.5 mg/kg</t>
        </is>
      </c>
      <c r="U341" s="123" t="inlineStr">
        <is>
          <t>A.C.: ≤ 0.3 mg/kg</t>
        </is>
      </c>
      <c r="V341" s="123" t="inlineStr">
        <is>
          <t>A.C.: ≤ 0.2 mg/kg</t>
        </is>
      </c>
      <c r="W341" s="123" t="inlineStr">
        <is>
          <t>A.C.: ≤ 0.1 mg/kg</t>
        </is>
      </c>
      <c r="X341" s="123" t="inlineStr"/>
      <c r="Y341" s="123" t="inlineStr">
        <is>
          <t>A.C.: ≤ LOQ (Ph. Eur. 2.8.13 / CUMCS equivalency)</t>
        </is>
      </c>
      <c r="Z341" s="121" t="n"/>
      <c r="AA341" s="123" t="inlineStr"/>
    </row>
    <row r="342" ht="24" customHeight="1" s="70">
      <c r="A342" s="280" t="n"/>
      <c r="B342" s="280" t="n"/>
      <c r="C342" s="280" t="n"/>
      <c r="D342" s="124" t="inlineStr">
        <is>
          <t>Result</t>
        </is>
      </c>
      <c r="E342" s="124" t="inlineStr">
        <is>
          <t xml:space="preserve">[eCOA code],[date],[Lab] </t>
        </is>
      </c>
      <c r="F342" s="124" t="inlineStr">
        <is>
          <t>✓   ✗</t>
        </is>
      </c>
      <c r="G342" s="124" t="inlineStr">
        <is>
          <t>Result</t>
        </is>
      </c>
      <c r="H342" s="124" t="inlineStr">
        <is>
          <t xml:space="preserve">[eCOA code],[date],[Lab] </t>
        </is>
      </c>
      <c r="I342" s="124" t="inlineStr">
        <is>
          <t>✓   ✗</t>
        </is>
      </c>
      <c r="J342" s="124" t="inlineStr">
        <is>
          <t>TAMC</t>
        </is>
      </c>
      <c r="K342" s="124" t="inlineStr">
        <is>
          <t>TYMC</t>
        </is>
      </c>
      <c r="L342" s="124" t="inlineStr">
        <is>
          <t>GNB</t>
        </is>
      </c>
      <c r="M342" s="124" t="inlineStr">
        <is>
          <t>Salm.</t>
        </is>
      </c>
      <c r="N342" s="124" t="inlineStr">
        <is>
          <t>E. coli</t>
        </is>
      </c>
      <c r="O342" s="124" t="inlineStr">
        <is>
          <t>✓   ✗</t>
        </is>
      </c>
      <c r="P342" s="124" t="inlineStr">
        <is>
          <t>AfB₁</t>
        </is>
      </c>
      <c r="Q342" s="124" t="inlineStr">
        <is>
          <t>ΣAf</t>
        </is>
      </c>
      <c r="R342" s="124" t="inlineStr">
        <is>
          <t>OTA</t>
        </is>
      </c>
      <c r="S342" s="124" t="inlineStr">
        <is>
          <t>✓   ✗</t>
        </is>
      </c>
      <c r="T342" s="124" t="inlineStr">
        <is>
          <t>Pb</t>
        </is>
      </c>
      <c r="U342" s="124" t="inlineStr">
        <is>
          <t>Cd</t>
        </is>
      </c>
      <c r="V342" s="124" t="inlineStr">
        <is>
          <t>As</t>
        </is>
      </c>
      <c r="W342" s="124" t="inlineStr">
        <is>
          <t>Hg</t>
        </is>
      </c>
      <c r="X342" s="124" t="inlineStr">
        <is>
          <t>✓   ✗</t>
        </is>
      </c>
      <c r="Y342" s="124" t="inlineStr">
        <is>
          <t>Result</t>
        </is>
      </c>
      <c r="Z342" s="124" t="inlineStr">
        <is>
          <t xml:space="preserve">[eCOA code],[date],[Lab] </t>
        </is>
      </c>
      <c r="AA342" s="124" t="inlineStr">
        <is>
          <t>✓   ✗</t>
        </is>
      </c>
    </row>
    <row r="343" ht="21" customHeight="1" s="70">
      <c r="A343" s="125" t="inlineStr">
        <is>
          <t>FB012603</t>
        </is>
      </c>
      <c r="B343" s="126" t="inlineStr">
        <is>
          <t>P060432</t>
        </is>
      </c>
      <c r="C343" s="170" t="inlineStr">
        <is>
          <t>⚠ 3 NO RESULT
(3 no cert / 0 cert w/o result)
2 testing instances</t>
        </is>
      </c>
      <c r="D343" s="131" t="inlineStr">
        <is>
          <t>Conforms (no value printed)</t>
        </is>
      </c>
      <c r="E343" s="132" t="inlineStr">
        <is>
          <t>ППК26112, (30.06.2026) [CNP]</t>
        </is>
      </c>
      <c r="F343" s="133" t="inlineStr">
        <is>
          <t>✓</t>
        </is>
      </c>
      <c r="G343" s="131" t="inlineStr">
        <is>
          <t>7.04</t>
        </is>
      </c>
      <c r="H343" s="132" t="inlineStr">
        <is>
          <t>ППК26112, (30.06.2026) [CNP]</t>
        </is>
      </c>
      <c r="I343" s="133" t="inlineStr">
        <is>
          <t>✓</t>
        </is>
      </c>
      <c r="J343" s="131" t="inlineStr">
        <is>
          <t>9.8 × 10³</t>
        </is>
      </c>
      <c r="K343" s="139" t="inlineStr">
        <is>
          <t>2.5 × 10³</t>
        </is>
      </c>
      <c r="L343" s="139" t="inlineStr">
        <is>
          <t>&lt; 10² and &gt; 10</t>
        </is>
      </c>
      <c r="M343" s="139" t="inlineStr">
        <is>
          <t>Absent</t>
        </is>
      </c>
      <c r="N343" s="139" t="inlineStr">
        <is>
          <t>Absent</t>
        </is>
      </c>
      <c r="O343" s="133" t="inlineStr">
        <is>
          <t>✓</t>
        </is>
      </c>
      <c r="P343" s="171" t="inlineStr">
        <is>
          <t>— MISSING —</t>
        </is>
      </c>
      <c r="Q343" s="172" t="inlineStr">
        <is>
          <t>— MISSING —</t>
        </is>
      </c>
      <c r="R343" s="172" t="inlineStr">
        <is>
          <t>— MISSING —</t>
        </is>
      </c>
      <c r="S343" s="173" t="inlineStr">
        <is>
          <t>✗</t>
        </is>
      </c>
      <c r="T343" s="171" t="inlineStr">
        <is>
          <t>— MISSING —</t>
        </is>
      </c>
      <c r="U343" s="172" t="inlineStr">
        <is>
          <t>— MISSING —</t>
        </is>
      </c>
      <c r="V343" s="172" t="inlineStr">
        <is>
          <t>— MISSING —</t>
        </is>
      </c>
      <c r="W343" s="172" t="inlineStr">
        <is>
          <t>— MISSING —</t>
        </is>
      </c>
      <c r="X343" s="173" t="inlineStr">
        <is>
          <t>✗</t>
        </is>
      </c>
      <c r="Y343" s="171" t="inlineStr">
        <is>
          <t>— MISSING —</t>
        </is>
      </c>
      <c r="Z343" s="174" t="inlineStr">
        <is>
          <t>— no certificate —</t>
        </is>
      </c>
      <c r="AA343" s="175" t="inlineStr">
        <is>
          <t>✗</t>
        </is>
      </c>
    </row>
    <row r="344" ht="39" customHeight="1" s="70">
      <c r="A344" s="281" t="n"/>
      <c r="B344" s="279" t="n"/>
      <c r="C344" s="279" t="n"/>
      <c r="D344" s="282" t="n"/>
      <c r="E344" s="280" t="n"/>
      <c r="F344" s="283" t="n"/>
      <c r="G344" s="282" t="n"/>
      <c r="H344" s="280" t="n"/>
      <c r="I344" s="283" t="n"/>
      <c r="J344" s="144" t="inlineStr">
        <is>
          <t>537-1068-26, (31.08.2026) [IJZ-MB]</t>
        </is>
      </c>
      <c r="K344" s="120" t="n"/>
      <c r="L344" s="120" t="n"/>
      <c r="M344" s="120" t="n"/>
      <c r="N344" s="121" t="n"/>
      <c r="O344" s="283" t="n"/>
      <c r="P344" s="176" t="inlineStr">
        <is>
          <t>— no certificate —</t>
        </is>
      </c>
      <c r="Q344" s="120" t="n"/>
      <c r="R344" s="121" t="n"/>
      <c r="S344" s="283" t="n"/>
      <c r="T344" s="176" t="inlineStr">
        <is>
          <t>— no certificate —</t>
        </is>
      </c>
      <c r="U344" s="120" t="n"/>
      <c r="V344" s="120" t="n"/>
      <c r="W344" s="121" t="n"/>
      <c r="X344" s="283" t="n"/>
      <c r="Y344" s="282" t="n"/>
      <c r="Z344" s="280" t="n"/>
      <c r="AA344" s="284" t="n"/>
    </row>
    <row r="345" ht="17.625" customHeight="1" s="70">
      <c r="A345" s="281" t="n"/>
      <c r="B345" s="279" t="n"/>
      <c r="C345" s="279" t="n"/>
      <c r="D345" s="151" t="n"/>
      <c r="E345" s="147" t="n"/>
      <c r="F345" s="152" t="n"/>
      <c r="G345" s="151" t="n"/>
      <c r="H345" s="147" t="n"/>
      <c r="I345" s="152" t="n"/>
      <c r="J345" s="151" t="n"/>
      <c r="K345" s="147" t="n"/>
      <c r="L345" s="147" t="n"/>
      <c r="M345" s="147" t="n"/>
      <c r="N345" s="147" t="n"/>
      <c r="O345" s="152" t="n"/>
      <c r="P345" s="151" t="n"/>
      <c r="Q345" s="147" t="n"/>
      <c r="R345" s="147" t="n"/>
      <c r="S345" s="152" t="n"/>
      <c r="T345" s="151" t="n"/>
      <c r="U345" s="147" t="n"/>
      <c r="V345" s="147" t="n"/>
      <c r="W345" s="147" t="n"/>
      <c r="X345" s="152" t="n"/>
      <c r="Y345" s="151" t="n"/>
      <c r="Z345" s="147" t="n"/>
      <c r="AA345" s="163" t="n"/>
    </row>
    <row r="346" ht="13" customHeight="1" s="70">
      <c r="A346" s="285" t="n"/>
      <c r="B346" s="286" t="n"/>
      <c r="C346" s="286" t="n"/>
      <c r="D346" s="166" t="n"/>
      <c r="E346" s="165" t="n"/>
      <c r="F346" s="167" t="n"/>
      <c r="G346" s="166" t="n"/>
      <c r="H346" s="165" t="n"/>
      <c r="I346" s="167" t="n"/>
      <c r="J346" s="166" t="n"/>
      <c r="K346" s="165" t="n"/>
      <c r="L346" s="165" t="n"/>
      <c r="M346" s="165" t="n"/>
      <c r="N346" s="165" t="n"/>
      <c r="O346" s="167" t="n"/>
      <c r="P346" s="166" t="n"/>
      <c r="Q346" s="165" t="n"/>
      <c r="R346" s="165" t="n"/>
      <c r="S346" s="167" t="n"/>
      <c r="T346" s="166" t="n"/>
      <c r="U346" s="165" t="n"/>
      <c r="V346" s="165" t="n"/>
      <c r="W346" s="165" t="n"/>
      <c r="X346" s="167" t="n"/>
      <c r="Y346" s="166" t="n"/>
      <c r="Z346" s="165" t="n"/>
      <c r="AA346" s="169" t="n"/>
    </row>
    <row r="347" ht="21" customHeight="1" s="70">
      <c r="A347" s="125" t="inlineStr">
        <is>
          <t>FB012603V</t>
        </is>
      </c>
      <c r="B347" s="126" t="inlineStr">
        <is>
          <t>P060392</t>
        </is>
      </c>
      <c r="C347" s="170" t="inlineStr">
        <is>
          <t>⚠ 3 NO RESULT
(3 no cert / 0 cert w/o result)
2 testing instances</t>
        </is>
      </c>
      <c r="D347" s="131" t="inlineStr">
        <is>
          <t>Conforms (no value printed)</t>
        </is>
      </c>
      <c r="E347" s="132" t="inlineStr">
        <is>
          <t>ППК26110, (30.06.2026) [CNP]</t>
        </is>
      </c>
      <c r="F347" s="133" t="inlineStr">
        <is>
          <t>✓</t>
        </is>
      </c>
      <c r="G347" s="131" t="inlineStr">
        <is>
          <t>6.36</t>
        </is>
      </c>
      <c r="H347" s="132" t="inlineStr">
        <is>
          <t>ППК26110, (30.06.2026) [CNP]</t>
        </is>
      </c>
      <c r="I347" s="133" t="inlineStr">
        <is>
          <t>✓</t>
        </is>
      </c>
      <c r="J347" s="131" t="inlineStr">
        <is>
          <t>2.9 × 10³</t>
        </is>
      </c>
      <c r="K347" s="139" t="inlineStr">
        <is>
          <t>2.5 × 10³</t>
        </is>
      </c>
      <c r="L347" s="139" t="inlineStr">
        <is>
          <t>&lt; 10</t>
        </is>
      </c>
      <c r="M347" s="139" t="inlineStr">
        <is>
          <t>Absent</t>
        </is>
      </c>
      <c r="N347" s="139" t="inlineStr">
        <is>
          <t>Absent</t>
        </is>
      </c>
      <c r="O347" s="133" t="inlineStr">
        <is>
          <t>✓</t>
        </is>
      </c>
      <c r="P347" s="171" t="inlineStr">
        <is>
          <t>— MISSING —</t>
        </is>
      </c>
      <c r="Q347" s="172" t="inlineStr">
        <is>
          <t>— MISSING —</t>
        </is>
      </c>
      <c r="R347" s="172" t="inlineStr">
        <is>
          <t>— MISSING —</t>
        </is>
      </c>
      <c r="S347" s="173" t="inlineStr">
        <is>
          <t>✗</t>
        </is>
      </c>
      <c r="T347" s="171" t="inlineStr">
        <is>
          <t>— MISSING —</t>
        </is>
      </c>
      <c r="U347" s="172" t="inlineStr">
        <is>
          <t>— MISSING —</t>
        </is>
      </c>
      <c r="V347" s="172" t="inlineStr">
        <is>
          <t>— MISSING —</t>
        </is>
      </c>
      <c r="W347" s="172" t="inlineStr">
        <is>
          <t>— MISSING —</t>
        </is>
      </c>
      <c r="X347" s="173" t="inlineStr">
        <is>
          <t>✗</t>
        </is>
      </c>
      <c r="Y347" s="171" t="inlineStr">
        <is>
          <t>— MISSING —</t>
        </is>
      </c>
      <c r="Z347" s="174" t="inlineStr">
        <is>
          <t>— no certificate —</t>
        </is>
      </c>
      <c r="AA347" s="175" t="inlineStr">
        <is>
          <t>✗</t>
        </is>
      </c>
    </row>
    <row r="348" ht="39" customHeight="1" s="70">
      <c r="A348" s="281" t="n"/>
      <c r="B348" s="279" t="n"/>
      <c r="C348" s="279" t="n"/>
      <c r="D348" s="282" t="n"/>
      <c r="E348" s="280" t="n"/>
      <c r="F348" s="283" t="n"/>
      <c r="G348" s="282" t="n"/>
      <c r="H348" s="280" t="n"/>
      <c r="I348" s="283" t="n"/>
      <c r="J348" s="144" t="inlineStr">
        <is>
          <t>538-1069-26, (31.08.2026) [IJZ-MB]</t>
        </is>
      </c>
      <c r="K348" s="120" t="n"/>
      <c r="L348" s="120" t="n"/>
      <c r="M348" s="120" t="n"/>
      <c r="N348" s="121" t="n"/>
      <c r="O348" s="283" t="n"/>
      <c r="P348" s="176" t="inlineStr">
        <is>
          <t>— no certificate —</t>
        </is>
      </c>
      <c r="Q348" s="120" t="n"/>
      <c r="R348" s="121" t="n"/>
      <c r="S348" s="283" t="n"/>
      <c r="T348" s="176" t="inlineStr">
        <is>
          <t>— no certificate —</t>
        </is>
      </c>
      <c r="U348" s="120" t="n"/>
      <c r="V348" s="120" t="n"/>
      <c r="W348" s="121" t="n"/>
      <c r="X348" s="283" t="n"/>
      <c r="Y348" s="282" t="n"/>
      <c r="Z348" s="280" t="n"/>
      <c r="AA348" s="284" t="n"/>
    </row>
    <row r="349" ht="17.625" customHeight="1" s="70">
      <c r="A349" s="281" t="n"/>
      <c r="B349" s="279" t="n"/>
      <c r="C349" s="279" t="n"/>
      <c r="D349" s="151" t="n"/>
      <c r="E349" s="147" t="n"/>
      <c r="F349" s="152" t="n"/>
      <c r="G349" s="151" t="n"/>
      <c r="H349" s="147" t="n"/>
      <c r="I349" s="152" t="n"/>
      <c r="J349" s="151" t="n"/>
      <c r="K349" s="147" t="n"/>
      <c r="L349" s="147" t="n"/>
      <c r="M349" s="147" t="n"/>
      <c r="N349" s="147" t="n"/>
      <c r="O349" s="152" t="n"/>
      <c r="P349" s="151" t="n"/>
      <c r="Q349" s="147" t="n"/>
      <c r="R349" s="147" t="n"/>
      <c r="S349" s="152" t="n"/>
      <c r="T349" s="151" t="n"/>
      <c r="U349" s="147" t="n"/>
      <c r="V349" s="147" t="n"/>
      <c r="W349" s="147" t="n"/>
      <c r="X349" s="152" t="n"/>
      <c r="Y349" s="151" t="n"/>
      <c r="Z349" s="147" t="n"/>
      <c r="AA349" s="163" t="n"/>
    </row>
    <row r="350" ht="13" customHeight="1" s="70">
      <c r="A350" s="285" t="n"/>
      <c r="B350" s="286" t="n"/>
      <c r="C350" s="286" t="n"/>
      <c r="D350" s="166" t="n"/>
      <c r="E350" s="165" t="n"/>
      <c r="F350" s="167" t="n"/>
      <c r="G350" s="166" t="n"/>
      <c r="H350" s="165" t="n"/>
      <c r="I350" s="167" t="n"/>
      <c r="J350" s="166" t="n"/>
      <c r="K350" s="165" t="n"/>
      <c r="L350" s="165" t="n"/>
      <c r="M350" s="165" t="n"/>
      <c r="N350" s="165" t="n"/>
      <c r="O350" s="167" t="n"/>
      <c r="P350" s="166" t="n"/>
      <c r="Q350" s="165" t="n"/>
      <c r="R350" s="165" t="n"/>
      <c r="S350" s="167" t="n"/>
      <c r="T350" s="166" t="n"/>
      <c r="U350" s="165" t="n"/>
      <c r="V350" s="165" t="n"/>
      <c r="W350" s="165" t="n"/>
      <c r="X350" s="167" t="n"/>
      <c r="Y350" s="166" t="n"/>
      <c r="Z350" s="165" t="n"/>
      <c r="AA350" s="169" t="n"/>
    </row>
    <row r="351" ht="21" customHeight="1" s="70">
      <c r="A351" s="125" t="inlineStr">
        <is>
          <t>FB032601</t>
        </is>
      </c>
      <c r="B351" s="126" t="inlineStr">
        <is>
          <t>P060452</t>
        </is>
      </c>
      <c r="C351" s="177" t="inlineStr">
        <is>
          <t>✗ 4 NO RESULT
(4 no cert / 0 cert w/o result)
✗ OUT OF SPECIFICATION: #7</t>
        </is>
      </c>
      <c r="D351" s="185" t="inlineStr">
        <is>
          <t>0.08 % (Does not conform)</t>
        </is>
      </c>
      <c r="E351" s="181" t="inlineStr">
        <is>
          <t>ППК26127, (21.07.2026) [CNP]</t>
        </is>
      </c>
      <c r="F351" s="182" t="inlineStr">
        <is>
          <t>✓</t>
        </is>
      </c>
      <c r="G351" s="180" t="inlineStr">
        <is>
          <t>7.77</t>
        </is>
      </c>
      <c r="H351" s="181" t="inlineStr">
        <is>
          <t>ППК26127, (21.07.2026) [CNP]</t>
        </is>
      </c>
      <c r="I351" s="182" t="inlineStr">
        <is>
          <t>✓</t>
        </is>
      </c>
      <c r="J351" s="171" t="inlineStr">
        <is>
          <t>— MISSING —</t>
        </is>
      </c>
      <c r="K351" s="172" t="inlineStr">
        <is>
          <t>— MISSING —</t>
        </is>
      </c>
      <c r="L351" s="172" t="inlineStr">
        <is>
          <t>— MISSING —</t>
        </is>
      </c>
      <c r="M351" s="172" t="inlineStr">
        <is>
          <t>— MISSING —</t>
        </is>
      </c>
      <c r="N351" s="172" t="inlineStr">
        <is>
          <t>— MISSING —</t>
        </is>
      </c>
      <c r="O351" s="186" t="inlineStr">
        <is>
          <t>✗</t>
        </is>
      </c>
      <c r="P351" s="171" t="inlineStr">
        <is>
          <t>— MISSING —</t>
        </is>
      </c>
      <c r="Q351" s="172" t="inlineStr">
        <is>
          <t>— MISSING —</t>
        </is>
      </c>
      <c r="R351" s="172" t="inlineStr">
        <is>
          <t>— MISSING —</t>
        </is>
      </c>
      <c r="S351" s="186" t="inlineStr">
        <is>
          <t>✗</t>
        </is>
      </c>
      <c r="T351" s="171" t="inlineStr">
        <is>
          <t>— MISSING —</t>
        </is>
      </c>
      <c r="U351" s="172" t="inlineStr">
        <is>
          <t>— MISSING —</t>
        </is>
      </c>
      <c r="V351" s="172" t="inlineStr">
        <is>
          <t>— MISSING —</t>
        </is>
      </c>
      <c r="W351" s="172" t="inlineStr">
        <is>
          <t>— MISSING —</t>
        </is>
      </c>
      <c r="X351" s="186" t="inlineStr">
        <is>
          <t>✗</t>
        </is>
      </c>
      <c r="Y351" s="187" t="inlineStr">
        <is>
          <t>— MISSING —</t>
        </is>
      </c>
      <c r="Z351" s="188" t="inlineStr">
        <is>
          <t>— no certificate —</t>
        </is>
      </c>
      <c r="AA351" s="189" t="inlineStr">
        <is>
          <t>✗</t>
        </is>
      </c>
    </row>
    <row r="352" ht="21" customHeight="1" s="70">
      <c r="A352" s="285" t="n"/>
      <c r="B352" s="286" t="n"/>
      <c r="C352" s="286" t="n"/>
      <c r="D352" s="287" t="n"/>
      <c r="E352" s="286" t="n"/>
      <c r="F352" s="288" t="n"/>
      <c r="G352" s="287" t="n"/>
      <c r="H352" s="286" t="n"/>
      <c r="I352" s="288" t="n"/>
      <c r="J352" s="190" t="inlineStr">
        <is>
          <t>— no certificate —</t>
        </is>
      </c>
      <c r="K352" s="289" t="n"/>
      <c r="L352" s="289" t="n"/>
      <c r="M352" s="289" t="n"/>
      <c r="N352" s="290" t="n"/>
      <c r="O352" s="288" t="n"/>
      <c r="P352" s="190" t="inlineStr">
        <is>
          <t>— no certificate —</t>
        </is>
      </c>
      <c r="Q352" s="289" t="n"/>
      <c r="R352" s="290" t="n"/>
      <c r="S352" s="288" t="n"/>
      <c r="T352" s="190" t="inlineStr">
        <is>
          <t>— no certificate —</t>
        </is>
      </c>
      <c r="U352" s="289" t="n"/>
      <c r="V352" s="289" t="n"/>
      <c r="W352" s="290" t="n"/>
      <c r="X352" s="288" t="n"/>
      <c r="Y352" s="287" t="n"/>
      <c r="Z352" s="286" t="n"/>
      <c r="AA352" s="291" t="n"/>
    </row>
    <row r="353" ht="21" customHeight="1" s="70">
      <c r="A353" s="125" t="inlineStr">
        <is>
          <t>GG012603</t>
        </is>
      </c>
      <c r="B353" s="126" t="inlineStr">
        <is>
          <t>P060402</t>
        </is>
      </c>
      <c r="C353" s="170" t="inlineStr">
        <is>
          <t>⚠ 3 NO RESULT
(3 no cert / 0 cert w/o result)
2 testing instances
• 1 document(s) on file, not credited</t>
        </is>
      </c>
      <c r="D353" s="131" t="inlineStr">
        <is>
          <t>0.09 % (Conforms)</t>
        </is>
      </c>
      <c r="E353" s="132" t="inlineStr">
        <is>
          <t>ППК26114, (30.06.2026) [CNP]</t>
        </is>
      </c>
      <c r="F353" s="133" t="inlineStr">
        <is>
          <t>✓</t>
        </is>
      </c>
      <c r="G353" s="131" t="inlineStr">
        <is>
          <t>6.48</t>
        </is>
      </c>
      <c r="H353" s="132" t="inlineStr">
        <is>
          <t>ППК26114, (30.06.2026) [CNP]</t>
        </is>
      </c>
      <c r="I353" s="133" t="inlineStr">
        <is>
          <t>✓</t>
        </is>
      </c>
      <c r="J353" s="171" t="inlineStr">
        <is>
          <t>— MISSING —</t>
        </is>
      </c>
      <c r="K353" s="172" t="inlineStr">
        <is>
          <t>— MISSING —</t>
        </is>
      </c>
      <c r="L353" s="172" t="inlineStr">
        <is>
          <t>— MISSING —</t>
        </is>
      </c>
      <c r="M353" s="172" t="inlineStr">
        <is>
          <t>— MISSING —</t>
        </is>
      </c>
      <c r="N353" s="172" t="inlineStr">
        <is>
          <t>— MISSING —</t>
        </is>
      </c>
      <c r="O353" s="173" t="inlineStr">
        <is>
          <t>✗</t>
        </is>
      </c>
      <c r="P353" s="131" t="inlineStr">
        <is>
          <t>ND</t>
        </is>
      </c>
      <c r="Q353" s="139" t="inlineStr">
        <is>
          <t>ND</t>
        </is>
      </c>
      <c r="R353" s="139" t="inlineStr">
        <is>
          <t>ND</t>
        </is>
      </c>
      <c r="S353" s="133" t="inlineStr">
        <is>
          <t>✓</t>
        </is>
      </c>
      <c r="T353" s="171" t="inlineStr">
        <is>
          <t>— MISSING —</t>
        </is>
      </c>
      <c r="U353" s="172" t="inlineStr">
        <is>
          <t>— MISSING —</t>
        </is>
      </c>
      <c r="V353" s="172" t="inlineStr">
        <is>
          <t>— MISSING —</t>
        </is>
      </c>
      <c r="W353" s="172" t="inlineStr">
        <is>
          <t>— MISSING —</t>
        </is>
      </c>
      <c r="X353" s="173" t="inlineStr">
        <is>
          <t>✗</t>
        </is>
      </c>
      <c r="Y353" s="171" t="inlineStr">
        <is>
          <t>— MISSING —</t>
        </is>
      </c>
      <c r="Z353" s="174" t="inlineStr">
        <is>
          <t>— no certificate —</t>
        </is>
      </c>
      <c r="AA353" s="175" t="inlineStr">
        <is>
          <t>✗</t>
        </is>
      </c>
    </row>
    <row r="354" ht="39" customHeight="1" s="70">
      <c r="A354" s="281" t="n"/>
      <c r="B354" s="279" t="n"/>
      <c r="C354" s="279" t="n"/>
      <c r="D354" s="282" t="n"/>
      <c r="E354" s="280" t="n"/>
      <c r="F354" s="283" t="n"/>
      <c r="G354" s="282" t="n"/>
      <c r="H354" s="280" t="n"/>
      <c r="I354" s="283" t="n"/>
      <c r="J354" s="176" t="inlineStr">
        <is>
          <t>— no certificate —</t>
        </is>
      </c>
      <c r="K354" s="120" t="n"/>
      <c r="L354" s="120" t="n"/>
      <c r="M354" s="120" t="n"/>
      <c r="N354" s="121" t="n"/>
      <c r="O354" s="283" t="n"/>
      <c r="P354" s="144" t="inlineStr">
        <is>
          <t>197-8-М-26, (10.08.2026) [FHM-M]</t>
        </is>
      </c>
      <c r="Q354" s="120" t="n"/>
      <c r="R354" s="121" t="n"/>
      <c r="S354" s="283" t="n"/>
      <c r="T354" s="176" t="inlineStr">
        <is>
          <t>— no certificate —</t>
        </is>
      </c>
      <c r="U354" s="120" t="n"/>
      <c r="V354" s="120" t="n"/>
      <c r="W354" s="121" t="n"/>
      <c r="X354" s="283" t="n"/>
      <c r="Y354" s="282" t="n"/>
      <c r="Z354" s="280" t="n"/>
      <c r="AA354" s="284" t="n"/>
    </row>
    <row r="355" ht="17.625" customHeight="1" s="70">
      <c r="A355" s="281" t="n"/>
      <c r="B355" s="279" t="n"/>
      <c r="C355" s="279" t="n"/>
      <c r="D355" s="151" t="n"/>
      <c r="E355" s="147" t="n"/>
      <c r="F355" s="152" t="n"/>
      <c r="G355" s="158" t="inlineStr">
        <is>
          <t>not on this certificate</t>
        </is>
      </c>
      <c r="H355" s="159" t="inlineStr">
        <is>
          <t>197-8-К-26, (07.08.2026) [FHM-K] · on file, not credited</t>
        </is>
      </c>
      <c r="I355" s="160" t="inlineStr">
        <is>
          <t>•</t>
        </is>
      </c>
      <c r="J355" s="151" t="n"/>
      <c r="K355" s="147" t="n"/>
      <c r="L355" s="147" t="n"/>
      <c r="M355" s="147" t="n"/>
      <c r="N355" s="147" t="n"/>
      <c r="O355" s="152" t="n"/>
      <c r="P355" s="151" t="n"/>
      <c r="Q355" s="147" t="n"/>
      <c r="R355" s="147" t="n"/>
      <c r="S355" s="152" t="n"/>
      <c r="T355" s="151" t="n"/>
      <c r="U355" s="147" t="n"/>
      <c r="V355" s="147" t="n"/>
      <c r="W355" s="147" t="n"/>
      <c r="X355" s="152" t="n"/>
      <c r="Y355" s="151" t="n"/>
      <c r="Z355" s="147" t="n"/>
      <c r="AA355" s="163" t="n"/>
    </row>
    <row r="356" ht="15.375" customHeight="1" s="70">
      <c r="A356" s="285" t="n"/>
      <c r="B356" s="286" t="n"/>
      <c r="C356" s="286" t="n"/>
      <c r="D356" s="166" t="n"/>
      <c r="E356" s="165" t="n"/>
      <c r="F356" s="167" t="n"/>
      <c r="G356" s="287" t="n"/>
      <c r="H356" s="286" t="n"/>
      <c r="I356" s="288" t="n"/>
      <c r="J356" s="166" t="n"/>
      <c r="K356" s="165" t="n"/>
      <c r="L356" s="165" t="n"/>
      <c r="M356" s="165" t="n"/>
      <c r="N356" s="165" t="n"/>
      <c r="O356" s="167" t="n"/>
      <c r="P356" s="166" t="n"/>
      <c r="Q356" s="165" t="n"/>
      <c r="R356" s="165" t="n"/>
      <c r="S356" s="167" t="n"/>
      <c r="T356" s="166" t="n"/>
      <c r="U356" s="165" t="n"/>
      <c r="V356" s="165" t="n"/>
      <c r="W356" s="165" t="n"/>
      <c r="X356" s="167" t="n"/>
      <c r="Y356" s="166" t="n"/>
      <c r="Z356" s="165" t="n"/>
      <c r="AA356" s="169" t="n"/>
    </row>
    <row r="357" ht="21" customHeight="1" s="70">
      <c r="A357" s="125" t="inlineStr">
        <is>
          <t>GG032601</t>
        </is>
      </c>
      <c r="B357" s="126" t="inlineStr">
        <is>
          <t>P060462</t>
        </is>
      </c>
      <c r="C357" s="177" t="inlineStr">
        <is>
          <t>✗ 4 NO RESULT
(4 no cert / 0 cert w/o result)</t>
        </is>
      </c>
      <c r="D357" s="180" t="inlineStr">
        <is>
          <t>Conforms (no value printed)</t>
        </is>
      </c>
      <c r="E357" s="181" t="inlineStr">
        <is>
          <t>ППК26128, (21.07.2026) [CNP]</t>
        </is>
      </c>
      <c r="F357" s="182" t="inlineStr">
        <is>
          <t>✓</t>
        </is>
      </c>
      <c r="G357" s="180" t="inlineStr">
        <is>
          <t>7.88</t>
        </is>
      </c>
      <c r="H357" s="181" t="inlineStr">
        <is>
          <t>ППК26128, (21.07.2026) [CNP]</t>
        </is>
      </c>
      <c r="I357" s="182" t="inlineStr">
        <is>
          <t>✓</t>
        </is>
      </c>
      <c r="J357" s="171" t="inlineStr">
        <is>
          <t>— MISSING —</t>
        </is>
      </c>
      <c r="K357" s="172" t="inlineStr">
        <is>
          <t>— MISSING —</t>
        </is>
      </c>
      <c r="L357" s="172" t="inlineStr">
        <is>
          <t>— MISSING —</t>
        </is>
      </c>
      <c r="M357" s="172" t="inlineStr">
        <is>
          <t>— MISSING —</t>
        </is>
      </c>
      <c r="N357" s="172" t="inlineStr">
        <is>
          <t>— MISSING —</t>
        </is>
      </c>
      <c r="O357" s="186" t="inlineStr">
        <is>
          <t>✗</t>
        </is>
      </c>
      <c r="P357" s="171" t="inlineStr">
        <is>
          <t>— MISSING —</t>
        </is>
      </c>
      <c r="Q357" s="172" t="inlineStr">
        <is>
          <t>— MISSING —</t>
        </is>
      </c>
      <c r="R357" s="172" t="inlineStr">
        <is>
          <t>— MISSING —</t>
        </is>
      </c>
      <c r="S357" s="186" t="inlineStr">
        <is>
          <t>✗</t>
        </is>
      </c>
      <c r="T357" s="171" t="inlineStr">
        <is>
          <t>— MISSING —</t>
        </is>
      </c>
      <c r="U357" s="172" t="inlineStr">
        <is>
          <t>— MISSING —</t>
        </is>
      </c>
      <c r="V357" s="172" t="inlineStr">
        <is>
          <t>— MISSING —</t>
        </is>
      </c>
      <c r="W357" s="172" t="inlineStr">
        <is>
          <t>— MISSING —</t>
        </is>
      </c>
      <c r="X357" s="186" t="inlineStr">
        <is>
          <t>✗</t>
        </is>
      </c>
      <c r="Y357" s="187" t="inlineStr">
        <is>
          <t>— MISSING —</t>
        </is>
      </c>
      <c r="Z357" s="188" t="inlineStr">
        <is>
          <t>— no certificate —</t>
        </is>
      </c>
      <c r="AA357" s="189" t="inlineStr">
        <is>
          <t>✗</t>
        </is>
      </c>
    </row>
    <row r="358" ht="21" customHeight="1" s="70">
      <c r="A358" s="285" t="n"/>
      <c r="B358" s="286" t="n"/>
      <c r="C358" s="286" t="n"/>
      <c r="D358" s="287" t="n"/>
      <c r="E358" s="286" t="n"/>
      <c r="F358" s="288" t="n"/>
      <c r="G358" s="287" t="n"/>
      <c r="H358" s="286" t="n"/>
      <c r="I358" s="288" t="n"/>
      <c r="J358" s="190" t="inlineStr">
        <is>
          <t>— no certificate —</t>
        </is>
      </c>
      <c r="K358" s="289" t="n"/>
      <c r="L358" s="289" t="n"/>
      <c r="M358" s="289" t="n"/>
      <c r="N358" s="290" t="n"/>
      <c r="O358" s="288" t="n"/>
      <c r="P358" s="190" t="inlineStr">
        <is>
          <t>— no certificate —</t>
        </is>
      </c>
      <c r="Q358" s="289" t="n"/>
      <c r="R358" s="290" t="n"/>
      <c r="S358" s="288" t="n"/>
      <c r="T358" s="190" t="inlineStr">
        <is>
          <t>— no certificate —</t>
        </is>
      </c>
      <c r="U358" s="289" t="n"/>
      <c r="V358" s="289" t="n"/>
      <c r="W358" s="290" t="n"/>
      <c r="X358" s="288" t="n"/>
      <c r="Y358" s="287" t="n"/>
      <c r="Z358" s="286" t="n"/>
      <c r="AA358" s="291" t="n"/>
    </row>
    <row r="359" ht="21" customHeight="1" s="70">
      <c r="A359" s="125" t="inlineStr">
        <is>
          <t>GG1024</t>
        </is>
      </c>
      <c r="B359" s="126" t="inlineStr">
        <is>
          <t>N/A — no P batch assigned</t>
        </is>
      </c>
      <c r="C359" s="177" t="inlineStr">
        <is>
          <t>✗ 4 NO RESULT
(4 no cert / 0 cert w/o result)
2 testing instances</t>
        </is>
      </c>
      <c r="D359" s="131" t="inlineStr">
        <is>
          <t>Conforms</t>
        </is>
      </c>
      <c r="E359" s="132">
        <f>IFERROR(INDEX('iCoA Register'!$B:$B,MATCH("GG1024|I",'iCoA Register'!$AA:$AA,0)),"iCoA — at issue")&amp;", (11.03.2025) [PP]"</f>
        <v/>
      </c>
      <c r="F359" s="133" t="inlineStr">
        <is>
          <t>✓</t>
        </is>
      </c>
      <c r="G359" s="171" t="inlineStr">
        <is>
          <t>— MISSING —</t>
        </is>
      </c>
      <c r="H359" s="174" t="inlineStr">
        <is>
          <t>— no certificate —</t>
        </is>
      </c>
      <c r="I359" s="173" t="inlineStr">
        <is>
          <t>✗</t>
        </is>
      </c>
      <c r="J359" s="171" t="inlineStr">
        <is>
          <t>— MISSING —</t>
        </is>
      </c>
      <c r="K359" s="172" t="inlineStr">
        <is>
          <t>— MISSING —</t>
        </is>
      </c>
      <c r="L359" s="172" t="inlineStr">
        <is>
          <t>— MISSING —</t>
        </is>
      </c>
      <c r="M359" s="172" t="inlineStr">
        <is>
          <t>— MISSING —</t>
        </is>
      </c>
      <c r="N359" s="172" t="inlineStr">
        <is>
          <t>— MISSING —</t>
        </is>
      </c>
      <c r="O359" s="173" t="inlineStr">
        <is>
          <t>✗</t>
        </is>
      </c>
      <c r="P359" s="131" t="inlineStr">
        <is>
          <t>ND</t>
        </is>
      </c>
      <c r="Q359" s="139" t="inlineStr">
        <is>
          <t>ND</t>
        </is>
      </c>
      <c r="R359" s="139" t="inlineStr">
        <is>
          <t>ND</t>
        </is>
      </c>
      <c r="S359" s="133" t="inlineStr">
        <is>
          <t>✓</t>
        </is>
      </c>
      <c r="T359" s="171" t="inlineStr">
        <is>
          <t>— MISSING —</t>
        </is>
      </c>
      <c r="U359" s="172" t="inlineStr">
        <is>
          <t>— MISSING —</t>
        </is>
      </c>
      <c r="V359" s="172" t="inlineStr">
        <is>
          <t>— MISSING —</t>
        </is>
      </c>
      <c r="W359" s="172" t="inlineStr">
        <is>
          <t>— MISSING —</t>
        </is>
      </c>
      <c r="X359" s="173" t="inlineStr">
        <is>
          <t>✗</t>
        </is>
      </c>
      <c r="Y359" s="171" t="inlineStr">
        <is>
          <t>— MISSING —</t>
        </is>
      </c>
      <c r="Z359" s="174" t="inlineStr">
        <is>
          <t>— no certificate —</t>
        </is>
      </c>
      <c r="AA359" s="175" t="inlineStr">
        <is>
          <t>✗</t>
        </is>
      </c>
    </row>
    <row r="360" ht="39" customHeight="1" s="70">
      <c r="A360" s="281" t="n"/>
      <c r="B360" s="279" t="n"/>
      <c r="C360" s="279" t="n"/>
      <c r="D360" s="282" t="n"/>
      <c r="E360" s="280" t="n"/>
      <c r="F360" s="283" t="n"/>
      <c r="G360" s="282" t="n"/>
      <c r="H360" s="280" t="n"/>
      <c r="I360" s="283" t="n"/>
      <c r="J360" s="176" t="inlineStr">
        <is>
          <t>— no certificate —</t>
        </is>
      </c>
      <c r="K360" s="120" t="n"/>
      <c r="L360" s="120" t="n"/>
      <c r="M360" s="120" t="n"/>
      <c r="N360" s="121" t="n"/>
      <c r="O360" s="283" t="n"/>
      <c r="P360" s="144" t="inlineStr">
        <is>
          <t>220-9-М-26, (11.09.2026) [FHM-M]</t>
        </is>
      </c>
      <c r="Q360" s="120" t="n"/>
      <c r="R360" s="121" t="n"/>
      <c r="S360" s="283" t="n"/>
      <c r="T360" s="176" t="inlineStr">
        <is>
          <t>— no certificate —</t>
        </is>
      </c>
      <c r="U360" s="120" t="n"/>
      <c r="V360" s="120" t="n"/>
      <c r="W360" s="121" t="n"/>
      <c r="X360" s="283" t="n"/>
      <c r="Y360" s="282" t="n"/>
      <c r="Z360" s="280" t="n"/>
      <c r="AA360" s="284" t="n"/>
    </row>
    <row r="361" ht="14" customHeight="1" s="70">
      <c r="A361" s="281" t="n"/>
      <c r="B361" s="279" t="n"/>
      <c r="C361" s="279" t="n"/>
      <c r="D361" s="153" t="inlineStr">
        <is>
          <t>Conforms</t>
        </is>
      </c>
      <c r="E361" s="154" t="inlineStr">
        <is>
          <t>iCoA — at issue (GG1024), (23.04.2025) [PP]</t>
        </is>
      </c>
      <c r="F361" s="155" t="inlineStr">
        <is>
          <t>✓</t>
        </is>
      </c>
      <c r="G361" s="151" t="n"/>
      <c r="H361" s="147" t="n"/>
      <c r="I361" s="152" t="n"/>
      <c r="J361" s="151" t="n"/>
      <c r="K361" s="147" t="n"/>
      <c r="L361" s="147" t="n"/>
      <c r="M361" s="147" t="n"/>
      <c r="N361" s="147" t="n"/>
      <c r="O361" s="152" t="n"/>
      <c r="P361" s="151" t="n"/>
      <c r="Q361" s="147" t="n"/>
      <c r="R361" s="147" t="n"/>
      <c r="S361" s="152" t="n"/>
      <c r="T361" s="151" t="n"/>
      <c r="U361" s="147" t="n"/>
      <c r="V361" s="147" t="n"/>
      <c r="W361" s="147" t="n"/>
      <c r="X361" s="152" t="n"/>
      <c r="Y361" s="151" t="n"/>
      <c r="Z361" s="147" t="n"/>
      <c r="AA361" s="163" t="n"/>
    </row>
    <row r="362" ht="13" customHeight="1" s="70">
      <c r="A362" s="285" t="n"/>
      <c r="B362" s="286" t="n"/>
      <c r="C362" s="286" t="n"/>
      <c r="D362" s="287" t="n"/>
      <c r="E362" s="286" t="n"/>
      <c r="F362" s="288" t="n"/>
      <c r="G362" s="166" t="n"/>
      <c r="H362" s="165" t="n"/>
      <c r="I362" s="167" t="n"/>
      <c r="J362" s="166" t="n"/>
      <c r="K362" s="165" t="n"/>
      <c r="L362" s="165" t="n"/>
      <c r="M362" s="165" t="n"/>
      <c r="N362" s="165" t="n"/>
      <c r="O362" s="167" t="n"/>
      <c r="P362" s="166" t="n"/>
      <c r="Q362" s="165" t="n"/>
      <c r="R362" s="165" t="n"/>
      <c r="S362" s="167" t="n"/>
      <c r="T362" s="166" t="n"/>
      <c r="U362" s="165" t="n"/>
      <c r="V362" s="165" t="n"/>
      <c r="W362" s="165" t="n"/>
      <c r="X362" s="167" t="n"/>
      <c r="Y362" s="166" t="n"/>
      <c r="Z362" s="165" t="n"/>
      <c r="AA362" s="169" t="n"/>
    </row>
    <row r="363" ht="21" customHeight="1" s="70">
      <c r="A363" s="125" t="inlineStr">
        <is>
          <t>GRC102501</t>
        </is>
      </c>
      <c r="B363" s="126" t="inlineStr">
        <is>
          <t>P060142 / P060182</t>
        </is>
      </c>
      <c r="C363" s="170" t="inlineStr">
        <is>
          <t>⚠ 2 NO RESULT
(2 no cert / 0 cert w/o result)
4 testing instances
• 2 document(s) on file, not credited</t>
        </is>
      </c>
      <c r="D363" s="131" t="inlineStr">
        <is>
          <t>Conforms</t>
        </is>
      </c>
      <c r="E363" s="132">
        <f>IFERROR(INDEX('iCoA Register'!$B:$B,MATCH("P060142|I",'iCoA Register'!$AA:$AA,0)),"iCoA — at issue")&amp;", (23.02.2026) [PP]"</f>
        <v/>
      </c>
      <c r="F363" s="133" t="inlineStr">
        <is>
          <t>✓</t>
        </is>
      </c>
      <c r="G363" s="131" t="inlineStr">
        <is>
          <t>7.7</t>
        </is>
      </c>
      <c r="H363" s="132" t="inlineStr">
        <is>
          <t>051-6-ГС-26, (02.03.2026) [FHM-K]</t>
        </is>
      </c>
      <c r="I363" s="133" t="inlineStr">
        <is>
          <t>✓</t>
        </is>
      </c>
      <c r="J363" s="131" t="inlineStr">
        <is>
          <t>10</t>
        </is>
      </c>
      <c r="K363" s="139" t="inlineStr">
        <is>
          <t>&lt; 10</t>
        </is>
      </c>
      <c r="L363" s="139" t="inlineStr">
        <is>
          <t>&lt; 10</t>
        </is>
      </c>
      <c r="M363" s="139" t="inlineStr">
        <is>
          <t>Absent</t>
        </is>
      </c>
      <c r="N363" s="139" t="inlineStr">
        <is>
          <t>Absent</t>
        </is>
      </c>
      <c r="O363" s="133" t="inlineStr">
        <is>
          <t>✓</t>
        </is>
      </c>
      <c r="P363" s="131" t="inlineStr">
        <is>
          <t>ND</t>
        </is>
      </c>
      <c r="Q363" s="139" t="inlineStr">
        <is>
          <t>ND</t>
        </is>
      </c>
      <c r="R363" s="139" t="inlineStr">
        <is>
          <t>ND</t>
        </is>
      </c>
      <c r="S363" s="133" t="inlineStr">
        <is>
          <t>✓</t>
        </is>
      </c>
      <c r="T363" s="171" t="inlineStr">
        <is>
          <t>— MISSING —</t>
        </is>
      </c>
      <c r="U363" s="172" t="inlineStr">
        <is>
          <t>— MISSING —</t>
        </is>
      </c>
      <c r="V363" s="172" t="inlineStr">
        <is>
          <t>— MISSING —</t>
        </is>
      </c>
      <c r="W363" s="172" t="inlineStr">
        <is>
          <t>— MISSING —</t>
        </is>
      </c>
      <c r="X363" s="173" t="inlineStr">
        <is>
          <t>✗</t>
        </is>
      </c>
      <c r="Y363" s="171" t="inlineStr">
        <is>
          <t>— MISSING —</t>
        </is>
      </c>
      <c r="Z363" s="174" t="inlineStr">
        <is>
          <t>— no certificate —</t>
        </is>
      </c>
      <c r="AA363" s="175" t="inlineStr">
        <is>
          <t>✗</t>
        </is>
      </c>
    </row>
    <row r="364" ht="21" customHeight="1" s="70">
      <c r="A364" s="281" t="n"/>
      <c r="B364" s="279" t="n"/>
      <c r="C364" s="279" t="n"/>
      <c r="D364" s="282" t="n"/>
      <c r="E364" s="280" t="n"/>
      <c r="F364" s="283" t="n"/>
      <c r="G364" s="282" t="n"/>
      <c r="H364" s="280" t="n"/>
      <c r="I364" s="283" t="n"/>
      <c r="J364" s="144" t="inlineStr">
        <is>
          <t>550-1081-26, (01.09.2026) [IJZ-MB]</t>
        </is>
      </c>
      <c r="K364" s="120" t="n"/>
      <c r="L364" s="120" t="n"/>
      <c r="M364" s="120" t="n"/>
      <c r="N364" s="121" t="n"/>
      <c r="O364" s="283" t="n"/>
      <c r="P364" s="144" t="inlineStr">
        <is>
          <t>220-14-М-26, (11.09.2026) [FHM-M]</t>
        </is>
      </c>
      <c r="Q364" s="120" t="n"/>
      <c r="R364" s="121" t="n"/>
      <c r="S364" s="283" t="n"/>
      <c r="T364" s="176" t="inlineStr">
        <is>
          <t>— no certificate —</t>
        </is>
      </c>
      <c r="U364" s="120" t="n"/>
      <c r="V364" s="120" t="n"/>
      <c r="W364" s="121" t="n"/>
      <c r="X364" s="283" t="n"/>
      <c r="Y364" s="282" t="n"/>
      <c r="Z364" s="280" t="n"/>
      <c r="AA364" s="284" t="n"/>
    </row>
    <row r="365" ht="17.625" customHeight="1" s="70">
      <c r="A365" s="281" t="n"/>
      <c r="B365" s="279" t="n"/>
      <c r="C365" s="279" t="n"/>
      <c r="D365" s="161" t="inlineStr">
        <is>
          <t>Conforms</t>
        </is>
      </c>
      <c r="E365" s="196">
        <f>IFERROR(INDEX('iCoA Register'!$B:$B,MATCH("P060182|I",'iCoA Register'!$AA:$AA,0)),"iCoA — at issue")&amp;", (14.03.2026) [PP]"</f>
        <v/>
      </c>
      <c r="F365" s="197" t="inlineStr">
        <is>
          <t>✓</t>
        </is>
      </c>
      <c r="G365" s="200" t="inlineStr">
        <is>
          <t>not on this certificate</t>
        </is>
      </c>
      <c r="H365" s="201" t="inlineStr">
        <is>
          <t>051-6-К-26, (04.03.2026) [FHM-K] · on file, not credited</t>
        </is>
      </c>
      <c r="I365" s="202" t="inlineStr">
        <is>
          <t>•</t>
        </is>
      </c>
      <c r="J365" s="151" t="n"/>
      <c r="K365" s="147" t="n"/>
      <c r="L365" s="147" t="n"/>
      <c r="M365" s="147" t="n"/>
      <c r="N365" s="147" t="n"/>
      <c r="O365" s="152" t="n"/>
      <c r="P365" s="151" t="n"/>
      <c r="Q365" s="147" t="n"/>
      <c r="R365" s="147" t="n"/>
      <c r="S365" s="152" t="n"/>
      <c r="T365" s="151" t="n"/>
      <c r="U365" s="147" t="n"/>
      <c r="V365" s="147" t="n"/>
      <c r="W365" s="147" t="n"/>
      <c r="X365" s="152" t="n"/>
      <c r="Y365" s="151" t="n"/>
      <c r="Z365" s="147" t="n"/>
      <c r="AA365" s="163" t="n"/>
    </row>
    <row r="366" ht="15.375" customHeight="1" s="70">
      <c r="A366" s="281" t="n"/>
      <c r="B366" s="279" t="n"/>
      <c r="C366" s="279" t="n"/>
      <c r="D366" s="282" t="n"/>
      <c r="E366" s="280" t="n"/>
      <c r="F366" s="283" t="n"/>
      <c r="G366" s="282" t="n"/>
      <c r="H366" s="280" t="n"/>
      <c r="I366" s="283" t="n"/>
      <c r="J366" s="205" t="n"/>
      <c r="K366" s="204" t="n"/>
      <c r="L366" s="204" t="n"/>
      <c r="M366" s="204" t="n"/>
      <c r="N366" s="204" t="n"/>
      <c r="O366" s="206" t="n"/>
      <c r="P366" s="205" t="n"/>
      <c r="Q366" s="204" t="n"/>
      <c r="R366" s="204" t="n"/>
      <c r="S366" s="206" t="n"/>
      <c r="T366" s="205" t="n"/>
      <c r="U366" s="204" t="n"/>
      <c r="V366" s="204" t="n"/>
      <c r="W366" s="204" t="n"/>
      <c r="X366" s="206" t="n"/>
      <c r="Y366" s="205" t="n"/>
      <c r="Z366" s="204" t="n"/>
      <c r="AA366" s="207" t="n"/>
    </row>
    <row r="367" ht="17.625" customHeight="1" s="70">
      <c r="A367" s="281" t="n"/>
      <c r="B367" s="279" t="n"/>
      <c r="C367" s="279" t="n"/>
      <c r="D367" s="151" t="n"/>
      <c r="E367" s="147" t="n"/>
      <c r="F367" s="152" t="n"/>
      <c r="G367" s="151" t="n"/>
      <c r="H367" s="147" t="n"/>
      <c r="I367" s="152" t="n"/>
      <c r="J367" s="151" t="n"/>
      <c r="K367" s="147" t="n"/>
      <c r="L367" s="147" t="n"/>
      <c r="M367" s="147" t="n"/>
      <c r="N367" s="147" t="n"/>
      <c r="O367" s="152" t="n"/>
      <c r="P367" s="151" t="n"/>
      <c r="Q367" s="147" t="n"/>
      <c r="R367" s="147" t="n"/>
      <c r="S367" s="152" t="n"/>
      <c r="T367" s="151" t="n"/>
      <c r="U367" s="147" t="n"/>
      <c r="V367" s="147" t="n"/>
      <c r="W367" s="147" t="n"/>
      <c r="X367" s="152" t="n"/>
      <c r="Y367" s="151" t="n"/>
      <c r="Z367" s="147" t="n"/>
      <c r="AA367" s="163" t="n"/>
    </row>
    <row r="368" ht="13" customHeight="1" s="70">
      <c r="A368" s="281" t="n"/>
      <c r="B368" s="279" t="n"/>
      <c r="C368" s="279" t="n"/>
      <c r="D368" s="205" t="n"/>
      <c r="E368" s="204" t="n"/>
      <c r="F368" s="206" t="n"/>
      <c r="G368" s="205" t="n"/>
      <c r="H368" s="204" t="n"/>
      <c r="I368" s="206" t="n"/>
      <c r="J368" s="205" t="n"/>
      <c r="K368" s="204" t="n"/>
      <c r="L368" s="204" t="n"/>
      <c r="M368" s="204" t="n"/>
      <c r="N368" s="204" t="n"/>
      <c r="O368" s="206" t="n"/>
      <c r="P368" s="205" t="n"/>
      <c r="Q368" s="204" t="n"/>
      <c r="R368" s="204" t="n"/>
      <c r="S368" s="206" t="n"/>
      <c r="T368" s="205" t="n"/>
      <c r="U368" s="204" t="n"/>
      <c r="V368" s="204" t="n"/>
      <c r="W368" s="204" t="n"/>
      <c r="X368" s="206" t="n"/>
      <c r="Y368" s="205" t="n"/>
      <c r="Z368" s="204" t="n"/>
      <c r="AA368" s="207" t="n"/>
    </row>
    <row r="369" ht="17.625" customHeight="1" s="70">
      <c r="A369" s="281" t="n"/>
      <c r="B369" s="279" t="n"/>
      <c r="C369" s="279" t="n"/>
      <c r="D369" s="151" t="n"/>
      <c r="E369" s="147" t="n"/>
      <c r="F369" s="152" t="n"/>
      <c r="G369" s="151" t="n"/>
      <c r="H369" s="147" t="n"/>
      <c r="I369" s="152" t="n"/>
      <c r="J369" s="151" t="n"/>
      <c r="K369" s="147" t="n"/>
      <c r="L369" s="147" t="n"/>
      <c r="M369" s="147" t="n"/>
      <c r="N369" s="147" t="n"/>
      <c r="O369" s="152" t="n"/>
      <c r="P369" s="151" t="n"/>
      <c r="Q369" s="147" t="n"/>
      <c r="R369" s="147" t="n"/>
      <c r="S369" s="152" t="n"/>
      <c r="T369" s="151" t="n"/>
      <c r="U369" s="147" t="n"/>
      <c r="V369" s="147" t="n"/>
      <c r="W369" s="147" t="n"/>
      <c r="X369" s="152" t="n"/>
      <c r="Y369" s="151" t="n"/>
      <c r="Z369" s="147" t="n"/>
      <c r="AA369" s="163" t="n"/>
    </row>
    <row r="370" ht="13" customHeight="1" s="70">
      <c r="A370" s="285" t="n"/>
      <c r="B370" s="286" t="n"/>
      <c r="C370" s="286" t="n"/>
      <c r="D370" s="166" t="n"/>
      <c r="E370" s="165" t="n"/>
      <c r="F370" s="167" t="n"/>
      <c r="G370" s="166" t="n"/>
      <c r="H370" s="165" t="n"/>
      <c r="I370" s="167" t="n"/>
      <c r="J370" s="166" t="n"/>
      <c r="K370" s="165" t="n"/>
      <c r="L370" s="165" t="n"/>
      <c r="M370" s="165" t="n"/>
      <c r="N370" s="165" t="n"/>
      <c r="O370" s="167" t="n"/>
      <c r="P370" s="166" t="n"/>
      <c r="Q370" s="165" t="n"/>
      <c r="R370" s="165" t="n"/>
      <c r="S370" s="167" t="n"/>
      <c r="T370" s="166" t="n"/>
      <c r="U370" s="165" t="n"/>
      <c r="V370" s="165" t="n"/>
      <c r="W370" s="165" t="n"/>
      <c r="X370" s="167" t="n"/>
      <c r="Y370" s="166" t="n"/>
      <c r="Z370" s="165" t="n"/>
      <c r="AA370" s="169" t="n"/>
    </row>
    <row r="371" ht="21" customHeight="1" s="70">
      <c r="A371" s="125" t="inlineStr">
        <is>
          <t>HPA1024</t>
        </is>
      </c>
      <c r="B371" s="126" t="inlineStr">
        <is>
          <t>N/A — no P batch assigned</t>
        </is>
      </c>
      <c r="C371" s="177" t="inlineStr">
        <is>
          <t>✗ 4 NO RESULT
(4 no cert / 0 cert w/o result)
2 testing instances
• 2 document(s) on file, not credited</t>
        </is>
      </c>
      <c r="D371" s="131" t="inlineStr">
        <is>
          <t>Conforms</t>
        </is>
      </c>
      <c r="E371" s="132">
        <f>IFERROR(INDEX('iCoA Register'!$B:$B,MATCH("HPA1024|I",'iCoA Register'!$AA:$AA,0)),"iCoA — at issue")&amp;", (11.04.2025) [PP]"</f>
        <v/>
      </c>
      <c r="F371" s="133" t="inlineStr">
        <is>
          <t>✓</t>
        </is>
      </c>
      <c r="G371" s="134" t="inlineStr">
        <is>
          <t>not on this certificate</t>
        </is>
      </c>
      <c r="H371" s="135" t="inlineStr">
        <is>
          <t>197-13-К-26, (07.08.2026) [FHM-K] · on file, not credited</t>
        </is>
      </c>
      <c r="I371" s="136" t="inlineStr">
        <is>
          <t>•</t>
        </is>
      </c>
      <c r="J371" s="134" t="inlineStr">
        <is>
          <t>5.2 × 10⁴ ᴿ</t>
        </is>
      </c>
      <c r="K371" s="208" t="inlineStr">
        <is>
          <t>7 × 10² ᴿ</t>
        </is>
      </c>
      <c r="L371" s="208" t="inlineStr">
        <is>
          <t>&lt; 10 ᴿ</t>
        </is>
      </c>
      <c r="M371" s="208" t="inlineStr">
        <is>
          <t>Absent ᴿ</t>
        </is>
      </c>
      <c r="N371" s="208" t="inlineStr">
        <is>
          <t>Absent ᴿ</t>
        </is>
      </c>
      <c r="O371" s="136" t="inlineStr">
        <is>
          <t>•</t>
        </is>
      </c>
      <c r="P371" s="134" t="inlineStr">
        <is>
          <t>not reported</t>
        </is>
      </c>
      <c r="Q371" s="208" t="inlineStr">
        <is>
          <t>&lt; 2 ᴿ</t>
        </is>
      </c>
      <c r="R371" s="208" t="inlineStr">
        <is>
          <t>not reported</t>
        </is>
      </c>
      <c r="S371" s="136" t="inlineStr">
        <is>
          <t>•</t>
        </is>
      </c>
      <c r="T371" s="134" t="inlineStr">
        <is>
          <t>0.02 ᴿ</t>
        </is>
      </c>
      <c r="U371" s="208" t="inlineStr">
        <is>
          <t>0.013 ᴿ</t>
        </is>
      </c>
      <c r="V371" s="208" t="inlineStr">
        <is>
          <t>0.017 ᴿ</t>
        </is>
      </c>
      <c r="W371" s="208" t="inlineStr">
        <is>
          <t>0.0026 ᴿ</t>
        </is>
      </c>
      <c r="X371" s="136" t="inlineStr">
        <is>
          <t>•</t>
        </is>
      </c>
      <c r="Y371" s="134" t="inlineStr">
        <is>
          <t>ND ᴿ</t>
        </is>
      </c>
      <c r="Z371" s="135">
        <f>IFERROR(INDEX('iCoA Register'!$B:$B,MATCH("HPA1024|I",'iCoA Register'!$AA:$AA,0)),"iCoA — at issue")&amp;", (11.04.2025) [PP] · on file, not credited"</f>
        <v/>
      </c>
      <c r="AA371" s="209" t="inlineStr">
        <is>
          <t>•</t>
        </is>
      </c>
    </row>
    <row r="372" ht="39" customHeight="1" s="70">
      <c r="A372" s="281" t="n"/>
      <c r="B372" s="279" t="n"/>
      <c r="C372" s="279" t="n"/>
      <c r="D372" s="282" t="n"/>
      <c r="E372" s="280" t="n"/>
      <c r="F372" s="283" t="n"/>
      <c r="G372" s="282" t="n"/>
      <c r="H372" s="280" t="n"/>
      <c r="I372" s="283" t="n"/>
      <c r="J372" s="210">
        <f>IFERROR(INDEX('iCoA Register'!$B:$B,MATCH("HPA1024|I",'iCoA Register'!$AA:$AA,0)),"iCoA — at issue")&amp;", (11.04.2025) [PP] · on file, not credited"</f>
        <v/>
      </c>
      <c r="K372" s="120" t="n"/>
      <c r="L372" s="120" t="n"/>
      <c r="M372" s="120" t="n"/>
      <c r="N372" s="121" t="n"/>
      <c r="O372" s="283" t="n"/>
      <c r="P372" s="210">
        <f>IFERROR(INDEX('iCoA Register'!$B:$B,MATCH("HPA1024|I",'iCoA Register'!$AA:$AA,0)),"iCoA — at issue")&amp;", (11.04.2025) [PP] · on file, not credited"</f>
        <v/>
      </c>
      <c r="Q372" s="120" t="n"/>
      <c r="R372" s="121" t="n"/>
      <c r="S372" s="283" t="n"/>
      <c r="T372" s="210">
        <f>IFERROR(INDEX('iCoA Register'!$B:$B,MATCH("HPA1024|I",'iCoA Register'!$AA:$AA,0)),"iCoA — at issue")&amp;", (11.04.2025) [PP] · on file, not credited"</f>
        <v/>
      </c>
      <c r="U372" s="120" t="n"/>
      <c r="V372" s="120" t="n"/>
      <c r="W372" s="121" t="n"/>
      <c r="X372" s="283" t="n"/>
      <c r="Y372" s="282" t="n"/>
      <c r="Z372" s="280" t="n"/>
      <c r="AA372" s="284" t="n"/>
    </row>
    <row r="373" ht="17.625" customHeight="1" s="70">
      <c r="A373" s="281" t="n"/>
      <c r="B373" s="279" t="n"/>
      <c r="C373" s="279" t="n"/>
      <c r="D373" s="153" t="inlineStr">
        <is>
          <t>Conforms</t>
        </is>
      </c>
      <c r="E373" s="154" t="inlineStr">
        <is>
          <t>iCoA — at issue (HPA1024), (23.04.2025) [PP]</t>
        </is>
      </c>
      <c r="F373" s="155" t="inlineStr">
        <is>
          <t>✓</t>
        </is>
      </c>
      <c r="G373" s="151" t="n"/>
      <c r="H373" s="147" t="n"/>
      <c r="I373" s="152" t="n"/>
      <c r="J373" s="151" t="n"/>
      <c r="K373" s="147" t="n"/>
      <c r="L373" s="147" t="n"/>
      <c r="M373" s="147" t="n"/>
      <c r="N373" s="147" t="n"/>
      <c r="O373" s="152" t="n"/>
      <c r="P373" s="161" t="inlineStr">
        <is>
          <t>ND</t>
        </is>
      </c>
      <c r="Q373" s="162" t="inlineStr">
        <is>
          <t>ND</t>
        </is>
      </c>
      <c r="R373" s="162" t="inlineStr">
        <is>
          <t>&lt; LOQ</t>
        </is>
      </c>
      <c r="S373" s="155" t="inlineStr">
        <is>
          <t>✓</t>
        </is>
      </c>
      <c r="T373" s="151" t="n"/>
      <c r="U373" s="147" t="n"/>
      <c r="V373" s="147" t="n"/>
      <c r="W373" s="147" t="n"/>
      <c r="X373" s="152" t="n"/>
      <c r="Y373" s="151" t="n"/>
      <c r="Z373" s="147" t="n"/>
      <c r="AA373" s="163" t="n"/>
    </row>
    <row r="374" ht="13" customHeight="1" s="70">
      <c r="A374" s="285" t="n"/>
      <c r="B374" s="286" t="n"/>
      <c r="C374" s="286" t="n"/>
      <c r="D374" s="287" t="n"/>
      <c r="E374" s="286" t="n"/>
      <c r="F374" s="288" t="n"/>
      <c r="G374" s="166" t="n"/>
      <c r="H374" s="165" t="n"/>
      <c r="I374" s="167" t="n"/>
      <c r="J374" s="166" t="n"/>
      <c r="K374" s="165" t="n"/>
      <c r="L374" s="165" t="n"/>
      <c r="M374" s="165" t="n"/>
      <c r="N374" s="165" t="n"/>
      <c r="O374" s="167" t="n"/>
      <c r="P374" s="168" t="inlineStr">
        <is>
          <t>197-13-М-26, (10.08.2026) [FHM-M]</t>
        </is>
      </c>
      <c r="Q374" s="289" t="n"/>
      <c r="R374" s="290" t="n"/>
      <c r="S374" s="288" t="n"/>
      <c r="T374" s="166" t="n"/>
      <c r="U374" s="165" t="n"/>
      <c r="V374" s="165" t="n"/>
      <c r="W374" s="165" t="n"/>
      <c r="X374" s="167" t="n"/>
      <c r="Y374" s="166" t="n"/>
      <c r="Z374" s="165" t="n"/>
      <c r="AA374" s="169" t="n"/>
    </row>
    <row r="375" ht="21" customHeight="1" s="70">
      <c r="A375" s="125" t="inlineStr">
        <is>
          <t>J31102501</t>
        </is>
      </c>
      <c r="B375" s="126" t="inlineStr">
        <is>
          <t>P060152</t>
        </is>
      </c>
      <c r="C375" s="170" t="inlineStr">
        <is>
          <t>⚠ 3 NO RESULT
(3 no cert / 0 cert w/o result)
3 testing instances
• 3 document(s) on file, not credited</t>
        </is>
      </c>
      <c r="D375" s="131" t="inlineStr">
        <is>
          <t>Conforms</t>
        </is>
      </c>
      <c r="E375" s="132">
        <f>IFERROR(INDEX('iCoA Register'!$B:$B,MATCH("P060152|I",'iCoA Register'!$AA:$AA,0)),"iCoA — at issue")&amp;", (05.03.2026) [PP]"</f>
        <v/>
      </c>
      <c r="F375" s="133" t="inlineStr">
        <is>
          <t>✓</t>
        </is>
      </c>
      <c r="G375" s="131" t="inlineStr">
        <is>
          <t>6.3</t>
        </is>
      </c>
      <c r="H375" s="132" t="inlineStr">
        <is>
          <t>051-1-ГС-26, (02.03.2026) [FHM-K]</t>
        </is>
      </c>
      <c r="I375" s="133" t="inlineStr">
        <is>
          <t>✓</t>
        </is>
      </c>
      <c r="J375" s="171" t="inlineStr">
        <is>
          <t>— MISSING —</t>
        </is>
      </c>
      <c r="K375" s="172" t="inlineStr">
        <is>
          <t>— MISSING —</t>
        </is>
      </c>
      <c r="L375" s="172" t="inlineStr">
        <is>
          <t>— MISSING —</t>
        </is>
      </c>
      <c r="M375" s="172" t="inlineStr">
        <is>
          <t>— MISSING —</t>
        </is>
      </c>
      <c r="N375" s="172" t="inlineStr">
        <is>
          <t>— MISSING —</t>
        </is>
      </c>
      <c r="O375" s="173" t="inlineStr">
        <is>
          <t>✗</t>
        </is>
      </c>
      <c r="P375" s="131" t="inlineStr">
        <is>
          <t>ND</t>
        </is>
      </c>
      <c r="Q375" s="139" t="inlineStr">
        <is>
          <t>ND</t>
        </is>
      </c>
      <c r="R375" s="139" t="inlineStr">
        <is>
          <t>ND</t>
        </is>
      </c>
      <c r="S375" s="133" t="inlineStr">
        <is>
          <t>✓</t>
        </is>
      </c>
      <c r="T375" s="171" t="inlineStr">
        <is>
          <t>— MISSING —</t>
        </is>
      </c>
      <c r="U375" s="172" t="inlineStr">
        <is>
          <t>— MISSING —</t>
        </is>
      </c>
      <c r="V375" s="172" t="inlineStr">
        <is>
          <t>— MISSING —</t>
        </is>
      </c>
      <c r="W375" s="172" t="inlineStr">
        <is>
          <t>— MISSING —</t>
        </is>
      </c>
      <c r="X375" s="173" t="inlineStr">
        <is>
          <t>✗</t>
        </is>
      </c>
      <c r="Y375" s="171" t="inlineStr">
        <is>
          <t>— MISSING —</t>
        </is>
      </c>
      <c r="Z375" s="174" t="inlineStr">
        <is>
          <t>— no certificate —</t>
        </is>
      </c>
      <c r="AA375" s="175" t="inlineStr">
        <is>
          <t>✗</t>
        </is>
      </c>
    </row>
    <row r="376" ht="39" customHeight="1" s="70">
      <c r="A376" s="281" t="n"/>
      <c r="B376" s="279" t="n"/>
      <c r="C376" s="279" t="n"/>
      <c r="D376" s="282" t="n"/>
      <c r="E376" s="280" t="n"/>
      <c r="F376" s="283" t="n"/>
      <c r="G376" s="282" t="n"/>
      <c r="H376" s="280" t="n"/>
      <c r="I376" s="283" t="n"/>
      <c r="J376" s="176" t="inlineStr">
        <is>
          <t>— no certificate —</t>
        </is>
      </c>
      <c r="K376" s="120" t="n"/>
      <c r="L376" s="120" t="n"/>
      <c r="M376" s="120" t="n"/>
      <c r="N376" s="121" t="n"/>
      <c r="O376" s="283" t="n"/>
      <c r="P376" s="144" t="inlineStr">
        <is>
          <t>197-16-М-26, (10.08.2026) [FHM-M]</t>
        </is>
      </c>
      <c r="Q376" s="120" t="n"/>
      <c r="R376" s="121" t="n"/>
      <c r="S376" s="283" t="n"/>
      <c r="T376" s="176" t="inlineStr">
        <is>
          <t>— no certificate —</t>
        </is>
      </c>
      <c r="U376" s="120" t="n"/>
      <c r="V376" s="120" t="n"/>
      <c r="W376" s="121" t="n"/>
      <c r="X376" s="283" t="n"/>
      <c r="Y376" s="282" t="n"/>
      <c r="Z376" s="280" t="n"/>
      <c r="AA376" s="284" t="n"/>
    </row>
    <row r="377" ht="17.625" customHeight="1" s="70">
      <c r="A377" s="281" t="n"/>
      <c r="B377" s="279" t="n"/>
      <c r="C377" s="279" t="n"/>
      <c r="D377" s="151" t="n"/>
      <c r="E377" s="147" t="n"/>
      <c r="F377" s="152" t="n"/>
      <c r="G377" s="200" t="inlineStr">
        <is>
          <t>not on this certificate</t>
        </is>
      </c>
      <c r="H377" s="201" t="inlineStr">
        <is>
          <t>051-1-К-26, (04.03.2026) [FHM-K] · on file, not credited</t>
        </is>
      </c>
      <c r="I377" s="202" t="inlineStr">
        <is>
          <t>•</t>
        </is>
      </c>
      <c r="J377" s="151" t="n"/>
      <c r="K377" s="147" t="n"/>
      <c r="L377" s="147" t="n"/>
      <c r="M377" s="147" t="n"/>
      <c r="N377" s="147" t="n"/>
      <c r="O377" s="152" t="n"/>
      <c r="P377" s="151" t="n"/>
      <c r="Q377" s="147" t="n"/>
      <c r="R377" s="147" t="n"/>
      <c r="S377" s="152" t="n"/>
      <c r="T377" s="151" t="n"/>
      <c r="U377" s="147" t="n"/>
      <c r="V377" s="147" t="n"/>
      <c r="W377" s="147" t="n"/>
      <c r="X377" s="152" t="n"/>
      <c r="Y377" s="151" t="n"/>
      <c r="Z377" s="147" t="n"/>
      <c r="AA377" s="163" t="n"/>
    </row>
    <row r="378" ht="21" customHeight="1" s="70">
      <c r="A378" s="281" t="n"/>
      <c r="B378" s="279" t="n"/>
      <c r="C378" s="279" t="n"/>
      <c r="D378" s="205" t="n"/>
      <c r="E378" s="204" t="n"/>
      <c r="F378" s="206" t="n"/>
      <c r="G378" s="282" t="n"/>
      <c r="H378" s="280" t="n"/>
      <c r="I378" s="283" t="n"/>
      <c r="J378" s="205" t="n"/>
      <c r="K378" s="204" t="n"/>
      <c r="L378" s="204" t="n"/>
      <c r="M378" s="204" t="n"/>
      <c r="N378" s="204" t="n"/>
      <c r="O378" s="206" t="n"/>
      <c r="P378" s="205" t="n"/>
      <c r="Q378" s="204" t="n"/>
      <c r="R378" s="204" t="n"/>
      <c r="S378" s="206" t="n"/>
      <c r="T378" s="205" t="n"/>
      <c r="U378" s="204" t="n"/>
      <c r="V378" s="204" t="n"/>
      <c r="W378" s="204" t="n"/>
      <c r="X378" s="206" t="n"/>
      <c r="Y378" s="205" t="n"/>
      <c r="Z378" s="204" t="n"/>
      <c r="AA378" s="207" t="n"/>
    </row>
    <row r="379" ht="17.625" customHeight="1" s="70">
      <c r="A379" s="281" t="n"/>
      <c r="B379" s="279" t="n"/>
      <c r="C379" s="279" t="n"/>
      <c r="D379" s="151" t="n"/>
      <c r="E379" s="147" t="n"/>
      <c r="F379" s="152" t="n"/>
      <c r="G379" s="158" t="inlineStr">
        <is>
          <t>not on this certificate</t>
        </is>
      </c>
      <c r="H379" s="159" t="inlineStr">
        <is>
          <t>197-16-К-26, (07.08.2026) [FHM-K] · on file, not credited</t>
        </is>
      </c>
      <c r="I379" s="160" t="inlineStr">
        <is>
          <t>•</t>
        </is>
      </c>
      <c r="J379" s="151" t="n"/>
      <c r="K379" s="147" t="n"/>
      <c r="L379" s="147" t="n"/>
      <c r="M379" s="147" t="n"/>
      <c r="N379" s="147" t="n"/>
      <c r="O379" s="152" t="n"/>
      <c r="P379" s="151" t="n"/>
      <c r="Q379" s="147" t="n"/>
      <c r="R379" s="147" t="n"/>
      <c r="S379" s="152" t="n"/>
      <c r="T379" s="151" t="n"/>
      <c r="U379" s="147" t="n"/>
      <c r="V379" s="147" t="n"/>
      <c r="W379" s="147" t="n"/>
      <c r="X379" s="152" t="n"/>
      <c r="Y379" s="151" t="n"/>
      <c r="Z379" s="147" t="n"/>
      <c r="AA379" s="163" t="n"/>
    </row>
    <row r="380" ht="15.375" customHeight="1" s="70">
      <c r="A380" s="285" t="n"/>
      <c r="B380" s="286" t="n"/>
      <c r="C380" s="286" t="n"/>
      <c r="D380" s="166" t="n"/>
      <c r="E380" s="165" t="n"/>
      <c r="F380" s="167" t="n"/>
      <c r="G380" s="287" t="n"/>
      <c r="H380" s="286" t="n"/>
      <c r="I380" s="288" t="n"/>
      <c r="J380" s="166" t="n"/>
      <c r="K380" s="165" t="n"/>
      <c r="L380" s="165" t="n"/>
      <c r="M380" s="165" t="n"/>
      <c r="N380" s="165" t="n"/>
      <c r="O380" s="167" t="n"/>
      <c r="P380" s="166" t="n"/>
      <c r="Q380" s="165" t="n"/>
      <c r="R380" s="165" t="n"/>
      <c r="S380" s="167" t="n"/>
      <c r="T380" s="166" t="n"/>
      <c r="U380" s="165" t="n"/>
      <c r="V380" s="165" t="n"/>
      <c r="W380" s="165" t="n"/>
      <c r="X380" s="167" t="n"/>
      <c r="Y380" s="166" t="n"/>
      <c r="Z380" s="165" t="n"/>
      <c r="AA380" s="169" t="n"/>
    </row>
    <row r="381" ht="21" customHeight="1" s="70">
      <c r="A381" s="125" t="inlineStr">
        <is>
          <t>J31112501</t>
        </is>
      </c>
      <c r="B381" s="126" t="inlineStr">
        <is>
          <t>P060202</t>
        </is>
      </c>
      <c r="C381" s="170" t="inlineStr">
        <is>
          <t>⚠ 3 NO RESULT
(3 no cert / 0 cert w/o result)
7 testing instances
• 6 document(s) on file, not credited</t>
        </is>
      </c>
      <c r="D381" s="131" t="inlineStr">
        <is>
          <t>Conforms</t>
        </is>
      </c>
      <c r="E381" s="132">
        <f>IFERROR(INDEX('iCoA Register'!$B:$B,MATCH("P060202|I",'iCoA Register'!$AA:$AA,0)),"iCoA — at issue")&amp;", (17.04.2026) [PP]"</f>
        <v/>
      </c>
      <c r="F381" s="133" t="inlineStr">
        <is>
          <t>✓</t>
        </is>
      </c>
      <c r="G381" s="131" t="inlineStr">
        <is>
          <t>8.4</t>
        </is>
      </c>
      <c r="H381" s="132" t="inlineStr">
        <is>
          <t>051-5-ГС-26, (02.03.2026) [FHM-K]</t>
        </is>
      </c>
      <c r="I381" s="133" t="inlineStr">
        <is>
          <t>✓</t>
        </is>
      </c>
      <c r="J381" s="131" t="inlineStr">
        <is>
          <t>4.4 × 10²</t>
        </is>
      </c>
      <c r="K381" s="139" t="inlineStr">
        <is>
          <t>8.6 × 10²</t>
        </is>
      </c>
      <c r="L381" s="139" t="inlineStr">
        <is>
          <t>&lt; 10² and &gt; 10</t>
        </is>
      </c>
      <c r="M381" s="139" t="inlineStr">
        <is>
          <t>Absent</t>
        </is>
      </c>
      <c r="N381" s="139" t="inlineStr">
        <is>
          <t>Absent</t>
        </is>
      </c>
      <c r="O381" s="133" t="inlineStr">
        <is>
          <t>✓</t>
        </is>
      </c>
      <c r="P381" s="171" t="inlineStr">
        <is>
          <t>— MISSING —</t>
        </is>
      </c>
      <c r="Q381" s="172" t="inlineStr">
        <is>
          <t>— MISSING —</t>
        </is>
      </c>
      <c r="R381" s="172" t="inlineStr">
        <is>
          <t>— MISSING —</t>
        </is>
      </c>
      <c r="S381" s="173" t="inlineStr">
        <is>
          <t>✗</t>
        </is>
      </c>
      <c r="T381" s="171" t="inlineStr">
        <is>
          <t>— MISSING —</t>
        </is>
      </c>
      <c r="U381" s="172" t="inlineStr">
        <is>
          <t>— MISSING —</t>
        </is>
      </c>
      <c r="V381" s="172" t="inlineStr">
        <is>
          <t>— MISSING —</t>
        </is>
      </c>
      <c r="W381" s="172" t="inlineStr">
        <is>
          <t>— MISSING —</t>
        </is>
      </c>
      <c r="X381" s="173" t="inlineStr">
        <is>
          <t>✗</t>
        </is>
      </c>
      <c r="Y381" s="171" t="inlineStr">
        <is>
          <t>— MISSING —</t>
        </is>
      </c>
      <c r="Z381" s="174" t="inlineStr">
        <is>
          <t>— no certificate —</t>
        </is>
      </c>
      <c r="AA381" s="175" t="inlineStr">
        <is>
          <t>✗</t>
        </is>
      </c>
    </row>
    <row r="382" ht="39" customHeight="1" s="70">
      <c r="A382" s="281" t="n"/>
      <c r="B382" s="279" t="n"/>
      <c r="C382" s="279" t="n"/>
      <c r="D382" s="282" t="n"/>
      <c r="E382" s="280" t="n"/>
      <c r="F382" s="283" t="n"/>
      <c r="G382" s="282" t="n"/>
      <c r="H382" s="280" t="n"/>
      <c r="I382" s="283" t="n"/>
      <c r="J382" s="144" t="inlineStr">
        <is>
          <t>547-1078-26, (31.08.2026) [IJZ-MB]</t>
        </is>
      </c>
      <c r="K382" s="120" t="n"/>
      <c r="L382" s="120" t="n"/>
      <c r="M382" s="120" t="n"/>
      <c r="N382" s="121" t="n"/>
      <c r="O382" s="283" t="n"/>
      <c r="P382" s="176" t="inlineStr">
        <is>
          <t>— no certificate —</t>
        </is>
      </c>
      <c r="Q382" s="120" t="n"/>
      <c r="R382" s="121" t="n"/>
      <c r="S382" s="283" t="n"/>
      <c r="T382" s="176" t="inlineStr">
        <is>
          <t>— no certificate —</t>
        </is>
      </c>
      <c r="U382" s="120" t="n"/>
      <c r="V382" s="120" t="n"/>
      <c r="W382" s="121" t="n"/>
      <c r="X382" s="283" t="n"/>
      <c r="Y382" s="282" t="n"/>
      <c r="Z382" s="280" t="n"/>
      <c r="AA382" s="284" t="n"/>
    </row>
    <row r="383" ht="17.625" customHeight="1" s="70">
      <c r="A383" s="281" t="n"/>
      <c r="B383" s="279" t="n"/>
      <c r="C383" s="279" t="n"/>
      <c r="D383" s="151" t="n"/>
      <c r="E383" s="147" t="n"/>
      <c r="F383" s="152" t="n"/>
      <c r="G383" s="200" t="inlineStr">
        <is>
          <t>not on this certificate</t>
        </is>
      </c>
      <c r="H383" s="201" t="inlineStr">
        <is>
          <t>051-5-К-26, (04.03.2026) [FHM-K] · on file, not credited</t>
        </is>
      </c>
      <c r="I383" s="202" t="inlineStr">
        <is>
          <t>•</t>
        </is>
      </c>
      <c r="J383" s="151" t="n"/>
      <c r="K383" s="147" t="n"/>
      <c r="L383" s="147" t="n"/>
      <c r="M383" s="147" t="n"/>
      <c r="N383" s="147" t="n"/>
      <c r="O383" s="152" t="n"/>
      <c r="P383" s="151" t="n"/>
      <c r="Q383" s="147" t="n"/>
      <c r="R383" s="147" t="n"/>
      <c r="S383" s="152" t="n"/>
      <c r="T383" s="151" t="n"/>
      <c r="U383" s="147" t="n"/>
      <c r="V383" s="147" t="n"/>
      <c r="W383" s="147" t="n"/>
      <c r="X383" s="152" t="n"/>
      <c r="Y383" s="151" t="n"/>
      <c r="Z383" s="147" t="n"/>
      <c r="AA383" s="163" t="n"/>
    </row>
    <row r="384" ht="21" customHeight="1" s="70">
      <c r="A384" s="281" t="n"/>
      <c r="B384" s="279" t="n"/>
      <c r="C384" s="279" t="n"/>
      <c r="D384" s="205" t="n"/>
      <c r="E384" s="204" t="n"/>
      <c r="F384" s="206" t="n"/>
      <c r="G384" s="282" t="n"/>
      <c r="H384" s="280" t="n"/>
      <c r="I384" s="283" t="n"/>
      <c r="J384" s="205" t="n"/>
      <c r="K384" s="204" t="n"/>
      <c r="L384" s="204" t="n"/>
      <c r="M384" s="204" t="n"/>
      <c r="N384" s="204" t="n"/>
      <c r="O384" s="206" t="n"/>
      <c r="P384" s="205" t="n"/>
      <c r="Q384" s="204" t="n"/>
      <c r="R384" s="204" t="n"/>
      <c r="S384" s="206" t="n"/>
      <c r="T384" s="205" t="n"/>
      <c r="U384" s="204" t="n"/>
      <c r="V384" s="204" t="n"/>
      <c r="W384" s="204" t="n"/>
      <c r="X384" s="206" t="n"/>
      <c r="Y384" s="205" t="n"/>
      <c r="Z384" s="204" t="n"/>
      <c r="AA384" s="207" t="n"/>
    </row>
    <row r="385" ht="17.625" customHeight="1" s="70">
      <c r="A385" s="281" t="n"/>
      <c r="B385" s="279" t="n"/>
      <c r="C385" s="279" t="n"/>
      <c r="D385" s="151" t="n"/>
      <c r="E385" s="147" t="n"/>
      <c r="F385" s="152" t="n"/>
      <c r="G385" s="200" t="inlineStr">
        <is>
          <t>not on this certificate</t>
        </is>
      </c>
      <c r="H385" s="201" t="inlineStr">
        <is>
          <t>100-1-К-26, (09.04.2026) [FHM-K] · on file, not credited</t>
        </is>
      </c>
      <c r="I385" s="202" t="inlineStr">
        <is>
          <t>•</t>
        </is>
      </c>
      <c r="J385" s="151" t="n"/>
      <c r="K385" s="147" t="n"/>
      <c r="L385" s="147" t="n"/>
      <c r="M385" s="147" t="n"/>
      <c r="N385" s="147" t="n"/>
      <c r="O385" s="152" t="n"/>
      <c r="P385" s="151" t="n"/>
      <c r="Q385" s="147" t="n"/>
      <c r="R385" s="147" t="n"/>
      <c r="S385" s="152" t="n"/>
      <c r="T385" s="151" t="n"/>
      <c r="U385" s="147" t="n"/>
      <c r="V385" s="147" t="n"/>
      <c r="W385" s="147" t="n"/>
      <c r="X385" s="152" t="n"/>
      <c r="Y385" s="151" t="n"/>
      <c r="Z385" s="147" t="n"/>
      <c r="AA385" s="163" t="n"/>
    </row>
    <row r="386" ht="15.375" customHeight="1" s="70">
      <c r="A386" s="281" t="n"/>
      <c r="B386" s="279" t="n"/>
      <c r="C386" s="279" t="n"/>
      <c r="D386" s="205" t="n"/>
      <c r="E386" s="204" t="n"/>
      <c r="F386" s="206" t="n"/>
      <c r="G386" s="282" t="n"/>
      <c r="H386" s="280" t="n"/>
      <c r="I386" s="283" t="n"/>
      <c r="J386" s="205" t="n"/>
      <c r="K386" s="204" t="n"/>
      <c r="L386" s="204" t="n"/>
      <c r="M386" s="204" t="n"/>
      <c r="N386" s="204" t="n"/>
      <c r="O386" s="206" t="n"/>
      <c r="P386" s="205" t="n"/>
      <c r="Q386" s="204" t="n"/>
      <c r="R386" s="204" t="n"/>
      <c r="S386" s="206" t="n"/>
      <c r="T386" s="205" t="n"/>
      <c r="U386" s="204" t="n"/>
      <c r="V386" s="204" t="n"/>
      <c r="W386" s="204" t="n"/>
      <c r="X386" s="206" t="n"/>
      <c r="Y386" s="205" t="n"/>
      <c r="Z386" s="204" t="n"/>
      <c r="AA386" s="207" t="n"/>
    </row>
    <row r="387" ht="17.625" customHeight="1" s="70">
      <c r="A387" s="281" t="n"/>
      <c r="B387" s="279" t="n"/>
      <c r="C387" s="279" t="n"/>
      <c r="D387" s="151" t="n"/>
      <c r="E387" s="147" t="n"/>
      <c r="F387" s="152" t="n"/>
      <c r="G387" s="161" t="inlineStr">
        <is>
          <t>7.6</t>
        </is>
      </c>
      <c r="H387" s="196" t="inlineStr">
        <is>
          <t>100-1-ГС-26, (09.04.2026) [FHM-K]</t>
        </is>
      </c>
      <c r="I387" s="197" t="inlineStr">
        <is>
          <t>✓</t>
        </is>
      </c>
      <c r="J387" s="151" t="n"/>
      <c r="K387" s="147" t="n"/>
      <c r="L387" s="147" t="n"/>
      <c r="M387" s="147" t="n"/>
      <c r="N387" s="147" t="n"/>
      <c r="O387" s="152" t="n"/>
      <c r="P387" s="151" t="n"/>
      <c r="Q387" s="147" t="n"/>
      <c r="R387" s="147" t="n"/>
      <c r="S387" s="152" t="n"/>
      <c r="T387" s="151" t="n"/>
      <c r="U387" s="147" t="n"/>
      <c r="V387" s="147" t="n"/>
      <c r="W387" s="147" t="n"/>
      <c r="X387" s="152" t="n"/>
      <c r="Y387" s="151" t="n"/>
      <c r="Z387" s="147" t="n"/>
      <c r="AA387" s="163" t="n"/>
    </row>
    <row r="388" ht="21" customHeight="1" s="70">
      <c r="A388" s="281" t="n"/>
      <c r="B388" s="279" t="n"/>
      <c r="C388" s="279" t="n"/>
      <c r="D388" s="205" t="n"/>
      <c r="E388" s="204" t="n"/>
      <c r="F388" s="206" t="n"/>
      <c r="G388" s="282" t="n"/>
      <c r="H388" s="280" t="n"/>
      <c r="I388" s="283" t="n"/>
      <c r="J388" s="205" t="n"/>
      <c r="K388" s="204" t="n"/>
      <c r="L388" s="204" t="n"/>
      <c r="M388" s="204" t="n"/>
      <c r="N388" s="204" t="n"/>
      <c r="O388" s="206" t="n"/>
      <c r="P388" s="205" t="n"/>
      <c r="Q388" s="204" t="n"/>
      <c r="R388" s="204" t="n"/>
      <c r="S388" s="206" t="n"/>
      <c r="T388" s="205" t="n"/>
      <c r="U388" s="204" t="n"/>
      <c r="V388" s="204" t="n"/>
      <c r="W388" s="204" t="n"/>
      <c r="X388" s="206" t="n"/>
      <c r="Y388" s="205" t="n"/>
      <c r="Z388" s="204" t="n"/>
      <c r="AA388" s="207" t="n"/>
    </row>
    <row r="389" ht="17.625" customHeight="1" s="70">
      <c r="A389" s="281" t="n"/>
      <c r="B389" s="279" t="n"/>
      <c r="C389" s="279" t="n"/>
      <c r="D389" s="151" t="n"/>
      <c r="E389" s="147" t="n"/>
      <c r="F389" s="152" t="n"/>
      <c r="G389" s="161" t="inlineStr">
        <is>
          <t>10.3 ± 0.2</t>
        </is>
      </c>
      <c r="H389" s="196" t="inlineStr">
        <is>
          <t>100-2-ГС-26, (09.04.2026) [FHM-K]</t>
        </is>
      </c>
      <c r="I389" s="197" t="inlineStr">
        <is>
          <t>✓</t>
        </is>
      </c>
      <c r="J389" s="151" t="n"/>
      <c r="K389" s="147" t="n"/>
      <c r="L389" s="147" t="n"/>
      <c r="M389" s="147" t="n"/>
      <c r="N389" s="147" t="n"/>
      <c r="O389" s="152" t="n"/>
      <c r="P389" s="151" t="n"/>
      <c r="Q389" s="147" t="n"/>
      <c r="R389" s="147" t="n"/>
      <c r="S389" s="152" t="n"/>
      <c r="T389" s="151" t="n"/>
      <c r="U389" s="147" t="n"/>
      <c r="V389" s="147" t="n"/>
      <c r="W389" s="147" t="n"/>
      <c r="X389" s="152" t="n"/>
      <c r="Y389" s="151" t="n"/>
      <c r="Z389" s="147" t="n"/>
      <c r="AA389" s="163" t="n"/>
    </row>
    <row r="390" ht="21" customHeight="1" s="70">
      <c r="A390" s="281" t="n"/>
      <c r="B390" s="279" t="n"/>
      <c r="C390" s="279" t="n"/>
      <c r="D390" s="205" t="n"/>
      <c r="E390" s="204" t="n"/>
      <c r="F390" s="206" t="n"/>
      <c r="G390" s="282" t="n"/>
      <c r="H390" s="280" t="n"/>
      <c r="I390" s="283" t="n"/>
      <c r="J390" s="205" t="n"/>
      <c r="K390" s="204" t="n"/>
      <c r="L390" s="204" t="n"/>
      <c r="M390" s="204" t="n"/>
      <c r="N390" s="204" t="n"/>
      <c r="O390" s="206" t="n"/>
      <c r="P390" s="205" t="n"/>
      <c r="Q390" s="204" t="n"/>
      <c r="R390" s="204" t="n"/>
      <c r="S390" s="206" t="n"/>
      <c r="T390" s="205" t="n"/>
      <c r="U390" s="204" t="n"/>
      <c r="V390" s="204" t="n"/>
      <c r="W390" s="204" t="n"/>
      <c r="X390" s="206" t="n"/>
      <c r="Y390" s="205" t="n"/>
      <c r="Z390" s="204" t="n"/>
      <c r="AA390" s="207" t="n"/>
    </row>
    <row r="391" ht="17.625" customHeight="1" s="70">
      <c r="A391" s="281" t="n"/>
      <c r="B391" s="279" t="n"/>
      <c r="C391" s="279" t="n"/>
      <c r="D391" s="151" t="n"/>
      <c r="E391" s="147" t="n"/>
      <c r="F391" s="152" t="n"/>
      <c r="G391" s="161" t="inlineStr">
        <is>
          <t>10.3</t>
        </is>
      </c>
      <c r="H391" s="196" t="inlineStr">
        <is>
          <t>100-3-ГС-26, (09.04.2026) [FHM-K]</t>
        </is>
      </c>
      <c r="I391" s="197" t="inlineStr">
        <is>
          <t>✓</t>
        </is>
      </c>
      <c r="J391" s="151" t="n"/>
      <c r="K391" s="147" t="n"/>
      <c r="L391" s="147" t="n"/>
      <c r="M391" s="147" t="n"/>
      <c r="N391" s="147" t="n"/>
      <c r="O391" s="152" t="n"/>
      <c r="P391" s="151" t="n"/>
      <c r="Q391" s="147" t="n"/>
      <c r="R391" s="147" t="n"/>
      <c r="S391" s="152" t="n"/>
      <c r="T391" s="151" t="n"/>
      <c r="U391" s="147" t="n"/>
      <c r="V391" s="147" t="n"/>
      <c r="W391" s="147" t="n"/>
      <c r="X391" s="152" t="n"/>
      <c r="Y391" s="151" t="n"/>
      <c r="Z391" s="147" t="n"/>
      <c r="AA391" s="163" t="n"/>
    </row>
    <row r="392" ht="21" customHeight="1" s="70">
      <c r="A392" s="281" t="n"/>
      <c r="B392" s="279" t="n"/>
      <c r="C392" s="279" t="n"/>
      <c r="D392" s="205" t="n"/>
      <c r="E392" s="204" t="n"/>
      <c r="F392" s="206" t="n"/>
      <c r="G392" s="282" t="n"/>
      <c r="H392" s="280" t="n"/>
      <c r="I392" s="283" t="n"/>
      <c r="J392" s="205" t="n"/>
      <c r="K392" s="204" t="n"/>
      <c r="L392" s="204" t="n"/>
      <c r="M392" s="204" t="n"/>
      <c r="N392" s="204" t="n"/>
      <c r="O392" s="206" t="n"/>
      <c r="P392" s="205" t="n"/>
      <c r="Q392" s="204" t="n"/>
      <c r="R392" s="204" t="n"/>
      <c r="S392" s="206" t="n"/>
      <c r="T392" s="205" t="n"/>
      <c r="U392" s="204" t="n"/>
      <c r="V392" s="204" t="n"/>
      <c r="W392" s="204" t="n"/>
      <c r="X392" s="206" t="n"/>
      <c r="Y392" s="205" t="n"/>
      <c r="Z392" s="204" t="n"/>
      <c r="AA392" s="207" t="n"/>
    </row>
    <row r="393" ht="17.625" customHeight="1" s="70">
      <c r="A393" s="281" t="n"/>
      <c r="B393" s="279" t="n"/>
      <c r="C393" s="279" t="n"/>
      <c r="D393" s="151" t="n"/>
      <c r="E393" s="147" t="n"/>
      <c r="F393" s="152" t="n"/>
      <c r="G393" s="151" t="n"/>
      <c r="H393" s="147" t="n"/>
      <c r="I393" s="152" t="n"/>
      <c r="J393" s="151" t="n"/>
      <c r="K393" s="147" t="n"/>
      <c r="L393" s="147" t="n"/>
      <c r="M393" s="147" t="n"/>
      <c r="N393" s="147" t="n"/>
      <c r="O393" s="152" t="n"/>
      <c r="P393" s="151" t="n"/>
      <c r="Q393" s="147" t="n"/>
      <c r="R393" s="147" t="n"/>
      <c r="S393" s="152" t="n"/>
      <c r="T393" s="151" t="n"/>
      <c r="U393" s="147" t="n"/>
      <c r="V393" s="147" t="n"/>
      <c r="W393" s="147" t="n"/>
      <c r="X393" s="152" t="n"/>
      <c r="Y393" s="151" t="n"/>
      <c r="Z393" s="147" t="n"/>
      <c r="AA393" s="163" t="n"/>
    </row>
    <row r="394" ht="13" customHeight="1" s="70">
      <c r="A394" s="285" t="n"/>
      <c r="B394" s="286" t="n"/>
      <c r="C394" s="286" t="n"/>
      <c r="D394" s="166" t="n"/>
      <c r="E394" s="165" t="n"/>
      <c r="F394" s="167" t="n"/>
      <c r="G394" s="166" t="n"/>
      <c r="H394" s="165" t="n"/>
      <c r="I394" s="167" t="n"/>
      <c r="J394" s="166" t="n"/>
      <c r="K394" s="165" t="n"/>
      <c r="L394" s="165" t="n"/>
      <c r="M394" s="165" t="n"/>
      <c r="N394" s="165" t="n"/>
      <c r="O394" s="167" t="n"/>
      <c r="P394" s="166" t="n"/>
      <c r="Q394" s="165" t="n"/>
      <c r="R394" s="165" t="n"/>
      <c r="S394" s="167" t="n"/>
      <c r="T394" s="166" t="n"/>
      <c r="U394" s="165" t="n"/>
      <c r="V394" s="165" t="n"/>
      <c r="W394" s="165" t="n"/>
      <c r="X394" s="167" t="n"/>
      <c r="Y394" s="166" t="n"/>
      <c r="Z394" s="165" t="n"/>
      <c r="AA394" s="169" t="n"/>
    </row>
    <row r="395" ht="21" customHeight="1" s="70">
      <c r="A395" s="125" t="inlineStr">
        <is>
          <t>J31122501</t>
        </is>
      </c>
      <c r="B395" s="126" t="inlineStr">
        <is>
          <t>P060262</t>
        </is>
      </c>
      <c r="C395" s="170" t="inlineStr">
        <is>
          <t>⚠ 1 NO RESULT
(1 no cert / 0 cert w/o result)
3 testing instances
• 2 document(s) on file, not credited</t>
        </is>
      </c>
      <c r="D395" s="131" t="inlineStr">
        <is>
          <t>Conforms</t>
        </is>
      </c>
      <c r="E395" s="132">
        <f>IFERROR(INDEX('iCoA Register'!$B:$B,MATCH("P060262|I",'iCoA Register'!$AA:$AA,0)),"iCoA — at issue")&amp;", (14.05.2026) [PP]"</f>
        <v/>
      </c>
      <c r="F395" s="133" t="inlineStr">
        <is>
          <t>✓</t>
        </is>
      </c>
      <c r="G395" s="134" t="inlineStr">
        <is>
          <t>not ingested</t>
        </is>
      </c>
      <c r="H395" s="135" t="inlineStr">
        <is>
          <t>100-2-К-26, (09.04.2026) [FHM-K] · on file, not credited</t>
        </is>
      </c>
      <c r="I395" s="136" t="inlineStr">
        <is>
          <t>•</t>
        </is>
      </c>
      <c r="J395" s="131" t="inlineStr">
        <is>
          <t>1900 ᴿ</t>
        </is>
      </c>
      <c r="K395" s="139" t="inlineStr">
        <is>
          <t>840 ᴿ</t>
        </is>
      </c>
      <c r="L395" s="139" t="inlineStr">
        <is>
          <t>&lt; 10³ and &gt; 10² ᴿ</t>
        </is>
      </c>
      <c r="M395" s="139" t="inlineStr">
        <is>
          <t>Absent ᴿ</t>
        </is>
      </c>
      <c r="N395" s="139" t="inlineStr">
        <is>
          <t>Absent ᴿ</t>
        </is>
      </c>
      <c r="O395" s="133" t="inlineStr">
        <is>
          <t>✓</t>
        </is>
      </c>
      <c r="P395" s="131" t="inlineStr">
        <is>
          <t>not reported</t>
        </is>
      </c>
      <c r="Q395" s="139" t="inlineStr">
        <is>
          <t>Complies ᴿ</t>
        </is>
      </c>
      <c r="R395" s="139" t="inlineStr">
        <is>
          <t>not reported</t>
        </is>
      </c>
      <c r="S395" s="133" t="inlineStr">
        <is>
          <t>✓</t>
        </is>
      </c>
      <c r="T395" s="216" t="inlineStr">
        <is>
          <t>not ingested</t>
        </is>
      </c>
      <c r="U395" s="217" t="inlineStr"/>
      <c r="V395" s="217" t="inlineStr"/>
      <c r="W395" s="217" t="inlineStr"/>
      <c r="X395" s="218" t="inlineStr">
        <is>
          <t>✗</t>
        </is>
      </c>
      <c r="Y395" s="131" t="inlineStr">
        <is>
          <t>ND ᴿ</t>
        </is>
      </c>
      <c r="Z395" s="132" t="inlineStr">
        <is>
          <t>1625-2026, (23.04.2026) [IJZ]</t>
        </is>
      </c>
      <c r="AA395" s="140" t="inlineStr">
        <is>
          <t>✓</t>
        </is>
      </c>
    </row>
    <row r="396" ht="21" customHeight="1" s="70">
      <c r="A396" s="281" t="n"/>
      <c r="B396" s="279" t="n"/>
      <c r="C396" s="279" t="n"/>
      <c r="D396" s="282" t="n"/>
      <c r="E396" s="280" t="n"/>
      <c r="F396" s="283" t="n"/>
      <c r="G396" s="282" t="n"/>
      <c r="H396" s="280" t="n"/>
      <c r="I396" s="283" t="n"/>
      <c r="J396" s="144" t="inlineStr">
        <is>
          <t>230-0393-26, (07.04.2026) [IJZ-MB]</t>
        </is>
      </c>
      <c r="K396" s="120" t="n"/>
      <c r="L396" s="120" t="n"/>
      <c r="M396" s="120" t="n"/>
      <c r="N396" s="121" t="n"/>
      <c r="O396" s="283" t="n"/>
      <c r="P396" s="144" t="inlineStr">
        <is>
          <t>1625-2026, (23.04.2026) [IJZ]</t>
        </is>
      </c>
      <c r="Q396" s="120" t="n"/>
      <c r="R396" s="121" t="n"/>
      <c r="S396" s="283" t="n"/>
      <c r="T396" s="219" t="inlineStr">
        <is>
          <t>1625-2026, (23.04.2026) [IJZ]</t>
        </is>
      </c>
      <c r="U396" s="120" t="n"/>
      <c r="V396" s="120" t="n"/>
      <c r="W396" s="121" t="n"/>
      <c r="X396" s="283" t="n"/>
      <c r="Y396" s="282" t="n"/>
      <c r="Z396" s="280" t="n"/>
      <c r="AA396" s="284" t="n"/>
    </row>
    <row r="397" ht="21" customHeight="1" s="70">
      <c r="A397" s="281" t="n"/>
      <c r="B397" s="279" t="n"/>
      <c r="C397" s="279" t="n"/>
      <c r="D397" s="151" t="n"/>
      <c r="E397" s="147" t="n"/>
      <c r="F397" s="152" t="n"/>
      <c r="G397" s="200" t="inlineStr">
        <is>
          <t>not ingested</t>
        </is>
      </c>
      <c r="H397" s="201" t="inlineStr">
        <is>
          <t>100-3-К-26, (09.04.2026) [FHM-K] · on file, not credited</t>
        </is>
      </c>
      <c r="I397" s="202" t="inlineStr">
        <is>
          <t>•</t>
        </is>
      </c>
      <c r="J397" s="161" t="inlineStr">
        <is>
          <t>850 ᴿ</t>
        </is>
      </c>
      <c r="K397" s="162" t="inlineStr">
        <is>
          <t>370 ᴿ</t>
        </is>
      </c>
      <c r="L397" s="162" t="inlineStr">
        <is>
          <t>&lt; 10² and &gt; 10 ᴿ</t>
        </is>
      </c>
      <c r="M397" s="162" t="inlineStr">
        <is>
          <t>Absent ᴿ</t>
        </is>
      </c>
      <c r="N397" s="162" t="inlineStr">
        <is>
          <t>Absent ᴿ</t>
        </is>
      </c>
      <c r="O397" s="197" t="inlineStr">
        <is>
          <t>✓</t>
        </is>
      </c>
      <c r="P397" s="161" t="inlineStr">
        <is>
          <t>not reported</t>
        </is>
      </c>
      <c r="Q397" s="162" t="inlineStr">
        <is>
          <t>2.5 ᴿ</t>
        </is>
      </c>
      <c r="R397" s="162" t="inlineStr">
        <is>
          <t>not reported</t>
        </is>
      </c>
      <c r="S397" s="197" t="inlineStr">
        <is>
          <t>✓</t>
        </is>
      </c>
      <c r="T397" s="161" t="inlineStr">
        <is>
          <t>ND ᴿ</t>
        </is>
      </c>
      <c r="U397" s="162" t="inlineStr">
        <is>
          <t>ND ᴿ</t>
        </is>
      </c>
      <c r="V397" s="162" t="inlineStr">
        <is>
          <t>ND ᴿ</t>
        </is>
      </c>
      <c r="W397" s="162" t="inlineStr">
        <is>
          <t>ND ᴿ</t>
        </is>
      </c>
      <c r="X397" s="197" t="inlineStr">
        <is>
          <t>✓</t>
        </is>
      </c>
      <c r="Y397" s="161" t="inlineStr">
        <is>
          <t>ND mg/kg — all 29 residues ᴿ</t>
        </is>
      </c>
      <c r="Z397" s="196" t="inlineStr">
        <is>
          <t>1628-2026, (23.04.2026) [IJZ]</t>
        </is>
      </c>
      <c r="AA397" s="220" t="inlineStr">
        <is>
          <t>✓</t>
        </is>
      </c>
    </row>
    <row r="398" ht="21" customHeight="1" s="70">
      <c r="A398" s="281" t="n"/>
      <c r="B398" s="279" t="n"/>
      <c r="C398" s="279" t="n"/>
      <c r="D398" s="205" t="n"/>
      <c r="E398" s="204" t="n"/>
      <c r="F398" s="206" t="n"/>
      <c r="G398" s="282" t="n"/>
      <c r="H398" s="280" t="n"/>
      <c r="I398" s="283" t="n"/>
      <c r="J398" s="221" t="inlineStr">
        <is>
          <t>231-0394-26, (07.04.2026) [IJZ-MB]</t>
        </is>
      </c>
      <c r="K398" s="292" t="n"/>
      <c r="L398" s="292" t="n"/>
      <c r="M398" s="292" t="n"/>
      <c r="N398" s="293" t="n"/>
      <c r="O398" s="283" t="n"/>
      <c r="P398" s="221" t="inlineStr">
        <is>
          <t>1628-2026, (23.04.2026) [IJZ]</t>
        </is>
      </c>
      <c r="Q398" s="292" t="n"/>
      <c r="R398" s="293" t="n"/>
      <c r="S398" s="283" t="n"/>
      <c r="T398" s="221" t="inlineStr">
        <is>
          <t>1628-2026, (23.04.2026) [IJZ]</t>
        </is>
      </c>
      <c r="U398" s="292" t="n"/>
      <c r="V398" s="292" t="n"/>
      <c r="W398" s="293" t="n"/>
      <c r="X398" s="283" t="n"/>
      <c r="Y398" s="282" t="n"/>
      <c r="Z398" s="280" t="n"/>
      <c r="AA398" s="284" t="n"/>
    </row>
    <row r="399" ht="21" customHeight="1" s="70">
      <c r="A399" s="281" t="n"/>
      <c r="B399" s="279" t="n"/>
      <c r="C399" s="279" t="n"/>
      <c r="D399" s="151" t="n"/>
      <c r="E399" s="147" t="n"/>
      <c r="F399" s="152" t="n"/>
      <c r="G399" s="151" t="n"/>
      <c r="H399" s="147" t="n"/>
      <c r="I399" s="152" t="n"/>
      <c r="J399" s="161" t="inlineStr">
        <is>
          <t>1 × 10³</t>
        </is>
      </c>
      <c r="K399" s="162" t="inlineStr">
        <is>
          <t>1.7 × 10²</t>
        </is>
      </c>
      <c r="L399" s="162" t="inlineStr">
        <is>
          <t>&lt; 10³ and &gt; 10²</t>
        </is>
      </c>
      <c r="M399" s="162" t="inlineStr">
        <is>
          <t>Absent</t>
        </is>
      </c>
      <c r="N399" s="162" t="inlineStr">
        <is>
          <t>Absent</t>
        </is>
      </c>
      <c r="O399" s="155" t="inlineStr">
        <is>
          <t>✓</t>
        </is>
      </c>
      <c r="P399" s="151" t="n"/>
      <c r="Q399" s="147" t="n"/>
      <c r="R399" s="147" t="n"/>
      <c r="S399" s="152" t="n"/>
      <c r="T399" s="151" t="n"/>
      <c r="U399" s="147" t="n"/>
      <c r="V399" s="147" t="n"/>
      <c r="W399" s="147" t="n"/>
      <c r="X399" s="152" t="n"/>
      <c r="Y399" s="151" t="n"/>
      <c r="Z399" s="147" t="n"/>
      <c r="AA399" s="163" t="n"/>
    </row>
    <row r="400" ht="13" customHeight="1" s="70">
      <c r="A400" s="285" t="n"/>
      <c r="B400" s="286" t="n"/>
      <c r="C400" s="286" t="n"/>
      <c r="D400" s="166" t="n"/>
      <c r="E400" s="165" t="n"/>
      <c r="F400" s="167" t="n"/>
      <c r="G400" s="166" t="n"/>
      <c r="H400" s="165" t="n"/>
      <c r="I400" s="167" t="n"/>
      <c r="J400" s="168" t="inlineStr">
        <is>
          <t>544-1075-26, (31.08.2026) [IJZ-MB]</t>
        </is>
      </c>
      <c r="K400" s="289" t="n"/>
      <c r="L400" s="289" t="n"/>
      <c r="M400" s="289" t="n"/>
      <c r="N400" s="290" t="n"/>
      <c r="O400" s="288" t="n"/>
      <c r="P400" s="166" t="n"/>
      <c r="Q400" s="165" t="n"/>
      <c r="R400" s="165" t="n"/>
      <c r="S400" s="167" t="n"/>
      <c r="T400" s="166" t="n"/>
      <c r="U400" s="165" t="n"/>
      <c r="V400" s="165" t="n"/>
      <c r="W400" s="165" t="n"/>
      <c r="X400" s="167" t="n"/>
      <c r="Y400" s="166" t="n"/>
      <c r="Z400" s="165" t="n"/>
      <c r="AA400" s="169" t="n"/>
    </row>
    <row r="401" ht="21" customHeight="1" s="70">
      <c r="A401" s="125" t="inlineStr">
        <is>
          <t>JD012603</t>
        </is>
      </c>
      <c r="B401" s="126" t="inlineStr">
        <is>
          <t>P060362 / P060412 / P060422</t>
        </is>
      </c>
      <c r="C401" s="170" t="inlineStr">
        <is>
          <t>⚠ 3 NO RESULT
(3 no cert / 0 cert w/o result)
5 testing instances
• 1 document(s) on file, not credited</t>
        </is>
      </c>
      <c r="D401" s="131" t="inlineStr">
        <is>
          <t>Conforms (no value printed)</t>
        </is>
      </c>
      <c r="E401" s="132" t="inlineStr">
        <is>
          <t>ППК26111, (30.06.2026) [CNP]</t>
        </is>
      </c>
      <c r="F401" s="133" t="inlineStr">
        <is>
          <t>✓</t>
        </is>
      </c>
      <c r="G401" s="131" t="inlineStr">
        <is>
          <t>7.04</t>
        </is>
      </c>
      <c r="H401" s="132" t="inlineStr">
        <is>
          <t>ППК26111, (30.06.2026) [CNP]</t>
        </is>
      </c>
      <c r="I401" s="133" t="inlineStr">
        <is>
          <t>✓</t>
        </is>
      </c>
      <c r="J401" s="171" t="inlineStr">
        <is>
          <t>— MISSING —</t>
        </is>
      </c>
      <c r="K401" s="172" t="inlineStr">
        <is>
          <t>— MISSING —</t>
        </is>
      </c>
      <c r="L401" s="172" t="inlineStr">
        <is>
          <t>— MISSING —</t>
        </is>
      </c>
      <c r="M401" s="172" t="inlineStr">
        <is>
          <t>— MISSING —</t>
        </is>
      </c>
      <c r="N401" s="172" t="inlineStr">
        <is>
          <t>— MISSING —</t>
        </is>
      </c>
      <c r="O401" s="173" t="inlineStr">
        <is>
          <t>✗</t>
        </is>
      </c>
      <c r="P401" s="131" t="inlineStr">
        <is>
          <t>ND</t>
        </is>
      </c>
      <c r="Q401" s="139" t="inlineStr">
        <is>
          <t>ND</t>
        </is>
      </c>
      <c r="R401" s="139" t="inlineStr">
        <is>
          <t>ND</t>
        </is>
      </c>
      <c r="S401" s="133" t="inlineStr">
        <is>
          <t>✓</t>
        </is>
      </c>
      <c r="T401" s="171" t="inlineStr">
        <is>
          <t>— MISSING —</t>
        </is>
      </c>
      <c r="U401" s="172" t="inlineStr">
        <is>
          <t>— MISSING —</t>
        </is>
      </c>
      <c r="V401" s="172" t="inlineStr">
        <is>
          <t>— MISSING —</t>
        </is>
      </c>
      <c r="W401" s="172" t="inlineStr">
        <is>
          <t>— MISSING —</t>
        </is>
      </c>
      <c r="X401" s="173" t="inlineStr">
        <is>
          <t>✗</t>
        </is>
      </c>
      <c r="Y401" s="171" t="inlineStr">
        <is>
          <t>— MISSING —</t>
        </is>
      </c>
      <c r="Z401" s="174" t="inlineStr">
        <is>
          <t>— no certificate —</t>
        </is>
      </c>
      <c r="AA401" s="175" t="inlineStr">
        <is>
          <t>✗</t>
        </is>
      </c>
    </row>
    <row r="402" ht="15.375" customHeight="1" s="70">
      <c r="A402" s="281" t="n"/>
      <c r="B402" s="279" t="n"/>
      <c r="C402" s="279" t="n"/>
      <c r="D402" s="282" t="n"/>
      <c r="E402" s="280" t="n"/>
      <c r="F402" s="283" t="n"/>
      <c r="G402" s="282" t="n"/>
      <c r="H402" s="280" t="n"/>
      <c r="I402" s="283" t="n"/>
      <c r="J402" s="176" t="inlineStr">
        <is>
          <t>— no certificate —</t>
        </is>
      </c>
      <c r="K402" s="120" t="n"/>
      <c r="L402" s="120" t="n"/>
      <c r="M402" s="120" t="n"/>
      <c r="N402" s="121" t="n"/>
      <c r="O402" s="283" t="n"/>
      <c r="P402" s="144" t="inlineStr">
        <is>
          <t>220-16-М-26, (11.09.2026) [FHM-M]</t>
        </is>
      </c>
      <c r="Q402" s="120" t="n"/>
      <c r="R402" s="121" t="n"/>
      <c r="S402" s="283" t="n"/>
      <c r="T402" s="176" t="inlineStr">
        <is>
          <t>— no certificate —</t>
        </is>
      </c>
      <c r="U402" s="120" t="n"/>
      <c r="V402" s="120" t="n"/>
      <c r="W402" s="121" t="n"/>
      <c r="X402" s="283" t="n"/>
      <c r="Y402" s="282" t="n"/>
      <c r="Z402" s="280" t="n"/>
      <c r="AA402" s="284" t="n"/>
    </row>
    <row r="403" ht="17.625" customHeight="1" s="70">
      <c r="A403" s="281" t="n"/>
      <c r="B403" s="279" t="n"/>
      <c r="C403" s="279" t="n"/>
      <c r="D403" s="200" t="inlineStr">
        <is>
          <t>Conforms (no value printed)</t>
        </is>
      </c>
      <c r="E403" s="201" t="inlineStr">
        <is>
          <t>ППК26113, (30.06.2026) [CNP] · on file, not credited</t>
        </is>
      </c>
      <c r="F403" s="202" t="inlineStr">
        <is>
          <t>•</t>
        </is>
      </c>
      <c r="G403" s="161" t="inlineStr">
        <is>
          <t>7.52</t>
        </is>
      </c>
      <c r="H403" s="196" t="inlineStr">
        <is>
          <t>ППК26113, (30.06.2026) [CNP]</t>
        </is>
      </c>
      <c r="I403" s="197" t="inlineStr">
        <is>
          <t>✓</t>
        </is>
      </c>
      <c r="J403" s="151" t="n"/>
      <c r="K403" s="147" t="n"/>
      <c r="L403" s="147" t="n"/>
      <c r="M403" s="147" t="n"/>
      <c r="N403" s="147" t="n"/>
      <c r="O403" s="152" t="n"/>
      <c r="P403" s="161" t="inlineStr">
        <is>
          <t>ND</t>
        </is>
      </c>
      <c r="Q403" s="162" t="inlineStr">
        <is>
          <t>ND</t>
        </is>
      </c>
      <c r="R403" s="162" t="inlineStr">
        <is>
          <t>ND</t>
        </is>
      </c>
      <c r="S403" s="197" t="inlineStr">
        <is>
          <t>✓</t>
        </is>
      </c>
      <c r="T403" s="151" t="n"/>
      <c r="U403" s="147" t="n"/>
      <c r="V403" s="147" t="n"/>
      <c r="W403" s="147" t="n"/>
      <c r="X403" s="152" t="n"/>
      <c r="Y403" s="151" t="n"/>
      <c r="Z403" s="147" t="n"/>
      <c r="AA403" s="163" t="n"/>
    </row>
    <row r="404" ht="15.375" customHeight="1" s="70">
      <c r="A404" s="281" t="n"/>
      <c r="B404" s="279" t="n"/>
      <c r="C404" s="279" t="n"/>
      <c r="D404" s="282" t="n"/>
      <c r="E404" s="280" t="n"/>
      <c r="F404" s="283" t="n"/>
      <c r="G404" s="282" t="n"/>
      <c r="H404" s="280" t="n"/>
      <c r="I404" s="283" t="n"/>
      <c r="J404" s="205" t="n"/>
      <c r="K404" s="204" t="n"/>
      <c r="L404" s="204" t="n"/>
      <c r="M404" s="204" t="n"/>
      <c r="N404" s="204" t="n"/>
      <c r="O404" s="206" t="n"/>
      <c r="P404" s="221" t="inlineStr">
        <is>
          <t>220-17-М-26, (11.09.2026) [FHM-M]</t>
        </is>
      </c>
      <c r="Q404" s="292" t="n"/>
      <c r="R404" s="293" t="n"/>
      <c r="S404" s="283" t="n"/>
      <c r="T404" s="205" t="n"/>
      <c r="U404" s="204" t="n"/>
      <c r="V404" s="204" t="n"/>
      <c r="W404" s="204" t="n"/>
      <c r="X404" s="206" t="n"/>
      <c r="Y404" s="205" t="n"/>
      <c r="Z404" s="204" t="n"/>
      <c r="AA404" s="207" t="n"/>
    </row>
    <row r="405" ht="17.625" customHeight="1" s="70">
      <c r="A405" s="281" t="n"/>
      <c r="B405" s="279" t="n"/>
      <c r="C405" s="279" t="n"/>
      <c r="D405" s="151" t="n"/>
      <c r="E405" s="147" t="n"/>
      <c r="F405" s="152" t="n"/>
      <c r="G405" s="151" t="n"/>
      <c r="H405" s="147" t="n"/>
      <c r="I405" s="152" t="n"/>
      <c r="J405" s="151" t="n"/>
      <c r="K405" s="147" t="n"/>
      <c r="L405" s="147" t="n"/>
      <c r="M405" s="147" t="n"/>
      <c r="N405" s="147" t="n"/>
      <c r="O405" s="152" t="n"/>
      <c r="P405" s="161" t="inlineStr">
        <is>
          <t>ND</t>
        </is>
      </c>
      <c r="Q405" s="162" t="inlineStr">
        <is>
          <t>ND</t>
        </is>
      </c>
      <c r="R405" s="162" t="inlineStr">
        <is>
          <t>ND</t>
        </is>
      </c>
      <c r="S405" s="197" t="inlineStr">
        <is>
          <t>✓</t>
        </is>
      </c>
      <c r="T405" s="151" t="n"/>
      <c r="U405" s="147" t="n"/>
      <c r="V405" s="147" t="n"/>
      <c r="W405" s="147" t="n"/>
      <c r="X405" s="152" t="n"/>
      <c r="Y405" s="151" t="n"/>
      <c r="Z405" s="147" t="n"/>
      <c r="AA405" s="163" t="n"/>
    </row>
    <row r="406" ht="13" customHeight="1" s="70">
      <c r="A406" s="281" t="n"/>
      <c r="B406" s="279" t="n"/>
      <c r="C406" s="279" t="n"/>
      <c r="D406" s="205" t="n"/>
      <c r="E406" s="204" t="n"/>
      <c r="F406" s="206" t="n"/>
      <c r="G406" s="205" t="n"/>
      <c r="H406" s="204" t="n"/>
      <c r="I406" s="206" t="n"/>
      <c r="J406" s="205" t="n"/>
      <c r="K406" s="204" t="n"/>
      <c r="L406" s="204" t="n"/>
      <c r="M406" s="204" t="n"/>
      <c r="N406" s="204" t="n"/>
      <c r="O406" s="206" t="n"/>
      <c r="P406" s="221" t="inlineStr">
        <is>
          <t>220-18-М-26, (11.09.2026) [FHM-M]</t>
        </is>
      </c>
      <c r="Q406" s="292" t="n"/>
      <c r="R406" s="293" t="n"/>
      <c r="S406" s="283" t="n"/>
      <c r="T406" s="205" t="n"/>
      <c r="U406" s="204" t="n"/>
      <c r="V406" s="204" t="n"/>
      <c r="W406" s="204" t="n"/>
      <c r="X406" s="206" t="n"/>
      <c r="Y406" s="205" t="n"/>
      <c r="Z406" s="204" t="n"/>
      <c r="AA406" s="207" t="n"/>
    </row>
    <row r="407" ht="17.625" customHeight="1" s="70">
      <c r="A407" s="281" t="n"/>
      <c r="B407" s="279" t="n"/>
      <c r="C407" s="279" t="n"/>
      <c r="D407" s="151" t="n"/>
      <c r="E407" s="147" t="n"/>
      <c r="F407" s="152" t="n"/>
      <c r="G407" s="151" t="n"/>
      <c r="H407" s="147" t="n"/>
      <c r="I407" s="152" t="n"/>
      <c r="J407" s="151" t="n"/>
      <c r="K407" s="147" t="n"/>
      <c r="L407" s="147" t="n"/>
      <c r="M407" s="147" t="n"/>
      <c r="N407" s="147" t="n"/>
      <c r="O407" s="152" t="n"/>
      <c r="P407" s="151" t="n"/>
      <c r="Q407" s="147" t="n"/>
      <c r="R407" s="147" t="n"/>
      <c r="S407" s="152" t="n"/>
      <c r="T407" s="151" t="n"/>
      <c r="U407" s="147" t="n"/>
      <c r="V407" s="147" t="n"/>
      <c r="W407" s="147" t="n"/>
      <c r="X407" s="152" t="n"/>
      <c r="Y407" s="151" t="n"/>
      <c r="Z407" s="147" t="n"/>
      <c r="AA407" s="163" t="n"/>
    </row>
    <row r="408" ht="13" customHeight="1" s="70">
      <c r="A408" s="281" t="n"/>
      <c r="B408" s="279" t="n"/>
      <c r="C408" s="279" t="n"/>
      <c r="D408" s="205" t="n"/>
      <c r="E408" s="204" t="n"/>
      <c r="F408" s="206" t="n"/>
      <c r="G408" s="205" t="n"/>
      <c r="H408" s="204" t="n"/>
      <c r="I408" s="206" t="n"/>
      <c r="J408" s="205" t="n"/>
      <c r="K408" s="204" t="n"/>
      <c r="L408" s="204" t="n"/>
      <c r="M408" s="204" t="n"/>
      <c r="N408" s="204" t="n"/>
      <c r="O408" s="206" t="n"/>
      <c r="P408" s="205" t="n"/>
      <c r="Q408" s="204" t="n"/>
      <c r="R408" s="204" t="n"/>
      <c r="S408" s="206" t="n"/>
      <c r="T408" s="205" t="n"/>
      <c r="U408" s="204" t="n"/>
      <c r="V408" s="204" t="n"/>
      <c r="W408" s="204" t="n"/>
      <c r="X408" s="206" t="n"/>
      <c r="Y408" s="205" t="n"/>
      <c r="Z408" s="204" t="n"/>
      <c r="AA408" s="207" t="n"/>
    </row>
    <row r="409" ht="17.625" customHeight="1" s="70">
      <c r="A409" s="281" t="n"/>
      <c r="B409" s="279" t="n"/>
      <c r="C409" s="279" t="n"/>
      <c r="D409" s="151" t="n"/>
      <c r="E409" s="147" t="n"/>
      <c r="F409" s="152" t="n"/>
      <c r="G409" s="151" t="n"/>
      <c r="H409" s="147" t="n"/>
      <c r="I409" s="152" t="n"/>
      <c r="J409" s="151" t="n"/>
      <c r="K409" s="147" t="n"/>
      <c r="L409" s="147" t="n"/>
      <c r="M409" s="147" t="n"/>
      <c r="N409" s="147" t="n"/>
      <c r="O409" s="152" t="n"/>
      <c r="P409" s="151" t="n"/>
      <c r="Q409" s="147" t="n"/>
      <c r="R409" s="147" t="n"/>
      <c r="S409" s="152" t="n"/>
      <c r="T409" s="151" t="n"/>
      <c r="U409" s="147" t="n"/>
      <c r="V409" s="147" t="n"/>
      <c r="W409" s="147" t="n"/>
      <c r="X409" s="152" t="n"/>
      <c r="Y409" s="151" t="n"/>
      <c r="Z409" s="147" t="n"/>
      <c r="AA409" s="163" t="n"/>
    </row>
    <row r="410" ht="13" customHeight="1" s="70">
      <c r="A410" s="285" t="n"/>
      <c r="B410" s="286" t="n"/>
      <c r="C410" s="286" t="n"/>
      <c r="D410" s="166" t="n"/>
      <c r="E410" s="165" t="n"/>
      <c r="F410" s="167" t="n"/>
      <c r="G410" s="166" t="n"/>
      <c r="H410" s="165" t="n"/>
      <c r="I410" s="167" t="n"/>
      <c r="J410" s="166" t="n"/>
      <c r="K410" s="165" t="n"/>
      <c r="L410" s="165" t="n"/>
      <c r="M410" s="165" t="n"/>
      <c r="N410" s="165" t="n"/>
      <c r="O410" s="167" t="n"/>
      <c r="P410" s="166" t="n"/>
      <c r="Q410" s="165" t="n"/>
      <c r="R410" s="165" t="n"/>
      <c r="S410" s="167" t="n"/>
      <c r="T410" s="166" t="n"/>
      <c r="U410" s="165" t="n"/>
      <c r="V410" s="165" t="n"/>
      <c r="W410" s="165" t="n"/>
      <c r="X410" s="167" t="n"/>
      <c r="Y410" s="166" t="n"/>
      <c r="Z410" s="165" t="n"/>
      <c r="AA410" s="169" t="n"/>
    </row>
    <row r="411" ht="21" customHeight="1" s="70">
      <c r="A411" s="125" t="inlineStr">
        <is>
          <t>JD022601</t>
        </is>
      </c>
      <c r="B411" s="126" t="inlineStr">
        <is>
          <t>P060482</t>
        </is>
      </c>
      <c r="C411" s="177" t="inlineStr">
        <is>
          <t>✗ 4 NO RESULT
(4 no cert / 0 cert w/o result)</t>
        </is>
      </c>
      <c r="D411" s="180" t="inlineStr">
        <is>
          <t>Conforms (no value printed)</t>
        </is>
      </c>
      <c r="E411" s="181" t="inlineStr">
        <is>
          <t>ППК26115, (30.06.2026) [CNP]</t>
        </is>
      </c>
      <c r="F411" s="182" t="inlineStr">
        <is>
          <t>✓</t>
        </is>
      </c>
      <c r="G411" s="180" t="inlineStr">
        <is>
          <t>7.73</t>
        </is>
      </c>
      <c r="H411" s="181" t="inlineStr">
        <is>
          <t>ППК26115, (30.06.2026) [CNP]</t>
        </is>
      </c>
      <c r="I411" s="182" t="inlineStr">
        <is>
          <t>✓</t>
        </is>
      </c>
      <c r="J411" s="171" t="inlineStr">
        <is>
          <t>— MISSING —</t>
        </is>
      </c>
      <c r="K411" s="172" t="inlineStr">
        <is>
          <t>— MISSING —</t>
        </is>
      </c>
      <c r="L411" s="172" t="inlineStr">
        <is>
          <t>— MISSING —</t>
        </is>
      </c>
      <c r="M411" s="172" t="inlineStr">
        <is>
          <t>— MISSING —</t>
        </is>
      </c>
      <c r="N411" s="172" t="inlineStr">
        <is>
          <t>— MISSING —</t>
        </is>
      </c>
      <c r="O411" s="186" t="inlineStr">
        <is>
          <t>✗</t>
        </is>
      </c>
      <c r="P411" s="171" t="inlineStr">
        <is>
          <t>— MISSING —</t>
        </is>
      </c>
      <c r="Q411" s="172" t="inlineStr">
        <is>
          <t>— MISSING —</t>
        </is>
      </c>
      <c r="R411" s="172" t="inlineStr">
        <is>
          <t>— MISSING —</t>
        </is>
      </c>
      <c r="S411" s="186" t="inlineStr">
        <is>
          <t>✗</t>
        </is>
      </c>
      <c r="T411" s="171" t="inlineStr">
        <is>
          <t>— MISSING —</t>
        </is>
      </c>
      <c r="U411" s="172" t="inlineStr">
        <is>
          <t>— MISSING —</t>
        </is>
      </c>
      <c r="V411" s="172" t="inlineStr">
        <is>
          <t>— MISSING —</t>
        </is>
      </c>
      <c r="W411" s="172" t="inlineStr">
        <is>
          <t>— MISSING —</t>
        </is>
      </c>
      <c r="X411" s="186" t="inlineStr">
        <is>
          <t>✗</t>
        </is>
      </c>
      <c r="Y411" s="187" t="inlineStr">
        <is>
          <t>— MISSING —</t>
        </is>
      </c>
      <c r="Z411" s="188" t="inlineStr">
        <is>
          <t>— no certificate —</t>
        </is>
      </c>
      <c r="AA411" s="189" t="inlineStr">
        <is>
          <t>✗</t>
        </is>
      </c>
    </row>
    <row r="412" ht="21" customHeight="1" s="70">
      <c r="A412" s="285" t="n"/>
      <c r="B412" s="286" t="n"/>
      <c r="C412" s="286" t="n"/>
      <c r="D412" s="287" t="n"/>
      <c r="E412" s="286" t="n"/>
      <c r="F412" s="288" t="n"/>
      <c r="G412" s="287" t="n"/>
      <c r="H412" s="286" t="n"/>
      <c r="I412" s="288" t="n"/>
      <c r="J412" s="190" t="inlineStr">
        <is>
          <t>— no certificate —</t>
        </is>
      </c>
      <c r="K412" s="289" t="n"/>
      <c r="L412" s="289" t="n"/>
      <c r="M412" s="289" t="n"/>
      <c r="N412" s="290" t="n"/>
      <c r="O412" s="288" t="n"/>
      <c r="P412" s="190" t="inlineStr">
        <is>
          <t>— no certificate —</t>
        </is>
      </c>
      <c r="Q412" s="289" t="n"/>
      <c r="R412" s="290" t="n"/>
      <c r="S412" s="288" t="n"/>
      <c r="T412" s="190" t="inlineStr">
        <is>
          <t>— no certificate —</t>
        </is>
      </c>
      <c r="U412" s="289" t="n"/>
      <c r="V412" s="289" t="n"/>
      <c r="W412" s="290" t="n"/>
      <c r="X412" s="288" t="n"/>
      <c r="Y412" s="287" t="n"/>
      <c r="Z412" s="286" t="n"/>
      <c r="AA412" s="291" t="n"/>
    </row>
    <row r="413" ht="21" customHeight="1" s="70">
      <c r="A413" s="125" t="inlineStr">
        <is>
          <t>JD112501</t>
        </is>
      </c>
      <c r="B413" s="126" t="inlineStr">
        <is>
          <t>P060212</t>
        </is>
      </c>
      <c r="C413" s="127" t="inlineStr">
        <is>
          <t>✓ COMPLETE
3 testing instances
• 5 document(s) on file, not credited</t>
        </is>
      </c>
      <c r="D413" s="131" t="inlineStr">
        <is>
          <t>Conforms</t>
        </is>
      </c>
      <c r="E413" s="132">
        <f>IFERROR(INDEX('iCoA Register'!$B:$B,MATCH("P060212|I",'iCoA Register'!$AA:$AA,0)),"iCoA — at issue")&amp;", (21.04.2026) [PP]"</f>
        <v/>
      </c>
      <c r="F413" s="133" t="inlineStr">
        <is>
          <t>✓</t>
        </is>
      </c>
      <c r="G413" s="131" t="inlineStr">
        <is>
          <t>6.69</t>
        </is>
      </c>
      <c r="H413" s="132" t="inlineStr">
        <is>
          <t>ППК26063, (11.05.2026) [CNP]</t>
        </is>
      </c>
      <c r="I413" s="133" t="inlineStr">
        <is>
          <t>✓</t>
        </is>
      </c>
      <c r="J413" s="134" t="inlineStr">
        <is>
          <t>1 × 10⁴</t>
        </is>
      </c>
      <c r="K413" s="208" t="inlineStr">
        <is>
          <t>6.7 × 10³</t>
        </is>
      </c>
      <c r="L413" s="208" t="inlineStr">
        <is>
          <t>&lt; 10³ and &gt; 10²</t>
        </is>
      </c>
      <c r="M413" s="208" t="inlineStr">
        <is>
          <t>Absent</t>
        </is>
      </c>
      <c r="N413" s="208" t="inlineStr">
        <is>
          <t>Absent</t>
        </is>
      </c>
      <c r="O413" s="136" t="inlineStr">
        <is>
          <t>•</t>
        </is>
      </c>
      <c r="P413" s="131" t="inlineStr">
        <is>
          <t>not reported</t>
        </is>
      </c>
      <c r="Q413" s="139" t="inlineStr">
        <is>
          <t>&lt; 2</t>
        </is>
      </c>
      <c r="R413" s="139" t="inlineStr">
        <is>
          <t>not reported</t>
        </is>
      </c>
      <c r="S413" s="133" t="inlineStr">
        <is>
          <t>✓</t>
        </is>
      </c>
      <c r="T413" s="131" t="inlineStr">
        <is>
          <t>0.022</t>
        </is>
      </c>
      <c r="U413" s="139" t="inlineStr">
        <is>
          <t>0.0149</t>
        </is>
      </c>
      <c r="V413" s="139" t="inlineStr">
        <is>
          <t>0.02</t>
        </is>
      </c>
      <c r="W413" s="139" t="inlineStr">
        <is>
          <t>0.0166</t>
        </is>
      </c>
      <c r="X413" s="133" t="inlineStr">
        <is>
          <t>✓</t>
        </is>
      </c>
      <c r="Y413" s="131" t="inlineStr">
        <is>
          <t>≤ LOQ (all 26 compounds)</t>
        </is>
      </c>
      <c r="Z413" s="132" t="inlineStr">
        <is>
          <t>2361-2026, (30.04.2026) [IJZ]</t>
        </is>
      </c>
      <c r="AA413" s="140" t="inlineStr">
        <is>
          <t>✓</t>
        </is>
      </c>
    </row>
    <row r="414" ht="21" customHeight="1" s="70">
      <c r="A414" s="281" t="n"/>
      <c r="B414" s="279" t="n"/>
      <c r="C414" s="279" t="n"/>
      <c r="D414" s="282" t="n"/>
      <c r="E414" s="280" t="n"/>
      <c r="F414" s="283" t="n"/>
      <c r="G414" s="282" t="n"/>
      <c r="H414" s="280" t="n"/>
      <c r="I414" s="283" t="n"/>
      <c r="J414" s="210" t="inlineStr">
        <is>
          <t>306-0550-26, (28.04.2026) [IJZ-MB] · experimental — starred sample, not certifying</t>
        </is>
      </c>
      <c r="K414" s="120" t="n"/>
      <c r="L414" s="120" t="n"/>
      <c r="M414" s="120" t="n"/>
      <c r="N414" s="121" t="n"/>
      <c r="O414" s="283" t="n"/>
      <c r="P414" s="144" t="inlineStr">
        <is>
          <t>2361-2026, (30.04.2026) [IJZ]</t>
        </is>
      </c>
      <c r="Q414" s="120" t="n"/>
      <c r="R414" s="121" t="n"/>
      <c r="S414" s="283" t="n"/>
      <c r="T414" s="144" t="inlineStr">
        <is>
          <t>2361-2026, (30.04.2026) [IJZ]</t>
        </is>
      </c>
      <c r="U414" s="120" t="n"/>
      <c r="V414" s="120" t="n"/>
      <c r="W414" s="121" t="n"/>
      <c r="X414" s="283" t="n"/>
      <c r="Y414" s="282" t="n"/>
      <c r="Z414" s="280" t="n"/>
      <c r="AA414" s="284" t="n"/>
    </row>
    <row r="415" ht="21" customHeight="1" s="70">
      <c r="A415" s="281" t="n"/>
      <c r="B415" s="279" t="n"/>
      <c r="C415" s="279" t="n"/>
      <c r="D415" s="151" t="n"/>
      <c r="E415" s="147" t="n"/>
      <c r="F415" s="152" t="n"/>
      <c r="G415" s="200" t="inlineStr">
        <is>
          <t>6.38</t>
        </is>
      </c>
      <c r="H415" s="201" t="inlineStr">
        <is>
          <t>ППК26065, (11.05.2026) [CNP] · experimental — starred sample, not certifying</t>
        </is>
      </c>
      <c r="I415" s="202" t="inlineStr">
        <is>
          <t>•</t>
        </is>
      </c>
      <c r="J415" s="161" t="inlineStr">
        <is>
          <t>2.6 × 10³</t>
        </is>
      </c>
      <c r="K415" s="162" t="inlineStr">
        <is>
          <t>3.3 × 10³</t>
        </is>
      </c>
      <c r="L415" s="162" t="inlineStr">
        <is>
          <t>&lt; 10³ and &gt; 10² ᴿ</t>
        </is>
      </c>
      <c r="M415" s="162" t="inlineStr">
        <is>
          <t>Absent</t>
        </is>
      </c>
      <c r="N415" s="162" t="inlineStr">
        <is>
          <t>Absent</t>
        </is>
      </c>
      <c r="O415" s="197" t="inlineStr">
        <is>
          <t>✓</t>
        </is>
      </c>
      <c r="P415" s="200" t="inlineStr">
        <is>
          <t>not reported</t>
        </is>
      </c>
      <c r="Q415" s="222" t="inlineStr">
        <is>
          <t>&lt; 2</t>
        </is>
      </c>
      <c r="R415" s="222" t="inlineStr">
        <is>
          <t>not reported</t>
        </is>
      </c>
      <c r="S415" s="202" t="inlineStr">
        <is>
          <t>•</t>
        </is>
      </c>
      <c r="T415" s="200" t="inlineStr">
        <is>
          <t>0.0109</t>
        </is>
      </c>
      <c r="U415" s="222" t="inlineStr">
        <is>
          <t>0.01287</t>
        </is>
      </c>
      <c r="V415" s="222" t="inlineStr">
        <is>
          <t>0.0175</t>
        </is>
      </c>
      <c r="W415" s="222" t="inlineStr">
        <is>
          <t>0.0165</t>
        </is>
      </c>
      <c r="X415" s="202" t="inlineStr">
        <is>
          <t>•</t>
        </is>
      </c>
      <c r="Y415" s="200" t="inlineStr">
        <is>
          <t>≤ LOQ (all 27 compounds)</t>
        </is>
      </c>
      <c r="Z415" s="201" t="inlineStr">
        <is>
          <t>2365-2026, (30.04.2026) [IJZ] · experimental — starred sample, not certifying</t>
        </is>
      </c>
      <c r="AA415" s="223" t="inlineStr">
        <is>
          <t>•</t>
        </is>
      </c>
    </row>
    <row r="416" ht="21" customHeight="1" s="70">
      <c r="A416" s="281" t="n"/>
      <c r="B416" s="279" t="n"/>
      <c r="C416" s="279" t="n"/>
      <c r="D416" s="205" t="n"/>
      <c r="E416" s="204" t="n"/>
      <c r="F416" s="206" t="n"/>
      <c r="G416" s="282" t="n"/>
      <c r="H416" s="280" t="n"/>
      <c r="I416" s="283" t="n"/>
      <c r="J416" s="221" t="inlineStr">
        <is>
          <t>307-0551-26, (28.04.2026) [IJZ-MB]</t>
        </is>
      </c>
      <c r="K416" s="292" t="n"/>
      <c r="L416" s="292" t="n"/>
      <c r="M416" s="292" t="n"/>
      <c r="N416" s="293" t="n"/>
      <c r="O416" s="283" t="n"/>
      <c r="P416" s="224" t="inlineStr">
        <is>
          <t>2365-2026, (30.04.2026) [IJZ] · experimental — starred sample, not certifying</t>
        </is>
      </c>
      <c r="Q416" s="292" t="n"/>
      <c r="R416" s="293" t="n"/>
      <c r="S416" s="283" t="n"/>
      <c r="T416" s="224" t="inlineStr">
        <is>
          <t>2365-2026, (30.04.2026) [IJZ] · experimental — starred sample, not certifying</t>
        </is>
      </c>
      <c r="U416" s="292" t="n"/>
      <c r="V416" s="292" t="n"/>
      <c r="W416" s="293" t="n"/>
      <c r="X416" s="283" t="n"/>
      <c r="Y416" s="282" t="n"/>
      <c r="Z416" s="280" t="n"/>
      <c r="AA416" s="284" t="n"/>
    </row>
    <row r="417" ht="17.625" customHeight="1" s="70">
      <c r="A417" s="281" t="n"/>
      <c r="B417" s="279" t="n"/>
      <c r="C417" s="279" t="n"/>
      <c r="D417" s="151" t="n"/>
      <c r="E417" s="147" t="n"/>
      <c r="F417" s="152" t="n"/>
      <c r="G417" s="158" t="inlineStr">
        <is>
          <t>not on this certificate</t>
        </is>
      </c>
      <c r="H417" s="159" t="inlineStr">
        <is>
          <t>197-15-К-26, (07.08.2026) [FHM-K] · on file, not credited</t>
        </is>
      </c>
      <c r="I417" s="160" t="inlineStr">
        <is>
          <t>•</t>
        </is>
      </c>
      <c r="J417" s="151" t="n"/>
      <c r="K417" s="147" t="n"/>
      <c r="L417" s="147" t="n"/>
      <c r="M417" s="147" t="n"/>
      <c r="N417" s="147" t="n"/>
      <c r="O417" s="152" t="n"/>
      <c r="P417" s="161" t="inlineStr">
        <is>
          <t>ND</t>
        </is>
      </c>
      <c r="Q417" s="162" t="inlineStr">
        <is>
          <t>ND</t>
        </is>
      </c>
      <c r="R417" s="162" t="inlineStr">
        <is>
          <t>ND</t>
        </is>
      </c>
      <c r="S417" s="155" t="inlineStr">
        <is>
          <t>✓</t>
        </is>
      </c>
      <c r="T417" s="151" t="n"/>
      <c r="U417" s="147" t="n"/>
      <c r="V417" s="147" t="n"/>
      <c r="W417" s="147" t="n"/>
      <c r="X417" s="152" t="n"/>
      <c r="Y417" s="151" t="n"/>
      <c r="Z417" s="147" t="n"/>
      <c r="AA417" s="163" t="n"/>
    </row>
    <row r="418" ht="21" customHeight="1" s="70">
      <c r="A418" s="285" t="n"/>
      <c r="B418" s="286" t="n"/>
      <c r="C418" s="286" t="n"/>
      <c r="D418" s="166" t="n"/>
      <c r="E418" s="165" t="n"/>
      <c r="F418" s="167" t="n"/>
      <c r="G418" s="287" t="n"/>
      <c r="H418" s="286" t="n"/>
      <c r="I418" s="288" t="n"/>
      <c r="J418" s="166" t="n"/>
      <c r="K418" s="165" t="n"/>
      <c r="L418" s="165" t="n"/>
      <c r="M418" s="165" t="n"/>
      <c r="N418" s="165" t="n"/>
      <c r="O418" s="167" t="n"/>
      <c r="P418" s="168" t="inlineStr">
        <is>
          <t>197-15-М-26, (10.08.2026) [FHM-M]</t>
        </is>
      </c>
      <c r="Q418" s="289" t="n"/>
      <c r="R418" s="290" t="n"/>
      <c r="S418" s="288" t="n"/>
      <c r="T418" s="166" t="n"/>
      <c r="U418" s="165" t="n"/>
      <c r="V418" s="165" t="n"/>
      <c r="W418" s="165" t="n"/>
      <c r="X418" s="167" t="n"/>
      <c r="Y418" s="166" t="n"/>
      <c r="Z418" s="165" t="n"/>
      <c r="AA418" s="169" t="n"/>
    </row>
    <row r="419" ht="21" customHeight="1" s="70">
      <c r="A419" s="125" t="inlineStr">
        <is>
          <t>KC102501</t>
        </is>
      </c>
      <c r="B419" s="126" t="inlineStr">
        <is>
          <t>P060172</t>
        </is>
      </c>
      <c r="C419" s="170" t="inlineStr">
        <is>
          <t>⚠ 3 NO RESULT
(3 no cert / 0 cert w/o result)
3 testing instances
• 2 document(s) on file, not credited</t>
        </is>
      </c>
      <c r="D419" s="131" t="inlineStr">
        <is>
          <t>Conforms</t>
        </is>
      </c>
      <c r="E419" s="132">
        <f>IFERROR(INDEX('iCoA Register'!$B:$B,MATCH("P060172|I",'iCoA Register'!$AA:$AA,0)),"iCoA — at issue")&amp;", (12.03.2026) [PP]"</f>
        <v/>
      </c>
      <c r="F419" s="133" t="inlineStr">
        <is>
          <t>✓</t>
        </is>
      </c>
      <c r="G419" s="131" t="inlineStr">
        <is>
          <t>8.6</t>
        </is>
      </c>
      <c r="H419" s="132" t="inlineStr">
        <is>
          <t>051-4-ГС-26, (02.03.2026) [FHM-K]</t>
        </is>
      </c>
      <c r="I419" s="133" t="inlineStr">
        <is>
          <t>✓</t>
        </is>
      </c>
      <c r="J419" s="171" t="inlineStr">
        <is>
          <t>— MISSING —</t>
        </is>
      </c>
      <c r="K419" s="172" t="inlineStr">
        <is>
          <t>— MISSING —</t>
        </is>
      </c>
      <c r="L419" s="172" t="inlineStr">
        <is>
          <t>— MISSING —</t>
        </is>
      </c>
      <c r="M419" s="172" t="inlineStr">
        <is>
          <t>— MISSING —</t>
        </is>
      </c>
      <c r="N419" s="172" t="inlineStr">
        <is>
          <t>— MISSING —</t>
        </is>
      </c>
      <c r="O419" s="173" t="inlineStr">
        <is>
          <t>✗</t>
        </is>
      </c>
      <c r="P419" s="131" t="inlineStr">
        <is>
          <t>ND</t>
        </is>
      </c>
      <c r="Q419" s="139" t="inlineStr">
        <is>
          <t>ND</t>
        </is>
      </c>
      <c r="R419" s="139" t="inlineStr">
        <is>
          <t>ND</t>
        </is>
      </c>
      <c r="S419" s="133" t="inlineStr">
        <is>
          <t>✓</t>
        </is>
      </c>
      <c r="T419" s="171" t="inlineStr">
        <is>
          <t>— MISSING —</t>
        </is>
      </c>
      <c r="U419" s="172" t="inlineStr">
        <is>
          <t>— MISSING —</t>
        </is>
      </c>
      <c r="V419" s="172" t="inlineStr">
        <is>
          <t>— MISSING —</t>
        </is>
      </c>
      <c r="W419" s="172" t="inlineStr">
        <is>
          <t>— MISSING —</t>
        </is>
      </c>
      <c r="X419" s="173" t="inlineStr">
        <is>
          <t>✗</t>
        </is>
      </c>
      <c r="Y419" s="171" t="inlineStr">
        <is>
          <t>— MISSING —</t>
        </is>
      </c>
      <c r="Z419" s="174" t="inlineStr">
        <is>
          <t>— no certificate —</t>
        </is>
      </c>
      <c r="AA419" s="175" t="inlineStr">
        <is>
          <t>✗</t>
        </is>
      </c>
    </row>
    <row r="420" ht="39" customHeight="1" s="70">
      <c r="A420" s="281" t="n"/>
      <c r="B420" s="279" t="n"/>
      <c r="C420" s="279" t="n"/>
      <c r="D420" s="282" t="n"/>
      <c r="E420" s="280" t="n"/>
      <c r="F420" s="283" t="n"/>
      <c r="G420" s="282" t="n"/>
      <c r="H420" s="280" t="n"/>
      <c r="I420" s="283" t="n"/>
      <c r="J420" s="176" t="inlineStr">
        <is>
          <t>— no certificate —</t>
        </is>
      </c>
      <c r="K420" s="120" t="n"/>
      <c r="L420" s="120" t="n"/>
      <c r="M420" s="120" t="n"/>
      <c r="N420" s="121" t="n"/>
      <c r="O420" s="283" t="n"/>
      <c r="P420" s="144" t="inlineStr">
        <is>
          <t>220-19-М-26, (11.09.2026) [FHM-M]</t>
        </is>
      </c>
      <c r="Q420" s="120" t="n"/>
      <c r="R420" s="121" t="n"/>
      <c r="S420" s="283" t="n"/>
      <c r="T420" s="176" t="inlineStr">
        <is>
          <t>— no certificate —</t>
        </is>
      </c>
      <c r="U420" s="120" t="n"/>
      <c r="V420" s="120" t="n"/>
      <c r="W420" s="121" t="n"/>
      <c r="X420" s="283" t="n"/>
      <c r="Y420" s="282" t="n"/>
      <c r="Z420" s="280" t="n"/>
      <c r="AA420" s="284" t="n"/>
    </row>
    <row r="421" ht="17.625" customHeight="1" s="70">
      <c r="A421" s="281" t="n"/>
      <c r="B421" s="279" t="n"/>
      <c r="C421" s="279" t="n"/>
      <c r="D421" s="151" t="n"/>
      <c r="E421" s="147" t="n"/>
      <c r="F421" s="152" t="n"/>
      <c r="G421" s="200" t="inlineStr">
        <is>
          <t>not on this certificate</t>
        </is>
      </c>
      <c r="H421" s="201" t="inlineStr">
        <is>
          <t>051-4-К-26, (04.03.2026) [FHM-K] · on file, not credited</t>
        </is>
      </c>
      <c r="I421" s="202" t="inlineStr">
        <is>
          <t>•</t>
        </is>
      </c>
      <c r="J421" s="151" t="n"/>
      <c r="K421" s="147" t="n"/>
      <c r="L421" s="147" t="n"/>
      <c r="M421" s="147" t="n"/>
      <c r="N421" s="147" t="n"/>
      <c r="O421" s="152" t="n"/>
      <c r="P421" s="151" t="n"/>
      <c r="Q421" s="147" t="n"/>
      <c r="R421" s="147" t="n"/>
      <c r="S421" s="152" t="n"/>
      <c r="T421" s="151" t="n"/>
      <c r="U421" s="147" t="n"/>
      <c r="V421" s="147" t="n"/>
      <c r="W421" s="147" t="n"/>
      <c r="X421" s="152" t="n"/>
      <c r="Y421" s="151" t="n"/>
      <c r="Z421" s="147" t="n"/>
      <c r="AA421" s="163" t="n"/>
    </row>
    <row r="422" ht="21" customHeight="1" s="70">
      <c r="A422" s="281" t="n"/>
      <c r="B422" s="279" t="n"/>
      <c r="C422" s="279" t="n"/>
      <c r="D422" s="205" t="n"/>
      <c r="E422" s="204" t="n"/>
      <c r="F422" s="206" t="n"/>
      <c r="G422" s="282" t="n"/>
      <c r="H422" s="280" t="n"/>
      <c r="I422" s="283" t="n"/>
      <c r="J422" s="205" t="n"/>
      <c r="K422" s="204" t="n"/>
      <c r="L422" s="204" t="n"/>
      <c r="M422" s="204" t="n"/>
      <c r="N422" s="204" t="n"/>
      <c r="O422" s="206" t="n"/>
      <c r="P422" s="205" t="n"/>
      <c r="Q422" s="204" t="n"/>
      <c r="R422" s="204" t="n"/>
      <c r="S422" s="206" t="n"/>
      <c r="T422" s="205" t="n"/>
      <c r="U422" s="204" t="n"/>
      <c r="V422" s="204" t="n"/>
      <c r="W422" s="204" t="n"/>
      <c r="X422" s="206" t="n"/>
      <c r="Y422" s="205" t="n"/>
      <c r="Z422" s="204" t="n"/>
      <c r="AA422" s="207" t="n"/>
    </row>
    <row r="423" ht="17.625" customHeight="1" s="70">
      <c r="A423" s="281" t="n"/>
      <c r="B423" s="279" t="n"/>
      <c r="C423" s="279" t="n"/>
      <c r="D423" s="151" t="n"/>
      <c r="E423" s="147" t="n"/>
      <c r="F423" s="152" t="n"/>
      <c r="G423" s="151" t="n"/>
      <c r="H423" s="147" t="n"/>
      <c r="I423" s="152" t="n"/>
      <c r="J423" s="151" t="n"/>
      <c r="K423" s="147" t="n"/>
      <c r="L423" s="147" t="n"/>
      <c r="M423" s="147" t="n"/>
      <c r="N423" s="147" t="n"/>
      <c r="O423" s="152" t="n"/>
      <c r="P423" s="151" t="n"/>
      <c r="Q423" s="147" t="n"/>
      <c r="R423" s="147" t="n"/>
      <c r="S423" s="152" t="n"/>
      <c r="T423" s="151" t="n"/>
      <c r="U423" s="147" t="n"/>
      <c r="V423" s="147" t="n"/>
      <c r="W423" s="147" t="n"/>
      <c r="X423" s="152" t="n"/>
      <c r="Y423" s="151" t="n"/>
      <c r="Z423" s="147" t="n"/>
      <c r="AA423" s="163" t="n"/>
    </row>
    <row r="424" ht="13" customHeight="1" s="70">
      <c r="A424" s="285" t="n"/>
      <c r="B424" s="286" t="n"/>
      <c r="C424" s="286" t="n"/>
      <c r="D424" s="166" t="n"/>
      <c r="E424" s="165" t="n"/>
      <c r="F424" s="167" t="n"/>
      <c r="G424" s="166" t="n"/>
      <c r="H424" s="165" t="n"/>
      <c r="I424" s="167" t="n"/>
      <c r="J424" s="166" t="n"/>
      <c r="K424" s="165" t="n"/>
      <c r="L424" s="165" t="n"/>
      <c r="M424" s="165" t="n"/>
      <c r="N424" s="165" t="n"/>
      <c r="O424" s="167" t="n"/>
      <c r="P424" s="166" t="n"/>
      <c r="Q424" s="165" t="n"/>
      <c r="R424" s="165" t="n"/>
      <c r="S424" s="167" t="n"/>
      <c r="T424" s="166" t="n"/>
      <c r="U424" s="165" t="n"/>
      <c r="V424" s="165" t="n"/>
      <c r="W424" s="165" t="n"/>
      <c r="X424" s="167" t="n"/>
      <c r="Y424" s="166" t="n"/>
      <c r="Z424" s="165" t="n"/>
      <c r="AA424" s="169" t="n"/>
    </row>
    <row r="425" ht="21" customHeight="1" s="70">
      <c r="A425" s="125" t="inlineStr">
        <is>
          <t>OPM1024</t>
        </is>
      </c>
      <c r="B425" s="126" t="inlineStr">
        <is>
          <t>N/A — no P batch assigned</t>
        </is>
      </c>
      <c r="C425" s="177" t="inlineStr">
        <is>
          <t>✗ 4 NO RESULT
(4 no cert / 0 cert w/o result)
2 testing instances
• 2 document(s) on file, not credited</t>
        </is>
      </c>
      <c r="D425" s="131" t="inlineStr">
        <is>
          <t>Conforms</t>
        </is>
      </c>
      <c r="E425" s="132" t="inlineStr">
        <is>
          <t>iCoA — at issue (OPM1024), (23.04.2025) [PP]</t>
        </is>
      </c>
      <c r="F425" s="133" t="inlineStr">
        <is>
          <t>✓</t>
        </is>
      </c>
      <c r="G425" s="134" t="inlineStr">
        <is>
          <t>not on this certificate</t>
        </is>
      </c>
      <c r="H425" s="135" t="inlineStr">
        <is>
          <t>197-17-К-26, (07.08.2026) [FHM-K] · on file, not credited</t>
        </is>
      </c>
      <c r="I425" s="136" t="inlineStr">
        <is>
          <t>•</t>
        </is>
      </c>
      <c r="J425" s="134" t="inlineStr">
        <is>
          <t>1.3 × 10⁴ ᴿ</t>
        </is>
      </c>
      <c r="K425" s="208" t="inlineStr">
        <is>
          <t>7 × 10² ᴿ</t>
        </is>
      </c>
      <c r="L425" s="208" t="inlineStr">
        <is>
          <t>&lt; 10² &gt; 10³ ᴿ</t>
        </is>
      </c>
      <c r="M425" s="208" t="inlineStr">
        <is>
          <t>Absent ᴿ</t>
        </is>
      </c>
      <c r="N425" s="208" t="inlineStr">
        <is>
          <t>Absent ᴿ</t>
        </is>
      </c>
      <c r="O425" s="136" t="inlineStr">
        <is>
          <t>•</t>
        </is>
      </c>
      <c r="P425" s="134" t="inlineStr">
        <is>
          <t>not reported</t>
        </is>
      </c>
      <c r="Q425" s="208" t="inlineStr">
        <is>
          <t>&lt; 2 ᴿ</t>
        </is>
      </c>
      <c r="R425" s="208" t="inlineStr">
        <is>
          <t>not reported</t>
        </is>
      </c>
      <c r="S425" s="136" t="inlineStr">
        <is>
          <t>•</t>
        </is>
      </c>
      <c r="T425" s="134" t="inlineStr">
        <is>
          <t>0.031 ᴿ</t>
        </is>
      </c>
      <c r="U425" s="208" t="inlineStr">
        <is>
          <t>0.017 ᴿ</t>
        </is>
      </c>
      <c r="V425" s="208" t="inlineStr">
        <is>
          <t>0.045 ᴿ</t>
        </is>
      </c>
      <c r="W425" s="208" t="inlineStr">
        <is>
          <t>0.005 ᴿ</t>
        </is>
      </c>
      <c r="X425" s="136" t="inlineStr">
        <is>
          <t>•</t>
        </is>
      </c>
      <c r="Y425" s="134" t="inlineStr">
        <is>
          <t>ND ᴿ</t>
        </is>
      </c>
      <c r="Z425" s="135">
        <f>IFERROR(INDEX('iCoA Register'!$B:$B,MATCH("OPM1024|I",'iCoA Register'!$AA:$AA,0)),"iCoA — at issue")&amp;", (24.04.2025) [PP] · on file, not credited"</f>
        <v/>
      </c>
      <c r="AA425" s="209" t="inlineStr">
        <is>
          <t>•</t>
        </is>
      </c>
    </row>
    <row r="426" ht="39" customHeight="1" s="70">
      <c r="A426" s="281" t="n"/>
      <c r="B426" s="279" t="n"/>
      <c r="C426" s="279" t="n"/>
      <c r="D426" s="282" t="n"/>
      <c r="E426" s="280" t="n"/>
      <c r="F426" s="283" t="n"/>
      <c r="G426" s="282" t="n"/>
      <c r="H426" s="280" t="n"/>
      <c r="I426" s="283" t="n"/>
      <c r="J426" s="210">
        <f>IFERROR(INDEX('iCoA Register'!$B:$B,MATCH("OPM1024|I",'iCoA Register'!$AA:$AA,0)),"iCoA — at issue")&amp;", (24.04.2025) [PP] · on file, not credited"</f>
        <v/>
      </c>
      <c r="K426" s="120" t="n"/>
      <c r="L426" s="120" t="n"/>
      <c r="M426" s="120" t="n"/>
      <c r="N426" s="121" t="n"/>
      <c r="O426" s="283" t="n"/>
      <c r="P426" s="210">
        <f>IFERROR(INDEX('iCoA Register'!$B:$B,MATCH("OPM1024|I",'iCoA Register'!$AA:$AA,0)),"iCoA — at issue")&amp;", (24.04.2025) [PP] · on file, not credited"</f>
        <v/>
      </c>
      <c r="Q426" s="120" t="n"/>
      <c r="R426" s="121" t="n"/>
      <c r="S426" s="283" t="n"/>
      <c r="T426" s="210">
        <f>IFERROR(INDEX('iCoA Register'!$B:$B,MATCH("OPM1024|I",'iCoA Register'!$AA:$AA,0)),"iCoA — at issue")&amp;", (24.04.2025) [PP] · on file, not credited"</f>
        <v/>
      </c>
      <c r="U426" s="120" t="n"/>
      <c r="V426" s="120" t="n"/>
      <c r="W426" s="121" t="n"/>
      <c r="X426" s="283" t="n"/>
      <c r="Y426" s="282" t="n"/>
      <c r="Z426" s="280" t="n"/>
      <c r="AA426" s="284" t="n"/>
    </row>
    <row r="427" ht="17.625" customHeight="1" s="70">
      <c r="A427" s="281" t="n"/>
      <c r="B427" s="279" t="n"/>
      <c r="C427" s="279" t="n"/>
      <c r="D427" s="153" t="inlineStr">
        <is>
          <t>Conforms</t>
        </is>
      </c>
      <c r="E427" s="154">
        <f>IFERROR(INDEX('iCoA Register'!$B:$B,MATCH("OPM1024|I",'iCoA Register'!$AA:$AA,0)),"iCoA — at issue")&amp;", (24.04.2025) [PP]"</f>
        <v/>
      </c>
      <c r="F427" s="155" t="inlineStr">
        <is>
          <t>✓</t>
        </is>
      </c>
      <c r="G427" s="151" t="n"/>
      <c r="H427" s="147" t="n"/>
      <c r="I427" s="152" t="n"/>
      <c r="J427" s="151" t="n"/>
      <c r="K427" s="147" t="n"/>
      <c r="L427" s="147" t="n"/>
      <c r="M427" s="147" t="n"/>
      <c r="N427" s="147" t="n"/>
      <c r="O427" s="152" t="n"/>
      <c r="P427" s="161" t="inlineStr">
        <is>
          <t>ND</t>
        </is>
      </c>
      <c r="Q427" s="162" t="inlineStr">
        <is>
          <t>ND</t>
        </is>
      </c>
      <c r="R427" s="162" t="inlineStr">
        <is>
          <t>ND</t>
        </is>
      </c>
      <c r="S427" s="155" t="inlineStr">
        <is>
          <t>✓</t>
        </is>
      </c>
      <c r="T427" s="151" t="n"/>
      <c r="U427" s="147" t="n"/>
      <c r="V427" s="147" t="n"/>
      <c r="W427" s="147" t="n"/>
      <c r="X427" s="152" t="n"/>
      <c r="Y427" s="151" t="n"/>
      <c r="Z427" s="147" t="n"/>
      <c r="AA427" s="163" t="n"/>
    </row>
    <row r="428" ht="39" customHeight="1" s="70">
      <c r="A428" s="285" t="n"/>
      <c r="B428" s="286" t="n"/>
      <c r="C428" s="286" t="n"/>
      <c r="D428" s="287" t="n"/>
      <c r="E428" s="286" t="n"/>
      <c r="F428" s="288" t="n"/>
      <c r="G428" s="166" t="n"/>
      <c r="H428" s="165" t="n"/>
      <c r="I428" s="167" t="n"/>
      <c r="J428" s="166" t="n"/>
      <c r="K428" s="165" t="n"/>
      <c r="L428" s="165" t="n"/>
      <c r="M428" s="165" t="n"/>
      <c r="N428" s="165" t="n"/>
      <c r="O428" s="167" t="n"/>
      <c r="P428" s="168" t="inlineStr">
        <is>
          <t>197-17-М-26, (10.08.2026) [FHM-M]</t>
        </is>
      </c>
      <c r="Q428" s="289" t="n"/>
      <c r="R428" s="290" t="n"/>
      <c r="S428" s="288" t="n"/>
      <c r="T428" s="166" t="n"/>
      <c r="U428" s="165" t="n"/>
      <c r="V428" s="165" t="n"/>
      <c r="W428" s="165" t="n"/>
      <c r="X428" s="167" t="n"/>
      <c r="Y428" s="166" t="n"/>
      <c r="Z428" s="165" t="n"/>
      <c r="AA428" s="169" t="n"/>
    </row>
    <row r="429" ht="21" customHeight="1" s="70">
      <c r="A429" s="125" t="inlineStr">
        <is>
          <t>OPM112501</t>
        </is>
      </c>
      <c r="B429" s="126" t="inlineStr">
        <is>
          <t>P060222</t>
        </is>
      </c>
      <c r="C429" s="170" t="inlineStr">
        <is>
          <t>⚠ 3 NO RESULT
(3 no cert / 0 cert w/o result)
2 testing instances
• 1 document(s) on file, not credited</t>
        </is>
      </c>
      <c r="D429" s="131" t="inlineStr">
        <is>
          <t>Conforms</t>
        </is>
      </c>
      <c r="E429" s="132">
        <f>IFERROR(INDEX('iCoA Register'!$B:$B,MATCH("P060222|I",'iCoA Register'!$AA:$AA,0)),"iCoA — at issue")&amp;", (24.04.2026) [PP]"</f>
        <v/>
      </c>
      <c r="F429" s="133" t="inlineStr">
        <is>
          <t>✓</t>
        </is>
      </c>
      <c r="G429" s="131" t="inlineStr">
        <is>
          <t>8.06 ᴿ</t>
        </is>
      </c>
      <c r="H429" s="132" t="inlineStr">
        <is>
          <t>ППК26031, (05.03.2026) [CNP]</t>
        </is>
      </c>
      <c r="I429" s="133" t="inlineStr">
        <is>
          <t>✓</t>
        </is>
      </c>
      <c r="J429" s="131" t="inlineStr">
        <is>
          <t>&lt; 10</t>
        </is>
      </c>
      <c r="K429" s="139" t="inlineStr">
        <is>
          <t>10</t>
        </is>
      </c>
      <c r="L429" s="139" t="inlineStr">
        <is>
          <t>&lt; 10</t>
        </is>
      </c>
      <c r="M429" s="139" t="inlineStr">
        <is>
          <t>Absent</t>
        </is>
      </c>
      <c r="N429" s="139" t="inlineStr">
        <is>
          <t>Absent</t>
        </is>
      </c>
      <c r="O429" s="133" t="inlineStr">
        <is>
          <t>✓</t>
        </is>
      </c>
      <c r="P429" s="171" t="inlineStr">
        <is>
          <t>— MISSING —</t>
        </is>
      </c>
      <c r="Q429" s="172" t="inlineStr">
        <is>
          <t>— MISSING —</t>
        </is>
      </c>
      <c r="R429" s="172" t="inlineStr">
        <is>
          <t>— MISSING —</t>
        </is>
      </c>
      <c r="S429" s="173" t="inlineStr">
        <is>
          <t>✗</t>
        </is>
      </c>
      <c r="T429" s="171" t="inlineStr">
        <is>
          <t>— MISSING —</t>
        </is>
      </c>
      <c r="U429" s="172" t="inlineStr">
        <is>
          <t>— MISSING —</t>
        </is>
      </c>
      <c r="V429" s="172" t="inlineStr">
        <is>
          <t>— MISSING —</t>
        </is>
      </c>
      <c r="W429" s="172" t="inlineStr">
        <is>
          <t>— MISSING —</t>
        </is>
      </c>
      <c r="X429" s="173" t="inlineStr">
        <is>
          <t>✗</t>
        </is>
      </c>
      <c r="Y429" s="171" t="inlineStr">
        <is>
          <t>— MISSING —</t>
        </is>
      </c>
      <c r="Z429" s="174" t="inlineStr">
        <is>
          <t>— no certificate —</t>
        </is>
      </c>
      <c r="AA429" s="175" t="inlineStr">
        <is>
          <t>✗</t>
        </is>
      </c>
    </row>
    <row r="430" ht="39" customHeight="1" s="70">
      <c r="A430" s="281" t="n"/>
      <c r="B430" s="279" t="n"/>
      <c r="C430" s="279" t="n"/>
      <c r="D430" s="282" t="n"/>
      <c r="E430" s="280" t="n"/>
      <c r="F430" s="283" t="n"/>
      <c r="G430" s="282" t="n"/>
      <c r="H430" s="280" t="n"/>
      <c r="I430" s="283" t="n"/>
      <c r="J430" s="144" t="inlineStr">
        <is>
          <t>546-1077-26, (31.08.2026) [IJZ-MB]</t>
        </is>
      </c>
      <c r="K430" s="120" t="n"/>
      <c r="L430" s="120" t="n"/>
      <c r="M430" s="120" t="n"/>
      <c r="N430" s="121" t="n"/>
      <c r="O430" s="283" t="n"/>
      <c r="P430" s="176" t="inlineStr">
        <is>
          <t>— no certificate —</t>
        </is>
      </c>
      <c r="Q430" s="120" t="n"/>
      <c r="R430" s="121" t="n"/>
      <c r="S430" s="283" t="n"/>
      <c r="T430" s="176" t="inlineStr">
        <is>
          <t>— no certificate —</t>
        </is>
      </c>
      <c r="U430" s="120" t="n"/>
      <c r="V430" s="120" t="n"/>
      <c r="W430" s="121" t="n"/>
      <c r="X430" s="283" t="n"/>
      <c r="Y430" s="282" t="n"/>
      <c r="Z430" s="280" t="n"/>
      <c r="AA430" s="284" t="n"/>
    </row>
    <row r="431" ht="17.625" customHeight="1" s="70">
      <c r="A431" s="281" t="n"/>
      <c r="B431" s="279" t="n"/>
      <c r="C431" s="279" t="n"/>
      <c r="D431" s="151" t="n"/>
      <c r="E431" s="147" t="n"/>
      <c r="F431" s="152" t="n"/>
      <c r="G431" s="151" t="n"/>
      <c r="H431" s="147" t="n"/>
      <c r="I431" s="152" t="n"/>
      <c r="J431" s="151" t="n"/>
      <c r="K431" s="147" t="n"/>
      <c r="L431" s="147" t="n"/>
      <c r="M431" s="147" t="n"/>
      <c r="N431" s="147" t="n"/>
      <c r="O431" s="152" t="n"/>
      <c r="P431" s="151" t="n"/>
      <c r="Q431" s="147" t="n"/>
      <c r="R431" s="147" t="n"/>
      <c r="S431" s="152" t="n"/>
      <c r="T431" s="151" t="n"/>
      <c r="U431" s="147" t="n"/>
      <c r="V431" s="147" t="n"/>
      <c r="W431" s="147" t="n"/>
      <c r="X431" s="152" t="n"/>
      <c r="Y431" s="151" t="n"/>
      <c r="Z431" s="147" t="n"/>
      <c r="AA431" s="163" t="n"/>
    </row>
    <row r="432" ht="39" customHeight="1" s="70">
      <c r="A432" s="285" t="n"/>
      <c r="B432" s="286" t="n"/>
      <c r="C432" s="286" t="n"/>
      <c r="D432" s="166" t="n"/>
      <c r="E432" s="165" t="n"/>
      <c r="F432" s="167" t="n"/>
      <c r="G432" s="166" t="n"/>
      <c r="H432" s="165" t="n"/>
      <c r="I432" s="167" t="n"/>
      <c r="J432" s="166" t="n"/>
      <c r="K432" s="165" t="n"/>
      <c r="L432" s="165" t="n"/>
      <c r="M432" s="165" t="n"/>
      <c r="N432" s="165" t="n"/>
      <c r="O432" s="167" t="n"/>
      <c r="P432" s="166" t="n"/>
      <c r="Q432" s="165" t="n"/>
      <c r="R432" s="165" t="n"/>
      <c r="S432" s="167" t="n"/>
      <c r="T432" s="166" t="n"/>
      <c r="U432" s="165" t="n"/>
      <c r="V432" s="165" t="n"/>
      <c r="W432" s="165" t="n"/>
      <c r="X432" s="167" t="n"/>
      <c r="Y432" s="166" t="n"/>
      <c r="Z432" s="165" t="n"/>
      <c r="AA432" s="169" t="n"/>
    </row>
    <row r="433" ht="30" customHeight="1" s="70">
      <c r="A433" s="125" t="inlineStr">
        <is>
          <t>BSS052501</t>
        </is>
      </c>
      <c r="B433" s="126" t="inlineStr">
        <is>
          <t>P050192</t>
        </is>
      </c>
      <c r="C433" s="170" t="inlineStr">
        <is>
          <t>⚠ 1 NO RESULT
(0 no cert / 1 cert w/o result)
3 testing instances
• 1 document(s) on file, not credited</t>
        </is>
      </c>
      <c r="D433" s="131" t="inlineStr">
        <is>
          <t>Conforms</t>
        </is>
      </c>
      <c r="E433" s="132">
        <f>IFERROR(INDEX('iCoA Register'!$B:$B,MATCH("P050192|I",'iCoA Register'!$AA:$AA,0)),"iCoA — at issue")&amp;", (10.10.2025) [PP]"</f>
        <v/>
      </c>
      <c r="F433" s="133" t="inlineStr">
        <is>
          <t>✓</t>
        </is>
      </c>
      <c r="G433" s="134" t="inlineStr">
        <is>
          <t>8.60 ᴿ</t>
        </is>
      </c>
      <c r="H433" s="135">
        <f>IFERROR(INDEX('iCoA Register'!$B:$B,MATCH("P050192|I",'iCoA Register'!$AA:$AA,0)),"iCoA — at issue")&amp;", (10.10.2025) [PP] · on file, not credited"</f>
        <v/>
      </c>
      <c r="I433" s="136" t="inlineStr">
        <is>
          <t>•</t>
        </is>
      </c>
      <c r="J433" s="131" t="inlineStr">
        <is>
          <t>200</t>
        </is>
      </c>
      <c r="K433" s="139" t="inlineStr">
        <is>
          <t>200</t>
        </is>
      </c>
      <c r="L433" s="139" t="inlineStr">
        <is>
          <t>&lt; 10² &gt; 10</t>
        </is>
      </c>
      <c r="M433" s="139" t="inlineStr">
        <is>
          <t>Absent</t>
        </is>
      </c>
      <c r="N433" s="139" t="inlineStr">
        <is>
          <t>Absent</t>
        </is>
      </c>
      <c r="O433" s="133" t="inlineStr">
        <is>
          <t>✓</t>
        </is>
      </c>
      <c r="P433" s="216" t="inlineStr">
        <is>
          <t>not on this certificate</t>
        </is>
      </c>
      <c r="Q433" s="217" t="inlineStr"/>
      <c r="R433" s="217" t="inlineStr"/>
      <c r="S433" s="218" t="inlineStr">
        <is>
          <t>✗</t>
        </is>
      </c>
      <c r="T433" s="131" t="inlineStr">
        <is>
          <t>0.024</t>
        </is>
      </c>
      <c r="U433" s="139" t="inlineStr">
        <is>
          <t>0.004</t>
        </is>
      </c>
      <c r="V433" s="139" t="inlineStr">
        <is>
          <t>0.025</t>
        </is>
      </c>
      <c r="W433" s="139" t="inlineStr">
        <is>
          <t>0.0036</t>
        </is>
      </c>
      <c r="X433" s="133" t="inlineStr">
        <is>
          <t>✓</t>
        </is>
      </c>
      <c r="Y433" s="131" t="inlineStr">
        <is>
          <t>&lt; LOQ</t>
        </is>
      </c>
      <c r="Z433" s="132" t="inlineStr">
        <is>
          <t>10802_2845-2 EN, (17.11.2025) [DFL]</t>
        </is>
      </c>
      <c r="AA433" s="140" t="inlineStr">
        <is>
          <t>✓</t>
        </is>
      </c>
    </row>
    <row r="434" ht="21" customHeight="1" s="70">
      <c r="A434" s="281" t="n"/>
      <c r="B434" s="279" t="n"/>
      <c r="C434" s="279" t="n"/>
      <c r="D434" s="282" t="n"/>
      <c r="E434" s="280" t="n"/>
      <c r="F434" s="283" t="n"/>
      <c r="G434" s="282" t="n"/>
      <c r="H434" s="280" t="n"/>
      <c r="I434" s="283" t="n"/>
      <c r="J434" s="144" t="inlineStr">
        <is>
          <t>1157-2058-25, (24.11.2025) [IJZ-MB]</t>
        </is>
      </c>
      <c r="K434" s="120" t="n"/>
      <c r="L434" s="120" t="n"/>
      <c r="M434" s="120" t="n"/>
      <c r="N434" s="121" t="n"/>
      <c r="O434" s="283" t="n"/>
      <c r="P434" s="219" t="inlineStr">
        <is>
          <t>5661-2025, (01.12.2025) [IJZ]</t>
        </is>
      </c>
      <c r="Q434" s="120" t="n"/>
      <c r="R434" s="121" t="n"/>
      <c r="S434" s="283" t="n"/>
      <c r="T434" s="144" t="inlineStr">
        <is>
          <t>5661-2025, (01.12.2025) [IJZ]</t>
        </is>
      </c>
      <c r="U434" s="120" t="n"/>
      <c r="V434" s="120" t="n"/>
      <c r="W434" s="121" t="n"/>
      <c r="X434" s="283" t="n"/>
      <c r="Y434" s="282" t="n"/>
      <c r="Z434" s="280" t="n"/>
      <c r="AA434" s="284" t="n"/>
    </row>
    <row r="435" ht="21" customHeight="1" s="70">
      <c r="A435" s="281" t="n"/>
      <c r="B435" s="279" t="n"/>
      <c r="C435" s="279" t="n"/>
      <c r="D435" s="151" t="n"/>
      <c r="E435" s="147" t="n"/>
      <c r="F435" s="152" t="n"/>
      <c r="G435" s="211" t="inlineStr">
        <is>
          <t>not on this certificate</t>
        </is>
      </c>
      <c r="H435" s="212" t="inlineStr">
        <is>
          <t>NGP-QCG-SOP-024 F3, (28.11.2025) [NGP]</t>
        </is>
      </c>
      <c r="I435" s="213" t="inlineStr">
        <is>
          <t>✗</t>
        </is>
      </c>
      <c r="J435" s="161" t="inlineStr">
        <is>
          <t>5.4 × 10²</t>
        </is>
      </c>
      <c r="K435" s="162" t="inlineStr">
        <is>
          <t>3.7 × 10²</t>
        </is>
      </c>
      <c r="L435" s="162" t="inlineStr">
        <is>
          <t>&lt; 10</t>
        </is>
      </c>
      <c r="M435" s="162" t="inlineStr">
        <is>
          <t>Absent</t>
        </is>
      </c>
      <c r="N435" s="162" t="inlineStr">
        <is>
          <t>Absent</t>
        </is>
      </c>
      <c r="O435" s="197" t="inlineStr">
        <is>
          <t>✓</t>
        </is>
      </c>
      <c r="P435" s="161" t="inlineStr">
        <is>
          <t>ND *</t>
        </is>
      </c>
      <c r="Q435" s="162" t="inlineStr">
        <is>
          <t>not reported</t>
        </is>
      </c>
      <c r="R435" s="162" t="inlineStr">
        <is>
          <t>&lt; LOQ **</t>
        </is>
      </c>
      <c r="S435" s="197" t="inlineStr">
        <is>
          <t>✓</t>
        </is>
      </c>
      <c r="T435" s="151" t="n"/>
      <c r="U435" s="147" t="n"/>
      <c r="V435" s="147" t="n"/>
      <c r="W435" s="147" t="n"/>
      <c r="X435" s="152" t="n"/>
      <c r="Y435" s="161" t="inlineStr">
        <is>
          <t>&lt; LOQ</t>
        </is>
      </c>
      <c r="Z435" s="196" t="inlineStr">
        <is>
          <t>10802_2845-2 MK, (17.11.2025) [DFL]</t>
        </is>
      </c>
      <c r="AA435" s="220" t="inlineStr">
        <is>
          <t>✓</t>
        </is>
      </c>
    </row>
    <row r="436" ht="39" customHeight="1" s="70">
      <c r="A436" s="281" t="n"/>
      <c r="B436" s="279" t="n"/>
      <c r="C436" s="279" t="n"/>
      <c r="D436" s="205" t="n"/>
      <c r="E436" s="204" t="n"/>
      <c r="F436" s="206" t="n"/>
      <c r="G436" s="282" t="n"/>
      <c r="H436" s="280" t="n"/>
      <c r="I436" s="283" t="n"/>
      <c r="J436" s="221" t="inlineStr">
        <is>
          <t>548-1079-26, (31.08.2026) [IJZ-MB]</t>
        </is>
      </c>
      <c r="K436" s="292" t="n"/>
      <c r="L436" s="292" t="n"/>
      <c r="M436" s="292" t="n"/>
      <c r="N436" s="293" t="n"/>
      <c r="O436" s="283" t="n"/>
      <c r="P436" s="221" t="inlineStr">
        <is>
          <t>276-31-М-25, (04.12.2025) [FHM-M]</t>
        </is>
      </c>
      <c r="Q436" s="292" t="n"/>
      <c r="R436" s="293" t="n"/>
      <c r="S436" s="283" t="n"/>
      <c r="T436" s="205" t="n"/>
      <c r="U436" s="204" t="n"/>
      <c r="V436" s="204" t="n"/>
      <c r="W436" s="204" t="n"/>
      <c r="X436" s="206" t="n"/>
      <c r="Y436" s="282" t="n"/>
      <c r="Z436" s="280" t="n"/>
      <c r="AA436" s="284" t="n"/>
    </row>
    <row r="437" ht="17.625" customHeight="1" s="70">
      <c r="A437" s="281" t="n"/>
      <c r="B437" s="279" t="n"/>
      <c r="C437" s="279" t="n"/>
      <c r="D437" s="151" t="n"/>
      <c r="E437" s="147" t="n"/>
      <c r="F437" s="152" t="n"/>
      <c r="G437" s="151" t="n"/>
      <c r="H437" s="147" t="n"/>
      <c r="I437" s="152" t="n"/>
      <c r="J437" s="151" t="n"/>
      <c r="K437" s="147" t="n"/>
      <c r="L437" s="147" t="n"/>
      <c r="M437" s="147" t="n"/>
      <c r="N437" s="147" t="n"/>
      <c r="O437" s="152" t="n"/>
      <c r="P437" s="161" t="inlineStr">
        <is>
          <t>ND</t>
        </is>
      </c>
      <c r="Q437" s="162" t="inlineStr">
        <is>
          <t>ND</t>
        </is>
      </c>
      <c r="R437" s="162" t="inlineStr">
        <is>
          <t>ND</t>
        </is>
      </c>
      <c r="S437" s="155" t="inlineStr">
        <is>
          <t>✓</t>
        </is>
      </c>
      <c r="T437" s="151" t="n"/>
      <c r="U437" s="147" t="n"/>
      <c r="V437" s="147" t="n"/>
      <c r="W437" s="147" t="n"/>
      <c r="X437" s="152" t="n"/>
      <c r="Y437" s="236" t="inlineStr">
        <is>
          <t>not on this certificate</t>
        </is>
      </c>
      <c r="Z437" s="237" t="inlineStr">
        <is>
          <t>5661-2025, (01.12.2025) [IJZ]</t>
        </is>
      </c>
      <c r="AA437" s="238" t="inlineStr">
        <is>
          <t>✗</t>
        </is>
      </c>
    </row>
    <row r="438" ht="39" customHeight="1" s="70">
      <c r="A438" s="285" t="n"/>
      <c r="B438" s="286" t="n"/>
      <c r="C438" s="286" t="n"/>
      <c r="D438" s="166" t="n"/>
      <c r="E438" s="165" t="n"/>
      <c r="F438" s="167" t="n"/>
      <c r="G438" s="166" t="n"/>
      <c r="H438" s="165" t="n"/>
      <c r="I438" s="167" t="n"/>
      <c r="J438" s="166" t="n"/>
      <c r="K438" s="165" t="n"/>
      <c r="L438" s="165" t="n"/>
      <c r="M438" s="165" t="n"/>
      <c r="N438" s="165" t="n"/>
      <c r="O438" s="167" t="n"/>
      <c r="P438" s="168" t="inlineStr">
        <is>
          <t>220-2-М-26, (11.09.2026) [FHM-M]</t>
        </is>
      </c>
      <c r="Q438" s="289" t="n"/>
      <c r="R438" s="290" t="n"/>
      <c r="S438" s="288" t="n"/>
      <c r="T438" s="166" t="n"/>
      <c r="U438" s="165" t="n"/>
      <c r="V438" s="165" t="n"/>
      <c r="W438" s="165" t="n"/>
      <c r="X438" s="167" t="n"/>
      <c r="Y438" s="287" t="n"/>
      <c r="Z438" s="286" t="n"/>
      <c r="AA438" s="291" t="n"/>
    </row>
    <row r="439" ht="21" customHeight="1" s="70">
      <c r="A439" s="125" t="inlineStr">
        <is>
          <t>GP062501</t>
        </is>
      </c>
      <c r="B439" s="126" t="inlineStr">
        <is>
          <t>P050202</t>
        </is>
      </c>
      <c r="C439" s="127" t="inlineStr">
        <is>
          <t>✓ COMPLETE
7 testing instances
• 5 document(s) on file, not credited
· stability above A.C.: #6</t>
        </is>
      </c>
      <c r="D439" s="131" t="inlineStr">
        <is>
          <t>Conforms</t>
        </is>
      </c>
      <c r="E439" s="132">
        <f>IFERROR(INDEX('iCoA Register'!$B:$B,MATCH("P050202|I",'iCoA Register'!$AA:$AA,0)),"iCoA — at issue")&amp;", (30.10.2025) [PP]"</f>
        <v/>
      </c>
      <c r="F439" s="133" t="inlineStr">
        <is>
          <t>✓</t>
        </is>
      </c>
      <c r="G439" s="134" t="inlineStr">
        <is>
          <t>8.19 (avg of 4 weighings 51-1,51-2,52-1,52-2) ᴿ</t>
        </is>
      </c>
      <c r="H439" s="135">
        <f>IFERROR(INDEX('iCoA Register'!$B:$B,MATCH("P050202|I",'iCoA Register'!$AA:$AA,0)),"iCoA — at issue")&amp;", (30.10.2025) [PP] · on file, not credited"</f>
        <v/>
      </c>
      <c r="I439" s="136" t="inlineStr">
        <is>
          <t>•</t>
        </is>
      </c>
      <c r="J439" s="131" t="inlineStr">
        <is>
          <t>1.3 × 10⁴</t>
        </is>
      </c>
      <c r="K439" s="139" t="inlineStr">
        <is>
          <t>4.2 × 10³</t>
        </is>
      </c>
      <c r="L439" s="139" t="inlineStr">
        <is>
          <t>&lt; 10³ and &gt; 10² ᴿ</t>
        </is>
      </c>
      <c r="M439" s="139" t="inlineStr">
        <is>
          <t>Absent</t>
        </is>
      </c>
      <c r="N439" s="139" t="inlineStr">
        <is>
          <t>Absent</t>
        </is>
      </c>
      <c r="O439" s="133" t="inlineStr">
        <is>
          <t>✓</t>
        </is>
      </c>
      <c r="P439" s="131" t="inlineStr">
        <is>
          <t>not reported</t>
        </is>
      </c>
      <c r="Q439" s="139" t="inlineStr">
        <is>
          <t>&lt; 2</t>
        </is>
      </c>
      <c r="R439" s="139" t="inlineStr">
        <is>
          <t>not reported</t>
        </is>
      </c>
      <c r="S439" s="133" t="inlineStr">
        <is>
          <t>✓</t>
        </is>
      </c>
      <c r="T439" s="131" t="inlineStr">
        <is>
          <t>0.077</t>
        </is>
      </c>
      <c r="U439" s="139" t="inlineStr">
        <is>
          <t>0.014</t>
        </is>
      </c>
      <c r="V439" s="139" t="inlineStr">
        <is>
          <t>0.024</t>
        </is>
      </c>
      <c r="W439" s="139" t="inlineStr">
        <is>
          <t>0.011</t>
        </is>
      </c>
      <c r="X439" s="133" t="inlineStr">
        <is>
          <t>✓</t>
        </is>
      </c>
      <c r="Y439" s="131" t="inlineStr">
        <is>
          <t>≤ LOQ (all 28 compounds)</t>
        </is>
      </c>
      <c r="Z439" s="132" t="inlineStr">
        <is>
          <t>4762-2025, (08.10.2025) [IJZ]</t>
        </is>
      </c>
      <c r="AA439" s="140" t="inlineStr">
        <is>
          <t>✓</t>
        </is>
      </c>
    </row>
    <row r="440" ht="24.375" customHeight="1" s="70">
      <c r="A440" s="281" t="n"/>
      <c r="B440" s="279" t="n"/>
      <c r="C440" s="279" t="n"/>
      <c r="D440" s="282" t="n"/>
      <c r="E440" s="280" t="n"/>
      <c r="F440" s="283" t="n"/>
      <c r="G440" s="282" t="n"/>
      <c r="H440" s="280" t="n"/>
      <c r="I440" s="283" t="n"/>
      <c r="J440" s="144" t="inlineStr">
        <is>
          <t>1009-1813-25, (08.10.2025) [IJZ-MB]</t>
        </is>
      </c>
      <c r="K440" s="120" t="n"/>
      <c r="L440" s="120" t="n"/>
      <c r="M440" s="120" t="n"/>
      <c r="N440" s="121" t="n"/>
      <c r="O440" s="283" t="n"/>
      <c r="P440" s="144" t="inlineStr">
        <is>
          <t>4762-2025, (08.10.2025) [IJZ]</t>
        </is>
      </c>
      <c r="Q440" s="120" t="n"/>
      <c r="R440" s="121" t="n"/>
      <c r="S440" s="283" t="n"/>
      <c r="T440" s="144" t="inlineStr">
        <is>
          <t>4762-2025, (08.10.2025) [IJZ]</t>
        </is>
      </c>
      <c r="U440" s="120" t="n"/>
      <c r="V440" s="120" t="n"/>
      <c r="W440" s="121" t="n"/>
      <c r="X440" s="283" t="n"/>
      <c r="Y440" s="282" t="n"/>
      <c r="Z440" s="280" t="n"/>
      <c r="AA440" s="284" t="n"/>
    </row>
    <row r="441" ht="17.625" customHeight="1" s="70">
      <c r="A441" s="281" t="n"/>
      <c r="B441" s="279" t="n"/>
      <c r="C441" s="279" t="n"/>
      <c r="D441" s="151" t="n"/>
      <c r="E441" s="147" t="n"/>
      <c r="F441" s="152" t="n"/>
      <c r="G441" s="161" t="inlineStr">
        <is>
          <t>8.19</t>
        </is>
      </c>
      <c r="H441" s="196" t="inlineStr">
        <is>
          <t>NGP-QCG-SOP-024 F3, (28.11.2025) [NGP]</t>
        </is>
      </c>
      <c r="I441" s="197" t="inlineStr">
        <is>
          <t>✓</t>
        </is>
      </c>
      <c r="J441" s="161" t="inlineStr">
        <is>
          <t>600</t>
        </is>
      </c>
      <c r="K441" s="162" t="inlineStr">
        <is>
          <t>400</t>
        </is>
      </c>
      <c r="L441" s="162" t="inlineStr">
        <is>
          <t>&lt; 10</t>
        </is>
      </c>
      <c r="M441" s="162" t="inlineStr">
        <is>
          <t>Absent</t>
        </is>
      </c>
      <c r="N441" s="162" t="inlineStr">
        <is>
          <t>Absent</t>
        </is>
      </c>
      <c r="O441" s="197" t="inlineStr">
        <is>
          <t>✓</t>
        </is>
      </c>
      <c r="P441" s="151" t="n"/>
      <c r="Q441" s="147" t="n"/>
      <c r="R441" s="147" t="n"/>
      <c r="S441" s="152" t="n"/>
      <c r="T441" s="151" t="n"/>
      <c r="U441" s="147" t="n"/>
      <c r="V441" s="147" t="n"/>
      <c r="W441" s="147" t="n"/>
      <c r="X441" s="152" t="n"/>
      <c r="Y441" s="151" t="n"/>
      <c r="Z441" s="147" t="n"/>
      <c r="AA441" s="163" t="n"/>
    </row>
    <row r="442" ht="13" customHeight="1" s="70">
      <c r="A442" s="281" t="n"/>
      <c r="B442" s="279" t="n"/>
      <c r="C442" s="279" t="n"/>
      <c r="D442" s="205" t="n"/>
      <c r="E442" s="204" t="n"/>
      <c r="F442" s="206" t="n"/>
      <c r="G442" s="282" t="n"/>
      <c r="H442" s="280" t="n"/>
      <c r="I442" s="283" t="n"/>
      <c r="J442" s="221" t="inlineStr">
        <is>
          <t>1155-2056-25, (24.11.2025) [IJZ-MB]</t>
        </is>
      </c>
      <c r="K442" s="292" t="n"/>
      <c r="L442" s="292" t="n"/>
      <c r="M442" s="292" t="n"/>
      <c r="N442" s="293" t="n"/>
      <c r="O442" s="283" t="n"/>
      <c r="P442" s="205" t="n"/>
      <c r="Q442" s="204" t="n"/>
      <c r="R442" s="204" t="n"/>
      <c r="S442" s="206" t="n"/>
      <c r="T442" s="205" t="n"/>
      <c r="U442" s="204" t="n"/>
      <c r="V442" s="204" t="n"/>
      <c r="W442" s="204" t="n"/>
      <c r="X442" s="206" t="n"/>
      <c r="Y442" s="205" t="n"/>
      <c r="Z442" s="204" t="n"/>
      <c r="AA442" s="207" t="n"/>
    </row>
    <row r="443" ht="17.625" customHeight="1" s="70">
      <c r="A443" s="281" t="n"/>
      <c r="B443" s="279" t="n"/>
      <c r="C443" s="279" t="n"/>
      <c r="D443" s="151" t="n"/>
      <c r="E443" s="147" t="n"/>
      <c r="F443" s="152" t="n"/>
      <c r="G443" s="228" t="inlineStr">
        <is>
          <t>5.83</t>
        </is>
      </c>
      <c r="H443" s="229" t="inlineStr">
        <is>
          <t>ППК26036, (05.03.2026) [CNP]</t>
        </is>
      </c>
      <c r="I443" s="230" t="inlineStr">
        <is>
          <t>✓</t>
        </is>
      </c>
      <c r="J443" s="161" t="inlineStr">
        <is>
          <t>&lt; 10</t>
        </is>
      </c>
      <c r="K443" s="162" t="inlineStr">
        <is>
          <t>&lt; 10</t>
        </is>
      </c>
      <c r="L443" s="162" t="inlineStr">
        <is>
          <t>&lt; 10</t>
        </is>
      </c>
      <c r="M443" s="162" t="inlineStr">
        <is>
          <t>Absent</t>
        </is>
      </c>
      <c r="N443" s="162" t="inlineStr">
        <is>
          <t>Absent</t>
        </is>
      </c>
      <c r="O443" s="197" t="inlineStr">
        <is>
          <t>✓</t>
        </is>
      </c>
      <c r="P443" s="151" t="n"/>
      <c r="Q443" s="147" t="n"/>
      <c r="R443" s="147" t="n"/>
      <c r="S443" s="152" t="n"/>
      <c r="T443" s="151" t="n"/>
      <c r="U443" s="147" t="n"/>
      <c r="V443" s="147" t="n"/>
      <c r="W443" s="147" t="n"/>
      <c r="X443" s="152" t="n"/>
      <c r="Y443" s="151" t="n"/>
      <c r="Z443" s="147" t="n"/>
      <c r="AA443" s="163" t="n"/>
    </row>
    <row r="444" ht="13" customHeight="1" s="70">
      <c r="A444" s="281" t="n"/>
      <c r="B444" s="279" t="n"/>
      <c r="C444" s="279" t="n"/>
      <c r="D444" s="205" t="n"/>
      <c r="E444" s="204" t="n"/>
      <c r="F444" s="206" t="n"/>
      <c r="G444" s="282" t="n"/>
      <c r="H444" s="280" t="n"/>
      <c r="I444" s="283" t="n"/>
      <c r="J444" s="221" t="inlineStr">
        <is>
          <t>557-1088-26, (01.09.2026) [IJZ-MB]</t>
        </is>
      </c>
      <c r="K444" s="292" t="n"/>
      <c r="L444" s="292" t="n"/>
      <c r="M444" s="292" t="n"/>
      <c r="N444" s="293" t="n"/>
      <c r="O444" s="283" t="n"/>
      <c r="P444" s="205" t="n"/>
      <c r="Q444" s="204" t="n"/>
      <c r="R444" s="204" t="n"/>
      <c r="S444" s="206" t="n"/>
      <c r="T444" s="205" t="n"/>
      <c r="U444" s="204" t="n"/>
      <c r="V444" s="204" t="n"/>
      <c r="W444" s="204" t="n"/>
      <c r="X444" s="206" t="n"/>
      <c r="Y444" s="205" t="n"/>
      <c r="Z444" s="204" t="n"/>
      <c r="AA444" s="207" t="n"/>
    </row>
    <row r="445" ht="17.625" customHeight="1" s="70">
      <c r="A445" s="281" t="n"/>
      <c r="B445" s="279" t="n"/>
      <c r="C445" s="279" t="n"/>
      <c r="D445" s="151" t="n"/>
      <c r="E445" s="147" t="n"/>
      <c r="F445" s="152" t="n"/>
      <c r="G445" s="228" t="inlineStr">
        <is>
          <t>5.38</t>
        </is>
      </c>
      <c r="H445" s="229" t="inlineStr">
        <is>
          <t>ППК26037, (05.03.2026) [CNP]</t>
        </is>
      </c>
      <c r="I445" s="230" t="inlineStr">
        <is>
          <t>✓</t>
        </is>
      </c>
      <c r="J445" s="151" t="n"/>
      <c r="K445" s="147" t="n"/>
      <c r="L445" s="147" t="n"/>
      <c r="M445" s="147" t="n"/>
      <c r="N445" s="147" t="n"/>
      <c r="O445" s="152" t="n"/>
      <c r="P445" s="151" t="n"/>
      <c r="Q445" s="147" t="n"/>
      <c r="R445" s="147" t="n"/>
      <c r="S445" s="152" t="n"/>
      <c r="T445" s="151" t="n"/>
      <c r="U445" s="147" t="n"/>
      <c r="V445" s="147" t="n"/>
      <c r="W445" s="147" t="n"/>
      <c r="X445" s="152" t="n"/>
      <c r="Y445" s="151" t="n"/>
      <c r="Z445" s="147" t="n"/>
      <c r="AA445" s="163" t="n"/>
    </row>
    <row r="446" ht="13" customHeight="1" s="70">
      <c r="A446" s="281" t="n"/>
      <c r="B446" s="279" t="n"/>
      <c r="C446" s="279" t="n"/>
      <c r="D446" s="205" t="n"/>
      <c r="E446" s="204" t="n"/>
      <c r="F446" s="206" t="n"/>
      <c r="G446" s="282" t="n"/>
      <c r="H446" s="280" t="n"/>
      <c r="I446" s="283" t="n"/>
      <c r="J446" s="205" t="n"/>
      <c r="K446" s="204" t="n"/>
      <c r="L446" s="204" t="n"/>
      <c r="M446" s="204" t="n"/>
      <c r="N446" s="204" t="n"/>
      <c r="O446" s="206" t="n"/>
      <c r="P446" s="205" t="n"/>
      <c r="Q446" s="204" t="n"/>
      <c r="R446" s="204" t="n"/>
      <c r="S446" s="206" t="n"/>
      <c r="T446" s="205" t="n"/>
      <c r="U446" s="204" t="n"/>
      <c r="V446" s="204" t="n"/>
      <c r="W446" s="204" t="n"/>
      <c r="X446" s="206" t="n"/>
      <c r="Y446" s="205" t="n"/>
      <c r="Z446" s="204" t="n"/>
      <c r="AA446" s="207" t="n"/>
    </row>
    <row r="447" ht="17.625" customHeight="1" s="70">
      <c r="A447" s="281" t="n"/>
      <c r="B447" s="279" t="n"/>
      <c r="C447" s="279" t="n"/>
      <c r="D447" s="151" t="n"/>
      <c r="E447" s="147" t="n"/>
      <c r="F447" s="152" t="n"/>
      <c r="G447" s="228" t="inlineStr">
        <is>
          <t>6.85</t>
        </is>
      </c>
      <c r="H447" s="229" t="inlineStr">
        <is>
          <t>ППК26057, (11.05.2026) [CNP]</t>
        </is>
      </c>
      <c r="I447" s="230" t="inlineStr">
        <is>
          <t>✓</t>
        </is>
      </c>
      <c r="J447" s="151" t="n"/>
      <c r="K447" s="147" t="n"/>
      <c r="L447" s="147" t="n"/>
      <c r="M447" s="147" t="n"/>
      <c r="N447" s="147" t="n"/>
      <c r="O447" s="152" t="n"/>
      <c r="P447" s="151" t="n"/>
      <c r="Q447" s="147" t="n"/>
      <c r="R447" s="147" t="n"/>
      <c r="S447" s="152" t="n"/>
      <c r="T447" s="151" t="n"/>
      <c r="U447" s="147" t="n"/>
      <c r="V447" s="147" t="n"/>
      <c r="W447" s="147" t="n"/>
      <c r="X447" s="152" t="n"/>
      <c r="Y447" s="151" t="n"/>
      <c r="Z447" s="147" t="n"/>
      <c r="AA447" s="163" t="n"/>
    </row>
    <row r="448" ht="13" customHeight="1" s="70">
      <c r="A448" s="281" t="n"/>
      <c r="B448" s="279" t="n"/>
      <c r="C448" s="279" t="n"/>
      <c r="D448" s="205" t="n"/>
      <c r="E448" s="204" t="n"/>
      <c r="F448" s="206" t="n"/>
      <c r="G448" s="282" t="n"/>
      <c r="H448" s="280" t="n"/>
      <c r="I448" s="283" t="n"/>
      <c r="J448" s="205" t="n"/>
      <c r="K448" s="204" t="n"/>
      <c r="L448" s="204" t="n"/>
      <c r="M448" s="204" t="n"/>
      <c r="N448" s="204" t="n"/>
      <c r="O448" s="206" t="n"/>
      <c r="P448" s="205" t="n"/>
      <c r="Q448" s="204" t="n"/>
      <c r="R448" s="204" t="n"/>
      <c r="S448" s="206" t="n"/>
      <c r="T448" s="205" t="n"/>
      <c r="U448" s="204" t="n"/>
      <c r="V448" s="204" t="n"/>
      <c r="W448" s="204" t="n"/>
      <c r="X448" s="206" t="n"/>
      <c r="Y448" s="205" t="n"/>
      <c r="Z448" s="204" t="n"/>
      <c r="AA448" s="207" t="n"/>
    </row>
    <row r="449" ht="17.625" customHeight="1" s="70">
      <c r="A449" s="281" t="n"/>
      <c r="B449" s="279" t="n"/>
      <c r="C449" s="279" t="n"/>
      <c r="D449" s="151" t="n"/>
      <c r="E449" s="147" t="n"/>
      <c r="F449" s="152" t="n"/>
      <c r="G449" s="228" t="inlineStr">
        <is>
          <t>6.60</t>
        </is>
      </c>
      <c r="H449" s="229" t="inlineStr">
        <is>
          <t>ППК26058, (11.05.2026) [CNP]</t>
        </is>
      </c>
      <c r="I449" s="230" t="inlineStr">
        <is>
          <t>✓</t>
        </is>
      </c>
      <c r="J449" s="151" t="n"/>
      <c r="K449" s="147" t="n"/>
      <c r="L449" s="147" t="n"/>
      <c r="M449" s="147" t="n"/>
      <c r="N449" s="147" t="n"/>
      <c r="O449" s="152" t="n"/>
      <c r="P449" s="151" t="n"/>
      <c r="Q449" s="147" t="n"/>
      <c r="R449" s="147" t="n"/>
      <c r="S449" s="152" t="n"/>
      <c r="T449" s="151" t="n"/>
      <c r="U449" s="147" t="n"/>
      <c r="V449" s="147" t="n"/>
      <c r="W449" s="147" t="n"/>
      <c r="X449" s="152" t="n"/>
      <c r="Y449" s="151" t="n"/>
      <c r="Z449" s="147" t="n"/>
      <c r="AA449" s="163" t="n"/>
    </row>
    <row r="450" ht="13" customHeight="1" s="70">
      <c r="A450" s="281" t="n"/>
      <c r="B450" s="279" t="n"/>
      <c r="C450" s="279" t="n"/>
      <c r="D450" s="205" t="n"/>
      <c r="E450" s="204" t="n"/>
      <c r="F450" s="206" t="n"/>
      <c r="G450" s="282" t="n"/>
      <c r="H450" s="280" t="n"/>
      <c r="I450" s="283" t="n"/>
      <c r="J450" s="205" t="n"/>
      <c r="K450" s="204" t="n"/>
      <c r="L450" s="204" t="n"/>
      <c r="M450" s="204" t="n"/>
      <c r="N450" s="204" t="n"/>
      <c r="O450" s="206" t="n"/>
      <c r="P450" s="205" t="n"/>
      <c r="Q450" s="204" t="n"/>
      <c r="R450" s="204" t="n"/>
      <c r="S450" s="206" t="n"/>
      <c r="T450" s="205" t="n"/>
      <c r="U450" s="204" t="n"/>
      <c r="V450" s="204" t="n"/>
      <c r="W450" s="204" t="n"/>
      <c r="X450" s="206" t="n"/>
      <c r="Y450" s="205" t="n"/>
      <c r="Z450" s="204" t="n"/>
      <c r="AA450" s="207" t="n"/>
    </row>
    <row r="451" ht="17.625" customHeight="1" s="70">
      <c r="A451" s="281" t="n"/>
      <c r="B451" s="279" t="n"/>
      <c r="C451" s="279" t="n"/>
      <c r="D451" s="151" t="n"/>
      <c r="E451" s="147" t="n"/>
      <c r="F451" s="152" t="n"/>
      <c r="G451" s="151" t="n"/>
      <c r="H451" s="147" t="n"/>
      <c r="I451" s="152" t="n"/>
      <c r="J451" s="151" t="n"/>
      <c r="K451" s="147" t="n"/>
      <c r="L451" s="147" t="n"/>
      <c r="M451" s="147" t="n"/>
      <c r="N451" s="147" t="n"/>
      <c r="O451" s="152" t="n"/>
      <c r="P451" s="151" t="n"/>
      <c r="Q451" s="147" t="n"/>
      <c r="R451" s="147" t="n"/>
      <c r="S451" s="152" t="n"/>
      <c r="T451" s="151" t="n"/>
      <c r="U451" s="147" t="n"/>
      <c r="V451" s="147" t="n"/>
      <c r="W451" s="147" t="n"/>
      <c r="X451" s="152" t="n"/>
      <c r="Y451" s="151" t="n"/>
      <c r="Z451" s="147" t="n"/>
      <c r="AA451" s="163" t="n"/>
    </row>
    <row r="452" ht="13" customHeight="1" s="70">
      <c r="A452" s="285" t="n"/>
      <c r="B452" s="286" t="n"/>
      <c r="C452" s="286" t="n"/>
      <c r="D452" s="166" t="n"/>
      <c r="E452" s="165" t="n"/>
      <c r="F452" s="167" t="n"/>
      <c r="G452" s="166" t="n"/>
      <c r="H452" s="165" t="n"/>
      <c r="I452" s="167" t="n"/>
      <c r="J452" s="166" t="n"/>
      <c r="K452" s="165" t="n"/>
      <c r="L452" s="165" t="n"/>
      <c r="M452" s="165" t="n"/>
      <c r="N452" s="165" t="n"/>
      <c r="O452" s="167" t="n"/>
      <c r="P452" s="166" t="n"/>
      <c r="Q452" s="165" t="n"/>
      <c r="R452" s="165" t="n"/>
      <c r="S452" s="167" t="n"/>
      <c r="T452" s="166" t="n"/>
      <c r="U452" s="165" t="n"/>
      <c r="V452" s="165" t="n"/>
      <c r="W452" s="165" t="n"/>
      <c r="X452" s="167" t="n"/>
      <c r="Y452" s="166" t="n"/>
      <c r="Z452" s="165" t="n"/>
      <c r="AA452" s="169" t="n"/>
    </row>
    <row r="453" ht="21" customHeight="1" s="70">
      <c r="A453" s="125" t="inlineStr">
        <is>
          <t>CC012601/1</t>
        </is>
      </c>
      <c r="B453" s="126" t="inlineStr">
        <is>
          <t>P060332</t>
        </is>
      </c>
      <c r="C453" s="177" t="inlineStr">
        <is>
          <t>✗ 4 NO RESULT
(4 no cert / 0 cert w/o result)
• 1 document(s) on file, not credited</t>
        </is>
      </c>
      <c r="D453" s="180" t="inlineStr">
        <is>
          <t>Conforms</t>
        </is>
      </c>
      <c r="E453" s="181">
        <f>IFERROR(INDEX('iCoA Register'!$B:$B,MATCH("P060332|I",'iCoA Register'!$AA:$AA,0)),"iCoA — at issue")&amp;", (22.05.2026) [PP]"</f>
        <v/>
      </c>
      <c r="F453" s="182" t="inlineStr">
        <is>
          <t>✓</t>
        </is>
      </c>
      <c r="G453" s="239" t="inlineStr">
        <is>
          <t>not on this certificate</t>
        </is>
      </c>
      <c r="H453" s="240" t="inlineStr">
        <is>
          <t>197-6-К-26, (07.08.2026) [FHM-K] · on file, not credited</t>
        </is>
      </c>
      <c r="I453" s="241" t="inlineStr">
        <is>
          <t>•</t>
        </is>
      </c>
      <c r="J453" s="171" t="inlineStr">
        <is>
          <t>— MISSING —</t>
        </is>
      </c>
      <c r="K453" s="172" t="inlineStr">
        <is>
          <t>— MISSING —</t>
        </is>
      </c>
      <c r="L453" s="172" t="inlineStr">
        <is>
          <t>— MISSING —</t>
        </is>
      </c>
      <c r="M453" s="172" t="inlineStr">
        <is>
          <t>— MISSING —</t>
        </is>
      </c>
      <c r="N453" s="172" t="inlineStr">
        <is>
          <t>— MISSING —</t>
        </is>
      </c>
      <c r="O453" s="186" t="inlineStr">
        <is>
          <t>✗</t>
        </is>
      </c>
      <c r="P453" s="131" t="inlineStr">
        <is>
          <t>ND</t>
        </is>
      </c>
      <c r="Q453" s="139" t="inlineStr">
        <is>
          <t>ND</t>
        </is>
      </c>
      <c r="R453" s="139" t="inlineStr">
        <is>
          <t>ND</t>
        </is>
      </c>
      <c r="S453" s="182" t="inlineStr">
        <is>
          <t>✓</t>
        </is>
      </c>
      <c r="T453" s="171" t="inlineStr">
        <is>
          <t>— MISSING —</t>
        </is>
      </c>
      <c r="U453" s="172" t="inlineStr">
        <is>
          <t>— MISSING —</t>
        </is>
      </c>
      <c r="V453" s="172" t="inlineStr">
        <is>
          <t>— MISSING —</t>
        </is>
      </c>
      <c r="W453" s="172" t="inlineStr">
        <is>
          <t>— MISSING —</t>
        </is>
      </c>
      <c r="X453" s="186" t="inlineStr">
        <is>
          <t>✗</t>
        </is>
      </c>
      <c r="Y453" s="187" t="inlineStr">
        <is>
          <t>— MISSING —</t>
        </is>
      </c>
      <c r="Z453" s="188" t="inlineStr">
        <is>
          <t>— no certificate —</t>
        </is>
      </c>
      <c r="AA453" s="189" t="inlineStr">
        <is>
          <t>✗</t>
        </is>
      </c>
    </row>
    <row r="454" ht="39" customHeight="1" s="70">
      <c r="A454" s="285" t="n"/>
      <c r="B454" s="286" t="n"/>
      <c r="C454" s="286" t="n"/>
      <c r="D454" s="287" t="n"/>
      <c r="E454" s="286" t="n"/>
      <c r="F454" s="288" t="n"/>
      <c r="G454" s="287" t="n"/>
      <c r="H454" s="286" t="n"/>
      <c r="I454" s="288" t="n"/>
      <c r="J454" s="190" t="inlineStr">
        <is>
          <t>— no certificate —</t>
        </is>
      </c>
      <c r="K454" s="289" t="n"/>
      <c r="L454" s="289" t="n"/>
      <c r="M454" s="289" t="n"/>
      <c r="N454" s="290" t="n"/>
      <c r="O454" s="288" t="n"/>
      <c r="P454" s="168" t="inlineStr">
        <is>
          <t>197-6-М-26, (10.08.2026) [FHM-M]</t>
        </is>
      </c>
      <c r="Q454" s="289" t="n"/>
      <c r="R454" s="290" t="n"/>
      <c r="S454" s="288" t="n"/>
      <c r="T454" s="190" t="inlineStr">
        <is>
          <t>— no certificate —</t>
        </is>
      </c>
      <c r="U454" s="289" t="n"/>
      <c r="V454" s="289" t="n"/>
      <c r="W454" s="290" t="n"/>
      <c r="X454" s="288" t="n"/>
      <c r="Y454" s="287" t="n"/>
      <c r="Z454" s="286" t="n"/>
      <c r="AA454" s="291" t="n"/>
    </row>
    <row r="455" ht="21" customHeight="1" s="70">
      <c r="A455" s="125" t="inlineStr">
        <is>
          <t>FB012602*</t>
        </is>
      </c>
      <c r="B455" s="126" t="inlineStr">
        <is>
          <t>P060352</t>
        </is>
      </c>
      <c r="C455" s="177" t="inlineStr">
        <is>
          <t>✗ 4 NO RESULT
(4 no cert / 0 cert w/o result)
• 1 document(s) on file, not credited</t>
        </is>
      </c>
      <c r="D455" s="180" t="inlineStr">
        <is>
          <t>Conforms</t>
        </is>
      </c>
      <c r="E455" s="181">
        <f>IFERROR(INDEX('iCoA Register'!$B:$B,MATCH("P060352|I",'iCoA Register'!$AA:$AA,0)),"iCoA — at issue")&amp;", (23.05.2026) [PP]"</f>
        <v/>
      </c>
      <c r="F455" s="182" t="inlineStr">
        <is>
          <t>✓</t>
        </is>
      </c>
      <c r="G455" s="239" t="inlineStr">
        <is>
          <t>not on this certificate</t>
        </is>
      </c>
      <c r="H455" s="240" t="inlineStr">
        <is>
          <t>197-7-К-26, (07.08.2026) [FHM-K] · on file, not credited</t>
        </is>
      </c>
      <c r="I455" s="241" t="inlineStr">
        <is>
          <t>•</t>
        </is>
      </c>
      <c r="J455" s="171" t="inlineStr">
        <is>
          <t>— MISSING —</t>
        </is>
      </c>
      <c r="K455" s="172" t="inlineStr">
        <is>
          <t>— MISSING —</t>
        </is>
      </c>
      <c r="L455" s="172" t="inlineStr">
        <is>
          <t>— MISSING —</t>
        </is>
      </c>
      <c r="M455" s="172" t="inlineStr">
        <is>
          <t>— MISSING —</t>
        </is>
      </c>
      <c r="N455" s="172" t="inlineStr">
        <is>
          <t>— MISSING —</t>
        </is>
      </c>
      <c r="O455" s="186" t="inlineStr">
        <is>
          <t>✗</t>
        </is>
      </c>
      <c r="P455" s="131" t="inlineStr">
        <is>
          <t>ND</t>
        </is>
      </c>
      <c r="Q455" s="139" t="inlineStr">
        <is>
          <t>ND</t>
        </is>
      </c>
      <c r="R455" s="139" t="inlineStr">
        <is>
          <t>ND</t>
        </is>
      </c>
      <c r="S455" s="182" t="inlineStr">
        <is>
          <t>✓</t>
        </is>
      </c>
      <c r="T455" s="171" t="inlineStr">
        <is>
          <t>— MISSING —</t>
        </is>
      </c>
      <c r="U455" s="172" t="inlineStr">
        <is>
          <t>— MISSING —</t>
        </is>
      </c>
      <c r="V455" s="172" t="inlineStr">
        <is>
          <t>— MISSING —</t>
        </is>
      </c>
      <c r="W455" s="172" t="inlineStr">
        <is>
          <t>— MISSING —</t>
        </is>
      </c>
      <c r="X455" s="186" t="inlineStr">
        <is>
          <t>✗</t>
        </is>
      </c>
      <c r="Y455" s="187" t="inlineStr">
        <is>
          <t>— MISSING —</t>
        </is>
      </c>
      <c r="Z455" s="188" t="inlineStr">
        <is>
          <t>— no certificate —</t>
        </is>
      </c>
      <c r="AA455" s="189" t="inlineStr">
        <is>
          <t>✗</t>
        </is>
      </c>
    </row>
    <row r="456" ht="39" customHeight="1" s="70">
      <c r="A456" s="285" t="n"/>
      <c r="B456" s="286" t="n"/>
      <c r="C456" s="286" t="n"/>
      <c r="D456" s="287" t="n"/>
      <c r="E456" s="286" t="n"/>
      <c r="F456" s="288" t="n"/>
      <c r="G456" s="287" t="n"/>
      <c r="H456" s="286" t="n"/>
      <c r="I456" s="288" t="n"/>
      <c r="J456" s="190" t="inlineStr">
        <is>
          <t>— no certificate —</t>
        </is>
      </c>
      <c r="K456" s="289" t="n"/>
      <c r="L456" s="289" t="n"/>
      <c r="M456" s="289" t="n"/>
      <c r="N456" s="290" t="n"/>
      <c r="O456" s="288" t="n"/>
      <c r="P456" s="168" t="inlineStr">
        <is>
          <t>197-7-М-26, (10.08.2026) [FHM-M]</t>
        </is>
      </c>
      <c r="Q456" s="289" t="n"/>
      <c r="R456" s="290" t="n"/>
      <c r="S456" s="288" t="n"/>
      <c r="T456" s="190" t="inlineStr">
        <is>
          <t>— no certificate —</t>
        </is>
      </c>
      <c r="U456" s="289" t="n"/>
      <c r="V456" s="289" t="n"/>
      <c r="W456" s="290" t="n"/>
      <c r="X456" s="288" t="n"/>
      <c r="Y456" s="287" t="n"/>
      <c r="Z456" s="286" t="n"/>
      <c r="AA456" s="291" t="n"/>
    </row>
    <row r="457" ht="21" customHeight="1" s="70">
      <c r="A457" s="125" t="inlineStr">
        <is>
          <t>SCR012603</t>
        </is>
      </c>
      <c r="B457" s="126" t="inlineStr">
        <is>
          <t>P060382</t>
        </is>
      </c>
      <c r="C457" s="177" t="inlineStr">
        <is>
          <t>✗ 4 NO RESULT
(4 no cert / 0 cert w/o result)
• 1 document(s) on file, not credited</t>
        </is>
      </c>
      <c r="D457" s="180" t="inlineStr">
        <is>
          <t>Conforms</t>
        </is>
      </c>
      <c r="E457" s="181">
        <f>IFERROR(INDEX('iCoA Register'!$B:$B,MATCH("P060382|I",'iCoA Register'!$AA:$AA,0)),"iCoA — at issue")&amp;", (25.05.2026) [PP]"</f>
        <v/>
      </c>
      <c r="F457" s="182" t="inlineStr">
        <is>
          <t>✓</t>
        </is>
      </c>
      <c r="G457" s="239" t="inlineStr">
        <is>
          <t>not on this certificate</t>
        </is>
      </c>
      <c r="H457" s="240" t="inlineStr">
        <is>
          <t>197-21-К-26, (07.08.2026) [FHM-K] · on file, not credited</t>
        </is>
      </c>
      <c r="I457" s="241" t="inlineStr">
        <is>
          <t>•</t>
        </is>
      </c>
      <c r="J457" s="171" t="inlineStr">
        <is>
          <t>— MISSING —</t>
        </is>
      </c>
      <c r="K457" s="172" t="inlineStr">
        <is>
          <t>— MISSING —</t>
        </is>
      </c>
      <c r="L457" s="172" t="inlineStr">
        <is>
          <t>— MISSING —</t>
        </is>
      </c>
      <c r="M457" s="172" t="inlineStr">
        <is>
          <t>— MISSING —</t>
        </is>
      </c>
      <c r="N457" s="172" t="inlineStr">
        <is>
          <t>— MISSING —</t>
        </is>
      </c>
      <c r="O457" s="186" t="inlineStr">
        <is>
          <t>✗</t>
        </is>
      </c>
      <c r="P457" s="131" t="inlineStr">
        <is>
          <t>ND</t>
        </is>
      </c>
      <c r="Q457" s="139" t="inlineStr">
        <is>
          <t>ND</t>
        </is>
      </c>
      <c r="R457" s="139" t="inlineStr">
        <is>
          <t>ND</t>
        </is>
      </c>
      <c r="S457" s="182" t="inlineStr">
        <is>
          <t>✓</t>
        </is>
      </c>
      <c r="T457" s="171" t="inlineStr">
        <is>
          <t>— MISSING —</t>
        </is>
      </c>
      <c r="U457" s="172" t="inlineStr">
        <is>
          <t>— MISSING —</t>
        </is>
      </c>
      <c r="V457" s="172" t="inlineStr">
        <is>
          <t>— MISSING —</t>
        </is>
      </c>
      <c r="W457" s="172" t="inlineStr">
        <is>
          <t>— MISSING —</t>
        </is>
      </c>
      <c r="X457" s="186" t="inlineStr">
        <is>
          <t>✗</t>
        </is>
      </c>
      <c r="Y457" s="187" t="inlineStr">
        <is>
          <t>— MISSING —</t>
        </is>
      </c>
      <c r="Z457" s="188" t="inlineStr">
        <is>
          <t>— no certificate —</t>
        </is>
      </c>
      <c r="AA457" s="189" t="inlineStr">
        <is>
          <t>✗</t>
        </is>
      </c>
    </row>
    <row r="458" ht="39" customHeight="1" s="70">
      <c r="A458" s="285" t="n"/>
      <c r="B458" s="286" t="n"/>
      <c r="C458" s="286" t="n"/>
      <c r="D458" s="287" t="n"/>
      <c r="E458" s="286" t="n"/>
      <c r="F458" s="288" t="n"/>
      <c r="G458" s="287" t="n"/>
      <c r="H458" s="286" t="n"/>
      <c r="I458" s="288" t="n"/>
      <c r="J458" s="190" t="inlineStr">
        <is>
          <t>— no certificate —</t>
        </is>
      </c>
      <c r="K458" s="289" t="n"/>
      <c r="L458" s="289" t="n"/>
      <c r="M458" s="289" t="n"/>
      <c r="N458" s="290" t="n"/>
      <c r="O458" s="288" t="n"/>
      <c r="P458" s="168" t="inlineStr">
        <is>
          <t>197-21-М-26, (10.08.2026) [FHM-M]</t>
        </is>
      </c>
      <c r="Q458" s="289" t="n"/>
      <c r="R458" s="290" t="n"/>
      <c r="S458" s="288" t="n"/>
      <c r="T458" s="190" t="inlineStr">
        <is>
          <t>— no certificate —</t>
        </is>
      </c>
      <c r="U458" s="289" t="n"/>
      <c r="V458" s="289" t="n"/>
      <c r="W458" s="290" t="n"/>
      <c r="X458" s="288" t="n"/>
      <c r="Y458" s="287" t="n"/>
      <c r="Z458" s="286" t="n"/>
      <c r="AA458" s="291" t="n"/>
    </row>
    <row r="459" ht="21" customHeight="1" s="70">
      <c r="A459" s="125" t="inlineStr">
        <is>
          <t>— not recorded — (P160012)</t>
        </is>
      </c>
      <c r="B459" s="126" t="inlineStr">
        <is>
          <t>P160012</t>
        </is>
      </c>
      <c r="C459" s="177" t="inlineStr">
        <is>
          <t>✗ 4 NO RESULT
(4 no cert / 0 cert w/o result)</t>
        </is>
      </c>
      <c r="D459" s="180" t="inlineStr">
        <is>
          <t>0.42 % (Conforms)</t>
        </is>
      </c>
      <c r="E459" s="181" t="inlineStr">
        <is>
          <t>ППК26117, (06.07.2026) [CNP]</t>
        </is>
      </c>
      <c r="F459" s="182" t="inlineStr">
        <is>
          <t>✓</t>
        </is>
      </c>
      <c r="G459" s="180" t="inlineStr">
        <is>
          <t>6.31</t>
        </is>
      </c>
      <c r="H459" s="181" t="inlineStr">
        <is>
          <t>ППК26117, (06.07.2026) [CNP]</t>
        </is>
      </c>
      <c r="I459" s="182" t="inlineStr">
        <is>
          <t>✓</t>
        </is>
      </c>
      <c r="J459" s="171" t="inlineStr">
        <is>
          <t>— MISSING —</t>
        </is>
      </c>
      <c r="K459" s="172" t="inlineStr">
        <is>
          <t>— MISSING —</t>
        </is>
      </c>
      <c r="L459" s="172" t="inlineStr">
        <is>
          <t>— MISSING —</t>
        </is>
      </c>
      <c r="M459" s="172" t="inlineStr">
        <is>
          <t>— MISSING —</t>
        </is>
      </c>
      <c r="N459" s="172" t="inlineStr">
        <is>
          <t>— MISSING —</t>
        </is>
      </c>
      <c r="O459" s="186" t="inlineStr">
        <is>
          <t>✗</t>
        </is>
      </c>
      <c r="P459" s="171" t="inlineStr">
        <is>
          <t>— MISSING —</t>
        </is>
      </c>
      <c r="Q459" s="172" t="inlineStr">
        <is>
          <t>— MISSING —</t>
        </is>
      </c>
      <c r="R459" s="172" t="inlineStr">
        <is>
          <t>— MISSING —</t>
        </is>
      </c>
      <c r="S459" s="186" t="inlineStr">
        <is>
          <t>✗</t>
        </is>
      </c>
      <c r="T459" s="171" t="inlineStr">
        <is>
          <t>— MISSING —</t>
        </is>
      </c>
      <c r="U459" s="172" t="inlineStr">
        <is>
          <t>— MISSING —</t>
        </is>
      </c>
      <c r="V459" s="172" t="inlineStr">
        <is>
          <t>— MISSING —</t>
        </is>
      </c>
      <c r="W459" s="172" t="inlineStr">
        <is>
          <t>— MISSING —</t>
        </is>
      </c>
      <c r="X459" s="186" t="inlineStr">
        <is>
          <t>✗</t>
        </is>
      </c>
      <c r="Y459" s="187" t="inlineStr">
        <is>
          <t>— MISSING —</t>
        </is>
      </c>
      <c r="Z459" s="188" t="inlineStr">
        <is>
          <t>— no certificate —</t>
        </is>
      </c>
      <c r="AA459" s="189" t="inlineStr">
        <is>
          <t>✗</t>
        </is>
      </c>
    </row>
    <row r="460" ht="21" customHeight="1" s="70">
      <c r="A460" s="285" t="n"/>
      <c r="B460" s="286" t="n"/>
      <c r="C460" s="286" t="n"/>
      <c r="D460" s="287" t="n"/>
      <c r="E460" s="286" t="n"/>
      <c r="F460" s="288" t="n"/>
      <c r="G460" s="287" t="n"/>
      <c r="H460" s="286" t="n"/>
      <c r="I460" s="288" t="n"/>
      <c r="J460" s="190" t="inlineStr">
        <is>
          <t>— no certificate —</t>
        </is>
      </c>
      <c r="K460" s="289" t="n"/>
      <c r="L460" s="289" t="n"/>
      <c r="M460" s="289" t="n"/>
      <c r="N460" s="290" t="n"/>
      <c r="O460" s="288" t="n"/>
      <c r="P460" s="190" t="inlineStr">
        <is>
          <t>— no certificate —</t>
        </is>
      </c>
      <c r="Q460" s="289" t="n"/>
      <c r="R460" s="290" t="n"/>
      <c r="S460" s="288" t="n"/>
      <c r="T460" s="190" t="inlineStr">
        <is>
          <t>— no certificate —</t>
        </is>
      </c>
      <c r="U460" s="289" t="n"/>
      <c r="V460" s="289" t="n"/>
      <c r="W460" s="290" t="n"/>
      <c r="X460" s="288" t="n"/>
      <c r="Y460" s="287" t="n"/>
      <c r="Z460" s="286" t="n"/>
      <c r="AA460" s="291" t="n"/>
    </row>
    <row r="461" ht="21" customHeight="1" s="70">
      <c r="A461" s="125" t="inlineStr">
        <is>
          <t>— not recorded — (P160022)</t>
        </is>
      </c>
      <c r="B461" s="126" t="inlineStr">
        <is>
          <t>P160022</t>
        </is>
      </c>
      <c r="C461" s="177" t="inlineStr">
        <is>
          <t>✗ 4 NO RESULT
(4 no cert / 0 cert w/o result)</t>
        </is>
      </c>
      <c r="D461" s="180" t="inlineStr">
        <is>
          <t>Conforms (no value printed)</t>
        </is>
      </c>
      <c r="E461" s="181" t="inlineStr">
        <is>
          <t>ППК26118, (06.07.2026) [CNP]</t>
        </is>
      </c>
      <c r="F461" s="182" t="inlineStr">
        <is>
          <t>✓</t>
        </is>
      </c>
      <c r="G461" s="180" t="inlineStr">
        <is>
          <t>6.67</t>
        </is>
      </c>
      <c r="H461" s="181" t="inlineStr">
        <is>
          <t>ППК26118, (06.07.2026) [CNP]</t>
        </is>
      </c>
      <c r="I461" s="182" t="inlineStr">
        <is>
          <t>✓</t>
        </is>
      </c>
      <c r="J461" s="171" t="inlineStr">
        <is>
          <t>— MISSING —</t>
        </is>
      </c>
      <c r="K461" s="172" t="inlineStr">
        <is>
          <t>— MISSING —</t>
        </is>
      </c>
      <c r="L461" s="172" t="inlineStr">
        <is>
          <t>— MISSING —</t>
        </is>
      </c>
      <c r="M461" s="172" t="inlineStr">
        <is>
          <t>— MISSING —</t>
        </is>
      </c>
      <c r="N461" s="172" t="inlineStr">
        <is>
          <t>— MISSING —</t>
        </is>
      </c>
      <c r="O461" s="186" t="inlineStr">
        <is>
          <t>✗</t>
        </is>
      </c>
      <c r="P461" s="171" t="inlineStr">
        <is>
          <t>— MISSING —</t>
        </is>
      </c>
      <c r="Q461" s="172" t="inlineStr">
        <is>
          <t>— MISSING —</t>
        </is>
      </c>
      <c r="R461" s="172" t="inlineStr">
        <is>
          <t>— MISSING —</t>
        </is>
      </c>
      <c r="S461" s="186" t="inlineStr">
        <is>
          <t>✗</t>
        </is>
      </c>
      <c r="T461" s="171" t="inlineStr">
        <is>
          <t>— MISSING —</t>
        </is>
      </c>
      <c r="U461" s="172" t="inlineStr">
        <is>
          <t>— MISSING —</t>
        </is>
      </c>
      <c r="V461" s="172" t="inlineStr">
        <is>
          <t>— MISSING —</t>
        </is>
      </c>
      <c r="W461" s="172" t="inlineStr">
        <is>
          <t>— MISSING —</t>
        </is>
      </c>
      <c r="X461" s="186" t="inlineStr">
        <is>
          <t>✗</t>
        </is>
      </c>
      <c r="Y461" s="187" t="inlineStr">
        <is>
          <t>— MISSING —</t>
        </is>
      </c>
      <c r="Z461" s="188" t="inlineStr">
        <is>
          <t>— no certificate —</t>
        </is>
      </c>
      <c r="AA461" s="189" t="inlineStr">
        <is>
          <t>✗</t>
        </is>
      </c>
    </row>
    <row r="462" ht="21" customHeight="1" s="70">
      <c r="A462" s="285" t="n"/>
      <c r="B462" s="286" t="n"/>
      <c r="C462" s="286" t="n"/>
      <c r="D462" s="287" t="n"/>
      <c r="E462" s="286" t="n"/>
      <c r="F462" s="288" t="n"/>
      <c r="G462" s="287" t="n"/>
      <c r="H462" s="286" t="n"/>
      <c r="I462" s="288" t="n"/>
      <c r="J462" s="190" t="inlineStr">
        <is>
          <t>— no certificate —</t>
        </is>
      </c>
      <c r="K462" s="289" t="n"/>
      <c r="L462" s="289" t="n"/>
      <c r="M462" s="289" t="n"/>
      <c r="N462" s="290" t="n"/>
      <c r="O462" s="288" t="n"/>
      <c r="P462" s="190" t="inlineStr">
        <is>
          <t>— no certificate —</t>
        </is>
      </c>
      <c r="Q462" s="289" t="n"/>
      <c r="R462" s="290" t="n"/>
      <c r="S462" s="288" t="n"/>
      <c r="T462" s="190" t="inlineStr">
        <is>
          <t>— no certificate —</t>
        </is>
      </c>
      <c r="U462" s="289" t="n"/>
      <c r="V462" s="289" t="n"/>
      <c r="W462" s="290" t="n"/>
      <c r="X462" s="288" t="n"/>
      <c r="Y462" s="287" t="n"/>
      <c r="Z462" s="286" t="n"/>
      <c r="AA462" s="291" t="n"/>
    </row>
    <row r="463" ht="21" customHeight="1" s="70">
      <c r="A463" s="125" t="inlineStr">
        <is>
          <t>— not recorded — (P160032)</t>
        </is>
      </c>
      <c r="B463" s="126" t="inlineStr">
        <is>
          <t>P160032</t>
        </is>
      </c>
      <c r="C463" s="177" t="inlineStr">
        <is>
          <t>✗ 4 NO RESULT
(4 no cert / 0 cert w/o result)</t>
        </is>
      </c>
      <c r="D463" s="180" t="inlineStr">
        <is>
          <t>Conforms (no value printed)</t>
        </is>
      </c>
      <c r="E463" s="181" t="inlineStr">
        <is>
          <t>ППК26119, (06.07.2026) [CNP]</t>
        </is>
      </c>
      <c r="F463" s="182" t="inlineStr">
        <is>
          <t>✓</t>
        </is>
      </c>
      <c r="G463" s="180" t="inlineStr">
        <is>
          <t>6.78</t>
        </is>
      </c>
      <c r="H463" s="181" t="inlineStr">
        <is>
          <t>ППК26119, (06.07.2026) [CNP]</t>
        </is>
      </c>
      <c r="I463" s="182" t="inlineStr">
        <is>
          <t>✓</t>
        </is>
      </c>
      <c r="J463" s="171" t="inlineStr">
        <is>
          <t>— MISSING —</t>
        </is>
      </c>
      <c r="K463" s="172" t="inlineStr">
        <is>
          <t>— MISSING —</t>
        </is>
      </c>
      <c r="L463" s="172" t="inlineStr">
        <is>
          <t>— MISSING —</t>
        </is>
      </c>
      <c r="M463" s="172" t="inlineStr">
        <is>
          <t>— MISSING —</t>
        </is>
      </c>
      <c r="N463" s="172" t="inlineStr">
        <is>
          <t>— MISSING —</t>
        </is>
      </c>
      <c r="O463" s="186" t="inlineStr">
        <is>
          <t>✗</t>
        </is>
      </c>
      <c r="P463" s="171" t="inlineStr">
        <is>
          <t>— MISSING —</t>
        </is>
      </c>
      <c r="Q463" s="172" t="inlineStr">
        <is>
          <t>— MISSING —</t>
        </is>
      </c>
      <c r="R463" s="172" t="inlineStr">
        <is>
          <t>— MISSING —</t>
        </is>
      </c>
      <c r="S463" s="186" t="inlineStr">
        <is>
          <t>✗</t>
        </is>
      </c>
      <c r="T463" s="171" t="inlineStr">
        <is>
          <t>— MISSING —</t>
        </is>
      </c>
      <c r="U463" s="172" t="inlineStr">
        <is>
          <t>— MISSING —</t>
        </is>
      </c>
      <c r="V463" s="172" t="inlineStr">
        <is>
          <t>— MISSING —</t>
        </is>
      </c>
      <c r="W463" s="172" t="inlineStr">
        <is>
          <t>— MISSING —</t>
        </is>
      </c>
      <c r="X463" s="186" t="inlineStr">
        <is>
          <t>✗</t>
        </is>
      </c>
      <c r="Y463" s="187" t="inlineStr">
        <is>
          <t>— MISSING —</t>
        </is>
      </c>
      <c r="Z463" s="188" t="inlineStr">
        <is>
          <t>— no certificate —</t>
        </is>
      </c>
      <c r="AA463" s="189" t="inlineStr">
        <is>
          <t>✗</t>
        </is>
      </c>
    </row>
    <row r="464" ht="21" customHeight="1" s="70">
      <c r="A464" s="285" t="n"/>
      <c r="B464" s="286" t="n"/>
      <c r="C464" s="286" t="n"/>
      <c r="D464" s="287" t="n"/>
      <c r="E464" s="286" t="n"/>
      <c r="F464" s="288" t="n"/>
      <c r="G464" s="287" t="n"/>
      <c r="H464" s="286" t="n"/>
      <c r="I464" s="288" t="n"/>
      <c r="J464" s="190" t="inlineStr">
        <is>
          <t>— no certificate —</t>
        </is>
      </c>
      <c r="K464" s="289" t="n"/>
      <c r="L464" s="289" t="n"/>
      <c r="M464" s="289" t="n"/>
      <c r="N464" s="290" t="n"/>
      <c r="O464" s="288" t="n"/>
      <c r="P464" s="190" t="inlineStr">
        <is>
          <t>— no certificate —</t>
        </is>
      </c>
      <c r="Q464" s="289" t="n"/>
      <c r="R464" s="290" t="n"/>
      <c r="S464" s="288" t="n"/>
      <c r="T464" s="190" t="inlineStr">
        <is>
          <t>— no certificate —</t>
        </is>
      </c>
      <c r="U464" s="289" t="n"/>
      <c r="V464" s="289" t="n"/>
      <c r="W464" s="290" t="n"/>
      <c r="X464" s="288" t="n"/>
      <c r="Y464" s="287" t="n"/>
      <c r="Z464" s="286" t="n"/>
      <c r="AA464" s="291" t="n"/>
    </row>
    <row r="465" ht="21" customHeight="1" s="70">
      <c r="A465" s="125" t="inlineStr">
        <is>
          <t>PM112501</t>
        </is>
      </c>
      <c r="B465" s="126" t="inlineStr">
        <is>
          <t>P060232</t>
        </is>
      </c>
      <c r="C465" s="170" t="inlineStr">
        <is>
          <t>⚠ 3 NO RESULT
(3 no cert / 0 cert w/o result)
2 testing instances
• 1 document(s) on file, not credited</t>
        </is>
      </c>
      <c r="D465" s="131" t="inlineStr">
        <is>
          <t>Conforms</t>
        </is>
      </c>
      <c r="E465" s="132">
        <f>IFERROR(INDEX('iCoA Register'!$B:$B,MATCH("P060232|I",'iCoA Register'!$AA:$AA,0)),"iCoA — at issue")&amp;", (27.04.2026) [PP]"</f>
        <v/>
      </c>
      <c r="F465" s="133" t="inlineStr">
        <is>
          <t>✓</t>
        </is>
      </c>
      <c r="G465" s="131" t="inlineStr">
        <is>
          <t>8.61</t>
        </is>
      </c>
      <c r="H465" s="132" t="inlineStr">
        <is>
          <t>ППК26030, (05.03.2026) [CNP]</t>
        </is>
      </c>
      <c r="I465" s="133" t="inlineStr">
        <is>
          <t>✓</t>
        </is>
      </c>
      <c r="J465" s="171" t="inlineStr">
        <is>
          <t>— MISSING —</t>
        </is>
      </c>
      <c r="K465" s="172" t="inlineStr">
        <is>
          <t>— MISSING —</t>
        </is>
      </c>
      <c r="L465" s="172" t="inlineStr">
        <is>
          <t>— MISSING —</t>
        </is>
      </c>
      <c r="M465" s="172" t="inlineStr">
        <is>
          <t>— MISSING —</t>
        </is>
      </c>
      <c r="N465" s="172" t="inlineStr">
        <is>
          <t>— MISSING —</t>
        </is>
      </c>
      <c r="O465" s="173" t="inlineStr">
        <is>
          <t>✗</t>
        </is>
      </c>
      <c r="P465" s="131" t="inlineStr">
        <is>
          <t>ND</t>
        </is>
      </c>
      <c r="Q465" s="139" t="inlineStr">
        <is>
          <t>ND</t>
        </is>
      </c>
      <c r="R465" s="139" t="inlineStr">
        <is>
          <t>ND</t>
        </is>
      </c>
      <c r="S465" s="133" t="inlineStr">
        <is>
          <t>✓</t>
        </is>
      </c>
      <c r="T465" s="171" t="inlineStr">
        <is>
          <t>— MISSING —</t>
        </is>
      </c>
      <c r="U465" s="172" t="inlineStr">
        <is>
          <t>— MISSING —</t>
        </is>
      </c>
      <c r="V465" s="172" t="inlineStr">
        <is>
          <t>— MISSING —</t>
        </is>
      </c>
      <c r="W465" s="172" t="inlineStr">
        <is>
          <t>— MISSING —</t>
        </is>
      </c>
      <c r="X465" s="173" t="inlineStr">
        <is>
          <t>✗</t>
        </is>
      </c>
      <c r="Y465" s="171" t="inlineStr">
        <is>
          <t>— MISSING —</t>
        </is>
      </c>
      <c r="Z465" s="174" t="inlineStr">
        <is>
          <t>— no certificate —</t>
        </is>
      </c>
      <c r="AA465" s="175" t="inlineStr">
        <is>
          <t>✗</t>
        </is>
      </c>
    </row>
    <row r="466" ht="39" customHeight="1" s="70">
      <c r="A466" s="281" t="n"/>
      <c r="B466" s="279" t="n"/>
      <c r="C466" s="279" t="n"/>
      <c r="D466" s="282" t="n"/>
      <c r="E466" s="280" t="n"/>
      <c r="F466" s="283" t="n"/>
      <c r="G466" s="282" t="n"/>
      <c r="H466" s="280" t="n"/>
      <c r="I466" s="283" t="n"/>
      <c r="J466" s="176" t="inlineStr">
        <is>
          <t>— no certificate —</t>
        </is>
      </c>
      <c r="K466" s="120" t="n"/>
      <c r="L466" s="120" t="n"/>
      <c r="M466" s="120" t="n"/>
      <c r="N466" s="121" t="n"/>
      <c r="O466" s="283" t="n"/>
      <c r="P466" s="144" t="inlineStr">
        <is>
          <t>220-24-М-26, (11.09.2026) [FHM-M]</t>
        </is>
      </c>
      <c r="Q466" s="120" t="n"/>
      <c r="R466" s="121" t="n"/>
      <c r="S466" s="283" t="n"/>
      <c r="T466" s="176" t="inlineStr">
        <is>
          <t>— no certificate —</t>
        </is>
      </c>
      <c r="U466" s="120" t="n"/>
      <c r="V466" s="120" t="n"/>
      <c r="W466" s="121" t="n"/>
      <c r="X466" s="283" t="n"/>
      <c r="Y466" s="282" t="n"/>
      <c r="Z466" s="280" t="n"/>
      <c r="AA466" s="284" t="n"/>
    </row>
    <row r="467" ht="17.625" customHeight="1" s="70">
      <c r="A467" s="281" t="n"/>
      <c r="B467" s="279" t="n"/>
      <c r="C467" s="279" t="n"/>
      <c r="D467" s="151" t="n"/>
      <c r="E467" s="147" t="n"/>
      <c r="F467" s="152" t="n"/>
      <c r="G467" s="151" t="n"/>
      <c r="H467" s="147" t="n"/>
      <c r="I467" s="152" t="n"/>
      <c r="J467" s="151" t="n"/>
      <c r="K467" s="147" t="n"/>
      <c r="L467" s="147" t="n"/>
      <c r="M467" s="147" t="n"/>
      <c r="N467" s="147" t="n"/>
      <c r="O467" s="152" t="n"/>
      <c r="P467" s="151" t="n"/>
      <c r="Q467" s="147" t="n"/>
      <c r="R467" s="147" t="n"/>
      <c r="S467" s="152" t="n"/>
      <c r="T467" s="151" t="n"/>
      <c r="U467" s="147" t="n"/>
      <c r="V467" s="147" t="n"/>
      <c r="W467" s="147" t="n"/>
      <c r="X467" s="152" t="n"/>
      <c r="Y467" s="151" t="n"/>
      <c r="Z467" s="147" t="n"/>
      <c r="AA467" s="163" t="n"/>
    </row>
    <row r="468" ht="39" customHeight="1" s="70">
      <c r="A468" s="285" t="n"/>
      <c r="B468" s="286" t="n"/>
      <c r="C468" s="286" t="n"/>
      <c r="D468" s="166" t="n"/>
      <c r="E468" s="165" t="n"/>
      <c r="F468" s="167" t="n"/>
      <c r="G468" s="166" t="n"/>
      <c r="H468" s="165" t="n"/>
      <c r="I468" s="167" t="n"/>
      <c r="J468" s="166" t="n"/>
      <c r="K468" s="165" t="n"/>
      <c r="L468" s="165" t="n"/>
      <c r="M468" s="165" t="n"/>
      <c r="N468" s="165" t="n"/>
      <c r="O468" s="167" t="n"/>
      <c r="P468" s="166" t="n"/>
      <c r="Q468" s="165" t="n"/>
      <c r="R468" s="165" t="n"/>
      <c r="S468" s="167" t="n"/>
      <c r="T468" s="166" t="n"/>
      <c r="U468" s="165" t="n"/>
      <c r="V468" s="165" t="n"/>
      <c r="W468" s="165" t="n"/>
      <c r="X468" s="167" t="n"/>
      <c r="Y468" s="166" t="n"/>
      <c r="Z468" s="165" t="n"/>
      <c r="AA468" s="169" t="n"/>
    </row>
    <row r="469" ht="21" customHeight="1" s="70">
      <c r="A469" s="125" t="inlineStr">
        <is>
          <t>SCR022601</t>
        </is>
      </c>
      <c r="B469" s="126" t="inlineStr">
        <is>
          <t>P060442</t>
        </is>
      </c>
      <c r="C469" s="170" t="inlineStr">
        <is>
          <t>⚠ 3 NO RESULT
(3 no cert / 0 cert w/o result)
2 testing instances</t>
        </is>
      </c>
      <c r="D469" s="131" t="inlineStr">
        <is>
          <t>Conforms ᴿ</t>
        </is>
      </c>
      <c r="E469" s="132" t="inlineStr">
        <is>
          <t>ППК26116, (06.07.2026) [CNP]</t>
        </is>
      </c>
      <c r="F469" s="133" t="inlineStr">
        <is>
          <t>✓</t>
        </is>
      </c>
      <c r="G469" s="131" t="inlineStr">
        <is>
          <t>7.06 ᴿ</t>
        </is>
      </c>
      <c r="H469" s="132" t="inlineStr">
        <is>
          <t>ППК26116, (06.07.2026) [CNP]</t>
        </is>
      </c>
      <c r="I469" s="133" t="inlineStr">
        <is>
          <t>✓</t>
        </is>
      </c>
      <c r="J469" s="131" t="inlineStr">
        <is>
          <t>1.7 × 10³</t>
        </is>
      </c>
      <c r="K469" s="139" t="inlineStr">
        <is>
          <t>5.6 × 10²</t>
        </is>
      </c>
      <c r="L469" s="139" t="inlineStr">
        <is>
          <t>&lt; 10</t>
        </is>
      </c>
      <c r="M469" s="139" t="inlineStr">
        <is>
          <t>Absent</t>
        </is>
      </c>
      <c r="N469" s="139" t="inlineStr">
        <is>
          <t>Absent</t>
        </is>
      </c>
      <c r="O469" s="133" t="inlineStr">
        <is>
          <t>✓</t>
        </is>
      </c>
      <c r="P469" s="171" t="inlineStr">
        <is>
          <t>— MISSING —</t>
        </is>
      </c>
      <c r="Q469" s="172" t="inlineStr">
        <is>
          <t>— MISSING —</t>
        </is>
      </c>
      <c r="R469" s="172" t="inlineStr">
        <is>
          <t>— MISSING —</t>
        </is>
      </c>
      <c r="S469" s="173" t="inlineStr">
        <is>
          <t>✗</t>
        </is>
      </c>
      <c r="T469" s="171" t="inlineStr">
        <is>
          <t>— MISSING —</t>
        </is>
      </c>
      <c r="U469" s="172" t="inlineStr">
        <is>
          <t>— MISSING —</t>
        </is>
      </c>
      <c r="V469" s="172" t="inlineStr">
        <is>
          <t>— MISSING —</t>
        </is>
      </c>
      <c r="W469" s="172" t="inlineStr">
        <is>
          <t>— MISSING —</t>
        </is>
      </c>
      <c r="X469" s="173" t="inlineStr">
        <is>
          <t>✗</t>
        </is>
      </c>
      <c r="Y469" s="171" t="inlineStr">
        <is>
          <t>— MISSING —</t>
        </is>
      </c>
      <c r="Z469" s="174" t="inlineStr">
        <is>
          <t>— no certificate —</t>
        </is>
      </c>
      <c r="AA469" s="175" t="inlineStr">
        <is>
          <t>✗</t>
        </is>
      </c>
    </row>
    <row r="470" ht="39" customHeight="1" s="70">
      <c r="A470" s="281" t="n"/>
      <c r="B470" s="279" t="n"/>
      <c r="C470" s="279" t="n"/>
      <c r="D470" s="282" t="n"/>
      <c r="E470" s="280" t="n"/>
      <c r="F470" s="283" t="n"/>
      <c r="G470" s="282" t="n"/>
      <c r="H470" s="280" t="n"/>
      <c r="I470" s="283" t="n"/>
      <c r="J470" s="144" t="inlineStr">
        <is>
          <t>536-1067-26, (31.08.2026) [IJZ-MB]</t>
        </is>
      </c>
      <c r="K470" s="120" t="n"/>
      <c r="L470" s="120" t="n"/>
      <c r="M470" s="120" t="n"/>
      <c r="N470" s="121" t="n"/>
      <c r="O470" s="283" t="n"/>
      <c r="P470" s="176" t="inlineStr">
        <is>
          <t>— no certificate —</t>
        </is>
      </c>
      <c r="Q470" s="120" t="n"/>
      <c r="R470" s="121" t="n"/>
      <c r="S470" s="283" t="n"/>
      <c r="T470" s="176" t="inlineStr">
        <is>
          <t>— no certificate —</t>
        </is>
      </c>
      <c r="U470" s="120" t="n"/>
      <c r="V470" s="120" t="n"/>
      <c r="W470" s="121" t="n"/>
      <c r="X470" s="283" t="n"/>
      <c r="Y470" s="282" t="n"/>
      <c r="Z470" s="280" t="n"/>
      <c r="AA470" s="284" t="n"/>
    </row>
    <row r="471" ht="17.625" customHeight="1" s="70">
      <c r="A471" s="281" t="n"/>
      <c r="B471" s="279" t="n"/>
      <c r="C471" s="279" t="n"/>
      <c r="D471" s="151" t="n"/>
      <c r="E471" s="147" t="n"/>
      <c r="F471" s="152" t="n"/>
      <c r="G471" s="151" t="n"/>
      <c r="H471" s="147" t="n"/>
      <c r="I471" s="152" t="n"/>
      <c r="J471" s="151" t="n"/>
      <c r="K471" s="147" t="n"/>
      <c r="L471" s="147" t="n"/>
      <c r="M471" s="147" t="n"/>
      <c r="N471" s="147" t="n"/>
      <c r="O471" s="152" t="n"/>
      <c r="P471" s="151" t="n"/>
      <c r="Q471" s="147" t="n"/>
      <c r="R471" s="147" t="n"/>
      <c r="S471" s="152" t="n"/>
      <c r="T471" s="151" t="n"/>
      <c r="U471" s="147" t="n"/>
      <c r="V471" s="147" t="n"/>
      <c r="W471" s="147" t="n"/>
      <c r="X471" s="152" t="n"/>
      <c r="Y471" s="151" t="n"/>
      <c r="Z471" s="147" t="n"/>
      <c r="AA471" s="163" t="n"/>
    </row>
    <row r="472" ht="13" customHeight="1" s="70">
      <c r="A472" s="285" t="n"/>
      <c r="B472" s="286" t="n"/>
      <c r="C472" s="286" t="n"/>
      <c r="D472" s="166" t="n"/>
      <c r="E472" s="165" t="n"/>
      <c r="F472" s="167" t="n"/>
      <c r="G472" s="166" t="n"/>
      <c r="H472" s="165" t="n"/>
      <c r="I472" s="167" t="n"/>
      <c r="J472" s="166" t="n"/>
      <c r="K472" s="165" t="n"/>
      <c r="L472" s="165" t="n"/>
      <c r="M472" s="165" t="n"/>
      <c r="N472" s="165" t="n"/>
      <c r="O472" s="167" t="n"/>
      <c r="P472" s="166" t="n"/>
      <c r="Q472" s="165" t="n"/>
      <c r="R472" s="165" t="n"/>
      <c r="S472" s="167" t="n"/>
      <c r="T472" s="166" t="n"/>
      <c r="U472" s="165" t="n"/>
      <c r="V472" s="165" t="n"/>
      <c r="W472" s="165" t="n"/>
      <c r="X472" s="167" t="n"/>
      <c r="Y472" s="166" t="n"/>
      <c r="Z472" s="165" t="n"/>
      <c r="AA472" s="169" t="n"/>
    </row>
    <row r="473" ht="21" customHeight="1" s="70">
      <c r="A473" s="125" t="inlineStr">
        <is>
          <t>SJ102501</t>
        </is>
      </c>
      <c r="B473" s="126" t="inlineStr">
        <is>
          <t>P060162</t>
        </is>
      </c>
      <c r="C473" s="170" t="inlineStr">
        <is>
          <t>⚠ 3 NO RESULT
(3 no cert / 0 cert w/o result)
3 testing instances
• 2 document(s) on file, not credited</t>
        </is>
      </c>
      <c r="D473" s="131" t="inlineStr">
        <is>
          <t>Conforms</t>
        </is>
      </c>
      <c r="E473" s="132">
        <f>IFERROR(INDEX('iCoA Register'!$B:$B,MATCH("P060162|I",'iCoA Register'!$AA:$AA,0)),"iCoA — at issue")&amp;", (09.03.2026) [PP]"</f>
        <v/>
      </c>
      <c r="F473" s="133" t="inlineStr">
        <is>
          <t>✓</t>
        </is>
      </c>
      <c r="G473" s="131" t="inlineStr">
        <is>
          <t>7.8</t>
        </is>
      </c>
      <c r="H473" s="132" t="inlineStr">
        <is>
          <t>051-3-ГС-26, (02.03.2026) [FHM-K]</t>
        </is>
      </c>
      <c r="I473" s="133" t="inlineStr">
        <is>
          <t>✓</t>
        </is>
      </c>
      <c r="J473" s="131" t="inlineStr">
        <is>
          <t>5.2 × 10²</t>
        </is>
      </c>
      <c r="K473" s="139" t="inlineStr">
        <is>
          <t>4.3 × 10²</t>
        </is>
      </c>
      <c r="L473" s="139" t="inlineStr">
        <is>
          <t>&lt; 10</t>
        </is>
      </c>
      <c r="M473" s="139" t="inlineStr">
        <is>
          <t>Absent</t>
        </is>
      </c>
      <c r="N473" s="139" t="inlineStr">
        <is>
          <t>Absent</t>
        </is>
      </c>
      <c r="O473" s="133" t="inlineStr">
        <is>
          <t>✓</t>
        </is>
      </c>
      <c r="P473" s="171" t="inlineStr">
        <is>
          <t>— MISSING —</t>
        </is>
      </c>
      <c r="Q473" s="172" t="inlineStr">
        <is>
          <t>— MISSING —</t>
        </is>
      </c>
      <c r="R473" s="172" t="inlineStr">
        <is>
          <t>— MISSING —</t>
        </is>
      </c>
      <c r="S473" s="173" t="inlineStr">
        <is>
          <t>✗</t>
        </is>
      </c>
      <c r="T473" s="171" t="inlineStr">
        <is>
          <t>— MISSING —</t>
        </is>
      </c>
      <c r="U473" s="172" t="inlineStr">
        <is>
          <t>— MISSING —</t>
        </is>
      </c>
      <c r="V473" s="172" t="inlineStr">
        <is>
          <t>— MISSING —</t>
        </is>
      </c>
      <c r="W473" s="172" t="inlineStr">
        <is>
          <t>— MISSING —</t>
        </is>
      </c>
      <c r="X473" s="173" t="inlineStr">
        <is>
          <t>✗</t>
        </is>
      </c>
      <c r="Y473" s="171" t="inlineStr">
        <is>
          <t>— MISSING —</t>
        </is>
      </c>
      <c r="Z473" s="174" t="inlineStr">
        <is>
          <t>— no certificate —</t>
        </is>
      </c>
      <c r="AA473" s="175" t="inlineStr">
        <is>
          <t>✗</t>
        </is>
      </c>
    </row>
    <row r="474" ht="39" customHeight="1" s="70">
      <c r="A474" s="281" t="n"/>
      <c r="B474" s="279" t="n"/>
      <c r="C474" s="279" t="n"/>
      <c r="D474" s="282" t="n"/>
      <c r="E474" s="280" t="n"/>
      <c r="F474" s="283" t="n"/>
      <c r="G474" s="282" t="n"/>
      <c r="H474" s="280" t="n"/>
      <c r="I474" s="283" t="n"/>
      <c r="J474" s="144" t="inlineStr">
        <is>
          <t>549-1080-26, (31.08.2026) [IJZ-MB]</t>
        </is>
      </c>
      <c r="K474" s="120" t="n"/>
      <c r="L474" s="120" t="n"/>
      <c r="M474" s="120" t="n"/>
      <c r="N474" s="121" t="n"/>
      <c r="O474" s="283" t="n"/>
      <c r="P474" s="176" t="inlineStr">
        <is>
          <t>— no certificate —</t>
        </is>
      </c>
      <c r="Q474" s="120" t="n"/>
      <c r="R474" s="121" t="n"/>
      <c r="S474" s="283" t="n"/>
      <c r="T474" s="176" t="inlineStr">
        <is>
          <t>— no certificate —</t>
        </is>
      </c>
      <c r="U474" s="120" t="n"/>
      <c r="V474" s="120" t="n"/>
      <c r="W474" s="121" t="n"/>
      <c r="X474" s="283" t="n"/>
      <c r="Y474" s="282" t="n"/>
      <c r="Z474" s="280" t="n"/>
      <c r="AA474" s="284" t="n"/>
    </row>
    <row r="475" ht="17.625" customHeight="1" s="70">
      <c r="A475" s="281" t="n"/>
      <c r="B475" s="279" t="n"/>
      <c r="C475" s="279" t="n"/>
      <c r="D475" s="151" t="n"/>
      <c r="E475" s="147" t="n"/>
      <c r="F475" s="152" t="n"/>
      <c r="G475" s="200" t="inlineStr">
        <is>
          <t>not on this certificate</t>
        </is>
      </c>
      <c r="H475" s="201" t="inlineStr">
        <is>
          <t>051-3-К-26, (04.03.2026) [FHM-K] · on file, not credited</t>
        </is>
      </c>
      <c r="I475" s="202" t="inlineStr">
        <is>
          <t>•</t>
        </is>
      </c>
      <c r="J475" s="151" t="n"/>
      <c r="K475" s="147" t="n"/>
      <c r="L475" s="147" t="n"/>
      <c r="M475" s="147" t="n"/>
      <c r="N475" s="147" t="n"/>
      <c r="O475" s="152" t="n"/>
      <c r="P475" s="151" t="n"/>
      <c r="Q475" s="147" t="n"/>
      <c r="R475" s="147" t="n"/>
      <c r="S475" s="152" t="n"/>
      <c r="T475" s="151" t="n"/>
      <c r="U475" s="147" t="n"/>
      <c r="V475" s="147" t="n"/>
      <c r="W475" s="147" t="n"/>
      <c r="X475" s="152" t="n"/>
      <c r="Y475" s="151" t="n"/>
      <c r="Z475" s="147" t="n"/>
      <c r="AA475" s="163" t="n"/>
    </row>
    <row r="476" ht="21" customHeight="1" s="70">
      <c r="A476" s="281" t="n"/>
      <c r="B476" s="279" t="n"/>
      <c r="C476" s="279" t="n"/>
      <c r="D476" s="205" t="n"/>
      <c r="E476" s="204" t="n"/>
      <c r="F476" s="206" t="n"/>
      <c r="G476" s="282" t="n"/>
      <c r="H476" s="280" t="n"/>
      <c r="I476" s="283" t="n"/>
      <c r="J476" s="205" t="n"/>
      <c r="K476" s="204" t="n"/>
      <c r="L476" s="204" t="n"/>
      <c r="M476" s="204" t="n"/>
      <c r="N476" s="204" t="n"/>
      <c r="O476" s="206" t="n"/>
      <c r="P476" s="205" t="n"/>
      <c r="Q476" s="204" t="n"/>
      <c r="R476" s="204" t="n"/>
      <c r="S476" s="206" t="n"/>
      <c r="T476" s="205" t="n"/>
      <c r="U476" s="204" t="n"/>
      <c r="V476" s="204" t="n"/>
      <c r="W476" s="204" t="n"/>
      <c r="X476" s="206" t="n"/>
      <c r="Y476" s="205" t="n"/>
      <c r="Z476" s="204" t="n"/>
      <c r="AA476" s="207" t="n"/>
    </row>
    <row r="477" ht="17.625" customHeight="1" s="70">
      <c r="A477" s="281" t="n"/>
      <c r="B477" s="279" t="n"/>
      <c r="C477" s="279" t="n"/>
      <c r="D477" s="151" t="n"/>
      <c r="E477" s="147" t="n"/>
      <c r="F477" s="152" t="n"/>
      <c r="G477" s="151" t="n"/>
      <c r="H477" s="147" t="n"/>
      <c r="I477" s="152" t="n"/>
      <c r="J477" s="151" t="n"/>
      <c r="K477" s="147" t="n"/>
      <c r="L477" s="147" t="n"/>
      <c r="M477" s="147" t="n"/>
      <c r="N477" s="147" t="n"/>
      <c r="O477" s="152" t="n"/>
      <c r="P477" s="151" t="n"/>
      <c r="Q477" s="147" t="n"/>
      <c r="R477" s="147" t="n"/>
      <c r="S477" s="152" t="n"/>
      <c r="T477" s="151" t="n"/>
      <c r="U477" s="147" t="n"/>
      <c r="V477" s="147" t="n"/>
      <c r="W477" s="147" t="n"/>
      <c r="X477" s="152" t="n"/>
      <c r="Y477" s="151" t="n"/>
      <c r="Z477" s="147" t="n"/>
      <c r="AA477" s="163" t="n"/>
    </row>
    <row r="478" ht="13" customHeight="1" s="70">
      <c r="A478" s="285" t="n"/>
      <c r="B478" s="286" t="n"/>
      <c r="C478" s="286" t="n"/>
      <c r="D478" s="166" t="n"/>
      <c r="E478" s="165" t="n"/>
      <c r="F478" s="167" t="n"/>
      <c r="G478" s="166" t="n"/>
      <c r="H478" s="165" t="n"/>
      <c r="I478" s="167" t="n"/>
      <c r="J478" s="166" t="n"/>
      <c r="K478" s="165" t="n"/>
      <c r="L478" s="165" t="n"/>
      <c r="M478" s="165" t="n"/>
      <c r="N478" s="165" t="n"/>
      <c r="O478" s="167" t="n"/>
      <c r="P478" s="166" t="n"/>
      <c r="Q478" s="165" t="n"/>
      <c r="R478" s="165" t="n"/>
      <c r="S478" s="167" t="n"/>
      <c r="T478" s="166" t="n"/>
      <c r="U478" s="165" t="n"/>
      <c r="V478" s="165" t="n"/>
      <c r="W478" s="165" t="n"/>
      <c r="X478" s="167" t="n"/>
      <c r="Y478" s="166" t="n"/>
      <c r="Z478" s="165" t="n"/>
      <c r="AA478" s="169" t="n"/>
    </row>
    <row r="479" ht="21" customHeight="1" s="70">
      <c r="A479" s="125" t="inlineStr">
        <is>
          <t>SJ112501</t>
        </is>
      </c>
      <c r="B479" s="126" t="inlineStr">
        <is>
          <t>P060192</t>
        </is>
      </c>
      <c r="C479" s="177" t="inlineStr">
        <is>
          <t>✗ 4 NO RESULT
(4 no cert / 0 cert w/o result)
3 testing instances
• 2 document(s) on file, not credited</t>
        </is>
      </c>
      <c r="D479" s="131" t="inlineStr">
        <is>
          <t>Conforms</t>
        </is>
      </c>
      <c r="E479" s="132">
        <f>IFERROR(INDEX('iCoA Register'!$B:$B,MATCH("P060192|I",'iCoA Register'!$AA:$AA,0)),"iCoA — at issue")&amp;", (31.03.2026) [PP]"</f>
        <v/>
      </c>
      <c r="F479" s="133" t="inlineStr">
        <is>
          <t>✓</t>
        </is>
      </c>
      <c r="G479" s="131" t="inlineStr">
        <is>
          <t>6.7</t>
        </is>
      </c>
      <c r="H479" s="132" t="inlineStr">
        <is>
          <t>051-2-ГС-26, (02.03.2026) [FHM-K]</t>
        </is>
      </c>
      <c r="I479" s="133" t="inlineStr">
        <is>
          <t>✓</t>
        </is>
      </c>
      <c r="J479" s="171" t="inlineStr">
        <is>
          <t>— MISSING —</t>
        </is>
      </c>
      <c r="K479" s="172" t="inlineStr">
        <is>
          <t>— MISSING —</t>
        </is>
      </c>
      <c r="L479" s="172" t="inlineStr">
        <is>
          <t>— MISSING —</t>
        </is>
      </c>
      <c r="M479" s="172" t="inlineStr">
        <is>
          <t>— MISSING —</t>
        </is>
      </c>
      <c r="N479" s="172" t="inlineStr">
        <is>
          <t>— MISSING —</t>
        </is>
      </c>
      <c r="O479" s="173" t="inlineStr">
        <is>
          <t>✗</t>
        </is>
      </c>
      <c r="P479" s="171" t="inlineStr">
        <is>
          <t>— MISSING —</t>
        </is>
      </c>
      <c r="Q479" s="172" t="inlineStr">
        <is>
          <t>— MISSING —</t>
        </is>
      </c>
      <c r="R479" s="172" t="inlineStr">
        <is>
          <t>— MISSING —</t>
        </is>
      </c>
      <c r="S479" s="173" t="inlineStr">
        <is>
          <t>✗</t>
        </is>
      </c>
      <c r="T479" s="171" t="inlineStr">
        <is>
          <t>— MISSING —</t>
        </is>
      </c>
      <c r="U479" s="172" t="inlineStr">
        <is>
          <t>— MISSING —</t>
        </is>
      </c>
      <c r="V479" s="172" t="inlineStr">
        <is>
          <t>— MISSING —</t>
        </is>
      </c>
      <c r="W479" s="172" t="inlineStr">
        <is>
          <t>— MISSING —</t>
        </is>
      </c>
      <c r="X479" s="173" t="inlineStr">
        <is>
          <t>✗</t>
        </is>
      </c>
      <c r="Y479" s="171" t="inlineStr">
        <is>
          <t>— MISSING —</t>
        </is>
      </c>
      <c r="Z479" s="174" t="inlineStr">
        <is>
          <t>— no certificate —</t>
        </is>
      </c>
      <c r="AA479" s="175" t="inlineStr">
        <is>
          <t>✗</t>
        </is>
      </c>
    </row>
    <row r="480" ht="21" customHeight="1" s="70">
      <c r="A480" s="281" t="n"/>
      <c r="B480" s="279" t="n"/>
      <c r="C480" s="279" t="n"/>
      <c r="D480" s="282" t="n"/>
      <c r="E480" s="280" t="n"/>
      <c r="F480" s="283" t="n"/>
      <c r="G480" s="282" t="n"/>
      <c r="H480" s="280" t="n"/>
      <c r="I480" s="283" t="n"/>
      <c r="J480" s="176" t="inlineStr">
        <is>
          <t>— no certificate —</t>
        </is>
      </c>
      <c r="K480" s="120" t="n"/>
      <c r="L480" s="120" t="n"/>
      <c r="M480" s="120" t="n"/>
      <c r="N480" s="121" t="n"/>
      <c r="O480" s="283" t="n"/>
      <c r="P480" s="176" t="inlineStr">
        <is>
          <t>— no certificate —</t>
        </is>
      </c>
      <c r="Q480" s="120" t="n"/>
      <c r="R480" s="121" t="n"/>
      <c r="S480" s="283" t="n"/>
      <c r="T480" s="176" t="inlineStr">
        <is>
          <t>— no certificate —</t>
        </is>
      </c>
      <c r="U480" s="120" t="n"/>
      <c r="V480" s="120" t="n"/>
      <c r="W480" s="121" t="n"/>
      <c r="X480" s="283" t="n"/>
      <c r="Y480" s="282" t="n"/>
      <c r="Z480" s="280" t="n"/>
      <c r="AA480" s="284" t="n"/>
    </row>
    <row r="481" ht="17.625" customHeight="1" s="70">
      <c r="A481" s="281" t="n"/>
      <c r="B481" s="279" t="n"/>
      <c r="C481" s="279" t="n"/>
      <c r="D481" s="151" t="n"/>
      <c r="E481" s="147" t="n"/>
      <c r="F481" s="152" t="n"/>
      <c r="G481" s="200" t="inlineStr">
        <is>
          <t>not on this certificate</t>
        </is>
      </c>
      <c r="H481" s="201" t="inlineStr">
        <is>
          <t>051-2-К-26, (04.03.2026) [FHM-K] · on file, not credited</t>
        </is>
      </c>
      <c r="I481" s="202" t="inlineStr">
        <is>
          <t>•</t>
        </is>
      </c>
      <c r="J481" s="151" t="n"/>
      <c r="K481" s="147" t="n"/>
      <c r="L481" s="147" t="n"/>
      <c r="M481" s="147" t="n"/>
      <c r="N481" s="147" t="n"/>
      <c r="O481" s="152" t="n"/>
      <c r="P481" s="151" t="n"/>
      <c r="Q481" s="147" t="n"/>
      <c r="R481" s="147" t="n"/>
      <c r="S481" s="152" t="n"/>
      <c r="T481" s="151" t="n"/>
      <c r="U481" s="147" t="n"/>
      <c r="V481" s="147" t="n"/>
      <c r="W481" s="147" t="n"/>
      <c r="X481" s="152" t="n"/>
      <c r="Y481" s="151" t="n"/>
      <c r="Z481" s="147" t="n"/>
      <c r="AA481" s="163" t="n"/>
    </row>
    <row r="482" ht="21" customHeight="1" s="70">
      <c r="A482" s="281" t="n"/>
      <c r="B482" s="279" t="n"/>
      <c r="C482" s="279" t="n"/>
      <c r="D482" s="205" t="n"/>
      <c r="E482" s="204" t="n"/>
      <c r="F482" s="206" t="n"/>
      <c r="G482" s="282" t="n"/>
      <c r="H482" s="280" t="n"/>
      <c r="I482" s="283" t="n"/>
      <c r="J482" s="205" t="n"/>
      <c r="K482" s="204" t="n"/>
      <c r="L482" s="204" t="n"/>
      <c r="M482" s="204" t="n"/>
      <c r="N482" s="204" t="n"/>
      <c r="O482" s="206" t="n"/>
      <c r="P482" s="205" t="n"/>
      <c r="Q482" s="204" t="n"/>
      <c r="R482" s="204" t="n"/>
      <c r="S482" s="206" t="n"/>
      <c r="T482" s="205" t="n"/>
      <c r="U482" s="204" t="n"/>
      <c r="V482" s="204" t="n"/>
      <c r="W482" s="204" t="n"/>
      <c r="X482" s="206" t="n"/>
      <c r="Y482" s="205" t="n"/>
      <c r="Z482" s="204" t="n"/>
      <c r="AA482" s="207" t="n"/>
    </row>
    <row r="483" ht="17.625" customHeight="1" s="70">
      <c r="A483" s="281" t="n"/>
      <c r="B483" s="279" t="n"/>
      <c r="C483" s="279" t="n"/>
      <c r="D483" s="151" t="n"/>
      <c r="E483" s="147" t="n"/>
      <c r="F483" s="152" t="n"/>
      <c r="G483" s="151" t="n"/>
      <c r="H483" s="147" t="n"/>
      <c r="I483" s="152" t="n"/>
      <c r="J483" s="151" t="n"/>
      <c r="K483" s="147" t="n"/>
      <c r="L483" s="147" t="n"/>
      <c r="M483" s="147" t="n"/>
      <c r="N483" s="147" t="n"/>
      <c r="O483" s="152" t="n"/>
      <c r="P483" s="151" t="n"/>
      <c r="Q483" s="147" t="n"/>
      <c r="R483" s="147" t="n"/>
      <c r="S483" s="152" t="n"/>
      <c r="T483" s="151" t="n"/>
      <c r="U483" s="147" t="n"/>
      <c r="V483" s="147" t="n"/>
      <c r="W483" s="147" t="n"/>
      <c r="X483" s="152" t="n"/>
      <c r="Y483" s="151" t="n"/>
      <c r="Z483" s="147" t="n"/>
      <c r="AA483" s="163" t="n"/>
    </row>
    <row r="484" ht="13" customHeight="1" s="70">
      <c r="A484" s="285" t="n"/>
      <c r="B484" s="286" t="n"/>
      <c r="C484" s="286" t="n"/>
      <c r="D484" s="166" t="n"/>
      <c r="E484" s="165" t="n"/>
      <c r="F484" s="167" t="n"/>
      <c r="G484" s="166" t="n"/>
      <c r="H484" s="165" t="n"/>
      <c r="I484" s="167" t="n"/>
      <c r="J484" s="166" t="n"/>
      <c r="K484" s="165" t="n"/>
      <c r="L484" s="165" t="n"/>
      <c r="M484" s="165" t="n"/>
      <c r="N484" s="165" t="n"/>
      <c r="O484" s="167" t="n"/>
      <c r="P484" s="166" t="n"/>
      <c r="Q484" s="165" t="n"/>
      <c r="R484" s="165" t="n"/>
      <c r="S484" s="167" t="n"/>
      <c r="T484" s="166" t="n"/>
      <c r="U484" s="165" t="n"/>
      <c r="V484" s="165" t="n"/>
      <c r="W484" s="165" t="n"/>
      <c r="X484" s="167" t="n"/>
      <c r="Y484" s="166" t="n"/>
      <c r="Z484" s="165" t="n"/>
      <c r="AA484" s="169" t="n"/>
    </row>
    <row r="485" ht="62" customHeight="1" s="70">
      <c r="A485"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5" s="120" t="n"/>
      <c r="C485" s="120" t="n"/>
      <c r="D485" s="120" t="n"/>
      <c r="E485" s="120" t="n"/>
      <c r="F485" s="120" t="n"/>
      <c r="G485" s="120" t="n"/>
      <c r="H485" s="120" t="n"/>
      <c r="I485" s="120" t="n"/>
      <c r="J485" s="120" t="n"/>
      <c r="K485" s="120" t="n"/>
      <c r="L485" s="120" t="n"/>
      <c r="M485" s="120" t="n"/>
      <c r="N485" s="120" t="n"/>
      <c r="O485" s="120" t="n"/>
      <c r="P485" s="120" t="n"/>
      <c r="Q485" s="120" t="n"/>
      <c r="R485" s="120" t="n"/>
      <c r="S485" s="120" t="n"/>
      <c r="T485" s="120" t="n"/>
      <c r="U485" s="120" t="n"/>
      <c r="V485" s="120" t="n"/>
      <c r="W485" s="120" t="n"/>
      <c r="X485" s="120" t="n"/>
      <c r="Y485" s="120" t="n"/>
      <c r="Z485" s="120" t="n"/>
      <c r="AA485" s="121" t="n"/>
    </row>
    <row r="488" ht="20" customHeight="1" s="70">
      <c r="A488" s="264" t="inlineStr">
        <is>
          <t>RECONCILIATION 09.09</t>
        </is>
      </c>
    </row>
    <row r="489">
      <c r="A489" s="294" t="inlineStr">
        <is>
          <t>THE PASS THIS BUILD READ</t>
        </is>
      </c>
      <c r="B489" s="294" t="inlineStr"/>
      <c r="C489" s="294" t="inlineStr"/>
      <c r="D489" s="294" t="inlineStr"/>
      <c r="E489" s="294" t="inlineStr"/>
    </row>
    <row r="491">
      <c r="A491" s="295" t="inlineStr">
        <is>
          <t>Source</t>
        </is>
      </c>
      <c r="B491" s="296" t="inlineStr">
        <is>
          <t>CoQ_Analysis_Master_v20_owner.xlsx</t>
        </is>
      </c>
      <c r="D491" s="297" t="inlineStr">
        <is>
          <t>the owner's workbook of 09.09.2026, vendored beside this one; the three sheets it was read from are Cell Resolution 09.09, Coverage Update 09.09 and Identity Problem 09.09</t>
        </is>
      </c>
    </row>
    <row r="492">
      <c r="A492" s="295" t="inlineStr">
        <is>
          <t>Certificates it read</t>
        </is>
      </c>
      <c r="B492" s="296" t="inlineStr">
        <is>
          <t>387</t>
        </is>
      </c>
      <c r="D492" s="297" t="inlineStr">
        <is>
          <t>eCoA_DATABASE, name for name</t>
        </is>
      </c>
    </row>
    <row r="493">
      <c r="A493" s="295" t="inlineStr">
        <is>
          <t>Determinations it resolved</t>
        </is>
      </c>
      <c r="B493" s="296" t="inlineStr">
        <is>
          <t>600</t>
        </is>
      </c>
      <c r="D493" s="297" t="inlineStr">
        <is>
          <t>50 lots of Tranches 1 and 2 x 12</t>
        </is>
      </c>
    </row>
    <row r="495">
      <c r="A495" s="294" t="inlineStr">
        <is>
          <t>WHAT IT CLOSED ON BATCH COVERAGE</t>
        </is>
      </c>
      <c r="B495" s="294" t="inlineStr"/>
      <c r="C495" s="294" t="inlineStr"/>
      <c r="D495" s="294" t="inlineStr"/>
      <c r="E495" s="294" t="inlineStr"/>
    </row>
    <row r="497">
      <c r="A497" s="295" t="inlineStr">
        <is>
          <t>Parameters closed</t>
        </is>
      </c>
      <c r="B497" s="296" t="inlineStr">
        <is>
          <t>85</t>
        </is>
      </c>
      <c r="D497" s="297" t="inlineStr">
        <is>
          <t>a certificate on file that this sheet still marked missing</t>
        </is>
      </c>
    </row>
    <row r="498">
      <c r="A498" s="295" t="inlineStr">
        <is>
          <t>Lots affected</t>
        </is>
      </c>
      <c r="B498" s="296" t="inlineStr">
        <is>
          <t>28</t>
        </is>
      </c>
    </row>
    <row r="499">
      <c r="A499" s="295" t="inlineStr">
        <is>
          <t>Closures not applied</t>
        </is>
      </c>
      <c r="B499" s="296" t="inlineStr">
        <is>
          <t>36</t>
        </is>
      </c>
      <c r="D499" s="297" t="inlineStr">
        <is>
          <t>already covered, or the lot has no row on Batch Coverage — listed below</t>
        </is>
      </c>
    </row>
    <row r="501">
      <c r="A501" s="294" t="inlineStr">
        <is>
          <t>WHAT THE TWO RECORDS SAY ABOUT THE SAME 600 CELLS</t>
        </is>
      </c>
      <c r="B501" s="294" t="inlineStr"/>
      <c r="C501" s="294" t="inlineStr"/>
      <c r="D501" s="294" t="inlineStr"/>
      <c r="E501" s="294" t="inlineStr"/>
    </row>
    <row r="503">
      <c r="A503" s="295" t="inlineStr">
        <is>
          <t>agree</t>
        </is>
      </c>
      <c r="B503" s="296" t="inlineStr">
        <is>
          <t>160</t>
        </is>
      </c>
      <c r="D503" s="297" t="inlineStr">
        <is>
          <t>both hold a value and it is the same value</t>
        </is>
      </c>
    </row>
    <row r="504">
      <c r="A504" s="295" t="inlineStr">
        <is>
          <t>values</t>
        </is>
      </c>
      <c r="B504" s="296" t="inlineStr">
        <is>
          <t>224</t>
        </is>
      </c>
      <c r="D504" s="297" t="inlineStr">
        <is>
          <t>both hold a value and the values differ — a finding</t>
        </is>
      </c>
    </row>
    <row r="505">
      <c r="A505" s="295" t="inlineStr">
        <is>
          <t>order</t>
        </is>
      </c>
      <c r="B505" s="296" t="inlineStr">
        <is>
          <t>4</t>
        </is>
      </c>
      <c r="D505" s="297" t="inlineStr">
        <is>
          <t>the same values against different analytes — a finding</t>
        </is>
      </c>
    </row>
    <row r="506">
      <c r="A506" s="295" t="inlineStr">
        <is>
          <t>fill</t>
        </is>
      </c>
      <c r="B506" s="296" t="inlineStr">
        <is>
          <t>17</t>
        </is>
      </c>
      <c r="D506" s="297" t="inlineStr">
        <is>
          <t>the desk held nothing and the pass holds a printable result</t>
        </is>
      </c>
    </row>
    <row r="507">
      <c r="A507" s="295" t="inlineStr">
        <is>
          <t>ambiguous</t>
        </is>
      </c>
      <c r="B507" s="296" t="inlineStr">
        <is>
          <t>4</t>
        </is>
      </c>
      <c r="D507" s="297" t="inlineStr">
        <is>
          <t>the pass holds a list of values it does not label</t>
        </is>
      </c>
    </row>
    <row r="508">
      <c r="A508" s="295" t="inlineStr">
        <is>
          <t>basis note</t>
        </is>
      </c>
      <c r="B508" s="296" t="inlineStr">
        <is>
          <t>25</t>
        </is>
      </c>
      <c r="D508" s="297" t="inlineStr">
        <is>
          <t>the pass names where identity comes from, not a result</t>
        </is>
      </c>
    </row>
    <row r="509">
      <c r="A509" s="295" t="inlineStr">
        <is>
          <t>none</t>
        </is>
      </c>
      <c r="B509" s="296" t="inlineStr">
        <is>
          <t>19</t>
        </is>
      </c>
      <c r="D509" s="297" t="inlineStr">
        <is>
          <t>neither record holds anything</t>
        </is>
      </c>
    </row>
    <row r="510">
      <c r="A510" s="295" t="inlineStr">
        <is>
          <t>not comparable</t>
        </is>
      </c>
      <c r="B510" s="296" t="inlineStr">
        <is>
          <t>124</t>
        </is>
      </c>
      <c r="D510" s="297" t="inlineStr">
        <is>
          <t>the two records hold different numbers of lines</t>
        </is>
      </c>
    </row>
    <row r="511">
      <c r="A511" s="295" t="inlineStr">
        <is>
          <t>no desk lot</t>
        </is>
      </c>
      <c r="B511" s="296" t="inlineStr">
        <is>
          <t>23</t>
        </is>
      </c>
      <c r="D511" s="297" t="inlineStr">
        <is>
          <t>the desk carries no initial-release CoQ for the batch</t>
        </is>
      </c>
    </row>
    <row r="513">
      <c r="A513" s="294" t="inlineStr">
        <is>
          <t>THE DISAGREEMENTS</t>
        </is>
      </c>
      <c r="B513" s="294" t="inlineStr"/>
      <c r="C513" s="294" t="inlineStr"/>
      <c r="D513" s="294" t="inlineStr"/>
      <c r="E513" s="294" t="inlineStr"/>
    </row>
    <row r="515">
      <c r="A515" s="294" t="inlineStr">
        <is>
          <t>Batch</t>
        </is>
      </c>
      <c r="B515" s="294" t="inlineStr">
        <is>
          <t>Determination</t>
        </is>
      </c>
      <c r="C515" s="294" t="inlineStr">
        <is>
          <t>Kind</t>
        </is>
      </c>
      <c r="D515" s="294" t="inlineStr">
        <is>
          <t>The desk holds</t>
        </is>
      </c>
      <c r="E515" s="294" t="inlineStr">
        <is>
          <t>The 09.09 pass reads</t>
        </is>
      </c>
    </row>
    <row r="516">
      <c r="A516" s="296" t="inlineStr">
        <is>
          <t>BG1024</t>
        </is>
      </c>
      <c r="B516" s="296" t="inlineStr">
        <is>
          <t>#1</t>
        </is>
      </c>
      <c r="C516" s="298" t="inlineStr">
        <is>
          <t>different values</t>
        </is>
      </c>
      <c r="D516" s="296" t="inlineStr">
        <is>
          <t>Conforms | Одговара</t>
        </is>
      </c>
      <c r="E516" s="296" t="inlineStr">
        <is>
          <t>Conforms</t>
        </is>
      </c>
    </row>
    <row r="517">
      <c r="A517" s="296" t="inlineStr">
        <is>
          <t>BG1024</t>
        </is>
      </c>
      <c r="B517" s="296" t="inlineStr">
        <is>
          <t>#2</t>
        </is>
      </c>
      <c r="C517" s="298" t="inlineStr">
        <is>
          <t>different values</t>
        </is>
      </c>
      <c r="D517" s="296" t="inlineStr">
        <is>
          <t>Conforms | Одговара</t>
        </is>
      </c>
      <c r="E517" s="296" t="inlineStr">
        <is>
          <t>Conforms</t>
        </is>
      </c>
    </row>
    <row r="518">
      <c r="A518" s="296" t="inlineStr">
        <is>
          <t>BG1024</t>
        </is>
      </c>
      <c r="B518" s="296" t="inlineStr">
        <is>
          <t>#7</t>
        </is>
      </c>
      <c r="C518" s="298" t="inlineStr">
        <is>
          <t>different values</t>
        </is>
      </c>
      <c r="D518" s="296" t="inlineStr">
        <is>
          <t>Conforms | Одговара</t>
        </is>
      </c>
      <c r="E518" s="296" t="inlineStr">
        <is>
          <t>Conforms</t>
        </is>
      </c>
    </row>
    <row r="519">
      <c r="A519" s="296" t="inlineStr">
        <is>
          <t>BG1024</t>
        </is>
      </c>
      <c r="B519" s="296" t="inlineStr">
        <is>
          <t>#9</t>
        </is>
      </c>
      <c r="C519" s="298" t="inlineStr">
        <is>
          <t>different values</t>
        </is>
      </c>
      <c r="D519" s="296" t="inlineStr">
        <is>
          <t>1.6 × 10⁴; 1 × 10⁴; &lt; 10² and &gt; 10; Absent | Отсутна; Absent | Отсутна</t>
        </is>
      </c>
      <c r="E519" s="296" t="inlineStr">
        <is>
          <t>1,6 x 10⁴ CFU/g; 1 x 10⁴ CFU/g; &lt; 10² и &gt; 10 CFU/g; Одговара; Одговара</t>
        </is>
      </c>
    </row>
    <row r="520">
      <c r="A520" s="296" t="inlineStr">
        <is>
          <t>BSS1024</t>
        </is>
      </c>
      <c r="B520" s="296" t="inlineStr">
        <is>
          <t>#1</t>
        </is>
      </c>
      <c r="C520" s="298" t="inlineStr">
        <is>
          <t>different values</t>
        </is>
      </c>
      <c r="D520" s="296" t="inlineStr">
        <is>
          <t>Conforms | Одговара</t>
        </is>
      </c>
      <c r="E520" s="296" t="inlineStr">
        <is>
          <t>Conforms</t>
        </is>
      </c>
    </row>
    <row r="521">
      <c r="A521" s="296" t="inlineStr">
        <is>
          <t>BSS1024</t>
        </is>
      </c>
      <c r="B521" s="296" t="inlineStr">
        <is>
          <t>#2</t>
        </is>
      </c>
      <c r="C521" s="298" t="inlineStr">
        <is>
          <t>different values</t>
        </is>
      </c>
      <c r="D521" s="296" t="inlineStr">
        <is>
          <t>Conforms | Одговара</t>
        </is>
      </c>
      <c r="E521" s="296" t="inlineStr">
        <is>
          <t>Conforms</t>
        </is>
      </c>
    </row>
    <row r="522">
      <c r="A522" s="296" t="inlineStr">
        <is>
          <t>BSS1024</t>
        </is>
      </c>
      <c r="B522" s="296" t="inlineStr">
        <is>
          <t>#7</t>
        </is>
      </c>
      <c r="C522" s="298" t="inlineStr">
        <is>
          <t>different values</t>
        </is>
      </c>
      <c r="D522" s="296" t="inlineStr">
        <is>
          <t>Conforms | Одговара</t>
        </is>
      </c>
      <c r="E522" s="296" t="inlineStr">
        <is>
          <t>Conforms</t>
        </is>
      </c>
    </row>
    <row r="523">
      <c r="A523" s="296" t="inlineStr">
        <is>
          <t>BSS1024</t>
        </is>
      </c>
      <c r="B523" s="296" t="inlineStr">
        <is>
          <t>#9</t>
        </is>
      </c>
      <c r="C523" s="298" t="inlineStr">
        <is>
          <t>different values</t>
        </is>
      </c>
      <c r="D523" s="296" t="inlineStr">
        <is>
          <t>1.5 × 10⁴; 2.2 × 10³; &lt; 10² and &gt; 10; Absent | Отсутна; Absent | Отсутна</t>
        </is>
      </c>
      <c r="E523" s="296" t="inlineStr">
        <is>
          <t>1,5 x 10⁴ CFU/g; 2,2 x 10³ CFU/g; &lt; 10² и &gt; 10 CFU/g; Одговара; Одговара</t>
        </is>
      </c>
    </row>
    <row r="524">
      <c r="A524" s="296" t="inlineStr">
        <is>
          <t>BSS1024</t>
        </is>
      </c>
      <c r="B524" s="296" t="inlineStr">
        <is>
          <t>#11</t>
        </is>
      </c>
      <c r="C524" s="299" t="inlineStr">
        <is>
          <t>same values,
other order</t>
        </is>
      </c>
      <c r="D524" s="296" t="inlineStr">
        <is>
          <t>0.071; 0.014; 0.081; 0.014</t>
        </is>
      </c>
      <c r="E524" s="296" t="inlineStr">
        <is>
          <t>0,081 mg/kg(l); 0,071 mg/kg(l); 0,014 mg/kg(l); 0,014 mg/kg(l)</t>
        </is>
      </c>
    </row>
    <row r="525">
      <c r="A525" s="296" t="inlineStr">
        <is>
          <t>CJ052501/01</t>
        </is>
      </c>
      <c r="B525" s="296" t="inlineStr">
        <is>
          <t>#1</t>
        </is>
      </c>
      <c r="C525" s="298" t="inlineStr">
        <is>
          <t>different values</t>
        </is>
      </c>
      <c r="D525" s="296" t="inlineStr">
        <is>
          <t>Conforms | Одговара</t>
        </is>
      </c>
      <c r="E525" s="296" t="inlineStr">
        <is>
          <t>Conforms</t>
        </is>
      </c>
    </row>
    <row r="526">
      <c r="A526" s="296" t="inlineStr">
        <is>
          <t>CJ052501/01</t>
        </is>
      </c>
      <c r="B526" s="296" t="inlineStr">
        <is>
          <t>#2</t>
        </is>
      </c>
      <c r="C526" s="298" t="inlineStr">
        <is>
          <t>different values</t>
        </is>
      </c>
      <c r="D526" s="296" t="inlineStr">
        <is>
          <t>Conforms | Одговара</t>
        </is>
      </c>
      <c r="E526" s="296" t="inlineStr">
        <is>
          <t>Conforms</t>
        </is>
      </c>
    </row>
    <row r="527">
      <c r="A527" s="296" t="inlineStr">
        <is>
          <t>CJ052501/01</t>
        </is>
      </c>
      <c r="B527" s="296" t="inlineStr">
        <is>
          <t>#3</t>
        </is>
      </c>
      <c r="C527" s="298" t="inlineStr">
        <is>
          <t>different values</t>
        </is>
      </c>
      <c r="D527" s="296" t="inlineStr">
        <is>
          <t>Conforms | Одговара</t>
        </is>
      </c>
      <c r="E527" s="296" t="inlineStr">
        <is>
          <t>Conforms (ImB spec.)</t>
        </is>
      </c>
    </row>
    <row r="528">
      <c r="A528" s="296" t="inlineStr">
        <is>
          <t>CJ052501/01</t>
        </is>
      </c>
      <c r="B528" s="296" t="inlineStr">
        <is>
          <t>#7</t>
        </is>
      </c>
      <c r="C528" s="298" t="inlineStr">
        <is>
          <t>different values</t>
        </is>
      </c>
      <c r="D528" s="296" t="inlineStr">
        <is>
          <t>Conforms | Одговара</t>
        </is>
      </c>
      <c r="E528" s="296" t="inlineStr">
        <is>
          <t>Conforms</t>
        </is>
      </c>
    </row>
    <row r="529">
      <c r="A529" s="296" t="inlineStr">
        <is>
          <t>CJ052501/01</t>
        </is>
      </c>
      <c r="B529" s="296" t="inlineStr">
        <is>
          <t>#9</t>
        </is>
      </c>
      <c r="C529" s="298" t="inlineStr">
        <is>
          <t>different values</t>
        </is>
      </c>
      <c r="D529" s="296" t="inlineStr">
        <is>
          <t>2.8 × 10⁴; 1.7 × 10⁴; &lt; 10³ and &gt; 10²; Absent | Отсутна; Absent | Отсутна</t>
        </is>
      </c>
      <c r="E529" s="296" t="inlineStr">
        <is>
          <t>2.8×10⁴; 1.7×10⁴; &lt;10³ and &gt;10² ᴿ; Одговара; Одговара</t>
        </is>
      </c>
    </row>
    <row r="530">
      <c r="A530" s="296" t="inlineStr">
        <is>
          <t>CJ052501/01</t>
        </is>
      </c>
      <c r="B530" s="296" t="inlineStr">
        <is>
          <t>#12</t>
        </is>
      </c>
      <c r="C530" s="298" t="inlineStr">
        <is>
          <t>different values</t>
        </is>
      </c>
      <c r="D530" s="296" t="inlineStr">
        <is>
          <t>ND</t>
        </is>
      </c>
      <c r="E530" s="296" t="inlineStr">
        <is>
          <t>≤ LOQ (all 24 compounds)</t>
        </is>
      </c>
    </row>
    <row r="531">
      <c r="A531" s="296" t="inlineStr">
        <is>
          <t>CJ082501/2</t>
        </is>
      </c>
      <c r="B531" s="296" t="inlineStr">
        <is>
          <t>#1</t>
        </is>
      </c>
      <c r="C531" s="298" t="inlineStr">
        <is>
          <t>different values</t>
        </is>
      </c>
      <c r="D531" s="296" t="inlineStr">
        <is>
          <t>Conforms | Одговара</t>
        </is>
      </c>
      <c r="E531" s="296" t="inlineStr">
        <is>
          <t>Conforms</t>
        </is>
      </c>
    </row>
    <row r="532">
      <c r="A532" s="296" t="inlineStr">
        <is>
          <t>CJ082501/2</t>
        </is>
      </c>
      <c r="B532" s="296" t="inlineStr">
        <is>
          <t>#2</t>
        </is>
      </c>
      <c r="C532" s="298" t="inlineStr">
        <is>
          <t>different values</t>
        </is>
      </c>
      <c r="D532" s="296" t="inlineStr">
        <is>
          <t>Conforms | Одговара</t>
        </is>
      </c>
      <c r="E532" s="296" t="inlineStr">
        <is>
          <t>Conforms</t>
        </is>
      </c>
    </row>
    <row r="533">
      <c r="A533" s="296" t="inlineStr">
        <is>
          <t>CJ082501/2</t>
        </is>
      </c>
      <c r="B533" s="296" t="inlineStr">
        <is>
          <t>#3</t>
        </is>
      </c>
      <c r="C533" s="298" t="inlineStr">
        <is>
          <t>different values</t>
        </is>
      </c>
      <c r="D533" s="296" t="inlineStr">
        <is>
          <t>Conforms | Одговара</t>
        </is>
      </c>
      <c r="E533" s="296" t="inlineStr">
        <is>
          <t>Conforms (ImB spec.)</t>
        </is>
      </c>
    </row>
    <row r="534">
      <c r="A534" s="296" t="inlineStr">
        <is>
          <t>CJ082501/2</t>
        </is>
      </c>
      <c r="B534" s="296" t="inlineStr">
        <is>
          <t>#7</t>
        </is>
      </c>
      <c r="C534" s="298" t="inlineStr">
        <is>
          <t>different values</t>
        </is>
      </c>
      <c r="D534" s="296" t="inlineStr">
        <is>
          <t>Conforms | Одговара</t>
        </is>
      </c>
      <c r="E534" s="296" t="inlineStr">
        <is>
          <t>Conforms</t>
        </is>
      </c>
    </row>
    <row r="535">
      <c r="A535" s="296" t="inlineStr">
        <is>
          <t>CJ082501/2</t>
        </is>
      </c>
      <c r="B535" s="296" t="inlineStr">
        <is>
          <t>#9</t>
        </is>
      </c>
      <c r="C535" s="298" t="inlineStr">
        <is>
          <t>different values</t>
        </is>
      </c>
      <c r="D535" s="296" t="inlineStr">
        <is>
          <t>9.5 × 10²; 1.2 × 10³; &lt; 10; Absent | Отсутна; Absent | Отсутна</t>
        </is>
      </c>
      <c r="E535" s="296" t="inlineStr">
        <is>
          <t>9.5×10²; 1.2×10³; &lt;10; Одговара; Одговара</t>
        </is>
      </c>
    </row>
    <row r="536">
      <c r="A536" s="296" t="inlineStr">
        <is>
          <t>CJ082501/2</t>
        </is>
      </c>
      <c r="B536" s="296" t="inlineStr">
        <is>
          <t>#12</t>
        </is>
      </c>
      <c r="C536" s="298" t="inlineStr">
        <is>
          <t>different values</t>
        </is>
      </c>
      <c r="D536" s="296" t="inlineStr">
        <is>
          <t>ND</t>
        </is>
      </c>
      <c r="E536" s="296" t="inlineStr">
        <is>
          <t>≤ LOQ (all 29 compounds)</t>
        </is>
      </c>
    </row>
    <row r="537">
      <c r="A537" s="296" t="inlineStr">
        <is>
          <t>FB012602</t>
        </is>
      </c>
      <c r="B537" s="296" t="inlineStr">
        <is>
          <t>#1</t>
        </is>
      </c>
      <c r="C537" s="298" t="inlineStr">
        <is>
          <t>different values</t>
        </is>
      </c>
      <c r="D537" s="296" t="inlineStr">
        <is>
          <t>Conforms | Одговара</t>
        </is>
      </c>
      <c r="E537" s="296" t="inlineStr">
        <is>
          <t>Conforms</t>
        </is>
      </c>
    </row>
    <row r="538">
      <c r="A538" s="296" t="inlineStr">
        <is>
          <t>FB012602</t>
        </is>
      </c>
      <c r="B538" s="296" t="inlineStr">
        <is>
          <t>#2</t>
        </is>
      </c>
      <c r="C538" s="298" t="inlineStr">
        <is>
          <t>different values</t>
        </is>
      </c>
      <c r="D538" s="296" t="inlineStr">
        <is>
          <t>Conforms | Одговара</t>
        </is>
      </c>
      <c r="E538" s="296" t="inlineStr">
        <is>
          <t>Conforms</t>
        </is>
      </c>
    </row>
    <row r="539">
      <c r="A539" s="296" t="inlineStr">
        <is>
          <t>FB012602</t>
        </is>
      </c>
      <c r="B539" s="296" t="inlineStr">
        <is>
          <t>#7</t>
        </is>
      </c>
      <c r="C539" s="298" t="inlineStr">
        <is>
          <t>different values</t>
        </is>
      </c>
      <c r="D539" s="296" t="inlineStr">
        <is>
          <t>Conforms | Одговара</t>
        </is>
      </c>
      <c r="E539" s="296" t="inlineStr">
        <is>
          <t>Conforms</t>
        </is>
      </c>
    </row>
    <row r="540">
      <c r="A540" s="296" t="inlineStr">
        <is>
          <t>FB012602</t>
        </is>
      </c>
      <c r="B540" s="296" t="inlineStr">
        <is>
          <t>#9</t>
        </is>
      </c>
      <c r="C540" s="298" t="inlineStr">
        <is>
          <t>different values</t>
        </is>
      </c>
      <c r="D540" s="296" t="inlineStr">
        <is>
          <t>6.3 × 10⁴; 2.2 × 10⁴; &lt; 10; Absent | Отсутна; Absent | Отсутна</t>
        </is>
      </c>
      <c r="E540" s="296" t="inlineStr">
        <is>
          <t>6,3 x 10⁴ CFU/g CFU/g; 2,2 x 10⁴ CFU/g CFU/g; &lt; 10 CFU/g CFU/g; Отсутна /g; Отсутна /25 g</t>
        </is>
      </c>
    </row>
    <row r="541">
      <c r="A541" s="296" t="inlineStr">
        <is>
          <t>GG012603</t>
        </is>
      </c>
      <c r="B541" s="296" t="inlineStr">
        <is>
          <t>#9</t>
        </is>
      </c>
      <c r="C541" s="298" t="inlineStr">
        <is>
          <t>different values</t>
        </is>
      </c>
      <c r="D541" s="296" t="inlineStr">
        <is>
          <t>5 × 10³; 4.1 × 10³; &lt; 10; Absent | Отсутна; Absent | Отсутна</t>
        </is>
      </c>
      <c r="E541" s="296" t="inlineStr">
        <is>
          <t>5 x 10³ CFU/g CFU/g; 4,1 x 10³ CFU/g CFU/g; &lt; 10 CFU/g CFU/g; Отсутна /g; Отсутна /25 g</t>
        </is>
      </c>
    </row>
    <row r="542">
      <c r="A542" s="296" t="inlineStr">
        <is>
          <t>GG1024_01</t>
        </is>
      </c>
      <c r="B542" s="296" t="inlineStr">
        <is>
          <t>#1</t>
        </is>
      </c>
      <c r="C542" s="298" t="inlineStr">
        <is>
          <t>different values</t>
        </is>
      </c>
      <c r="D542" s="296" t="inlineStr">
        <is>
          <t>Conforms | Одговара</t>
        </is>
      </c>
      <c r="E542" s="296" t="inlineStr">
        <is>
          <t>Conforms</t>
        </is>
      </c>
    </row>
    <row r="543">
      <c r="A543" s="296" t="inlineStr">
        <is>
          <t>GG1024_01</t>
        </is>
      </c>
      <c r="B543" s="296" t="inlineStr">
        <is>
          <t>#2</t>
        </is>
      </c>
      <c r="C543" s="298" t="inlineStr">
        <is>
          <t>different values</t>
        </is>
      </c>
      <c r="D543" s="296" t="inlineStr">
        <is>
          <t>Conforms | Одговара</t>
        </is>
      </c>
      <c r="E543" s="296" t="inlineStr">
        <is>
          <t>Conforms</t>
        </is>
      </c>
    </row>
    <row r="544">
      <c r="A544" s="296" t="inlineStr">
        <is>
          <t>GG1024_01</t>
        </is>
      </c>
      <c r="B544" s="296" t="inlineStr">
        <is>
          <t>#3</t>
        </is>
      </c>
      <c r="C544" s="298" t="inlineStr">
        <is>
          <t>different values</t>
        </is>
      </c>
      <c r="D544" s="296" t="inlineStr">
        <is>
          <t>Conforms | Одговара</t>
        </is>
      </c>
      <c r="E544" s="296" t="inlineStr">
        <is>
          <t>Conforms (ImB spec.)</t>
        </is>
      </c>
    </row>
    <row r="545">
      <c r="A545" s="296" t="inlineStr">
        <is>
          <t>GG1024_01</t>
        </is>
      </c>
      <c r="B545" s="296" t="inlineStr">
        <is>
          <t>#7</t>
        </is>
      </c>
      <c r="C545" s="298" t="inlineStr">
        <is>
          <t>different values</t>
        </is>
      </c>
      <c r="D545" s="296" t="inlineStr">
        <is>
          <t>Conforms | Одговара</t>
        </is>
      </c>
      <c r="E545" s="296" t="inlineStr">
        <is>
          <t>Conforms</t>
        </is>
      </c>
    </row>
    <row r="546">
      <c r="A546" s="296" t="inlineStr">
        <is>
          <t>GG1024_01</t>
        </is>
      </c>
      <c r="B546" s="296" t="inlineStr">
        <is>
          <t>#9</t>
        </is>
      </c>
      <c r="C546" s="298" t="inlineStr">
        <is>
          <t>different values</t>
        </is>
      </c>
      <c r="D546" s="296" t="inlineStr">
        <is>
          <t>5.1 × 10⁴; 4.2 × 10⁴; &lt; 10; Absent | Отсутна; Absent | Отсутна</t>
        </is>
      </c>
      <c r="E546" s="296" t="inlineStr">
        <is>
          <t>5.1 x 10⁴; 4.2 x 10⁴; &lt;10; Одговара; Одговара</t>
        </is>
      </c>
    </row>
    <row r="547">
      <c r="A547" s="296" t="inlineStr">
        <is>
          <t>GG1024_01</t>
        </is>
      </c>
      <c r="B547" s="296" t="inlineStr">
        <is>
          <t>#12</t>
        </is>
      </c>
      <c r="C547" s="298" t="inlineStr">
        <is>
          <t>different values</t>
        </is>
      </c>
      <c r="D547" s="296" t="inlineStr">
        <is>
          <t>ND</t>
        </is>
      </c>
      <c r="E547" s="296" t="inlineStr">
        <is>
          <t>≤ LOQ (all 27 compounds)</t>
        </is>
      </c>
    </row>
    <row r="548">
      <c r="A548" s="296" t="inlineStr">
        <is>
          <t>GP052501</t>
        </is>
      </c>
      <c r="B548" s="296" t="inlineStr">
        <is>
          <t>#1</t>
        </is>
      </c>
      <c r="C548" s="298" t="inlineStr">
        <is>
          <t>different values</t>
        </is>
      </c>
      <c r="D548" s="296" t="inlineStr">
        <is>
          <t>Conforms | Одговара</t>
        </is>
      </c>
      <c r="E548" s="296" t="inlineStr">
        <is>
          <t>Conforms</t>
        </is>
      </c>
    </row>
    <row r="549">
      <c r="A549" s="296" t="inlineStr">
        <is>
          <t>GP052501</t>
        </is>
      </c>
      <c r="B549" s="296" t="inlineStr">
        <is>
          <t>#2</t>
        </is>
      </c>
      <c r="C549" s="298" t="inlineStr">
        <is>
          <t>different values</t>
        </is>
      </c>
      <c r="D549" s="296" t="inlineStr">
        <is>
          <t>Conforms | Одговара</t>
        </is>
      </c>
      <c r="E549" s="296" t="inlineStr">
        <is>
          <t>Conforms</t>
        </is>
      </c>
    </row>
    <row r="550">
      <c r="A550" s="296" t="inlineStr">
        <is>
          <t>GP052501</t>
        </is>
      </c>
      <c r="B550" s="296" t="inlineStr">
        <is>
          <t>#3</t>
        </is>
      </c>
      <c r="C550" s="298" t="inlineStr">
        <is>
          <t>different values</t>
        </is>
      </c>
      <c r="D550" s="296" t="inlineStr">
        <is>
          <t>Conforms | Одговара</t>
        </is>
      </c>
      <c r="E550" s="296" t="inlineStr">
        <is>
          <t>Conforms (ImB spec.)</t>
        </is>
      </c>
    </row>
    <row r="551">
      <c r="A551" s="296" t="inlineStr">
        <is>
          <t>GP052501</t>
        </is>
      </c>
      <c r="B551" s="296" t="inlineStr">
        <is>
          <t>#7</t>
        </is>
      </c>
      <c r="C551" s="298" t="inlineStr">
        <is>
          <t>different values</t>
        </is>
      </c>
      <c r="D551" s="296" t="inlineStr">
        <is>
          <t>Conforms | Одговара</t>
        </is>
      </c>
      <c r="E551" s="296" t="inlineStr">
        <is>
          <t>Conforms</t>
        </is>
      </c>
    </row>
    <row r="552">
      <c r="A552" s="296" t="inlineStr">
        <is>
          <t>GP052501</t>
        </is>
      </c>
      <c r="B552" s="296" t="inlineStr">
        <is>
          <t>#9</t>
        </is>
      </c>
      <c r="C552" s="298" t="inlineStr">
        <is>
          <t>different values</t>
        </is>
      </c>
      <c r="D552" s="296" t="inlineStr">
        <is>
          <t>2.1 × 10⁴; 3.6 × 10⁴; &lt; 10² and &gt; 10¹; Absent | Отсутна; Absent | Отсутна</t>
        </is>
      </c>
      <c r="E552" s="296" t="inlineStr">
        <is>
          <t>2.1×10⁴ ᴿ; 3.6 x 10⁴; &lt;10² и &gt;10¹; Одговара; Одговара</t>
        </is>
      </c>
    </row>
    <row r="553">
      <c r="A553" s="296" t="inlineStr">
        <is>
          <t>GP052501</t>
        </is>
      </c>
      <c r="B553" s="296" t="inlineStr">
        <is>
          <t>#12</t>
        </is>
      </c>
      <c r="C553" s="298" t="inlineStr">
        <is>
          <t>different values</t>
        </is>
      </c>
      <c r="D553" s="296" t="inlineStr">
        <is>
          <t>ND mg/kg — all 29 residues</t>
        </is>
      </c>
      <c r="E553" s="296" t="inlineStr">
        <is>
          <t>≤ LOQ (all 29 compounds)</t>
        </is>
      </c>
    </row>
    <row r="554">
      <c r="A554" s="296" t="inlineStr">
        <is>
          <t>GP0824_02</t>
        </is>
      </c>
      <c r="B554" s="296" t="inlineStr">
        <is>
          <t>#1</t>
        </is>
      </c>
      <c r="C554" s="298" t="inlineStr">
        <is>
          <t>different values</t>
        </is>
      </c>
      <c r="D554" s="296" t="inlineStr">
        <is>
          <t>Conforms | Одговара</t>
        </is>
      </c>
      <c r="E554" s="296" t="inlineStr">
        <is>
          <t>Conforms</t>
        </is>
      </c>
    </row>
    <row r="555">
      <c r="A555" s="296" t="inlineStr">
        <is>
          <t>GP0824_02</t>
        </is>
      </c>
      <c r="B555" s="296" t="inlineStr">
        <is>
          <t>#2</t>
        </is>
      </c>
      <c r="C555" s="298" t="inlineStr">
        <is>
          <t>different values</t>
        </is>
      </c>
      <c r="D555" s="296" t="inlineStr">
        <is>
          <t>Conforms | Одговара</t>
        </is>
      </c>
      <c r="E555" s="296" t="inlineStr">
        <is>
          <t>Conforms</t>
        </is>
      </c>
    </row>
    <row r="556">
      <c r="A556" s="296" t="inlineStr">
        <is>
          <t>GP0824_02</t>
        </is>
      </c>
      <c r="B556" s="296" t="inlineStr">
        <is>
          <t>#3</t>
        </is>
      </c>
      <c r="C556" s="298" t="inlineStr">
        <is>
          <t>different values</t>
        </is>
      </c>
      <c r="D556" s="296" t="inlineStr">
        <is>
          <t>Conforms | Одговара</t>
        </is>
      </c>
      <c r="E556" s="296" t="inlineStr">
        <is>
          <t>Conforms (ImB spec.)</t>
        </is>
      </c>
    </row>
    <row r="557">
      <c r="A557" s="296" t="inlineStr">
        <is>
          <t>GP0824_02</t>
        </is>
      </c>
      <c r="B557" s="296" t="inlineStr">
        <is>
          <t>#7</t>
        </is>
      </c>
      <c r="C557" s="298" t="inlineStr">
        <is>
          <t>different values</t>
        </is>
      </c>
      <c r="D557" s="296" t="inlineStr">
        <is>
          <t>Conforms | Одговара</t>
        </is>
      </c>
      <c r="E557" s="296" t="inlineStr">
        <is>
          <t>Conforms</t>
        </is>
      </c>
    </row>
    <row r="558">
      <c r="A558" s="296" t="inlineStr">
        <is>
          <t>GP0824_02</t>
        </is>
      </c>
      <c r="B558" s="296" t="inlineStr">
        <is>
          <t>#9</t>
        </is>
      </c>
      <c r="C558" s="298" t="inlineStr">
        <is>
          <t>different values</t>
        </is>
      </c>
      <c r="D558" s="296" t="inlineStr">
        <is>
          <t>700; &lt; 10; &lt; 10² and &gt; 10; Absent | Отсутна; Absent | Отсутна</t>
        </is>
      </c>
      <c r="E558" s="296" t="inlineStr">
        <is>
          <t>700; 10; &lt;10^2 и &gt;10; Одговара; Одговара</t>
        </is>
      </c>
    </row>
    <row r="559">
      <c r="A559" s="296" t="inlineStr">
        <is>
          <t>GP0824_02</t>
        </is>
      </c>
      <c r="B559" s="296" t="inlineStr">
        <is>
          <t>#12</t>
        </is>
      </c>
      <c r="C559" s="298" t="inlineStr">
        <is>
          <t>different values</t>
        </is>
      </c>
      <c r="D559" s="296" t="inlineStr">
        <is>
          <t>ND</t>
        </is>
      </c>
      <c r="E559" s="296" t="inlineStr">
        <is>
          <t>≤ LOQ (all 29 compounds)</t>
        </is>
      </c>
    </row>
    <row r="560">
      <c r="A560" s="296" t="inlineStr">
        <is>
          <t>GP082501/2</t>
        </is>
      </c>
      <c r="B560" s="296" t="inlineStr">
        <is>
          <t>#1</t>
        </is>
      </c>
      <c r="C560" s="298" t="inlineStr">
        <is>
          <t>different values</t>
        </is>
      </c>
      <c r="D560" s="296" t="inlineStr">
        <is>
          <t>Conforms | Одговара</t>
        </is>
      </c>
      <c r="E560" s="296" t="inlineStr">
        <is>
          <t>Conforms</t>
        </is>
      </c>
    </row>
    <row r="561">
      <c r="A561" s="296" t="inlineStr">
        <is>
          <t>GP082501/2</t>
        </is>
      </c>
      <c r="B561" s="296" t="inlineStr">
        <is>
          <t>#2</t>
        </is>
      </c>
      <c r="C561" s="298" t="inlineStr">
        <is>
          <t>different values</t>
        </is>
      </c>
      <c r="D561" s="296" t="inlineStr">
        <is>
          <t>Conforms | Одговара</t>
        </is>
      </c>
      <c r="E561" s="296" t="inlineStr">
        <is>
          <t>Conforms</t>
        </is>
      </c>
    </row>
    <row r="562">
      <c r="A562" s="296" t="inlineStr">
        <is>
          <t>GP082501/2</t>
        </is>
      </c>
      <c r="B562" s="296" t="inlineStr">
        <is>
          <t>#3</t>
        </is>
      </c>
      <c r="C562" s="298" t="inlineStr">
        <is>
          <t>different values</t>
        </is>
      </c>
      <c r="D562" s="296" t="inlineStr">
        <is>
          <t>Conforms | Одговара</t>
        </is>
      </c>
      <c r="E562" s="296" t="inlineStr">
        <is>
          <t>Conforms (ImB spec.)</t>
        </is>
      </c>
    </row>
    <row r="563">
      <c r="A563" s="296" t="inlineStr">
        <is>
          <t>GP082501/2</t>
        </is>
      </c>
      <c r="B563" s="296" t="inlineStr">
        <is>
          <t>#7</t>
        </is>
      </c>
      <c r="C563" s="298" t="inlineStr">
        <is>
          <t>different values</t>
        </is>
      </c>
      <c r="D563" s="296" t="inlineStr">
        <is>
          <t>Conforms | Одговара</t>
        </is>
      </c>
      <c r="E563" s="296" t="inlineStr">
        <is>
          <t>Conforms</t>
        </is>
      </c>
    </row>
    <row r="564">
      <c r="A564" s="296" t="inlineStr">
        <is>
          <t>GP082501/2</t>
        </is>
      </c>
      <c r="B564" s="296" t="inlineStr">
        <is>
          <t>#9</t>
        </is>
      </c>
      <c r="C564" s="298" t="inlineStr">
        <is>
          <t>different values</t>
        </is>
      </c>
      <c r="D564" s="296" t="inlineStr">
        <is>
          <t>3.2 × 10³; 5.8 × 10³; &lt; 10⁴ and &gt; 10³; Absent | Отсутна; Absent | Отсутна</t>
        </is>
      </c>
      <c r="E564" s="296" t="inlineStr">
        <is>
          <t>3.2 x 10³; 5.8 x 10³; &lt;10^4 и &gt;10^3; Одговара; Одговара</t>
        </is>
      </c>
    </row>
    <row r="565">
      <c r="A565" s="296" t="inlineStr">
        <is>
          <t>GP082501/2</t>
        </is>
      </c>
      <c r="B565" s="296" t="inlineStr">
        <is>
          <t>#12</t>
        </is>
      </c>
      <c r="C565" s="298" t="inlineStr">
        <is>
          <t>different values</t>
        </is>
      </c>
      <c r="D565" s="296" t="inlineStr">
        <is>
          <t>ND</t>
        </is>
      </c>
      <c r="E565" s="296" t="inlineStr">
        <is>
          <t>≤ LOQ (all 29 compounds)</t>
        </is>
      </c>
    </row>
    <row r="566">
      <c r="A566" s="296" t="inlineStr">
        <is>
          <t>HPA1024</t>
        </is>
      </c>
      <c r="B566" s="296" t="inlineStr">
        <is>
          <t>#1</t>
        </is>
      </c>
      <c r="C566" s="298" t="inlineStr">
        <is>
          <t>different values</t>
        </is>
      </c>
      <c r="D566" s="296" t="inlineStr">
        <is>
          <t>Conforms | Одговара</t>
        </is>
      </c>
      <c r="E566" s="296" t="inlineStr">
        <is>
          <t>Conforms</t>
        </is>
      </c>
    </row>
    <row r="567">
      <c r="A567" s="296" t="inlineStr">
        <is>
          <t>HPA1024</t>
        </is>
      </c>
      <c r="B567" s="296" t="inlineStr">
        <is>
          <t>#2</t>
        </is>
      </c>
      <c r="C567" s="298" t="inlineStr">
        <is>
          <t>different values</t>
        </is>
      </c>
      <c r="D567" s="296" t="inlineStr">
        <is>
          <t>Conforms | Одговара</t>
        </is>
      </c>
      <c r="E567" s="296" t="inlineStr">
        <is>
          <t>Conforms</t>
        </is>
      </c>
    </row>
    <row r="568">
      <c r="A568" s="296" t="inlineStr">
        <is>
          <t>HPA1024</t>
        </is>
      </c>
      <c r="B568" s="296" t="inlineStr">
        <is>
          <t>#4</t>
        </is>
      </c>
      <c r="C568" s="298" t="inlineStr">
        <is>
          <t>different values</t>
        </is>
      </c>
      <c r="D568" s="296" t="inlineStr">
        <is>
          <t>14.97</t>
        </is>
      </c>
      <c r="E568" s="296" t="inlineStr">
        <is>
          <t>19.68 %w/w</t>
        </is>
      </c>
    </row>
    <row r="569">
      <c r="A569" s="296" t="inlineStr">
        <is>
          <t>HPA1024</t>
        </is>
      </c>
      <c r="B569" s="296" t="inlineStr">
        <is>
          <t>#5</t>
        </is>
      </c>
      <c r="C569" s="298" t="inlineStr">
        <is>
          <t>different values</t>
        </is>
      </c>
      <c r="D569" s="296" t="inlineStr">
        <is>
          <t>0.04</t>
        </is>
      </c>
      <c r="E569" s="296" t="inlineStr">
        <is>
          <t>&lt; LOQ %w/w</t>
        </is>
      </c>
    </row>
    <row r="570">
      <c r="A570" s="296" t="inlineStr">
        <is>
          <t>HPA1024</t>
        </is>
      </c>
      <c r="B570" s="296" t="inlineStr">
        <is>
          <t>#7</t>
        </is>
      </c>
      <c r="C570" s="298" t="inlineStr">
        <is>
          <t>different values</t>
        </is>
      </c>
      <c r="D570" s="296" t="inlineStr">
        <is>
          <t>Conforms | Одговара</t>
        </is>
      </c>
      <c r="E570" s="296" t="inlineStr">
        <is>
          <t>Conforms</t>
        </is>
      </c>
    </row>
    <row r="571">
      <c r="A571" s="296" t="inlineStr">
        <is>
          <t>HPA1024</t>
        </is>
      </c>
      <c r="B571" s="296" t="inlineStr">
        <is>
          <t>#9</t>
        </is>
      </c>
      <c r="C571" s="298" t="inlineStr">
        <is>
          <t>different values</t>
        </is>
      </c>
      <c r="D571" s="296" t="inlineStr">
        <is>
          <t>5.2 × 10⁴; 7 × 10²; &lt; 10; Absent | Отсутна; Absent | Отсутна</t>
        </is>
      </c>
      <c r="E571" s="296" t="inlineStr">
        <is>
          <t>5.2·10⁴ CFU/g CFU/g; 7·10² CFU/g CFU/g; &lt;10 CFU/g CFU/g; Absent; Absent</t>
        </is>
      </c>
    </row>
    <row r="572">
      <c r="A572" s="296" t="inlineStr">
        <is>
          <t>HPA1024</t>
        </is>
      </c>
      <c r="B572" s="296" t="inlineStr">
        <is>
          <t>#11</t>
        </is>
      </c>
      <c r="C572" s="299" t="inlineStr">
        <is>
          <t>same values,
other order</t>
        </is>
      </c>
      <c r="D572" s="296" t="inlineStr">
        <is>
          <t>0.02; 0.013; 0.017; 0.0026</t>
        </is>
      </c>
      <c r="E572" s="296" t="inlineStr">
        <is>
          <t>0.013 mg/kg mg/kg; 0.02 mg/kg mg/kg; 0.0026 mg/kg mg/kg; 0.017 mg/kg mg/kg</t>
        </is>
      </c>
    </row>
    <row r="573">
      <c r="A573" s="296" t="inlineStr">
        <is>
          <t>HPA1024_01</t>
        </is>
      </c>
      <c r="B573" s="296" t="inlineStr">
        <is>
          <t>#1</t>
        </is>
      </c>
      <c r="C573" s="298" t="inlineStr">
        <is>
          <t>different values</t>
        </is>
      </c>
      <c r="D573" s="296" t="inlineStr">
        <is>
          <t>Conforms | Одговара</t>
        </is>
      </c>
      <c r="E573" s="296" t="inlineStr">
        <is>
          <t>Conforms</t>
        </is>
      </c>
    </row>
    <row r="574">
      <c r="A574" s="296" t="inlineStr">
        <is>
          <t>HPA1024_01</t>
        </is>
      </c>
      <c r="B574" s="296" t="inlineStr">
        <is>
          <t>#2</t>
        </is>
      </c>
      <c r="C574" s="298" t="inlineStr">
        <is>
          <t>different values</t>
        </is>
      </c>
      <c r="D574" s="296" t="inlineStr">
        <is>
          <t>Conforms | Одговара</t>
        </is>
      </c>
      <c r="E574" s="296" t="inlineStr">
        <is>
          <t>Conforms</t>
        </is>
      </c>
    </row>
    <row r="575">
      <c r="A575" s="296" t="inlineStr">
        <is>
          <t>HPA1024_01</t>
        </is>
      </c>
      <c r="B575" s="296" t="inlineStr">
        <is>
          <t>#3</t>
        </is>
      </c>
      <c r="C575" s="298" t="inlineStr">
        <is>
          <t>different values</t>
        </is>
      </c>
      <c r="D575" s="296" t="inlineStr">
        <is>
          <t>Conforms | Одговара</t>
        </is>
      </c>
      <c r="E575" s="296" t="inlineStr">
        <is>
          <t>Conforms (ImB spec.)</t>
        </is>
      </c>
    </row>
    <row r="576">
      <c r="A576" s="296" t="inlineStr">
        <is>
          <t>HPA1024_01</t>
        </is>
      </c>
      <c r="B576" s="296" t="inlineStr">
        <is>
          <t>#7</t>
        </is>
      </c>
      <c r="C576" s="298" t="inlineStr">
        <is>
          <t>different values</t>
        </is>
      </c>
      <c r="D576" s="296" t="inlineStr">
        <is>
          <t>Conforms | Одговара</t>
        </is>
      </c>
      <c r="E576" s="296" t="inlineStr">
        <is>
          <t>Conforms</t>
        </is>
      </c>
    </row>
    <row r="577">
      <c r="A577" s="296" t="inlineStr">
        <is>
          <t>HPA1024_01</t>
        </is>
      </c>
      <c r="B577" s="296" t="inlineStr">
        <is>
          <t>#9</t>
        </is>
      </c>
      <c r="C577" s="298" t="inlineStr">
        <is>
          <t>different values</t>
        </is>
      </c>
      <c r="D577" s="296" t="inlineStr">
        <is>
          <t>9.6 × 10³; 1.5 × 10⁴; &lt; 10; Absent | Отсутна; Absent | Отсутна</t>
        </is>
      </c>
      <c r="E577" s="296" t="inlineStr">
        <is>
          <t>9.6 x 10³; 1.5 x 10⁴; &lt;10; Одговара; Одговара</t>
        </is>
      </c>
    </row>
    <row r="578">
      <c r="A578" s="296" t="inlineStr">
        <is>
          <t>HPA1024_01</t>
        </is>
      </c>
      <c r="B578" s="296" t="inlineStr">
        <is>
          <t>#12</t>
        </is>
      </c>
      <c r="C578" s="298" t="inlineStr">
        <is>
          <t>different values</t>
        </is>
      </c>
      <c r="D578" s="296" t="inlineStr">
        <is>
          <t>ND</t>
        </is>
      </c>
      <c r="E578" s="296" t="inlineStr">
        <is>
          <t>≤ LOQ (all 23 compounds)</t>
        </is>
      </c>
    </row>
    <row r="579">
      <c r="A579" s="296" t="inlineStr">
        <is>
          <t>J31102501</t>
        </is>
      </c>
      <c r="B579" s="296" t="inlineStr">
        <is>
          <t>#1</t>
        </is>
      </c>
      <c r="C579" s="298" t="inlineStr">
        <is>
          <t>different values</t>
        </is>
      </c>
      <c r="D579" s="296" t="inlineStr">
        <is>
          <t>Conforms | Одговара</t>
        </is>
      </c>
      <c r="E579" s="296" t="inlineStr">
        <is>
          <t>Conforms</t>
        </is>
      </c>
    </row>
    <row r="580">
      <c r="A580" s="296" t="inlineStr">
        <is>
          <t>J31102501</t>
        </is>
      </c>
      <c r="B580" s="296" t="inlineStr">
        <is>
          <t>#2</t>
        </is>
      </c>
      <c r="C580" s="298" t="inlineStr">
        <is>
          <t>different values</t>
        </is>
      </c>
      <c r="D580" s="296" t="inlineStr">
        <is>
          <t>Conforms | Одговара</t>
        </is>
      </c>
      <c r="E580" s="296" t="inlineStr">
        <is>
          <t>Conforms</t>
        </is>
      </c>
    </row>
    <row r="581">
      <c r="A581" s="296" t="inlineStr">
        <is>
          <t>J31102501</t>
        </is>
      </c>
      <c r="B581" s="296" t="inlineStr">
        <is>
          <t>#3</t>
        </is>
      </c>
      <c r="C581" s="298" t="inlineStr">
        <is>
          <t>different values</t>
        </is>
      </c>
      <c r="D581" s="296" t="inlineStr">
        <is>
          <t>Conforms | Одговара</t>
        </is>
      </c>
      <c r="E581" s="296" t="inlineStr">
        <is>
          <t>Conforms (ImB spec.) ᴿ</t>
        </is>
      </c>
    </row>
    <row r="582">
      <c r="A582" s="296" t="inlineStr">
        <is>
          <t>J31102501</t>
        </is>
      </c>
      <c r="B582" s="296" t="inlineStr">
        <is>
          <t>#7</t>
        </is>
      </c>
      <c r="C582" s="298" t="inlineStr">
        <is>
          <t>different values</t>
        </is>
      </c>
      <c r="D582" s="296" t="inlineStr">
        <is>
          <t>Conforms | Одговара</t>
        </is>
      </c>
      <c r="E582" s="296" t="inlineStr">
        <is>
          <t>Conforms</t>
        </is>
      </c>
    </row>
    <row r="583">
      <c r="A583" s="296" t="inlineStr">
        <is>
          <t>J31102501</t>
        </is>
      </c>
      <c r="B583" s="296" t="inlineStr">
        <is>
          <t>#9</t>
        </is>
      </c>
      <c r="C583" s="298" t="inlineStr">
        <is>
          <t>different values</t>
        </is>
      </c>
      <c r="D583" s="296" t="inlineStr">
        <is>
          <t>1.6 × 10²; 1.9 × 10²; &lt; 10; Absent | Отсутна; Absent | Отсутна</t>
        </is>
      </c>
      <c r="E583" s="296" t="inlineStr">
        <is>
          <t>1,6 x 10² CFU/g CFU/g; 1,9 x 10² CFU/g CFU/g; &lt; 10 CFU/g CFU/g; Одговара; Одговара</t>
        </is>
      </c>
    </row>
    <row r="584">
      <c r="A584" s="296" t="inlineStr">
        <is>
          <t>JD112501</t>
        </is>
      </c>
      <c r="B584" s="296" t="inlineStr">
        <is>
          <t>#1</t>
        </is>
      </c>
      <c r="C584" s="298" t="inlineStr">
        <is>
          <t>different values</t>
        </is>
      </c>
      <c r="D584" s="296" t="inlineStr">
        <is>
          <t>Conforms | Одговара</t>
        </is>
      </c>
      <c r="E584" s="296" t="inlineStr">
        <is>
          <t>Conforms</t>
        </is>
      </c>
    </row>
    <row r="585">
      <c r="A585" s="296" t="inlineStr">
        <is>
          <t>JD112501</t>
        </is>
      </c>
      <c r="B585" s="296" t="inlineStr">
        <is>
          <t>#2</t>
        </is>
      </c>
      <c r="C585" s="298" t="inlineStr">
        <is>
          <t>different values</t>
        </is>
      </c>
      <c r="D585" s="296" t="inlineStr">
        <is>
          <t>Conforms | Одговара</t>
        </is>
      </c>
      <c r="E585" s="296" t="inlineStr">
        <is>
          <t>Conforms</t>
        </is>
      </c>
    </row>
    <row r="586">
      <c r="A586" s="296" t="inlineStr">
        <is>
          <t>JD112501</t>
        </is>
      </c>
      <c r="B586" s="296" t="inlineStr">
        <is>
          <t>#6</t>
        </is>
      </c>
      <c r="C586" s="298" t="inlineStr">
        <is>
          <t>different values</t>
        </is>
      </c>
      <c r="D586" s="296" t="inlineStr">
        <is>
          <t>&lt; LOQ %</t>
        </is>
      </c>
      <c r="E586" s="296" t="inlineStr">
        <is>
          <t>BLQ %</t>
        </is>
      </c>
    </row>
    <row r="587">
      <c r="A587" s="296" t="inlineStr">
        <is>
          <t>JD112501</t>
        </is>
      </c>
      <c r="B587" s="296" t="inlineStr">
        <is>
          <t>#7</t>
        </is>
      </c>
      <c r="C587" s="298" t="inlineStr">
        <is>
          <t>different values</t>
        </is>
      </c>
      <c r="D587" s="296" t="inlineStr">
        <is>
          <t>Conforms | Одговара</t>
        </is>
      </c>
      <c r="E587" s="296" t="inlineStr">
        <is>
          <t>Conforms</t>
        </is>
      </c>
    </row>
    <row r="588">
      <c r="A588" s="296" t="inlineStr">
        <is>
          <t>JD112501</t>
        </is>
      </c>
      <c r="B588" s="296" t="inlineStr">
        <is>
          <t>#9</t>
        </is>
      </c>
      <c r="C588" s="298" t="inlineStr">
        <is>
          <t>different values</t>
        </is>
      </c>
      <c r="D588" s="296" t="inlineStr">
        <is>
          <t>2,6 × 10³; 3,3 × 10³; &lt; 10³ and &gt; 10²; Absent | Отсутна; Absent | Отсутна</t>
        </is>
      </c>
      <c r="E588" s="296" t="inlineStr">
        <is>
          <t>1 x 10⁴ CFU/g CFU/g; 6,7 x 10³ CFU/g CFU/g; &lt; 10³ и &gt;10² CFU/g CFU/g; Отсутна/g; Отсутна/25 g</t>
        </is>
      </c>
    </row>
    <row r="589">
      <c r="A589" s="296" t="inlineStr">
        <is>
          <t>OPM1024</t>
        </is>
      </c>
      <c r="B589" s="296" t="inlineStr">
        <is>
          <t>#1</t>
        </is>
      </c>
      <c r="C589" s="298" t="inlineStr">
        <is>
          <t>different values</t>
        </is>
      </c>
      <c r="D589" s="296" t="inlineStr">
        <is>
          <t>Conforms | Одговара</t>
        </is>
      </c>
      <c r="E589" s="296" t="inlineStr">
        <is>
          <t>Confirms</t>
        </is>
      </c>
    </row>
    <row r="590">
      <c r="A590" s="296" t="inlineStr">
        <is>
          <t>OPM1024</t>
        </is>
      </c>
      <c r="B590" s="296" t="inlineStr">
        <is>
          <t>#2</t>
        </is>
      </c>
      <c r="C590" s="298" t="inlineStr">
        <is>
          <t>different values</t>
        </is>
      </c>
      <c r="D590" s="296" t="inlineStr">
        <is>
          <t>Conforms | Одговара</t>
        </is>
      </c>
      <c r="E590" s="296" t="inlineStr">
        <is>
          <t>Conforms</t>
        </is>
      </c>
    </row>
    <row r="591">
      <c r="A591" s="296" t="inlineStr">
        <is>
          <t>OPM1024</t>
        </is>
      </c>
      <c r="B591" s="296" t="inlineStr">
        <is>
          <t>#4</t>
        </is>
      </c>
      <c r="C591" s="298" t="inlineStr">
        <is>
          <t>different values</t>
        </is>
      </c>
      <c r="D591" s="296" t="inlineStr">
        <is>
          <t>19.96</t>
        </is>
      </c>
      <c r="E591" s="296" t="inlineStr">
        <is>
          <t>20.03 %w/w</t>
        </is>
      </c>
    </row>
    <row r="592">
      <c r="A592" s="296" t="inlineStr">
        <is>
          <t>OPM1024</t>
        </is>
      </c>
      <c r="B592" s="296" t="inlineStr">
        <is>
          <t>#5</t>
        </is>
      </c>
      <c r="C592" s="298" t="inlineStr">
        <is>
          <t>different values</t>
        </is>
      </c>
      <c r="D592" s="296" t="inlineStr">
        <is>
          <t>0.05</t>
        </is>
      </c>
      <c r="E592" s="296" t="inlineStr">
        <is>
          <t>&lt; LOQ %w/w</t>
        </is>
      </c>
    </row>
    <row r="593">
      <c r="A593" s="296" t="inlineStr">
        <is>
          <t>OPM1024</t>
        </is>
      </c>
      <c r="B593" s="296" t="inlineStr">
        <is>
          <t>#7</t>
        </is>
      </c>
      <c r="C593" s="298" t="inlineStr">
        <is>
          <t>different values</t>
        </is>
      </c>
      <c r="D593" s="296" t="inlineStr">
        <is>
          <t>Conforms | Одговара</t>
        </is>
      </c>
      <c r="E593" s="296" t="inlineStr">
        <is>
          <t>Confirms</t>
        </is>
      </c>
    </row>
    <row r="594">
      <c r="A594" s="296" t="inlineStr">
        <is>
          <t>OPM1024</t>
        </is>
      </c>
      <c r="B594" s="296" t="inlineStr">
        <is>
          <t>#9</t>
        </is>
      </c>
      <c r="C594" s="298" t="inlineStr">
        <is>
          <t>different values</t>
        </is>
      </c>
      <c r="D594" s="296" t="inlineStr">
        <is>
          <t>1.3 × 10⁴; 7 × 10²; &lt; 10² &gt; 10³; Absent | Отсутна; Absent | Отсутна</t>
        </is>
      </c>
      <c r="E594" s="296" t="inlineStr">
        <is>
          <t>1.3·10⁴ CFU/g CFU/g; 7·10² CFU/g CFU/g; &lt;10²&gt;10³CFU/g CFU/g; Absent; Absent</t>
        </is>
      </c>
    </row>
    <row r="595">
      <c r="A595" s="296" t="inlineStr">
        <is>
          <t>OPM1024</t>
        </is>
      </c>
      <c r="B595" s="296" t="inlineStr">
        <is>
          <t>#11</t>
        </is>
      </c>
      <c r="C595" s="299" t="inlineStr">
        <is>
          <t>same values,
other order</t>
        </is>
      </c>
      <c r="D595" s="296" t="inlineStr">
        <is>
          <t>0.031; 0.017; 0.045; 0.005</t>
        </is>
      </c>
      <c r="E595" s="296" t="inlineStr">
        <is>
          <t>0.017 mg/kg mg/kg; 0.031 mg/kg mg/kg; 0.005 mg/kg mg/kg; 0.045 mg/kg mg/kg</t>
        </is>
      </c>
    </row>
    <row r="596">
      <c r="A596" s="296" t="inlineStr">
        <is>
          <t>OPM1024_02</t>
        </is>
      </c>
      <c r="B596" s="296" t="inlineStr">
        <is>
          <t>#1</t>
        </is>
      </c>
      <c r="C596" s="298" t="inlineStr">
        <is>
          <t>different values</t>
        </is>
      </c>
      <c r="D596" s="296" t="inlineStr">
        <is>
          <t>Conforms | Одговара</t>
        </is>
      </c>
      <c r="E596" s="296" t="inlineStr">
        <is>
          <t>Conforms</t>
        </is>
      </c>
    </row>
    <row r="597">
      <c r="A597" s="296" t="inlineStr">
        <is>
          <t>OPM1024_02</t>
        </is>
      </c>
      <c r="B597" s="296" t="inlineStr">
        <is>
          <t>#2</t>
        </is>
      </c>
      <c r="C597" s="298" t="inlineStr">
        <is>
          <t>different values</t>
        </is>
      </c>
      <c r="D597" s="296" t="inlineStr">
        <is>
          <t>Conforms | Одговара</t>
        </is>
      </c>
      <c r="E597" s="296" t="inlineStr">
        <is>
          <t>Conforms</t>
        </is>
      </c>
    </row>
    <row r="598">
      <c r="A598" s="296" t="inlineStr">
        <is>
          <t>OPM1024_02</t>
        </is>
      </c>
      <c r="B598" s="296" t="inlineStr">
        <is>
          <t>#3</t>
        </is>
      </c>
      <c r="C598" s="298" t="inlineStr">
        <is>
          <t>different values</t>
        </is>
      </c>
      <c r="D598" s="296" t="inlineStr">
        <is>
          <t>Conforms | Одговара</t>
        </is>
      </c>
      <c r="E598" s="296" t="inlineStr">
        <is>
          <t>Conforms (ImB spec.)</t>
        </is>
      </c>
    </row>
    <row r="599">
      <c r="A599" s="296" t="inlineStr">
        <is>
          <t>OPM1024_02</t>
        </is>
      </c>
      <c r="B599" s="296" t="inlineStr">
        <is>
          <t>#7</t>
        </is>
      </c>
      <c r="C599" s="298" t="inlineStr">
        <is>
          <t>different values</t>
        </is>
      </c>
      <c r="D599" s="296" t="inlineStr">
        <is>
          <t>Conforms | Одговара</t>
        </is>
      </c>
      <c r="E599" s="296" t="inlineStr">
        <is>
          <t>Conforms</t>
        </is>
      </c>
    </row>
    <row r="600">
      <c r="A600" s="296" t="inlineStr">
        <is>
          <t>OPM1024_02</t>
        </is>
      </c>
      <c r="B600" s="296" t="inlineStr">
        <is>
          <t>#9</t>
        </is>
      </c>
      <c r="C600" s="298" t="inlineStr">
        <is>
          <t>different values</t>
        </is>
      </c>
      <c r="D600" s="296" t="inlineStr">
        <is>
          <t>3.4 × 10³; 3.6 × 10³; &lt; 10; Absent | Отсутна; Absent | Отсутна</t>
        </is>
      </c>
      <c r="E600" s="296" t="inlineStr">
        <is>
          <t>3.4 x 10³; 3.6 x 10³; &lt;10; Одговара; Одговара</t>
        </is>
      </c>
    </row>
    <row r="601">
      <c r="A601" s="296" t="inlineStr">
        <is>
          <t>OPM1024_02</t>
        </is>
      </c>
      <c r="B601" s="296" t="inlineStr">
        <is>
          <t>#12</t>
        </is>
      </c>
      <c r="C601" s="298" t="inlineStr">
        <is>
          <t>different values</t>
        </is>
      </c>
      <c r="D601" s="296" t="inlineStr">
        <is>
          <t>ND</t>
        </is>
      </c>
      <c r="E601" s="296" t="inlineStr">
        <is>
          <t>FINDS: delta HCH &lt;0.01</t>
        </is>
      </c>
    </row>
    <row r="602">
      <c r="A602" s="296" t="inlineStr">
        <is>
          <t>OPM122501</t>
        </is>
      </c>
      <c r="B602" s="296" t="inlineStr">
        <is>
          <t>#1</t>
        </is>
      </c>
      <c r="C602" s="298" t="inlineStr">
        <is>
          <t>different values</t>
        </is>
      </c>
      <c r="D602" s="296" t="inlineStr">
        <is>
          <t>Conforms | Одговара</t>
        </is>
      </c>
      <c r="E602" s="296" t="inlineStr">
        <is>
          <t>Conforms</t>
        </is>
      </c>
    </row>
    <row r="603">
      <c r="A603" s="296" t="inlineStr">
        <is>
          <t>OPM122501</t>
        </is>
      </c>
      <c r="B603" s="296" t="inlineStr">
        <is>
          <t>#2</t>
        </is>
      </c>
      <c r="C603" s="298" t="inlineStr">
        <is>
          <t>different values</t>
        </is>
      </c>
      <c r="D603" s="296" t="inlineStr">
        <is>
          <t>Conforms | Одговара</t>
        </is>
      </c>
      <c r="E603" s="296" t="inlineStr">
        <is>
          <t>Conforms</t>
        </is>
      </c>
    </row>
    <row r="604">
      <c r="A604" s="296" t="inlineStr">
        <is>
          <t>OPM122501</t>
        </is>
      </c>
      <c r="B604" s="296" t="inlineStr">
        <is>
          <t>#3</t>
        </is>
      </c>
      <c r="C604" s="298" t="inlineStr">
        <is>
          <t>different values</t>
        </is>
      </c>
      <c r="D604" s="296" t="inlineStr">
        <is>
          <t>Conforms | Одговара</t>
        </is>
      </c>
      <c r="E604" s="296" t="inlineStr">
        <is>
          <t>Conforms (ImB spec.) ᴿ</t>
        </is>
      </c>
    </row>
    <row r="605">
      <c r="A605" s="296" t="inlineStr">
        <is>
          <t>OPM122501</t>
        </is>
      </c>
      <c r="B605" s="296" t="inlineStr">
        <is>
          <t>#7</t>
        </is>
      </c>
      <c r="C605" s="298" t="inlineStr">
        <is>
          <t>different values</t>
        </is>
      </c>
      <c r="D605" s="296" t="inlineStr">
        <is>
          <t>Conforms | Одговара</t>
        </is>
      </c>
      <c r="E605" s="296" t="inlineStr">
        <is>
          <t>Conforms</t>
        </is>
      </c>
    </row>
    <row r="606">
      <c r="A606" s="296" t="inlineStr">
        <is>
          <t>OPM122501</t>
        </is>
      </c>
      <c r="B606" s="296" t="inlineStr">
        <is>
          <t>#9</t>
        </is>
      </c>
      <c r="C606" s="298" t="inlineStr">
        <is>
          <t>different values</t>
        </is>
      </c>
      <c r="D606" s="296" t="inlineStr">
        <is>
          <t>120; 100; &lt; 10; Absent | Отсутна; Absent | Отсутна</t>
        </is>
      </c>
      <c r="E606" s="296" t="inlineStr">
        <is>
          <t>120; 100; &lt;10; Одговара; Одговара</t>
        </is>
      </c>
    </row>
    <row r="607">
      <c r="A607" s="296" t="inlineStr">
        <is>
          <t>OPM122501</t>
        </is>
      </c>
      <c r="B607" s="296" t="inlineStr">
        <is>
          <t>#12</t>
        </is>
      </c>
      <c r="C607" s="298" t="inlineStr">
        <is>
          <t>different values</t>
        </is>
      </c>
      <c r="D607" s="296" t="inlineStr">
        <is>
          <t>ND mg/kg — all 29 residues</t>
        </is>
      </c>
      <c r="E607" s="296" t="inlineStr">
        <is>
          <t>≤ LOQ (all 25 compounds)</t>
        </is>
      </c>
    </row>
    <row r="608">
      <c r="A608" s="296" t="inlineStr">
        <is>
          <t>PM092501</t>
        </is>
      </c>
      <c r="B608" s="296" t="inlineStr">
        <is>
          <t>#1</t>
        </is>
      </c>
      <c r="C608" s="298" t="inlineStr">
        <is>
          <t>different values</t>
        </is>
      </c>
      <c r="D608" s="296" t="inlineStr">
        <is>
          <t>Conforms | Одговара</t>
        </is>
      </c>
      <c r="E608" s="296" t="inlineStr">
        <is>
          <t>Conforms</t>
        </is>
      </c>
    </row>
    <row r="609">
      <c r="A609" s="296" t="inlineStr">
        <is>
          <t>PM092501</t>
        </is>
      </c>
      <c r="B609" s="296" t="inlineStr">
        <is>
          <t>#2</t>
        </is>
      </c>
      <c r="C609" s="298" t="inlineStr">
        <is>
          <t>different values</t>
        </is>
      </c>
      <c r="D609" s="296" t="inlineStr">
        <is>
          <t>Conforms | Одговара</t>
        </is>
      </c>
      <c r="E609" s="296" t="inlineStr">
        <is>
          <t>Conforms</t>
        </is>
      </c>
    </row>
    <row r="610">
      <c r="A610" s="296" t="inlineStr">
        <is>
          <t>PM092501</t>
        </is>
      </c>
      <c r="B610" s="296" t="inlineStr">
        <is>
          <t>#3</t>
        </is>
      </c>
      <c r="C610" s="298" t="inlineStr">
        <is>
          <t>different values</t>
        </is>
      </c>
      <c r="D610" s="296" t="inlineStr">
        <is>
          <t>Conforms | Одговара</t>
        </is>
      </c>
      <c r="E610" s="296" t="inlineStr">
        <is>
          <t>Conforms (ImB spec.) ᴿ</t>
        </is>
      </c>
    </row>
    <row r="611">
      <c r="A611" s="296" t="inlineStr">
        <is>
          <t>PM092501</t>
        </is>
      </c>
      <c r="B611" s="296" t="inlineStr">
        <is>
          <t>#6</t>
        </is>
      </c>
      <c r="C611" s="298" t="inlineStr">
        <is>
          <t>different values</t>
        </is>
      </c>
      <c r="D611" s="296" t="inlineStr">
        <is>
          <t>&lt; LOQ ᴰ</t>
        </is>
      </c>
      <c r="E611" s="296" t="inlineStr">
        <is>
          <t>BLQ ᴰ</t>
        </is>
      </c>
    </row>
    <row r="612">
      <c r="A612" s="296" t="inlineStr">
        <is>
          <t>PM092501</t>
        </is>
      </c>
      <c r="B612" s="296" t="inlineStr">
        <is>
          <t>#7</t>
        </is>
      </c>
      <c r="C612" s="298" t="inlineStr">
        <is>
          <t>different values</t>
        </is>
      </c>
      <c r="D612" s="296" t="inlineStr">
        <is>
          <t>Conforms | Одговара</t>
        </is>
      </c>
      <c r="E612" s="296" t="inlineStr">
        <is>
          <t>Conforms</t>
        </is>
      </c>
    </row>
    <row r="613">
      <c r="A613" s="296" t="inlineStr">
        <is>
          <t>PM092501</t>
        </is>
      </c>
      <c r="B613" s="296" t="inlineStr">
        <is>
          <t>#9</t>
        </is>
      </c>
      <c r="C613" s="298" t="inlineStr">
        <is>
          <t>different values</t>
        </is>
      </c>
      <c r="D613" s="296" t="inlineStr">
        <is>
          <t>2 × 10³; 2.2 × 10³; &lt; 10; Absent | Отсутна; Absent | Отсутна</t>
        </is>
      </c>
      <c r="E613" s="296" t="inlineStr">
        <is>
          <t>2×10³; 2.2×10³; &lt;10; Одговара; Одговара</t>
        </is>
      </c>
    </row>
    <row r="614">
      <c r="A614" s="296" t="inlineStr">
        <is>
          <t>PM092501</t>
        </is>
      </c>
      <c r="B614" s="296" t="inlineStr">
        <is>
          <t>#12</t>
        </is>
      </c>
      <c r="C614" s="298" t="inlineStr">
        <is>
          <t>different values</t>
        </is>
      </c>
      <c r="D614" s="296" t="inlineStr">
        <is>
          <t>ND mg/kg — all 29 residues</t>
        </is>
      </c>
      <c r="E614" s="296" t="inlineStr">
        <is>
          <t>≤ LOQ (all 28 compounds)</t>
        </is>
      </c>
    </row>
    <row r="615">
      <c r="A615" s="296" t="inlineStr">
        <is>
          <t>SCR012603</t>
        </is>
      </c>
      <c r="B615" s="296" t="inlineStr">
        <is>
          <t>#1</t>
        </is>
      </c>
      <c r="C615" s="298" t="inlineStr">
        <is>
          <t>different values</t>
        </is>
      </c>
      <c r="D615" s="296" t="inlineStr">
        <is>
          <t>Conforms | Одговара</t>
        </is>
      </c>
      <c r="E615" s="296" t="inlineStr">
        <is>
          <t>Conforms</t>
        </is>
      </c>
    </row>
    <row r="616">
      <c r="A616" s="296" t="inlineStr">
        <is>
          <t>SCR012603</t>
        </is>
      </c>
      <c r="B616" s="296" t="inlineStr">
        <is>
          <t>#2</t>
        </is>
      </c>
      <c r="C616" s="298" t="inlineStr">
        <is>
          <t>different values</t>
        </is>
      </c>
      <c r="D616" s="296" t="inlineStr">
        <is>
          <t>Conforms | Одговара</t>
        </is>
      </c>
      <c r="E616" s="296" t="inlineStr">
        <is>
          <t>Conforms</t>
        </is>
      </c>
    </row>
    <row r="617">
      <c r="A617" s="296" t="inlineStr">
        <is>
          <t>SCR012603</t>
        </is>
      </c>
      <c r="B617" s="296" t="inlineStr">
        <is>
          <t>#7</t>
        </is>
      </c>
      <c r="C617" s="298" t="inlineStr">
        <is>
          <t>different values</t>
        </is>
      </c>
      <c r="D617" s="296" t="inlineStr">
        <is>
          <t>Conforms | Одговара</t>
        </is>
      </c>
      <c r="E617" s="296" t="inlineStr">
        <is>
          <t>Conforms</t>
        </is>
      </c>
    </row>
    <row r="618">
      <c r="A618" s="296" t="inlineStr">
        <is>
          <t>SCR012603</t>
        </is>
      </c>
      <c r="B618" s="296" t="inlineStr">
        <is>
          <t>#9</t>
        </is>
      </c>
      <c r="C618" s="298" t="inlineStr">
        <is>
          <t>different values</t>
        </is>
      </c>
      <c r="D618" s="296" t="inlineStr">
        <is>
          <t>5.4 × 10⁴; 1.8 × 10⁴; &lt; 10; Absent | Отсутна; Absent | Отсутна</t>
        </is>
      </c>
      <c r="E618" s="296" t="inlineStr">
        <is>
          <t>5,4 x 10⁴ CFU/g CFU/g; 1,8 x 10⁴ CFU/g CFU/g; &lt; 10 CFU/g CFU/g; Отсутна /g; Отсутна /25 g</t>
        </is>
      </c>
    </row>
    <row r="619">
      <c r="A619" s="296" t="inlineStr">
        <is>
          <t>ACC102501</t>
        </is>
      </c>
      <c r="B619" s="296" t="inlineStr">
        <is>
          <t>#9</t>
        </is>
      </c>
      <c r="C619" s="298" t="inlineStr">
        <is>
          <t>different values</t>
        </is>
      </c>
      <c r="D619" s="296" t="inlineStr">
        <is>
          <t>1 × 10³; 1.6 × 10³; &lt; 10; Absent | Отсутна; Absent | Отсутна</t>
        </is>
      </c>
      <c r="E619" s="296" t="inlineStr">
        <is>
          <t>1 x 10³ CFU/g CFU/g; 1,6 x 10³ CFU/g CFU/g; &lt; 10 CFU/g CFU/g; Одговара; Одговара</t>
        </is>
      </c>
    </row>
    <row r="620">
      <c r="A620" s="296" t="inlineStr">
        <is>
          <t>BSS052501</t>
        </is>
      </c>
      <c r="B620" s="296" t="inlineStr">
        <is>
          <t>#1</t>
        </is>
      </c>
      <c r="C620" s="298" t="inlineStr">
        <is>
          <t>different values</t>
        </is>
      </c>
      <c r="D620" s="296" t="inlineStr">
        <is>
          <t>Conforms | Одговара</t>
        </is>
      </c>
      <c r="E620" s="296" t="inlineStr">
        <is>
          <t>Conforms</t>
        </is>
      </c>
    </row>
    <row r="621">
      <c r="A621" s="296" t="inlineStr">
        <is>
          <t>BSS052501</t>
        </is>
      </c>
      <c r="B621" s="296" t="inlineStr">
        <is>
          <t>#2</t>
        </is>
      </c>
      <c r="C621" s="298" t="inlineStr">
        <is>
          <t>different values</t>
        </is>
      </c>
      <c r="D621" s="296" t="inlineStr">
        <is>
          <t>Conforms | Одговара</t>
        </is>
      </c>
      <c r="E621" s="296" t="inlineStr">
        <is>
          <t>Conforms</t>
        </is>
      </c>
    </row>
    <row r="622">
      <c r="A622" s="296" t="inlineStr">
        <is>
          <t>BSS052501</t>
        </is>
      </c>
      <c r="B622" s="296" t="inlineStr">
        <is>
          <t>#7</t>
        </is>
      </c>
      <c r="C622" s="298" t="inlineStr">
        <is>
          <t>different values</t>
        </is>
      </c>
      <c r="D622" s="296" t="inlineStr">
        <is>
          <t>Conforms | Одговара</t>
        </is>
      </c>
      <c r="E622" s="296" t="inlineStr">
        <is>
          <t>Conforms</t>
        </is>
      </c>
    </row>
    <row r="623">
      <c r="A623" s="296" t="inlineStr">
        <is>
          <t>BSS052501</t>
        </is>
      </c>
      <c r="B623" s="296" t="inlineStr">
        <is>
          <t>#9</t>
        </is>
      </c>
      <c r="C623" s="298" t="inlineStr">
        <is>
          <t>different values</t>
        </is>
      </c>
      <c r="D623" s="296" t="inlineStr">
        <is>
          <t>200; 200; &lt; 10² and &gt; 10; Absent | Отсутна; Absent | Отсутна</t>
        </is>
      </c>
      <c r="E623" s="296" t="inlineStr">
        <is>
          <t>200 CFU/g CFU/g; 200 CFU/g CFU/g; &lt; 10² и &gt;10 CFU/g CFU/g; Одговара /g; Одговара /25 g</t>
        </is>
      </c>
    </row>
    <row r="624">
      <c r="A624" s="296" t="inlineStr">
        <is>
          <t>BSS052501</t>
        </is>
      </c>
      <c r="B624" s="296" t="inlineStr">
        <is>
          <t>#12</t>
        </is>
      </c>
      <c r="C624" s="298" t="inlineStr">
        <is>
          <t>different values</t>
        </is>
      </c>
      <c r="D624" s="296" t="inlineStr">
        <is>
          <t>Not found any pesticide above LOQ (≤LOQ) — COMPLIES with Ph. Eur.</t>
        </is>
      </c>
      <c r="E624" s="296" t="inlineStr">
        <is>
          <t>≤ LOQ (0.01 mg/kg) mg/kg</t>
        </is>
      </c>
    </row>
    <row r="625">
      <c r="A625" s="296" t="inlineStr">
        <is>
          <t>CC012603</t>
        </is>
      </c>
      <c r="B625" s="296" t="inlineStr">
        <is>
          <t>#9</t>
        </is>
      </c>
      <c r="C625" s="298" t="inlineStr">
        <is>
          <t>different values</t>
        </is>
      </c>
      <c r="D625" s="296" t="inlineStr">
        <is>
          <t>2.7 × 10³; 1.6 × 10¹; &lt; 10; Absent | Отсутна; Absent | Отсутна</t>
        </is>
      </c>
      <c r="E625" s="296" t="inlineStr">
        <is>
          <t>2,7 x 10³ CFU/g CFU/g; 1,6 x 10⁴ CFU/g CFU/g; &lt; 10 CFU/g CFU/g; Отсутна /g; Отсутна /25 g</t>
        </is>
      </c>
    </row>
    <row r="626">
      <c r="A626" s="296" t="inlineStr">
        <is>
          <t>CF102501</t>
        </is>
      </c>
      <c r="B626" s="296" t="inlineStr">
        <is>
          <t>#9</t>
        </is>
      </c>
      <c r="C626" s="298" t="inlineStr">
        <is>
          <t>different values</t>
        </is>
      </c>
      <c r="D626" s="296" t="inlineStr">
        <is>
          <t>3.1 × 10⁴; 3.9 × 10⁴; &lt; 10³ and &gt; 10²; Absent | Отсутна; Absent | Отсутна</t>
        </is>
      </c>
      <c r="E626" s="296" t="inlineStr">
        <is>
          <t>3,1 x 10⁴ CFU/g CFU/g; 3,9 x 10⁴ CFU/g CFU/g; &lt; 10³ и 10² CFU/g CFU/g; Одговара; Одговара</t>
        </is>
      </c>
    </row>
    <row r="627">
      <c r="A627" s="296" t="inlineStr">
        <is>
          <t>CF102501</t>
        </is>
      </c>
      <c r="B627" s="296" t="inlineStr">
        <is>
          <t>#11</t>
        </is>
      </c>
      <c r="C627" s="299" t="inlineStr">
        <is>
          <t>same values,
other order</t>
        </is>
      </c>
      <c r="D627" s="296" t="inlineStr">
        <is>
          <t>0.07; ND; 0.0942; ND</t>
        </is>
      </c>
      <c r="E627" s="296" t="inlineStr">
        <is>
          <t>0,07 mg/kg(l); 0,0942 mg/kg(l); н.д. mg/kg(l); н.д. mg/kg(l)</t>
        </is>
      </c>
    </row>
    <row r="628">
      <c r="A628" s="296" t="inlineStr">
        <is>
          <t>CJ062501/1</t>
        </is>
      </c>
      <c r="B628" s="296" t="inlineStr">
        <is>
          <t>#1</t>
        </is>
      </c>
      <c r="C628" s="298" t="inlineStr">
        <is>
          <t>different values</t>
        </is>
      </c>
      <c r="D628" s="296" t="inlineStr">
        <is>
          <t>Conforms | Одговара</t>
        </is>
      </c>
      <c r="E628" s="296" t="inlineStr">
        <is>
          <t>Conforms</t>
        </is>
      </c>
    </row>
    <row r="629">
      <c r="A629" s="296" t="inlineStr">
        <is>
          <t>CJ062501/1</t>
        </is>
      </c>
      <c r="B629" s="296" t="inlineStr">
        <is>
          <t>#2</t>
        </is>
      </c>
      <c r="C629" s="298" t="inlineStr">
        <is>
          <t>different values</t>
        </is>
      </c>
      <c r="D629" s="296" t="inlineStr">
        <is>
          <t>Conforms | Одговара</t>
        </is>
      </c>
      <c r="E629" s="296" t="inlineStr">
        <is>
          <t>Conforms</t>
        </is>
      </c>
    </row>
    <row r="630">
      <c r="A630" s="296" t="inlineStr">
        <is>
          <t>CJ062501/1</t>
        </is>
      </c>
      <c r="B630" s="296" t="inlineStr">
        <is>
          <t>#3</t>
        </is>
      </c>
      <c r="C630" s="298" t="inlineStr">
        <is>
          <t>different values</t>
        </is>
      </c>
      <c r="D630" s="296" t="inlineStr">
        <is>
          <t>Conforms | Одговара</t>
        </is>
      </c>
      <c r="E630" s="296" t="inlineStr">
        <is>
          <t>Conforms (ImB spec.)</t>
        </is>
      </c>
    </row>
    <row r="631">
      <c r="A631" s="296" t="inlineStr">
        <is>
          <t>CJ062501/1</t>
        </is>
      </c>
      <c r="B631" s="296" t="inlineStr">
        <is>
          <t>#7</t>
        </is>
      </c>
      <c r="C631" s="298" t="inlineStr">
        <is>
          <t>different values</t>
        </is>
      </c>
      <c r="D631" s="296" t="inlineStr">
        <is>
          <t>Conforms | Одговара</t>
        </is>
      </c>
      <c r="E631" s="296" t="inlineStr">
        <is>
          <t>Conforms</t>
        </is>
      </c>
    </row>
    <row r="632">
      <c r="A632" s="296" t="inlineStr">
        <is>
          <t>CJ062501/1</t>
        </is>
      </c>
      <c r="B632" s="296" t="inlineStr">
        <is>
          <t>#9</t>
        </is>
      </c>
      <c r="C632" s="298" t="inlineStr">
        <is>
          <t>different values</t>
        </is>
      </c>
      <c r="D632" s="296" t="inlineStr">
        <is>
          <t>&lt; 10; 20; &lt; 10; Absent | Отсутна; Absent | Отсутна</t>
        </is>
      </c>
      <c r="E632" s="296" t="inlineStr">
        <is>
          <t>&lt;10; 20; &lt;10; Одговара; Одговара</t>
        </is>
      </c>
    </row>
    <row r="633">
      <c r="A633" s="296" t="inlineStr">
        <is>
          <t>CJ062501/1</t>
        </is>
      </c>
      <c r="B633" s="296" t="inlineStr">
        <is>
          <t>#12</t>
        </is>
      </c>
      <c r="C633" s="298" t="inlineStr">
        <is>
          <t>different values</t>
        </is>
      </c>
      <c r="D633" s="296" t="inlineStr">
        <is>
          <t>ND</t>
        </is>
      </c>
      <c r="E633" s="296" t="inlineStr">
        <is>
          <t>≤ LOQ (all 29 compounds)</t>
        </is>
      </c>
    </row>
    <row r="634">
      <c r="A634" s="296" t="inlineStr">
        <is>
          <t>CJ082501/1</t>
        </is>
      </c>
      <c r="B634" s="296" t="inlineStr">
        <is>
          <t>#1</t>
        </is>
      </c>
      <c r="C634" s="298" t="inlineStr">
        <is>
          <t>different values</t>
        </is>
      </c>
      <c r="D634" s="296" t="inlineStr">
        <is>
          <t>Conforms | Одговара</t>
        </is>
      </c>
      <c r="E634" s="296" t="inlineStr">
        <is>
          <t>Conforms</t>
        </is>
      </c>
    </row>
    <row r="635">
      <c r="A635" s="296" t="inlineStr">
        <is>
          <t>CJ082501/1</t>
        </is>
      </c>
      <c r="B635" s="296" t="inlineStr">
        <is>
          <t>#2</t>
        </is>
      </c>
      <c r="C635" s="298" t="inlineStr">
        <is>
          <t>different values</t>
        </is>
      </c>
      <c r="D635" s="296" t="inlineStr">
        <is>
          <t>Conforms | Одговара</t>
        </is>
      </c>
      <c r="E635" s="296" t="inlineStr">
        <is>
          <t>Conforms</t>
        </is>
      </c>
    </row>
    <row r="636">
      <c r="A636" s="296" t="inlineStr">
        <is>
          <t>CJ082501/1</t>
        </is>
      </c>
      <c r="B636" s="296" t="inlineStr">
        <is>
          <t>#3</t>
        </is>
      </c>
      <c r="C636" s="298" t="inlineStr">
        <is>
          <t>different values</t>
        </is>
      </c>
      <c r="D636" s="296" t="inlineStr">
        <is>
          <t>Conforms | Одговара</t>
        </is>
      </c>
      <c r="E636" s="296" t="inlineStr">
        <is>
          <t>Conforms (ImB spec.)</t>
        </is>
      </c>
    </row>
    <row r="637">
      <c r="A637" s="296" t="inlineStr">
        <is>
          <t>CJ082501/1</t>
        </is>
      </c>
      <c r="B637" s="296" t="inlineStr">
        <is>
          <t>#7</t>
        </is>
      </c>
      <c r="C637" s="298" t="inlineStr">
        <is>
          <t>different values</t>
        </is>
      </c>
      <c r="D637" s="296" t="inlineStr">
        <is>
          <t>Conforms | Одговара</t>
        </is>
      </c>
      <c r="E637" s="296" t="inlineStr">
        <is>
          <t>Conforms</t>
        </is>
      </c>
    </row>
    <row r="638">
      <c r="A638" s="296" t="inlineStr">
        <is>
          <t>CJ082501/1</t>
        </is>
      </c>
      <c r="B638" s="296" t="inlineStr">
        <is>
          <t>#9</t>
        </is>
      </c>
      <c r="C638" s="298" t="inlineStr">
        <is>
          <t>different values</t>
        </is>
      </c>
      <c r="D638" s="296" t="inlineStr">
        <is>
          <t>1.5 × 10²; 1.3 × 10²; &lt; 10; Absent | Отсутна; Absent | Отсутна</t>
        </is>
      </c>
      <c r="E638" s="296" t="inlineStr">
        <is>
          <t>1,5 x 10² CFU/g CFU/g; 1,3 x 10² CFU/g CFU/g; &lt; 10 CFU/g CFU/g; Одговара /g; Одговара /25 g</t>
        </is>
      </c>
    </row>
    <row r="639">
      <c r="A639" s="296" t="inlineStr">
        <is>
          <t>CJ082501/1</t>
        </is>
      </c>
      <c r="B639" s="296" t="inlineStr">
        <is>
          <t>#12</t>
        </is>
      </c>
      <c r="C639" s="298" t="inlineStr">
        <is>
          <t>different values</t>
        </is>
      </c>
      <c r="D639" s="296" t="inlineStr">
        <is>
          <t>ND</t>
        </is>
      </c>
      <c r="E639" s="296" t="inlineStr">
        <is>
          <t>≤ LOQ (all 26 compounds)</t>
        </is>
      </c>
    </row>
    <row r="640">
      <c r="A640" s="296" t="inlineStr">
        <is>
          <t>CJ092501</t>
        </is>
      </c>
      <c r="B640" s="296" t="inlineStr">
        <is>
          <t>#1</t>
        </is>
      </c>
      <c r="C640" s="298" t="inlineStr">
        <is>
          <t>different values</t>
        </is>
      </c>
      <c r="D640" s="296" t="inlineStr">
        <is>
          <t>Conforms | Одговара</t>
        </is>
      </c>
      <c r="E640" s="296" t="inlineStr">
        <is>
          <t>Conforms</t>
        </is>
      </c>
    </row>
    <row r="641">
      <c r="A641" s="296" t="inlineStr">
        <is>
          <t>CJ092501</t>
        </is>
      </c>
      <c r="B641" s="296" t="inlineStr">
        <is>
          <t>#2</t>
        </is>
      </c>
      <c r="C641" s="298" t="inlineStr">
        <is>
          <t>different values</t>
        </is>
      </c>
      <c r="D641" s="296" t="inlineStr">
        <is>
          <t>Conforms | Одговара</t>
        </is>
      </c>
      <c r="E641" s="296" t="inlineStr">
        <is>
          <t>Conforms</t>
        </is>
      </c>
    </row>
    <row r="642">
      <c r="A642" s="296" t="inlineStr">
        <is>
          <t>CJ092501</t>
        </is>
      </c>
      <c r="B642" s="296" t="inlineStr">
        <is>
          <t>#3</t>
        </is>
      </c>
      <c r="C642" s="298" t="inlineStr">
        <is>
          <t>different values</t>
        </is>
      </c>
      <c r="D642" s="296" t="inlineStr">
        <is>
          <t>Conforms | Одговара</t>
        </is>
      </c>
      <c r="E642" s="296" t="inlineStr">
        <is>
          <t>Conforms (ImB spec.)</t>
        </is>
      </c>
    </row>
    <row r="643">
      <c r="A643" s="296" t="inlineStr">
        <is>
          <t>CJ092501</t>
        </is>
      </c>
      <c r="B643" s="296" t="inlineStr">
        <is>
          <t>#7</t>
        </is>
      </c>
      <c r="C643" s="298" t="inlineStr">
        <is>
          <t>different values</t>
        </is>
      </c>
      <c r="D643" s="296" t="inlineStr">
        <is>
          <t>Conforms | Одговара</t>
        </is>
      </c>
      <c r="E643" s="296" t="inlineStr">
        <is>
          <t>Conforms</t>
        </is>
      </c>
    </row>
    <row r="644">
      <c r="A644" s="296" t="inlineStr">
        <is>
          <t>CJ092501</t>
        </is>
      </c>
      <c r="B644" s="296" t="inlineStr">
        <is>
          <t>#9</t>
        </is>
      </c>
      <c r="C644" s="298" t="inlineStr">
        <is>
          <t>different values</t>
        </is>
      </c>
      <c r="D644" s="296" t="inlineStr">
        <is>
          <t>&lt; 10; &lt; 10; &lt; 10; Absent | Отсутна; Absent | Отсутна</t>
        </is>
      </c>
      <c r="E644" s="296" t="inlineStr">
        <is>
          <t>&lt;10; &lt;10; &lt;10; Одговара; Одговара</t>
        </is>
      </c>
    </row>
    <row r="645">
      <c r="A645" s="296" t="inlineStr">
        <is>
          <t>CJ092501</t>
        </is>
      </c>
      <c r="B645" s="296" t="inlineStr">
        <is>
          <t>#12</t>
        </is>
      </c>
      <c r="C645" s="298" t="inlineStr">
        <is>
          <t>different values</t>
        </is>
      </c>
      <c r="D645" s="296" t="inlineStr">
        <is>
          <t>ND mg/kg — all 29 residues</t>
        </is>
      </c>
      <c r="E645" s="296" t="inlineStr">
        <is>
          <t>≤ LOQ (all 29 compounds)</t>
        </is>
      </c>
    </row>
    <row r="646">
      <c r="A646" s="296" t="inlineStr">
        <is>
          <t>CLE072501</t>
        </is>
      </c>
      <c r="B646" s="296" t="inlineStr">
        <is>
          <t>#1</t>
        </is>
      </c>
      <c r="C646" s="298" t="inlineStr">
        <is>
          <t>different values</t>
        </is>
      </c>
      <c r="D646" s="296" t="inlineStr">
        <is>
          <t>Conforms | Одговара</t>
        </is>
      </c>
      <c r="E646" s="296" t="inlineStr">
        <is>
          <t>Conforms</t>
        </is>
      </c>
    </row>
    <row r="647">
      <c r="A647" s="296" t="inlineStr">
        <is>
          <t>CLE072501</t>
        </is>
      </c>
      <c r="B647" s="296" t="inlineStr">
        <is>
          <t>#2</t>
        </is>
      </c>
      <c r="C647" s="298" t="inlineStr">
        <is>
          <t>different values</t>
        </is>
      </c>
      <c r="D647" s="296" t="inlineStr">
        <is>
          <t>Conforms | Одговара</t>
        </is>
      </c>
      <c r="E647" s="296" t="inlineStr">
        <is>
          <t>Conforms</t>
        </is>
      </c>
    </row>
    <row r="648">
      <c r="A648" s="296" t="inlineStr">
        <is>
          <t>CLE072501</t>
        </is>
      </c>
      <c r="B648" s="296" t="inlineStr">
        <is>
          <t>#3</t>
        </is>
      </c>
      <c r="C648" s="298" t="inlineStr">
        <is>
          <t>different values</t>
        </is>
      </c>
      <c r="D648" s="296" t="inlineStr">
        <is>
          <t>Conforms | Одговара</t>
        </is>
      </c>
      <c r="E648" s="296" t="inlineStr">
        <is>
          <t>Conforms (ImB spec.)</t>
        </is>
      </c>
    </row>
    <row r="649">
      <c r="A649" s="296" t="inlineStr">
        <is>
          <t>CLE072501</t>
        </is>
      </c>
      <c r="B649" s="296" t="inlineStr">
        <is>
          <t>#6</t>
        </is>
      </c>
      <c r="C649" s="298" t="inlineStr">
        <is>
          <t>different values</t>
        </is>
      </c>
      <c r="D649" s="296" t="inlineStr">
        <is>
          <t>&lt; LOQ ᴰ</t>
        </is>
      </c>
      <c r="E649" s="296" t="inlineStr">
        <is>
          <t>BLQ ᴰ</t>
        </is>
      </c>
    </row>
    <row r="650">
      <c r="A650" s="296" t="inlineStr">
        <is>
          <t>CLE072501</t>
        </is>
      </c>
      <c r="B650" s="296" t="inlineStr">
        <is>
          <t>#7</t>
        </is>
      </c>
      <c r="C650" s="298" t="inlineStr">
        <is>
          <t>different values</t>
        </is>
      </c>
      <c r="D650" s="296" t="inlineStr">
        <is>
          <t>Conforms | Одговара</t>
        </is>
      </c>
      <c r="E650" s="296" t="inlineStr">
        <is>
          <t>Conforms</t>
        </is>
      </c>
    </row>
    <row r="651">
      <c r="A651" s="296" t="inlineStr">
        <is>
          <t>CLE072501</t>
        </is>
      </c>
      <c r="B651" s="296" t="inlineStr">
        <is>
          <t>#9</t>
        </is>
      </c>
      <c r="C651" s="298" t="inlineStr">
        <is>
          <t>different values</t>
        </is>
      </c>
      <c r="D651" s="296" t="inlineStr">
        <is>
          <t>&lt; 10; &lt; 10; &lt; 10; Absent | Отсутна; Absent | Отсутна</t>
        </is>
      </c>
      <c r="E651" s="296" t="inlineStr">
        <is>
          <t>&lt;10; &lt;10; &lt;10; Одговара; Одговара</t>
        </is>
      </c>
    </row>
    <row r="652">
      <c r="A652" s="296" t="inlineStr">
        <is>
          <t>CLE072501</t>
        </is>
      </c>
      <c r="B652" s="296" t="inlineStr">
        <is>
          <t>#12</t>
        </is>
      </c>
      <c r="C652" s="298" t="inlineStr">
        <is>
          <t>different values</t>
        </is>
      </c>
      <c r="D652" s="296" t="inlineStr">
        <is>
          <t>ND mg/kg — all 29 residues</t>
        </is>
      </c>
      <c r="E652" s="296" t="inlineStr">
        <is>
          <t>≤ LOQ (all 27 compounds)</t>
        </is>
      </c>
    </row>
    <row r="653">
      <c r="A653" s="296" t="inlineStr">
        <is>
          <t>FB012601/1</t>
        </is>
      </c>
      <c r="B653" s="296" t="inlineStr">
        <is>
          <t>#1</t>
        </is>
      </c>
      <c r="C653" s="298" t="inlineStr">
        <is>
          <t>different values</t>
        </is>
      </c>
      <c r="D653" s="296" t="inlineStr">
        <is>
          <t>Conforms | Одговара</t>
        </is>
      </c>
      <c r="E653" s="296" t="inlineStr">
        <is>
          <t>Conforms</t>
        </is>
      </c>
    </row>
    <row r="654">
      <c r="A654" s="296" t="inlineStr">
        <is>
          <t>FB012601/1</t>
        </is>
      </c>
      <c r="B654" s="296" t="inlineStr">
        <is>
          <t>#2</t>
        </is>
      </c>
      <c r="C654" s="298" t="inlineStr">
        <is>
          <t>different values</t>
        </is>
      </c>
      <c r="D654" s="296" t="inlineStr">
        <is>
          <t>Conforms | Одговара</t>
        </is>
      </c>
      <c r="E654" s="296" t="inlineStr">
        <is>
          <t>Conforms</t>
        </is>
      </c>
    </row>
    <row r="655">
      <c r="A655" s="296" t="inlineStr">
        <is>
          <t>FB012601/1</t>
        </is>
      </c>
      <c r="B655" s="296" t="inlineStr">
        <is>
          <t>#6</t>
        </is>
      </c>
      <c r="C655" s="298" t="inlineStr">
        <is>
          <t>different values</t>
        </is>
      </c>
      <c r="D655" s="296" t="inlineStr">
        <is>
          <t>&lt; LOQ %</t>
        </is>
      </c>
      <c r="E655" s="296" t="inlineStr">
        <is>
          <t>BLQ %</t>
        </is>
      </c>
    </row>
    <row r="656">
      <c r="A656" s="296" t="inlineStr">
        <is>
          <t>FB012601/1</t>
        </is>
      </c>
      <c r="B656" s="296" t="inlineStr">
        <is>
          <t>#7</t>
        </is>
      </c>
      <c r="C656" s="298" t="inlineStr">
        <is>
          <t>different values</t>
        </is>
      </c>
      <c r="D656" s="296" t="inlineStr">
        <is>
          <t>Conforms | Одговара</t>
        </is>
      </c>
      <c r="E656" s="296" t="inlineStr">
        <is>
          <t>Conforms</t>
        </is>
      </c>
    </row>
    <row r="657">
      <c r="A657" s="296" t="inlineStr">
        <is>
          <t>FB012601/1</t>
        </is>
      </c>
      <c r="B657" s="296" t="inlineStr">
        <is>
          <t>#9</t>
        </is>
      </c>
      <c r="C657" s="298" t="inlineStr">
        <is>
          <t>different values</t>
        </is>
      </c>
      <c r="D657" s="296" t="inlineStr">
        <is>
          <t>2 × 10³; 2,1 × 10³; &lt; 10; Absent | Отсутна; Absent | Отсутна</t>
        </is>
      </c>
      <c r="E657" s="296" t="inlineStr">
        <is>
          <t>2 x 10³ CFU/g CFU/g; 2,1 x 10³ CFU/g CFU/g; &lt; 10 CFU/g CFU/g; Отсутна/g; Отсутна/25 g</t>
        </is>
      </c>
    </row>
    <row r="658">
      <c r="A658" s="296" t="inlineStr">
        <is>
          <t>GG1024</t>
        </is>
      </c>
      <c r="B658" s="296" t="inlineStr">
        <is>
          <t>#1</t>
        </is>
      </c>
      <c r="C658" s="298" t="inlineStr">
        <is>
          <t>different values</t>
        </is>
      </c>
      <c r="D658" s="296" t="inlineStr">
        <is>
          <t>Conforms | Одговара</t>
        </is>
      </c>
      <c r="E658" s="296" t="inlineStr">
        <is>
          <t>Conforms</t>
        </is>
      </c>
    </row>
    <row r="659">
      <c r="A659" s="296" t="inlineStr">
        <is>
          <t>GG1024</t>
        </is>
      </c>
      <c r="B659" s="296" t="inlineStr">
        <is>
          <t>#2</t>
        </is>
      </c>
      <c r="C659" s="298" t="inlineStr">
        <is>
          <t>different values</t>
        </is>
      </c>
      <c r="D659" s="296" t="inlineStr">
        <is>
          <t>Conforms | Одговара</t>
        </is>
      </c>
      <c r="E659" s="296" t="inlineStr">
        <is>
          <t>Conforms</t>
        </is>
      </c>
    </row>
    <row r="660">
      <c r="A660" s="296" t="inlineStr">
        <is>
          <t>GG1024</t>
        </is>
      </c>
      <c r="B660" s="296" t="inlineStr">
        <is>
          <t>#7</t>
        </is>
      </c>
      <c r="C660" s="298" t="inlineStr">
        <is>
          <t>different values</t>
        </is>
      </c>
      <c r="D660" s="296" t="inlineStr">
        <is>
          <t>Conforms | Одговара</t>
        </is>
      </c>
      <c r="E660" s="296" t="inlineStr">
        <is>
          <t>Confirms</t>
        </is>
      </c>
    </row>
    <row r="661">
      <c r="A661" s="296" t="inlineStr">
        <is>
          <t>GG1024</t>
        </is>
      </c>
      <c r="B661" s="296" t="inlineStr">
        <is>
          <t>#9</t>
        </is>
      </c>
      <c r="C661" s="298" t="inlineStr">
        <is>
          <t>different values</t>
        </is>
      </c>
      <c r="D661" s="296" t="inlineStr">
        <is>
          <t>1.1 × 10⁴ CFU/g; &lt; 10; &lt; 10² and &gt; 10 CFU/g; Absent | Отсутна; Absent | Отсутна</t>
        </is>
      </c>
      <c r="E661" s="296" t="inlineStr">
        <is>
          <t>1,1 x 10⁴ CFU/g; &lt; 10 CFU/g; &lt; 10² и &gt; 10 CFU/g; Одговара; Одговара</t>
        </is>
      </c>
    </row>
    <row r="662">
      <c r="A662" s="296" t="inlineStr">
        <is>
          <t>GP072501/2</t>
        </is>
      </c>
      <c r="B662" s="296" t="inlineStr">
        <is>
          <t>#1</t>
        </is>
      </c>
      <c r="C662" s="298" t="inlineStr">
        <is>
          <t>different values</t>
        </is>
      </c>
      <c r="D662" s="296" t="inlineStr">
        <is>
          <t>Conforms | Одговара</t>
        </is>
      </c>
      <c r="E662" s="296" t="inlineStr">
        <is>
          <t>Conforms</t>
        </is>
      </c>
    </row>
    <row r="663">
      <c r="A663" s="296" t="inlineStr">
        <is>
          <t>GP072501/2</t>
        </is>
      </c>
      <c r="B663" s="296" t="inlineStr">
        <is>
          <t>#2</t>
        </is>
      </c>
      <c r="C663" s="298" t="inlineStr">
        <is>
          <t>different values</t>
        </is>
      </c>
      <c r="D663" s="296" t="inlineStr">
        <is>
          <t>Conforms | Одговара</t>
        </is>
      </c>
      <c r="E663" s="296" t="inlineStr">
        <is>
          <t>Conforms</t>
        </is>
      </c>
    </row>
    <row r="664">
      <c r="A664" s="296" t="inlineStr">
        <is>
          <t>GP072501/2</t>
        </is>
      </c>
      <c r="B664" s="296" t="inlineStr">
        <is>
          <t>#3</t>
        </is>
      </c>
      <c r="C664" s="298" t="inlineStr">
        <is>
          <t>different values</t>
        </is>
      </c>
      <c r="D664" s="296" t="inlineStr">
        <is>
          <t>Conforms | Одговара</t>
        </is>
      </c>
      <c r="E664" s="296" t="inlineStr">
        <is>
          <t>Conforms (ImB spec.)</t>
        </is>
      </c>
    </row>
    <row r="665">
      <c r="A665" s="296" t="inlineStr">
        <is>
          <t>GP072501/2</t>
        </is>
      </c>
      <c r="B665" s="296" t="inlineStr">
        <is>
          <t>#7</t>
        </is>
      </c>
      <c r="C665" s="298" t="inlineStr">
        <is>
          <t>different values</t>
        </is>
      </c>
      <c r="D665" s="296" t="inlineStr">
        <is>
          <t>Conforms | Одговара</t>
        </is>
      </c>
      <c r="E665" s="296" t="inlineStr">
        <is>
          <t>Conforms</t>
        </is>
      </c>
    </row>
    <row r="666">
      <c r="A666" s="296" t="inlineStr">
        <is>
          <t>GP072501/2</t>
        </is>
      </c>
      <c r="B666" s="296" t="inlineStr">
        <is>
          <t>#9</t>
        </is>
      </c>
      <c r="C666" s="298" t="inlineStr">
        <is>
          <t>different values</t>
        </is>
      </c>
      <c r="D666" s="296" t="inlineStr">
        <is>
          <t>2 × 10²; 3 × 10²; &lt; 10; Absent | Отсутна; Absent | Отсутна</t>
        </is>
      </c>
      <c r="E666" s="296" t="inlineStr">
        <is>
          <t>2 x 10² CFU/g CFU/g; 3 x 10² CFU/g CFU/g; &lt; 10 CFU/g CFU/g; Одговара /g; Одговара /25 g</t>
        </is>
      </c>
    </row>
    <row r="667">
      <c r="A667" s="296" t="inlineStr">
        <is>
          <t>GP072501/2</t>
        </is>
      </c>
      <c r="B667" s="296" t="inlineStr">
        <is>
          <t>#12</t>
        </is>
      </c>
      <c r="C667" s="298" t="inlineStr">
        <is>
          <t>different values</t>
        </is>
      </c>
      <c r="D667" s="296" t="inlineStr">
        <is>
          <t>ND</t>
        </is>
      </c>
      <c r="E667" s="296" t="inlineStr">
        <is>
          <t>≤ LOQ (all 29 compounds)</t>
        </is>
      </c>
    </row>
    <row r="668">
      <c r="A668" s="296" t="inlineStr">
        <is>
          <t>GP0824_03</t>
        </is>
      </c>
      <c r="B668" s="296" t="inlineStr">
        <is>
          <t>#1</t>
        </is>
      </c>
      <c r="C668" s="298" t="inlineStr">
        <is>
          <t>different values</t>
        </is>
      </c>
      <c r="D668" s="296" t="inlineStr">
        <is>
          <t>Conforms | Одговара</t>
        </is>
      </c>
      <c r="E668" s="296" t="inlineStr">
        <is>
          <t>Conforms</t>
        </is>
      </c>
    </row>
    <row r="669">
      <c r="A669" s="296" t="inlineStr">
        <is>
          <t>GP0824_03</t>
        </is>
      </c>
      <c r="B669" s="296" t="inlineStr">
        <is>
          <t>#2</t>
        </is>
      </c>
      <c r="C669" s="298" t="inlineStr">
        <is>
          <t>different values</t>
        </is>
      </c>
      <c r="D669" s="296" t="inlineStr">
        <is>
          <t>Conforms | Одговара</t>
        </is>
      </c>
      <c r="E669" s="296" t="inlineStr">
        <is>
          <t>Conforms</t>
        </is>
      </c>
    </row>
    <row r="670">
      <c r="A670" s="296" t="inlineStr">
        <is>
          <t>GP0824_03</t>
        </is>
      </c>
      <c r="B670" s="296" t="inlineStr">
        <is>
          <t>#3</t>
        </is>
      </c>
      <c r="C670" s="298" t="inlineStr">
        <is>
          <t>different values</t>
        </is>
      </c>
      <c r="D670" s="296" t="inlineStr">
        <is>
          <t>Conforms | Одговара</t>
        </is>
      </c>
      <c r="E670" s="296" t="inlineStr">
        <is>
          <t>Conforms (ImB spec.)</t>
        </is>
      </c>
    </row>
    <row r="671">
      <c r="A671" s="296" t="inlineStr">
        <is>
          <t>GP0824_03</t>
        </is>
      </c>
      <c r="B671" s="296" t="inlineStr">
        <is>
          <t>#6</t>
        </is>
      </c>
      <c r="C671" s="298" t="inlineStr">
        <is>
          <t>different values</t>
        </is>
      </c>
      <c r="D671" s="296" t="inlineStr">
        <is>
          <t>&lt; LOQ ᴰ</t>
        </is>
      </c>
      <c r="E671" s="296" t="inlineStr">
        <is>
          <t>BLQ ᴰ</t>
        </is>
      </c>
    </row>
    <row r="672">
      <c r="A672" s="296" t="inlineStr">
        <is>
          <t>GP0824_03</t>
        </is>
      </c>
      <c r="B672" s="296" t="inlineStr">
        <is>
          <t>#7</t>
        </is>
      </c>
      <c r="C672" s="298" t="inlineStr">
        <is>
          <t>different values</t>
        </is>
      </c>
      <c r="D672" s="296" t="inlineStr">
        <is>
          <t>Conforms | Одговара</t>
        </is>
      </c>
      <c r="E672" s="296" t="inlineStr">
        <is>
          <t>Conforms</t>
        </is>
      </c>
    </row>
    <row r="673">
      <c r="A673" s="296" t="inlineStr">
        <is>
          <t>GP0824_03</t>
        </is>
      </c>
      <c r="B673" s="296" t="inlineStr">
        <is>
          <t>#9</t>
        </is>
      </c>
      <c r="C673" s="298" t="inlineStr">
        <is>
          <t>different values</t>
        </is>
      </c>
      <c r="D673" s="296" t="inlineStr">
        <is>
          <t>1.1 × 10⁴; 1.2 × 10⁴; &lt; 10⁴ and &gt; 10³; Absent | Отсутна; Absent | Отсутна</t>
        </is>
      </c>
      <c r="E673" s="296" t="inlineStr">
        <is>
          <t>1.1 x 10⁴; 1.2 x 10⁴; &lt;10⁴ и &gt;10³; Одговара; Одговара</t>
        </is>
      </c>
    </row>
    <row r="674">
      <c r="A674" s="296" t="inlineStr">
        <is>
          <t>GP0824_03</t>
        </is>
      </c>
      <c r="B674" s="296" t="inlineStr">
        <is>
          <t>#12</t>
        </is>
      </c>
      <c r="C674" s="298" t="inlineStr">
        <is>
          <t>different values</t>
        </is>
      </c>
      <c r="D674" s="296" t="inlineStr">
        <is>
          <t>ND</t>
        </is>
      </c>
      <c r="E674" s="296" t="inlineStr">
        <is>
          <t>≤ LOQ (all 29 compounds)</t>
        </is>
      </c>
    </row>
    <row r="675">
      <c r="A675" s="296" t="inlineStr">
        <is>
          <t>GP082501/1</t>
        </is>
      </c>
      <c r="B675" s="296" t="inlineStr">
        <is>
          <t>#1</t>
        </is>
      </c>
      <c r="C675" s="298" t="inlineStr">
        <is>
          <t>different values</t>
        </is>
      </c>
      <c r="D675" s="296" t="inlineStr">
        <is>
          <t>Conforms | Одговара</t>
        </is>
      </c>
      <c r="E675" s="296" t="inlineStr">
        <is>
          <t>Conforms</t>
        </is>
      </c>
    </row>
    <row r="676">
      <c r="A676" s="296" t="inlineStr">
        <is>
          <t>GP082501/1</t>
        </is>
      </c>
      <c r="B676" s="296" t="inlineStr">
        <is>
          <t>#2</t>
        </is>
      </c>
      <c r="C676" s="298" t="inlineStr">
        <is>
          <t>different values</t>
        </is>
      </c>
      <c r="D676" s="296" t="inlineStr">
        <is>
          <t>Conforms | Одговара</t>
        </is>
      </c>
      <c r="E676" s="296" t="inlineStr">
        <is>
          <t>Conforms</t>
        </is>
      </c>
    </row>
    <row r="677">
      <c r="A677" s="296" t="inlineStr">
        <is>
          <t>GP082501/1</t>
        </is>
      </c>
      <c r="B677" s="296" t="inlineStr">
        <is>
          <t>#3</t>
        </is>
      </c>
      <c r="C677" s="298" t="inlineStr">
        <is>
          <t>different values</t>
        </is>
      </c>
      <c r="D677" s="296" t="inlineStr">
        <is>
          <t>Conforms | Одговара</t>
        </is>
      </c>
      <c r="E677" s="296" t="inlineStr">
        <is>
          <t>Conforms (ImB spec.)</t>
        </is>
      </c>
    </row>
    <row r="678">
      <c r="A678" s="296" t="inlineStr">
        <is>
          <t>GP082501/1</t>
        </is>
      </c>
      <c r="B678" s="296" t="inlineStr">
        <is>
          <t>#7</t>
        </is>
      </c>
      <c r="C678" s="298" t="inlineStr">
        <is>
          <t>different values</t>
        </is>
      </c>
      <c r="D678" s="296" t="inlineStr">
        <is>
          <t>Conforms | Одговара</t>
        </is>
      </c>
      <c r="E678" s="296" t="inlineStr">
        <is>
          <t>Conforms</t>
        </is>
      </c>
    </row>
    <row r="679">
      <c r="A679" s="296" t="inlineStr">
        <is>
          <t>GP082501/1</t>
        </is>
      </c>
      <c r="B679" s="296" t="inlineStr">
        <is>
          <t>#9</t>
        </is>
      </c>
      <c r="C679" s="298" t="inlineStr">
        <is>
          <t>different values</t>
        </is>
      </c>
      <c r="D679" s="296" t="inlineStr">
        <is>
          <t>4.3 × 10²; 1 × 10³; &lt; 10³ and &gt; 10²; Absent | Отсутна; Absent | Отсутна</t>
        </is>
      </c>
      <c r="E679" s="296" t="inlineStr">
        <is>
          <t>4,3 x 10² CFU/g CFU/g; 1 x 10³ CFU/g CFU/g; &lt; 10³ и &gt; 10² CFU/g CFU/g; Одговара /g; Одговара /25 g</t>
        </is>
      </c>
    </row>
    <row r="680">
      <c r="A680" s="296" t="inlineStr">
        <is>
          <t>GP082501/1</t>
        </is>
      </c>
      <c r="B680" s="296" t="inlineStr">
        <is>
          <t>#12</t>
        </is>
      </c>
      <c r="C680" s="298" t="inlineStr">
        <is>
          <t>different values</t>
        </is>
      </c>
      <c r="D680" s="296" t="inlineStr">
        <is>
          <t>ND</t>
        </is>
      </c>
      <c r="E680" s="296" t="inlineStr">
        <is>
          <t>≤ LOQ (all 28 compounds)</t>
        </is>
      </c>
    </row>
    <row r="681">
      <c r="A681" s="296" t="inlineStr">
        <is>
          <t>GP092501</t>
        </is>
      </c>
      <c r="B681" s="296" t="inlineStr">
        <is>
          <t>#1</t>
        </is>
      </c>
      <c r="C681" s="298" t="inlineStr">
        <is>
          <t>different values</t>
        </is>
      </c>
      <c r="D681" s="296" t="inlineStr">
        <is>
          <t>Conforms | Одговара</t>
        </is>
      </c>
      <c r="E681" s="296" t="inlineStr">
        <is>
          <t>Conforms</t>
        </is>
      </c>
    </row>
    <row r="682">
      <c r="A682" s="296" t="inlineStr">
        <is>
          <t>GP092501</t>
        </is>
      </c>
      <c r="B682" s="296" t="inlineStr">
        <is>
          <t>#2</t>
        </is>
      </c>
      <c r="C682" s="298" t="inlineStr">
        <is>
          <t>different values</t>
        </is>
      </c>
      <c r="D682" s="296" t="inlineStr">
        <is>
          <t>Conforms | Одговара</t>
        </is>
      </c>
      <c r="E682" s="296" t="inlineStr">
        <is>
          <t>Conforms</t>
        </is>
      </c>
    </row>
    <row r="683">
      <c r="A683" s="296" t="inlineStr">
        <is>
          <t>GP092501</t>
        </is>
      </c>
      <c r="B683" s="296" t="inlineStr">
        <is>
          <t>#3</t>
        </is>
      </c>
      <c r="C683" s="298" t="inlineStr">
        <is>
          <t>different values</t>
        </is>
      </c>
      <c r="D683" s="296" t="inlineStr">
        <is>
          <t>Conforms | Одговара</t>
        </is>
      </c>
      <c r="E683" s="296" t="inlineStr">
        <is>
          <t>Conforms (ImB spec.)</t>
        </is>
      </c>
    </row>
    <row r="684">
      <c r="A684" s="296" t="inlineStr">
        <is>
          <t>GP092501</t>
        </is>
      </c>
      <c r="B684" s="296" t="inlineStr">
        <is>
          <t>#7</t>
        </is>
      </c>
      <c r="C684" s="298" t="inlineStr">
        <is>
          <t>different values</t>
        </is>
      </c>
      <c r="D684" s="296" t="inlineStr">
        <is>
          <t>Conforms | Одговара</t>
        </is>
      </c>
      <c r="E684" s="296" t="inlineStr">
        <is>
          <t>Conforms</t>
        </is>
      </c>
    </row>
    <row r="685">
      <c r="A685" s="296" t="inlineStr">
        <is>
          <t>GP092501</t>
        </is>
      </c>
      <c r="B685" s="296" t="inlineStr">
        <is>
          <t>#9</t>
        </is>
      </c>
      <c r="C685" s="298" t="inlineStr">
        <is>
          <t>different values</t>
        </is>
      </c>
      <c r="D685" s="296" t="inlineStr">
        <is>
          <t>1 × 10²; &lt; 10; &lt; 10² and &gt; 10; Absent | Отсутна; Absent | Отсутна</t>
        </is>
      </c>
      <c r="E685" s="296" t="inlineStr">
        <is>
          <t>1 x 10² CFU/g CFU/g; &lt; 10 CFU/g CFU/g; &lt; 10² и &gt; 10 CFU/g CFU/g; Одговара /g; Одговара /25 g</t>
        </is>
      </c>
    </row>
    <row r="686">
      <c r="A686" s="296" t="inlineStr">
        <is>
          <t>GP092501</t>
        </is>
      </c>
      <c r="B686" s="296" t="inlineStr">
        <is>
          <t>#12</t>
        </is>
      </c>
      <c r="C686" s="298" t="inlineStr">
        <is>
          <t>different values</t>
        </is>
      </c>
      <c r="D686" s="296" t="inlineStr">
        <is>
          <t>ND mg/kg — all 29 residues</t>
        </is>
      </c>
      <c r="E686" s="296" t="inlineStr">
        <is>
          <t>≤ LOQ (all 29 compounds)</t>
        </is>
      </c>
    </row>
    <row r="687">
      <c r="A687" s="296" t="inlineStr">
        <is>
          <t>GRC102501/2</t>
        </is>
      </c>
      <c r="B687" s="296" t="inlineStr">
        <is>
          <t>#9</t>
        </is>
      </c>
      <c r="C687" s="298" t="inlineStr">
        <is>
          <t>different values</t>
        </is>
      </c>
      <c r="D687" s="296" t="inlineStr">
        <is>
          <t>2.3 × 10²; 1.3 × 10²; &lt; 10; Absent | Отсутна; Absent | Отсутна</t>
        </is>
      </c>
      <c r="E687" s="296" t="inlineStr">
        <is>
          <t>2,3 x 10² CFU/g CFU/g; 1,3 x 10² CFU/g CFU/g; &lt; 10 CFU/g CFU/g; Одговара; Одговара</t>
        </is>
      </c>
    </row>
    <row r="688">
      <c r="A688" s="296" t="inlineStr">
        <is>
          <t>HPA052501</t>
        </is>
      </c>
      <c r="B688" s="296" t="inlineStr">
        <is>
          <t>#1</t>
        </is>
      </c>
      <c r="C688" s="298" t="inlineStr">
        <is>
          <t>different values</t>
        </is>
      </c>
      <c r="D688" s="296" t="inlineStr">
        <is>
          <t>Conforms | Одговара</t>
        </is>
      </c>
      <c r="E688" s="296" t="inlineStr">
        <is>
          <t>Conforms</t>
        </is>
      </c>
    </row>
    <row r="689">
      <c r="A689" s="296" t="inlineStr">
        <is>
          <t>HPA052501</t>
        </is>
      </c>
      <c r="B689" s="296" t="inlineStr">
        <is>
          <t>#2</t>
        </is>
      </c>
      <c r="C689" s="298" t="inlineStr">
        <is>
          <t>different values</t>
        </is>
      </c>
      <c r="D689" s="296" t="inlineStr">
        <is>
          <t>Conforms | Одговара</t>
        </is>
      </c>
      <c r="E689" s="296" t="inlineStr">
        <is>
          <t>Conforms</t>
        </is>
      </c>
    </row>
    <row r="690">
      <c r="A690" s="296" t="inlineStr">
        <is>
          <t>HPA052501</t>
        </is>
      </c>
      <c r="B690" s="296" t="inlineStr">
        <is>
          <t>#3</t>
        </is>
      </c>
      <c r="C690" s="298" t="inlineStr">
        <is>
          <t>different values</t>
        </is>
      </c>
      <c r="D690" s="296" t="inlineStr">
        <is>
          <t>Conforms | Одговара</t>
        </is>
      </c>
      <c r="E690" s="296" t="inlineStr">
        <is>
          <t>Conforms (ImB spec.)</t>
        </is>
      </c>
    </row>
    <row r="691">
      <c r="A691" s="296" t="inlineStr">
        <is>
          <t>HPA052501</t>
        </is>
      </c>
      <c r="B691" s="296" t="inlineStr">
        <is>
          <t>#7</t>
        </is>
      </c>
      <c r="C691" s="298" t="inlineStr">
        <is>
          <t>different values</t>
        </is>
      </c>
      <c r="D691" s="296" t="inlineStr">
        <is>
          <t>Conforms | Одговара</t>
        </is>
      </c>
      <c r="E691" s="296" t="inlineStr">
        <is>
          <t>Conforms</t>
        </is>
      </c>
    </row>
    <row r="692">
      <c r="A692" s="296" t="inlineStr">
        <is>
          <t>HPA052501</t>
        </is>
      </c>
      <c r="B692" s="296" t="inlineStr">
        <is>
          <t>#9</t>
        </is>
      </c>
      <c r="C692" s="298" t="inlineStr">
        <is>
          <t>different values</t>
        </is>
      </c>
      <c r="D692" s="296" t="inlineStr">
        <is>
          <t>2.7 × 10⁴; 2.6 × 10⁴; &lt; 10; Absent | Отсутна; Absent | Отсутна</t>
        </is>
      </c>
      <c r="E692" s="296" t="inlineStr">
        <is>
          <t>2,7 x 10⁴ CFU/g CFU/g; 2,6 x 10⁴ CFU/g CFU/g; &lt; 10 CFU/g CFU/g; Одговара /g; Одговара /25 g</t>
        </is>
      </c>
    </row>
    <row r="693">
      <c r="A693" s="296" t="inlineStr">
        <is>
          <t>HPA052501</t>
        </is>
      </c>
      <c r="B693" s="296" t="inlineStr">
        <is>
          <t>#12</t>
        </is>
      </c>
      <c r="C693" s="298" t="inlineStr">
        <is>
          <t>different values</t>
        </is>
      </c>
      <c r="D693" s="296" t="inlineStr">
        <is>
          <t>ND mg/kg — all 29 residues</t>
        </is>
      </c>
      <c r="E693" s="296" t="inlineStr">
        <is>
          <t>≤ LOQ (all 24 compounds)</t>
        </is>
      </c>
    </row>
    <row r="694">
      <c r="A694" s="296" t="inlineStr">
        <is>
          <t>JD012603/01</t>
        </is>
      </c>
      <c r="B694" s="296" t="inlineStr">
        <is>
          <t>#9</t>
        </is>
      </c>
      <c r="C694" s="298" t="inlineStr">
        <is>
          <t>different values</t>
        </is>
      </c>
      <c r="D694" s="296" t="inlineStr">
        <is>
          <t>2 × 10²; 1 × 10²; &lt; 10; Absent | Отсутна; Absent | Отсутна</t>
        </is>
      </c>
      <c r="E694" s="296" t="inlineStr">
        <is>
          <t>2 x 10² CFU/g CFU/g; 1 x 10² CFU/g CFU/g; &lt; 10 CFU/g CFU/g; Отсутна /g; Отсутна /25 g</t>
        </is>
      </c>
    </row>
    <row r="695">
      <c r="A695" s="296" t="inlineStr">
        <is>
          <t>JD012603/02</t>
        </is>
      </c>
      <c r="B695" s="296" t="inlineStr">
        <is>
          <t>#4</t>
        </is>
      </c>
      <c r="C695" s="298" t="inlineStr">
        <is>
          <t>different values</t>
        </is>
      </c>
      <c r="D695" s="296" t="inlineStr">
        <is>
          <t>20.54</t>
        </is>
      </c>
      <c r="E695" s="296" t="inlineStr">
        <is>
          <t>14.43 % w/w</t>
        </is>
      </c>
    </row>
    <row r="696">
      <c r="A696" s="296" t="inlineStr">
        <is>
          <t>JD012603/02</t>
        </is>
      </c>
      <c r="B696" s="296" t="inlineStr">
        <is>
          <t>#5</t>
        </is>
      </c>
      <c r="C696" s="298" t="inlineStr">
        <is>
          <t>different values</t>
        </is>
      </c>
      <c r="D696" s="296" t="inlineStr">
        <is>
          <t>0.05</t>
        </is>
      </c>
      <c r="E696" s="296" t="inlineStr">
        <is>
          <t>&lt; LOQ % w/w</t>
        </is>
      </c>
    </row>
    <row r="697">
      <c r="A697" s="296" t="inlineStr">
        <is>
          <t>JD012603/02</t>
        </is>
      </c>
      <c r="B697" s="296" t="inlineStr">
        <is>
          <t>#6</t>
        </is>
      </c>
      <c r="C697" s="298" t="inlineStr">
        <is>
          <t>different values</t>
        </is>
      </c>
      <c r="D697" s="296" t="inlineStr">
        <is>
          <t>0.05</t>
        </is>
      </c>
      <c r="E697" s="296" t="inlineStr">
        <is>
          <t>&lt; LOQ % w/w</t>
        </is>
      </c>
    </row>
    <row r="698">
      <c r="A698" s="296" t="inlineStr">
        <is>
          <t>JD012603/02</t>
        </is>
      </c>
      <c r="B698" s="296" t="inlineStr">
        <is>
          <t>#9</t>
        </is>
      </c>
      <c r="C698" s="298" t="inlineStr">
        <is>
          <t>different values</t>
        </is>
      </c>
      <c r="D698" s="296" t="inlineStr">
        <is>
          <t>6.3 × 10³; 4.4 × 10³; &lt; 10; Absent | Отсутна; Absent | Отсутна</t>
        </is>
      </c>
      <c r="E698" s="296" t="inlineStr">
        <is>
          <t>6,3 x 10³ CFU/g CFU/g; 4,4 x 10³ CFU/g CFU/g; &lt; 10 CFU/g CFU/g; Отсутна /g; Отсутна /25 g</t>
        </is>
      </c>
    </row>
    <row r="699">
      <c r="A699" s="296" t="inlineStr">
        <is>
          <t>JD012603/02V</t>
        </is>
      </c>
      <c r="B699" s="296" t="inlineStr">
        <is>
          <t>#4</t>
        </is>
      </c>
      <c r="C699" s="298" t="inlineStr">
        <is>
          <t>different values</t>
        </is>
      </c>
      <c r="D699" s="296" t="inlineStr">
        <is>
          <t>15.16</t>
        </is>
      </c>
      <c r="E699" s="296" t="inlineStr">
        <is>
          <t>17.09 % w/w</t>
        </is>
      </c>
    </row>
    <row r="700">
      <c r="A700" s="296" t="inlineStr">
        <is>
          <t>JD012603/02V</t>
        </is>
      </c>
      <c r="B700" s="296" t="inlineStr">
        <is>
          <t>#6</t>
        </is>
      </c>
      <c r="C700" s="298" t="inlineStr">
        <is>
          <t>different values</t>
        </is>
      </c>
      <c r="D700" s="296" t="inlineStr">
        <is>
          <t>0.04</t>
        </is>
      </c>
      <c r="E700" s="296" t="inlineStr">
        <is>
          <t>&lt; LOQ % w/w</t>
        </is>
      </c>
    </row>
    <row r="701">
      <c r="A701" s="296" t="inlineStr">
        <is>
          <t>JD012603/02V</t>
        </is>
      </c>
      <c r="B701" s="296" t="inlineStr">
        <is>
          <t>#9</t>
        </is>
      </c>
      <c r="C701" s="298" t="inlineStr">
        <is>
          <t>different values</t>
        </is>
      </c>
      <c r="D701" s="296" t="inlineStr">
        <is>
          <t>5.1 × 10³; 4.7 × 10³; &lt; 10; Absent | Отсутна; Absent | Отсутна</t>
        </is>
      </c>
      <c r="E701" s="296" t="inlineStr">
        <is>
          <t>5,1 x 10³ CFU/g CFU/g; 4,7 x 10³ CFU/g CFU/g; &lt; 10 CFU/g CFU/g; Отсутна /g; Отсутна /25 g</t>
        </is>
      </c>
    </row>
    <row r="702">
      <c r="A702" s="296" t="inlineStr">
        <is>
          <t>KC102501</t>
        </is>
      </c>
      <c r="B702" s="296" t="inlineStr">
        <is>
          <t>#1</t>
        </is>
      </c>
      <c r="C702" s="298" t="inlineStr">
        <is>
          <t>different values</t>
        </is>
      </c>
      <c r="D702" s="296" t="inlineStr">
        <is>
          <t>Conforms | Одговара</t>
        </is>
      </c>
      <c r="E702" s="296" t="inlineStr">
        <is>
          <t>Conforms</t>
        </is>
      </c>
    </row>
    <row r="703">
      <c r="A703" s="296" t="inlineStr">
        <is>
          <t>KC102501</t>
        </is>
      </c>
      <c r="B703" s="296" t="inlineStr">
        <is>
          <t>#2</t>
        </is>
      </c>
      <c r="C703" s="298" t="inlineStr">
        <is>
          <t>different values</t>
        </is>
      </c>
      <c r="D703" s="296" t="inlineStr">
        <is>
          <t>Conforms | Одговара</t>
        </is>
      </c>
      <c r="E703" s="296" t="inlineStr">
        <is>
          <t>Conforms</t>
        </is>
      </c>
    </row>
    <row r="704">
      <c r="A704" s="296" t="inlineStr">
        <is>
          <t>KC102501</t>
        </is>
      </c>
      <c r="B704" s="296" t="inlineStr">
        <is>
          <t>#7</t>
        </is>
      </c>
      <c r="C704" s="298" t="inlineStr">
        <is>
          <t>different values</t>
        </is>
      </c>
      <c r="D704" s="296" t="inlineStr">
        <is>
          <t>Conforms | Одговара</t>
        </is>
      </c>
      <c r="E704" s="296" t="inlineStr">
        <is>
          <t>Conforms</t>
        </is>
      </c>
    </row>
    <row r="705">
      <c r="A705" s="296" t="inlineStr">
        <is>
          <t>KC102501</t>
        </is>
      </c>
      <c r="B705" s="296" t="inlineStr">
        <is>
          <t>#9</t>
        </is>
      </c>
      <c r="C705" s="298" t="inlineStr">
        <is>
          <t>different values</t>
        </is>
      </c>
      <c r="D705" s="296" t="inlineStr">
        <is>
          <t>3.8 × 10³; 6.8 × 10³; &lt; 10³ and &gt; 10²; Absent | Отсутна; Absent | Отсутна</t>
        </is>
      </c>
      <c r="E705" s="296" t="inlineStr">
        <is>
          <t>3,8 x 10³ CFU/g CFU/g; 6,8 x 10³ CFU/g CFU/g; &lt; 10³ и &gt;10² CFU/g CFU/g; Одговара; Одговара</t>
        </is>
      </c>
    </row>
    <row r="706">
      <c r="A706" s="296" t="inlineStr">
        <is>
          <t>MB0824_05</t>
        </is>
      </c>
      <c r="B706" s="296" t="inlineStr">
        <is>
          <t>#1</t>
        </is>
      </c>
      <c r="C706" s="298" t="inlineStr">
        <is>
          <t>different values</t>
        </is>
      </c>
      <c r="D706" s="296" t="inlineStr">
        <is>
          <t>Conforms | Одговара</t>
        </is>
      </c>
      <c r="E706" s="296" t="inlineStr">
        <is>
          <t>Conforms</t>
        </is>
      </c>
    </row>
    <row r="707">
      <c r="A707" s="296" t="inlineStr">
        <is>
          <t>MB0824_05</t>
        </is>
      </c>
      <c r="B707" s="296" t="inlineStr">
        <is>
          <t>#2</t>
        </is>
      </c>
      <c r="C707" s="298" t="inlineStr">
        <is>
          <t>different values</t>
        </is>
      </c>
      <c r="D707" s="296" t="inlineStr">
        <is>
          <t>Conforms | Одговара</t>
        </is>
      </c>
      <c r="E707" s="296" t="inlineStr">
        <is>
          <t>Conforms</t>
        </is>
      </c>
    </row>
    <row r="708">
      <c r="A708" s="296" t="inlineStr">
        <is>
          <t>MB0824_05</t>
        </is>
      </c>
      <c r="B708" s="296" t="inlineStr">
        <is>
          <t>#3</t>
        </is>
      </c>
      <c r="C708" s="298" t="inlineStr">
        <is>
          <t>different values</t>
        </is>
      </c>
      <c r="D708" s="296" t="inlineStr">
        <is>
          <t>Conforms | Одговара</t>
        </is>
      </c>
      <c r="E708" s="296" t="inlineStr">
        <is>
          <t>Conforms (ImB spec.)</t>
        </is>
      </c>
    </row>
    <row r="709">
      <c r="A709" s="296" t="inlineStr">
        <is>
          <t>MB0824_05</t>
        </is>
      </c>
      <c r="B709" s="296" t="inlineStr">
        <is>
          <t>#7</t>
        </is>
      </c>
      <c r="C709" s="298" t="inlineStr">
        <is>
          <t>different values</t>
        </is>
      </c>
      <c r="D709" s="296" t="inlineStr">
        <is>
          <t>Conforms | Одговара</t>
        </is>
      </c>
      <c r="E709" s="296" t="inlineStr">
        <is>
          <t>Conforms</t>
        </is>
      </c>
    </row>
    <row r="710">
      <c r="A710" s="296" t="inlineStr">
        <is>
          <t>MB0824_05</t>
        </is>
      </c>
      <c r="B710" s="296" t="inlineStr">
        <is>
          <t>#9</t>
        </is>
      </c>
      <c r="C710" s="298" t="inlineStr">
        <is>
          <t>different values</t>
        </is>
      </c>
      <c r="D710" s="296" t="inlineStr">
        <is>
          <t>3.5 × 10³; 1 × 10³; &lt; 10; Absent | Отсутна; Absent | Отсутна</t>
        </is>
      </c>
      <c r="E710" s="296" t="inlineStr">
        <is>
          <t>3,5 x 10³ CFU/g CFU/g; 1 x 10³ CFU/g CFU/g; &lt; 10 CFU/g CFU/g; Одговара /g; Одговара /25 g</t>
        </is>
      </c>
    </row>
    <row r="711">
      <c r="A711" s="296" t="inlineStr">
        <is>
          <t>OMP1024_01</t>
        </is>
      </c>
      <c r="B711" s="296" t="inlineStr">
        <is>
          <t>#1</t>
        </is>
      </c>
      <c r="C711" s="298" t="inlineStr">
        <is>
          <t>different values</t>
        </is>
      </c>
      <c r="D711" s="296" t="inlineStr">
        <is>
          <t>Conforms | Одговара</t>
        </is>
      </c>
      <c r="E711" s="296" t="inlineStr">
        <is>
          <t>Conforms</t>
        </is>
      </c>
    </row>
    <row r="712">
      <c r="A712" s="296" t="inlineStr">
        <is>
          <t>OMP1024_01</t>
        </is>
      </c>
      <c r="B712" s="296" t="inlineStr">
        <is>
          <t>#2</t>
        </is>
      </c>
      <c r="C712" s="298" t="inlineStr">
        <is>
          <t>different values</t>
        </is>
      </c>
      <c r="D712" s="296" t="inlineStr">
        <is>
          <t>Conforms | Одговара</t>
        </is>
      </c>
      <c r="E712" s="296" t="inlineStr">
        <is>
          <t>Conforms</t>
        </is>
      </c>
    </row>
    <row r="713">
      <c r="A713" s="296" t="inlineStr">
        <is>
          <t>OMP1024_01</t>
        </is>
      </c>
      <c r="B713" s="296" t="inlineStr">
        <is>
          <t>#7</t>
        </is>
      </c>
      <c r="C713" s="298" t="inlineStr">
        <is>
          <t>different values</t>
        </is>
      </c>
      <c r="D713" s="296" t="inlineStr">
        <is>
          <t>Conforms | Одговара</t>
        </is>
      </c>
      <c r="E713" s="296" t="inlineStr">
        <is>
          <t>Conforms</t>
        </is>
      </c>
    </row>
    <row r="714">
      <c r="A714" s="296" t="inlineStr">
        <is>
          <t>OMP1024_01</t>
        </is>
      </c>
      <c r="B714" s="296" t="inlineStr">
        <is>
          <t>#9</t>
        </is>
      </c>
      <c r="C714" s="298" t="inlineStr">
        <is>
          <t>different values</t>
        </is>
      </c>
      <c r="D714" s="296" t="inlineStr">
        <is>
          <t>10; &lt; 10; &lt; 10² and &gt; 10; Absent | Отсутна; Absent | Отсутна</t>
        </is>
      </c>
      <c r="E714" s="296" t="inlineStr">
        <is>
          <t>10 CFU/g; &lt; 10 CFU/g; &lt; 10² и &gt; 10 CFU/g; Одговара; Одговара</t>
        </is>
      </c>
    </row>
    <row r="715">
      <c r="A715" s="296" t="inlineStr">
        <is>
          <t>OPM092501</t>
        </is>
      </c>
      <c r="B715" s="296" t="inlineStr">
        <is>
          <t>#1</t>
        </is>
      </c>
      <c r="C715" s="298" t="inlineStr">
        <is>
          <t>different values</t>
        </is>
      </c>
      <c r="D715" s="296" t="inlineStr">
        <is>
          <t>Conforms | Одговара</t>
        </is>
      </c>
      <c r="E715" s="296" t="inlineStr">
        <is>
          <t>Conforms</t>
        </is>
      </c>
    </row>
    <row r="716">
      <c r="A716" s="296" t="inlineStr">
        <is>
          <t>OPM092501</t>
        </is>
      </c>
      <c r="B716" s="296" t="inlineStr">
        <is>
          <t>#2</t>
        </is>
      </c>
      <c r="C716" s="298" t="inlineStr">
        <is>
          <t>different values</t>
        </is>
      </c>
      <c r="D716" s="296" t="inlineStr">
        <is>
          <t>Conforms | Одговара</t>
        </is>
      </c>
      <c r="E716" s="296" t="inlineStr">
        <is>
          <t>Conforms</t>
        </is>
      </c>
    </row>
    <row r="717">
      <c r="A717" s="296" t="inlineStr">
        <is>
          <t>OPM092501</t>
        </is>
      </c>
      <c r="B717" s="296" t="inlineStr">
        <is>
          <t>#3</t>
        </is>
      </c>
      <c r="C717" s="298" t="inlineStr">
        <is>
          <t>different values</t>
        </is>
      </c>
      <c r="D717" s="296" t="inlineStr">
        <is>
          <t>Conforms | Одговара</t>
        </is>
      </c>
      <c r="E717" s="296" t="inlineStr">
        <is>
          <t>Conforms (ImB spec.)</t>
        </is>
      </c>
    </row>
    <row r="718">
      <c r="A718" s="296" t="inlineStr">
        <is>
          <t>OPM092501</t>
        </is>
      </c>
      <c r="B718" s="296" t="inlineStr">
        <is>
          <t>#7</t>
        </is>
      </c>
      <c r="C718" s="298" t="inlineStr">
        <is>
          <t>different values</t>
        </is>
      </c>
      <c r="D718" s="296" t="inlineStr">
        <is>
          <t>Conforms | Одговара</t>
        </is>
      </c>
      <c r="E718" s="296" t="inlineStr">
        <is>
          <t>Conforms</t>
        </is>
      </c>
    </row>
    <row r="719">
      <c r="A719" s="296" t="inlineStr">
        <is>
          <t>OPM092501</t>
        </is>
      </c>
      <c r="B719" s="296" t="inlineStr">
        <is>
          <t>#9</t>
        </is>
      </c>
      <c r="C719" s="298" t="inlineStr">
        <is>
          <t>different values</t>
        </is>
      </c>
      <c r="D719" s="296" t="inlineStr">
        <is>
          <t>10; 10; &lt; 10² and &gt; 10; Absent | Отсутна; Absent | Отсутна</t>
        </is>
      </c>
      <c r="E719" s="296" t="inlineStr">
        <is>
          <t>10 CFU/g CFU/g; 10 CFU/g CFU/g; &lt; 10² и &gt; 10 CFU/g CFU/g; Одговара /g; Одговара /25 g</t>
        </is>
      </c>
    </row>
    <row r="720">
      <c r="A720" s="296" t="inlineStr">
        <is>
          <t>OPM092501</t>
        </is>
      </c>
      <c r="B720" s="296" t="inlineStr">
        <is>
          <t>#12</t>
        </is>
      </c>
      <c r="C720" s="298" t="inlineStr">
        <is>
          <t>different values</t>
        </is>
      </c>
      <c r="D720" s="296" t="inlineStr">
        <is>
          <t>ND mg/kg — all 29 residues</t>
        </is>
      </c>
      <c r="E720" s="296" t="inlineStr">
        <is>
          <t>≤ LOQ (all 29 compounds)</t>
        </is>
      </c>
    </row>
    <row r="721">
      <c r="A721" s="296" t="inlineStr">
        <is>
          <t>OPM1024_03</t>
        </is>
      </c>
      <c r="B721" s="296" t="inlineStr">
        <is>
          <t>#1</t>
        </is>
      </c>
      <c r="C721" s="298" t="inlineStr">
        <is>
          <t>different values</t>
        </is>
      </c>
      <c r="D721" s="296" t="inlineStr">
        <is>
          <t>Conforms | Одговара</t>
        </is>
      </c>
      <c r="E721" s="296" t="inlineStr">
        <is>
          <t>Conforms</t>
        </is>
      </c>
    </row>
    <row r="722">
      <c r="A722" s="296" t="inlineStr">
        <is>
          <t>OPM1024_03</t>
        </is>
      </c>
      <c r="B722" s="296" t="inlineStr">
        <is>
          <t>#2</t>
        </is>
      </c>
      <c r="C722" s="298" t="inlineStr">
        <is>
          <t>different values</t>
        </is>
      </c>
      <c r="D722" s="296" t="inlineStr">
        <is>
          <t>Conforms | Одговара</t>
        </is>
      </c>
      <c r="E722" s="296" t="inlineStr">
        <is>
          <t>Conforms</t>
        </is>
      </c>
    </row>
    <row r="723">
      <c r="A723" s="296" t="inlineStr">
        <is>
          <t>OPM1024_03</t>
        </is>
      </c>
      <c r="B723" s="296" t="inlineStr">
        <is>
          <t>#3</t>
        </is>
      </c>
      <c r="C723" s="298" t="inlineStr">
        <is>
          <t>different values</t>
        </is>
      </c>
      <c r="D723" s="296" t="inlineStr">
        <is>
          <t>Conforms | Одговара</t>
        </is>
      </c>
      <c r="E723" s="296" t="inlineStr">
        <is>
          <t>Conforms (ImB spec.)</t>
        </is>
      </c>
    </row>
    <row r="724">
      <c r="A724" s="296" t="inlineStr">
        <is>
          <t>OPM1024_03</t>
        </is>
      </c>
      <c r="B724" s="296" t="inlineStr">
        <is>
          <t>#7</t>
        </is>
      </c>
      <c r="C724" s="298" t="inlineStr">
        <is>
          <t>different values</t>
        </is>
      </c>
      <c r="D724" s="296" t="inlineStr">
        <is>
          <t>Conforms | Одговара</t>
        </is>
      </c>
      <c r="E724" s="296" t="inlineStr">
        <is>
          <t>Conforms</t>
        </is>
      </c>
    </row>
    <row r="725">
      <c r="A725" s="296" t="inlineStr">
        <is>
          <t>OPM1024_03</t>
        </is>
      </c>
      <c r="B725" s="296" t="inlineStr">
        <is>
          <t>#9</t>
        </is>
      </c>
      <c r="C725" s="298" t="inlineStr">
        <is>
          <t>different values</t>
        </is>
      </c>
      <c r="D725" s="296" t="inlineStr">
        <is>
          <t>2 × 10²; 3 × 10²; &lt; 10; Absent | Отсутна; Absent | Отсутна</t>
        </is>
      </c>
      <c r="E725" s="296" t="inlineStr">
        <is>
          <t>2 x 10² CFU/g CFU/g; 3 x 10² CFU/g CFU/g; &lt; 10 CFU/g CFU/g; Одговара /g; Одговара /25 g</t>
        </is>
      </c>
    </row>
    <row r="726">
      <c r="A726" s="296" t="inlineStr">
        <is>
          <t>OPM1024_03</t>
        </is>
      </c>
      <c r="B726" s="296" t="inlineStr">
        <is>
          <t>#12</t>
        </is>
      </c>
      <c r="C726" s="298" t="inlineStr">
        <is>
          <t>different values</t>
        </is>
      </c>
      <c r="D726" s="296" t="inlineStr">
        <is>
          <t>ND</t>
        </is>
      </c>
      <c r="E726" s="296" t="inlineStr">
        <is>
          <t>≤ LOQ (all 26 compounds)</t>
        </is>
      </c>
    </row>
    <row r="727">
      <c r="A727" s="296" t="inlineStr">
        <is>
          <t>PM112501</t>
        </is>
      </c>
      <c r="B727" s="296" t="inlineStr">
        <is>
          <t>#1</t>
        </is>
      </c>
      <c r="C727" s="298" t="inlineStr">
        <is>
          <t>different values</t>
        </is>
      </c>
      <c r="D727" s="296" t="inlineStr">
        <is>
          <t>Conforms | Одговара</t>
        </is>
      </c>
      <c r="E727" s="296" t="inlineStr">
        <is>
          <t>Conforms</t>
        </is>
      </c>
    </row>
    <row r="728">
      <c r="A728" s="296" t="inlineStr">
        <is>
          <t>PM112501</t>
        </is>
      </c>
      <c r="B728" s="296" t="inlineStr">
        <is>
          <t>#2</t>
        </is>
      </c>
      <c r="C728" s="298" t="inlineStr">
        <is>
          <t>different values</t>
        </is>
      </c>
      <c r="D728" s="296" t="inlineStr">
        <is>
          <t>Conforms | Одговара</t>
        </is>
      </c>
      <c r="E728" s="296" t="inlineStr">
        <is>
          <t>Conforms</t>
        </is>
      </c>
    </row>
    <row r="729">
      <c r="A729" s="296" t="inlineStr">
        <is>
          <t>PM112501</t>
        </is>
      </c>
      <c r="B729" s="296" t="inlineStr">
        <is>
          <t>#7</t>
        </is>
      </c>
      <c r="C729" s="298" t="inlineStr">
        <is>
          <t>different values</t>
        </is>
      </c>
      <c r="D729" s="296" t="inlineStr">
        <is>
          <t>Conforms | Одговара</t>
        </is>
      </c>
      <c r="E729" s="296" t="inlineStr">
        <is>
          <t>Conforms</t>
        </is>
      </c>
    </row>
    <row r="730">
      <c r="A730" s="296" t="inlineStr">
        <is>
          <t>PM112501</t>
        </is>
      </c>
      <c r="B730" s="296" t="inlineStr">
        <is>
          <t>#9</t>
        </is>
      </c>
      <c r="C730" s="298" t="inlineStr">
        <is>
          <t>different values</t>
        </is>
      </c>
      <c r="D730" s="296" t="inlineStr">
        <is>
          <t>10; &lt; 10; &lt; 10; Absent | Отсутна; Absent | Отсутна</t>
        </is>
      </c>
      <c r="E730" s="296" t="inlineStr">
        <is>
          <t>10 CFU/g CFU/g; &lt; 10 CFU/g CFU/g; &lt; 10 CFU/g CFU/g; Одговара; Одговара</t>
        </is>
      </c>
    </row>
    <row r="731">
      <c r="A731" s="296" t="inlineStr">
        <is>
          <t>PUM102501</t>
        </is>
      </c>
      <c r="B731" s="296" t="inlineStr">
        <is>
          <t>#9</t>
        </is>
      </c>
      <c r="C731" s="298" t="inlineStr">
        <is>
          <t>different values</t>
        </is>
      </c>
      <c r="D731" s="296" t="inlineStr">
        <is>
          <t>5 × 10¹; 5 × 10¹; &lt; 10; Absent | Отсутна; Absent | Отсутна</t>
        </is>
      </c>
      <c r="E731" s="296" t="inlineStr">
        <is>
          <t>5 x 10¹ CFU/g CFU/g; 5 x 10¹ CFU/g CFU/g; &lt; 10 CFU/g CFU/g; Одговара; Одговара</t>
        </is>
      </c>
    </row>
    <row r="732">
      <c r="A732" s="296" t="inlineStr">
        <is>
          <t>SCR112501</t>
        </is>
      </c>
      <c r="B732" s="296" t="inlineStr">
        <is>
          <t>#1</t>
        </is>
      </c>
      <c r="C732" s="298" t="inlineStr">
        <is>
          <t>different values</t>
        </is>
      </c>
      <c r="D732" s="296" t="inlineStr">
        <is>
          <t>Conforms | Одговара</t>
        </is>
      </c>
      <c r="E732" s="296" t="inlineStr">
        <is>
          <t>Conforms</t>
        </is>
      </c>
    </row>
    <row r="733">
      <c r="A733" s="296" t="inlineStr">
        <is>
          <t>SCR112501</t>
        </is>
      </c>
      <c r="B733" s="296" t="inlineStr">
        <is>
          <t>#2</t>
        </is>
      </c>
      <c r="C733" s="298" t="inlineStr">
        <is>
          <t>different values</t>
        </is>
      </c>
      <c r="D733" s="296" t="inlineStr">
        <is>
          <t>Conforms | Одговара</t>
        </is>
      </c>
      <c r="E733" s="296" t="inlineStr">
        <is>
          <t>Conforms</t>
        </is>
      </c>
    </row>
    <row r="734">
      <c r="A734" s="296" t="inlineStr">
        <is>
          <t>SCR112501</t>
        </is>
      </c>
      <c r="B734" s="296" t="inlineStr">
        <is>
          <t>#6</t>
        </is>
      </c>
      <c r="C734" s="298" t="inlineStr">
        <is>
          <t>different values</t>
        </is>
      </c>
      <c r="D734" s="296" t="inlineStr">
        <is>
          <t>&lt; LOQ %</t>
        </is>
      </c>
      <c r="E734" s="296" t="inlineStr">
        <is>
          <t>BLQ %</t>
        </is>
      </c>
    </row>
    <row r="735">
      <c r="A735" s="296" t="inlineStr">
        <is>
          <t>SCR112501</t>
        </is>
      </c>
      <c r="B735" s="296" t="inlineStr">
        <is>
          <t>#7</t>
        </is>
      </c>
      <c r="C735" s="298" t="inlineStr">
        <is>
          <t>different values</t>
        </is>
      </c>
      <c r="D735" s="296" t="inlineStr">
        <is>
          <t>Conforms | Одговара</t>
        </is>
      </c>
      <c r="E735" s="296" t="inlineStr">
        <is>
          <t>Conforms</t>
        </is>
      </c>
    </row>
    <row r="736">
      <c r="A736" s="296" t="inlineStr">
        <is>
          <t>SJ092501</t>
        </is>
      </c>
      <c r="B736" s="296" t="inlineStr">
        <is>
          <t>#6</t>
        </is>
      </c>
      <c r="C736" s="298" t="inlineStr">
        <is>
          <t>different values</t>
        </is>
      </c>
      <c r="D736" s="296" t="inlineStr">
        <is>
          <t>&lt; LOQ</t>
        </is>
      </c>
      <c r="E736" s="296" t="inlineStr">
        <is>
          <t>BLQ</t>
        </is>
      </c>
    </row>
    <row r="737">
      <c r="A737" s="296" t="inlineStr">
        <is>
          <t>SJ092501</t>
        </is>
      </c>
      <c r="B737" s="296" t="inlineStr">
        <is>
          <t>#9</t>
        </is>
      </c>
      <c r="C737" s="298" t="inlineStr">
        <is>
          <t>different values</t>
        </is>
      </c>
      <c r="D737" s="296" t="inlineStr">
        <is>
          <t>&lt; 10; &lt; 10; &lt; 10; Absent | Отсутна; Absent | Отсутна</t>
        </is>
      </c>
      <c r="E737" s="296" t="inlineStr">
        <is>
          <t>&lt; 10 CFU/g CFU/g; &lt; 10 CFU/g CFU/g; &lt; 10 CFU/g CFU/g; Одговара /g; Одговара /25 g</t>
        </is>
      </c>
    </row>
    <row r="738">
      <c r="A738" s="296" t="inlineStr">
        <is>
          <t>WC082501</t>
        </is>
      </c>
      <c r="B738" s="296" t="inlineStr">
        <is>
          <t>#1</t>
        </is>
      </c>
      <c r="C738" s="298" t="inlineStr">
        <is>
          <t>different values</t>
        </is>
      </c>
      <c r="D738" s="296" t="inlineStr">
        <is>
          <t>Conforms | Одговара</t>
        </is>
      </c>
      <c r="E738" s="296" t="inlineStr">
        <is>
          <t>Conforms</t>
        </is>
      </c>
    </row>
    <row r="739">
      <c r="A739" s="296" t="inlineStr">
        <is>
          <t>WC082501</t>
        </is>
      </c>
      <c r="B739" s="296" t="inlineStr">
        <is>
          <t>#2</t>
        </is>
      </c>
      <c r="C739" s="298" t="inlineStr">
        <is>
          <t>different values</t>
        </is>
      </c>
      <c r="D739" s="296" t="inlineStr">
        <is>
          <t>Conforms | Одговара</t>
        </is>
      </c>
      <c r="E739" s="296" t="inlineStr">
        <is>
          <t>Conforms</t>
        </is>
      </c>
    </row>
    <row r="740">
      <c r="A740" s="296" t="inlineStr">
        <is>
          <t>WC082501</t>
        </is>
      </c>
      <c r="B740" s="296" t="inlineStr">
        <is>
          <t>#3</t>
        </is>
      </c>
      <c r="C740" s="298" t="inlineStr">
        <is>
          <t>different values</t>
        </is>
      </c>
      <c r="D740" s="296" t="inlineStr">
        <is>
          <t>Conforms | Одговара</t>
        </is>
      </c>
      <c r="E740" s="296" t="inlineStr">
        <is>
          <t>Conforms (ImB spec.)</t>
        </is>
      </c>
    </row>
    <row r="741">
      <c r="A741" s="296" t="inlineStr">
        <is>
          <t>WC082501</t>
        </is>
      </c>
      <c r="B741" s="296" t="inlineStr">
        <is>
          <t>#7</t>
        </is>
      </c>
      <c r="C741" s="298" t="inlineStr">
        <is>
          <t>different values</t>
        </is>
      </c>
      <c r="D741" s="296" t="inlineStr">
        <is>
          <t>Conforms | Одговара</t>
        </is>
      </c>
      <c r="E741" s="296" t="inlineStr">
        <is>
          <t>Conforms</t>
        </is>
      </c>
    </row>
    <row r="742">
      <c r="A742" s="296" t="inlineStr">
        <is>
          <t>WC082501</t>
        </is>
      </c>
      <c r="B742" s="296" t="inlineStr">
        <is>
          <t>#9</t>
        </is>
      </c>
      <c r="C742" s="298" t="inlineStr">
        <is>
          <t>different values</t>
        </is>
      </c>
      <c r="D742" s="296" t="inlineStr">
        <is>
          <t>10; 30; &lt; 10; Absent | Отсутна; Absent | Отсутна</t>
        </is>
      </c>
      <c r="E742" s="296" t="inlineStr">
        <is>
          <t>10 CFU/g CFU/g; 30 CFU/g CFU/g; &lt; 10 CFU/g CFU/g; Одговара /g; Одговара /25 g</t>
        </is>
      </c>
    </row>
    <row r="743">
      <c r="A743" s="296" t="inlineStr">
        <is>
          <t>WC082501</t>
        </is>
      </c>
      <c r="B743" s="296" t="inlineStr">
        <is>
          <t>#12</t>
        </is>
      </c>
      <c r="C743" s="298" t="inlineStr">
        <is>
          <t>different values</t>
        </is>
      </c>
      <c r="D743" s="296" t="inlineStr">
        <is>
          <t>ND mg/kg — all 29 residues</t>
        </is>
      </c>
      <c r="E743" s="296" t="inlineStr">
        <is>
          <t>≤ LOQ (all 29 compounds)</t>
        </is>
      </c>
    </row>
    <row r="745">
      <c r="A745" s="294" t="inlineStr">
        <is>
          <t>THE IDENTITY DETERMINATIONS ARE NOT A TRANSCRIPTION PROBLEM</t>
        </is>
      </c>
      <c r="B745" s="294" t="inlineStr"/>
      <c r="C745" s="294" t="inlineStr"/>
      <c r="D745" s="294" t="inlineStr"/>
      <c r="E745" s="294" t="inlineStr"/>
    </row>
    <row r="747">
      <c r="A747"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7" s="300" t="n"/>
      <c r="C747" s="300" t="n"/>
      <c r="D747" s="300" t="n"/>
      <c r="E747" s="301" t="n"/>
    </row>
    <row r="748">
      <c r="A748" s="302" t="n"/>
      <c r="E748" s="303" t="n"/>
    </row>
    <row r="749">
      <c r="A749" s="302" t="n"/>
      <c r="E749" s="303" t="n"/>
    </row>
    <row r="750">
      <c r="A750" s="302" t="n"/>
      <c r="E750" s="303" t="n"/>
    </row>
    <row r="751">
      <c r="A751" s="302" t="n"/>
      <c r="E751" s="303" t="n"/>
    </row>
    <row r="752">
      <c r="A752" s="302" t="n"/>
      <c r="E752" s="303" t="n"/>
    </row>
    <row r="753">
      <c r="A753" s="304" t="n"/>
      <c r="B753" s="305" t="n"/>
      <c r="C753" s="305" t="n"/>
      <c r="D753" s="305" t="n"/>
      <c r="E753" s="306" t="n"/>
    </row>
    <row r="755">
      <c r="A755" s="294" t="inlineStr">
        <is>
          <t>CLOSURES THAT FOUND NO ROW</t>
        </is>
      </c>
      <c r="B755" s="294" t="inlineStr"/>
      <c r="C755" s="294" t="inlineStr"/>
      <c r="D755" s="294" t="inlineStr"/>
      <c r="E755" s="294" t="inlineStr"/>
    </row>
    <row r="757">
      <c r="A757" s="294" t="inlineStr">
        <is>
          <t>CU batch</t>
        </is>
      </c>
      <c r="B757" s="294" t="inlineStr">
        <is>
          <t>P batch</t>
        </is>
      </c>
      <c r="C757" s="294" t="inlineStr"/>
      <c r="D757" s="294" t="inlineStr">
        <is>
          <t>Parameters now covered</t>
        </is>
      </c>
      <c r="E757" s="294" t="inlineStr">
        <is>
          <t>From</t>
        </is>
      </c>
    </row>
    <row r="758">
      <c r="A758" s="296" t="inlineStr">
        <is>
          <t>JD032601</t>
        </is>
      </c>
      <c r="B758" s="296" t="inlineStr">
        <is>
          <t>— not assigned —</t>
        </is>
      </c>
      <c r="D758" s="296" t="inlineStr">
        <is>
          <t>#9 Microbiological purity; #10 Mycotoxins; #11 Heavy metals; #12 Pesticide residues</t>
        </is>
      </c>
      <c r="E758" s="296" t="inlineStr">
        <is>
          <t>4374/2026 (11.08.2026) [IJZ]; 477/0929/26 (04.08.2026) [IJZ-MB]</t>
        </is>
      </c>
    </row>
    <row r="759">
      <c r="A759"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59" s="300" t="n"/>
      <c r="C759" s="300" t="n"/>
      <c r="D759" s="300" t="n"/>
      <c r="E759" s="301" t="n"/>
    </row>
    <row r="760">
      <c r="A760" s="302" t="n"/>
      <c r="E760" s="303" t="n"/>
    </row>
    <row r="761">
      <c r="A761" s="302" t="n"/>
      <c r="E761" s="303" t="n"/>
    </row>
    <row r="762">
      <c r="A762" s="304" t="n"/>
      <c r="B762" s="305" t="n"/>
      <c r="C762" s="305" t="n"/>
      <c r="D762" s="305" t="n"/>
      <c r="E762" s="306" t="n"/>
    </row>
    <row r="765" ht="20" customHeight="1" s="70">
      <c r="A765" s="264" t="inlineStr">
        <is>
          <t>CREDIT AUDIT</t>
        </is>
      </c>
    </row>
    <row r="766" ht="22" customHeight="1" s="70">
      <c r="A766" s="119" t="inlineStr">
        <is>
          <t>CU Batch</t>
        </is>
      </c>
      <c r="B766" s="119" t="inlineStr">
        <is>
          <t>P Batch</t>
        </is>
      </c>
      <c r="C766" s="119" t="inlineStr">
        <is>
          <t>Certificate</t>
        </is>
      </c>
      <c r="D766" s="119" t="inlineStr">
        <is>
          <t>Date</t>
        </is>
      </c>
      <c r="E766" s="119" t="inlineStr">
        <is>
          <t>Lab</t>
        </is>
      </c>
      <c r="F766" s="119" t="inlineStr">
        <is>
          <t>#</t>
        </is>
      </c>
      <c r="G766" s="119" t="inlineStr">
        <is>
          <t>Parameter</t>
        </is>
      </c>
      <c r="H766" s="119" t="inlineStr">
        <is>
          <t>Finding</t>
        </is>
      </c>
      <c r="I766" s="119" t="inlineStr">
        <is>
          <t>Action</t>
        </is>
      </c>
    </row>
    <row r="767">
      <c r="A767" s="244" t="inlineStr">
        <is>
          <t>BSS052501</t>
        </is>
      </c>
      <c r="B767" s="243" t="inlineStr">
        <is>
          <t>P050192</t>
        </is>
      </c>
      <c r="C767" s="243" t="inlineStr">
        <is>
          <t>NGP-QCG-SOP-024 F3</t>
        </is>
      </c>
      <c r="D767" s="245" t="n">
        <v>45989</v>
      </c>
      <c r="E767" s="243" t="inlineStr">
        <is>
          <t>NGP</t>
        </is>
      </c>
      <c r="F767" s="243" t="inlineStr">
        <is>
          <t>#6</t>
        </is>
      </c>
      <c r="G767" s="246" t="inlineStr">
        <is>
          <t>#6 Total CBN</t>
        </is>
      </c>
      <c r="H767" s="307" t="inlineStr">
        <is>
          <t>held for review</t>
        </is>
      </c>
      <c r="I767" s="308" t="inlineStr">
        <is>
          <t>The two independent reads disagreed. A person must confirm the figure from the page.</t>
        </is>
      </c>
    </row>
    <row r="768">
      <c r="A768" s="244" t="inlineStr">
        <is>
          <t>GP062501</t>
        </is>
      </c>
      <c r="B768" s="243" t="inlineStr">
        <is>
          <t>P050202</t>
        </is>
      </c>
      <c r="C768" s="243" t="inlineStr">
        <is>
          <t>NGP-QCG-SOP-024 F3</t>
        </is>
      </c>
      <c r="D768" s="245" t="n">
        <v>45989</v>
      </c>
      <c r="E768" s="243" t="inlineStr">
        <is>
          <t>NGP</t>
        </is>
      </c>
      <c r="F768" s="243" t="inlineStr">
        <is>
          <t>#6</t>
        </is>
      </c>
      <c r="G768" s="246" t="inlineStr">
        <is>
          <t>#6 Total CBN</t>
        </is>
      </c>
      <c r="H768" s="307" t="inlineStr">
        <is>
          <t>held for review</t>
        </is>
      </c>
      <c r="I768" s="308" t="inlineStr">
        <is>
          <t>The two independent reads disagreed. A person must confirm the figure from the page.</t>
        </is>
      </c>
    </row>
    <row r="769">
      <c r="A769" s="244" t="inlineStr">
        <is>
          <t>J31112501</t>
        </is>
      </c>
      <c r="B769" s="243" t="inlineStr">
        <is>
          <t>P060202</t>
        </is>
      </c>
      <c r="C769" s="243" t="inlineStr">
        <is>
          <t>100-1-K-26</t>
        </is>
      </c>
      <c r="D769" s="245" t="n">
        <v>46121</v>
      </c>
      <c r="E769" s="243" t="inlineStr">
        <is>
          <t>FHM-K</t>
        </is>
      </c>
      <c r="F769" s="243" t="inlineStr">
        <is>
          <t>#3</t>
        </is>
      </c>
      <c r="G769" s="246" t="inlineStr">
        <is>
          <t>#3 Identification C</t>
        </is>
      </c>
      <c r="H769" s="307" t="inlineStr">
        <is>
          <t>held for review</t>
        </is>
      </c>
      <c r="I769" s="308" t="inlineStr">
        <is>
          <t>The two independent reads disagreed. A person must confirm the figure from the page.</t>
        </is>
      </c>
    </row>
    <row r="770">
      <c r="A770" s="244" t="inlineStr">
        <is>
          <t>FB032601</t>
        </is>
      </c>
      <c r="B770" s="243" t="inlineStr">
        <is>
          <t>P060452</t>
        </is>
      </c>
      <c r="C770" s="243" t="inlineStr">
        <is>
          <t>ППК26127</t>
        </is>
      </c>
      <c r="D770" s="245" t="n">
        <v>46224</v>
      </c>
      <c r="E770" s="243" t="inlineStr">
        <is>
          <t>CNP</t>
        </is>
      </c>
      <c r="F770" s="243" t="inlineStr">
        <is>
          <t>#7</t>
        </is>
      </c>
      <c r="G770" s="246" t="inlineStr">
        <is>
          <t>#7 Foreign Matter</t>
        </is>
      </c>
      <c r="H770" s="307" t="inlineStr">
        <is>
          <t>non-conformance reported</t>
        </is>
      </c>
      <c r="I770" s="308" t="inlineStr">
        <is>
          <t>The certificate reports a result that does not conform. Open an investigation record; the Head of QC rules on the lot, and the iCoA for this parameter is held until then.</t>
        </is>
      </c>
    </row>
    <row r="771">
      <c r="A771" s="244" t="inlineStr">
        <is>
          <t>J31122501</t>
        </is>
      </c>
      <c r="B771" s="243" t="inlineStr">
        <is>
          <t>P060262</t>
        </is>
      </c>
      <c r="C771" s="243" t="inlineStr">
        <is>
          <t>100-3-K-26</t>
        </is>
      </c>
      <c r="D771" s="245" t="n">
        <v>46121</v>
      </c>
      <c r="E771" s="243" t="inlineStr">
        <is>
          <t>FHM-K</t>
        </is>
      </c>
      <c r="F771" s="243" t="inlineStr">
        <is>
          <t>#3</t>
        </is>
      </c>
      <c r="G771" s="246" t="inlineStr">
        <is>
          <t>#3 Identification C</t>
        </is>
      </c>
      <c r="H771" s="307" t="inlineStr">
        <is>
          <t>not ingested</t>
        </is>
      </c>
      <c r="I771" s="308" t="inlineStr">
        <is>
          <t>Re-extract the document into the corpus; the batch cannot reach a CoQ on this parameter until then.</t>
        </is>
      </c>
    </row>
    <row r="772">
      <c r="A772" s="244" t="inlineStr">
        <is>
          <t>J31122501</t>
        </is>
      </c>
      <c r="B772" s="243" t="inlineStr">
        <is>
          <t>P060262</t>
        </is>
      </c>
      <c r="C772" s="243" t="inlineStr">
        <is>
          <t>1625-2026</t>
        </is>
      </c>
      <c r="D772" s="245" t="n">
        <v>46135</v>
      </c>
      <c r="E772" s="243" t="inlineStr">
        <is>
          <t>IJZ</t>
        </is>
      </c>
      <c r="F772" s="243" t="inlineStr">
        <is>
          <t>#11</t>
        </is>
      </c>
      <c r="G772" s="246" t="inlineStr">
        <is>
          <t>#11 Heavy Metals</t>
        </is>
      </c>
      <c r="H772" s="307" t="inlineStr">
        <is>
          <t>not ingested</t>
        </is>
      </c>
      <c r="I772" s="308" t="inlineStr">
        <is>
          <t>Re-extract the document into the corpus; the batch cannot reach a CoQ on this parameter until then.</t>
        </is>
      </c>
    </row>
    <row r="773">
      <c r="A773" s="244" t="inlineStr">
        <is>
          <t>MB0824_04</t>
        </is>
      </c>
      <c r="B773" s="243" t="inlineStr">
        <is>
          <t>P050032</t>
        </is>
      </c>
      <c r="C773" s="243" t="inlineStr">
        <is>
          <t>ППК25118</t>
        </is>
      </c>
      <c r="D773" s="245" t="n">
        <v>45783</v>
      </c>
      <c r="E773" s="243" t="inlineStr">
        <is>
          <t>CNP</t>
        </is>
      </c>
      <c r="F773" s="243" t="inlineStr">
        <is>
          <t>#6</t>
        </is>
      </c>
      <c r="G773" s="246" t="inlineStr">
        <is>
          <t>#6 Total CBN</t>
        </is>
      </c>
      <c r="H773" s="307" t="inlineStr">
        <is>
          <t>not ingested</t>
        </is>
      </c>
      <c r="I773" s="308" t="inlineStr">
        <is>
          <t>Re-extract the document into the corpus; the batch cannot reach a CoQ on this parameter until then.</t>
        </is>
      </c>
    </row>
    <row r="774">
      <c r="A774" s="244" t="inlineStr">
        <is>
          <t>OPM052501</t>
        </is>
      </c>
      <c r="B774" s="243" t="inlineStr">
        <is>
          <t>P050132</t>
        </is>
      </c>
      <c r="C774" s="243" t="inlineStr">
        <is>
          <t>ППК25257</t>
        </is>
      </c>
      <c r="D774" s="245" t="n">
        <v>45905</v>
      </c>
      <c r="E774" s="243" t="inlineStr">
        <is>
          <t>CNP</t>
        </is>
      </c>
      <c r="F774" s="243" t="inlineStr">
        <is>
          <t>#6</t>
        </is>
      </c>
      <c r="G774" s="246" t="inlineStr">
        <is>
          <t>#6 Total CBN</t>
        </is>
      </c>
      <c r="H774" s="307" t="inlineStr">
        <is>
          <t>not ingested</t>
        </is>
      </c>
      <c r="I774" s="308" t="inlineStr">
        <is>
          <t>Re-extract the document into the corpus; the batch cannot reach a CoQ on this parameter until then.</t>
        </is>
      </c>
    </row>
    <row r="775">
      <c r="A775" s="244" t="inlineStr">
        <is>
          <t>OPM112501</t>
        </is>
      </c>
      <c r="B775" s="243" t="inlineStr">
        <is>
          <t>P060222</t>
        </is>
      </c>
      <c r="C775" s="243" t="inlineStr">
        <is>
          <t>ППК26031</t>
        </is>
      </c>
      <c r="D775" s="245" t="n">
        <v>46086</v>
      </c>
      <c r="E775" s="243" t="inlineStr">
        <is>
          <t>CNP</t>
        </is>
      </c>
      <c r="F775" s="243" t="inlineStr">
        <is>
          <t>#6</t>
        </is>
      </c>
      <c r="G775" s="246" t="inlineStr">
        <is>
          <t>#6 Total CBN</t>
        </is>
      </c>
      <c r="H775" s="307" t="inlineStr">
        <is>
          <t>not ingested</t>
        </is>
      </c>
      <c r="I775" s="308" t="inlineStr">
        <is>
          <t>Re-extract the document into the corpus; the batch cannot reach a CoQ on this parameter until then.</t>
        </is>
      </c>
    </row>
    <row r="776">
      <c r="A776" s="244" t="inlineStr">
        <is>
          <t>PM072501</t>
        </is>
      </c>
      <c r="B776" s="243" t="inlineStr">
        <is>
          <t>P050272</t>
        </is>
      </c>
      <c r="C776" s="243" t="inlineStr">
        <is>
          <t>ППК25368</t>
        </is>
      </c>
      <c r="D776" s="245" t="n">
        <v>45989</v>
      </c>
      <c r="E776" s="243" t="inlineStr">
        <is>
          <t>CNP</t>
        </is>
      </c>
      <c r="F776" s="243" t="inlineStr">
        <is>
          <t>#6</t>
        </is>
      </c>
      <c r="G776" s="246" t="inlineStr">
        <is>
          <t>#6 Total CBN</t>
        </is>
      </c>
      <c r="H776" s="307" t="inlineStr">
        <is>
          <t>not ingested</t>
        </is>
      </c>
      <c r="I776" s="308" t="inlineStr">
        <is>
          <t>Re-extract the document into the corpus; the batch cannot reach a CoQ on this parameter until then.</t>
        </is>
      </c>
    </row>
    <row r="777">
      <c r="A777" s="244" t="inlineStr">
        <is>
          <t>BSS052501</t>
        </is>
      </c>
      <c r="B777" s="243" t="inlineStr">
        <is>
          <t>P050192</t>
        </is>
      </c>
      <c r="C777" s="243" t="inlineStr">
        <is>
          <t>NGP-QCG-SOP-024 F3</t>
        </is>
      </c>
      <c r="D777" s="245" t="n">
        <v>45989</v>
      </c>
      <c r="E777" s="243" t="inlineStr">
        <is>
          <t>NGP</t>
        </is>
      </c>
      <c r="F777" s="243" t="inlineStr">
        <is>
          <t>#8</t>
        </is>
      </c>
      <c r="G777" s="246" t="inlineStr">
        <is>
          <t>#8 Loss on Drying</t>
        </is>
      </c>
      <c r="H777" s="309" t="inlineStr">
        <is>
          <t>not on this certificate</t>
        </is>
      </c>
      <c r="I777" s="308" t="inlineStr">
        <is>
          <t>Move the credit to the certificate that reports this parameter, or record why it stands.</t>
        </is>
      </c>
    </row>
    <row r="778">
      <c r="A778" s="244" t="inlineStr">
        <is>
          <t>BSS052501</t>
        </is>
      </c>
      <c r="B778" s="243" t="inlineStr">
        <is>
          <t>P050192</t>
        </is>
      </c>
      <c r="C778" s="243" t="inlineStr">
        <is>
          <t>5661-2025</t>
        </is>
      </c>
      <c r="D778" s="245" t="n">
        <v>45992</v>
      </c>
      <c r="E778" s="243" t="inlineStr">
        <is>
          <t>IJZ</t>
        </is>
      </c>
      <c r="F778" s="243" t="inlineStr">
        <is>
          <t>#10</t>
        </is>
      </c>
      <c r="G778" s="246" t="inlineStr">
        <is>
          <t>#10 Mycotoxins</t>
        </is>
      </c>
      <c r="H778" s="309" t="inlineStr">
        <is>
          <t>not on this certificate</t>
        </is>
      </c>
      <c r="I778" s="308" t="inlineStr">
        <is>
          <t>Move the credit to the certificate that reports this parameter, or record why it stands.</t>
        </is>
      </c>
    </row>
    <row r="779">
      <c r="A779" s="244" t="inlineStr">
        <is>
          <t>BSS052501</t>
        </is>
      </c>
      <c r="B779" s="243" t="inlineStr">
        <is>
          <t>P050192</t>
        </is>
      </c>
      <c r="C779" s="243" t="inlineStr">
        <is>
          <t>5661-2025</t>
        </is>
      </c>
      <c r="D779" s="245" t="n">
        <v>45992</v>
      </c>
      <c r="E779" s="243" t="inlineStr">
        <is>
          <t>IJZ</t>
        </is>
      </c>
      <c r="F779" s="243" t="inlineStr">
        <is>
          <t>#12</t>
        </is>
      </c>
      <c r="G779" s="246" t="inlineStr">
        <is>
          <t>#12 Pesticide Residues</t>
        </is>
      </c>
      <c r="H779" s="309" t="inlineStr">
        <is>
          <t>not on this certificate</t>
        </is>
      </c>
      <c r="I779" s="308" t="inlineStr">
        <is>
          <t>Move the credit to the certificate that reports this parameter, or record why it stands.</t>
        </is>
      </c>
    </row>
    <row r="782" ht="20" customHeight="1" s="70">
      <c r="A782" s="264" t="inlineStr">
        <is>
          <t>CREDIT CORRECTIONS</t>
        </is>
      </c>
    </row>
    <row r="783" ht="22" customHeight="1" s="70">
      <c r="A783" s="119" t="inlineStr">
        <is>
          <t>CU Batch</t>
        </is>
      </c>
      <c r="B783" s="119" t="inlineStr">
        <is>
          <t>P Batch</t>
        </is>
      </c>
      <c r="C783" s="119" t="inlineStr">
        <is>
          <t>Certificate</t>
        </is>
      </c>
      <c r="D783" s="119" t="inlineStr">
        <is>
          <t>Date</t>
        </is>
      </c>
      <c r="E783" s="119" t="inlineStr">
        <is>
          <t>Lab</t>
        </is>
      </c>
      <c r="F783" s="119" t="inlineStr">
        <is>
          <t>#</t>
        </is>
      </c>
      <c r="G783" s="119" t="inlineStr">
        <is>
          <t>Parameter</t>
        </is>
      </c>
      <c r="H783" s="119" t="inlineStr">
        <is>
          <t>Correction</t>
        </is>
      </c>
      <c r="I783" s="119" t="inlineStr">
        <is>
          <t>Evidence</t>
        </is>
      </c>
    </row>
    <row r="784">
      <c r="A784" s="244" t="inlineStr">
        <is>
          <t>BG1024</t>
        </is>
      </c>
      <c r="B784" s="243" t="inlineStr">
        <is>
          <t>N/A — no P batch assigned</t>
        </is>
      </c>
      <c r="C784" s="243" t="inlineStr">
        <is>
          <t>197-1-K-26</t>
        </is>
      </c>
      <c r="D784" s="245" t="n">
        <v>46241</v>
      </c>
      <c r="E784" s="243" t="inlineStr">
        <is>
          <t>FHM-K</t>
        </is>
      </c>
      <c r="F784" s="243" t="inlineStr">
        <is>
          <t>#8</t>
        </is>
      </c>
      <c r="G784" s="246" t="inlineStr">
        <is>
          <t>#8 Loss on Drying</t>
        </is>
      </c>
      <c r="H784" s="309" t="inlineStr">
        <is>
          <t>credit removed</t>
        </is>
      </c>
      <c r="I784" s="308" t="inlineStr">
        <is>
          <t>R1 Farmahem pair — cannabinoid certificate; loss on drying is on the LoD certificate</t>
        </is>
      </c>
    </row>
    <row r="785">
      <c r="A785" s="244" t="inlineStr">
        <is>
          <t>BSS1024</t>
        </is>
      </c>
      <c r="B785" s="243" t="inlineStr">
        <is>
          <t>N/A — no P batch assigned</t>
        </is>
      </c>
      <c r="C785" s="243" t="inlineStr">
        <is>
          <t>197-2-K-26</t>
        </is>
      </c>
      <c r="D785" s="245" t="n">
        <v>46241</v>
      </c>
      <c r="E785" s="243" t="inlineStr">
        <is>
          <t>FHM-K</t>
        </is>
      </c>
      <c r="F785" s="243" t="inlineStr">
        <is>
          <t>#8</t>
        </is>
      </c>
      <c r="G785" s="246" t="inlineStr">
        <is>
          <t>#8 Loss on Drying</t>
        </is>
      </c>
      <c r="H785" s="309" t="inlineStr">
        <is>
          <t>credit removed</t>
        </is>
      </c>
      <c r="I785" s="308" t="inlineStr">
        <is>
          <t>R1 Farmahem pair — cannabinoid certificate; loss on drying is on the LoD certificate</t>
        </is>
      </c>
    </row>
    <row r="786">
      <c r="A786" s="244" t="inlineStr">
        <is>
          <t>CC012601/1</t>
        </is>
      </c>
      <c r="B786" s="243" t="inlineStr">
        <is>
          <t>P060332</t>
        </is>
      </c>
      <c r="C786" s="243" t="inlineStr">
        <is>
          <t>197-6-K-26</t>
        </is>
      </c>
      <c r="D786" s="245" t="n">
        <v>46241</v>
      </c>
      <c r="E786" s="243" t="inlineStr">
        <is>
          <t>FHM-K</t>
        </is>
      </c>
      <c r="F786" s="243" t="inlineStr">
        <is>
          <t>#8</t>
        </is>
      </c>
      <c r="G786" s="246" t="inlineStr">
        <is>
          <t>#8 Loss on Drying</t>
        </is>
      </c>
      <c r="H786" s="309" t="inlineStr">
        <is>
          <t>credit removed</t>
        </is>
      </c>
      <c r="I786" s="308" t="inlineStr">
        <is>
          <t>R1 Farmahem pair — cannabinoid certificate; loss on drying is on the LoD certificate</t>
        </is>
      </c>
    </row>
    <row r="787">
      <c r="A787" s="244" t="inlineStr">
        <is>
          <t>CJ052501/01</t>
        </is>
      </c>
      <c r="B787" s="243" t="inlineStr">
        <is>
          <t>P050162</t>
        </is>
      </c>
      <c r="C787" s="243" t="inlineStr">
        <is>
          <t>197-3-K-26</t>
        </is>
      </c>
      <c r="D787" s="245" t="n">
        <v>46241</v>
      </c>
      <c r="E787" s="243" t="inlineStr">
        <is>
          <t>FHM-K</t>
        </is>
      </c>
      <c r="F787" s="243" t="inlineStr">
        <is>
          <t>#8</t>
        </is>
      </c>
      <c r="G787" s="246" t="inlineStr">
        <is>
          <t>#8 Loss on Drying</t>
        </is>
      </c>
      <c r="H787" s="309" t="inlineStr">
        <is>
          <t>credit removed</t>
        </is>
      </c>
      <c r="I787" s="308" t="inlineStr">
        <is>
          <t>R1 Farmahem pair — cannabinoid certificate; loss on drying is on the LoD certificate</t>
        </is>
      </c>
    </row>
    <row r="788">
      <c r="A788" s="244" t="inlineStr">
        <is>
          <t>CJ062501/2</t>
        </is>
      </c>
      <c r="B788" s="243" t="inlineStr">
        <is>
          <t>P050212</t>
        </is>
      </c>
      <c r="C788" s="243" t="inlineStr">
        <is>
          <t>197-4-K-26</t>
        </is>
      </c>
      <c r="D788" s="245" t="n">
        <v>46241</v>
      </c>
      <c r="E788" s="243" t="inlineStr">
        <is>
          <t>FHM-K</t>
        </is>
      </c>
      <c r="F788" s="243" t="inlineStr">
        <is>
          <t>#8</t>
        </is>
      </c>
      <c r="G788" s="246" t="inlineStr">
        <is>
          <t>#8 Loss on Drying</t>
        </is>
      </c>
      <c r="H788" s="309" t="inlineStr">
        <is>
          <t>credit removed</t>
        </is>
      </c>
      <c r="I788" s="308" t="inlineStr">
        <is>
          <t>R1 Farmahem pair — cannabinoid certificate; loss on drying is on the LoD certificate</t>
        </is>
      </c>
    </row>
    <row r="789">
      <c r="A789" s="244" t="inlineStr">
        <is>
          <t>CJ082501/2</t>
        </is>
      </c>
      <c r="B789" s="243" t="inlineStr">
        <is>
          <t>P060032</t>
        </is>
      </c>
      <c r="C789" s="243" t="inlineStr">
        <is>
          <t>197-5-K-26</t>
        </is>
      </c>
      <c r="D789" s="245" t="n">
        <v>46241</v>
      </c>
      <c r="E789" s="243" t="inlineStr">
        <is>
          <t>FHM-K</t>
        </is>
      </c>
      <c r="F789" s="243" t="inlineStr">
        <is>
          <t>#8</t>
        </is>
      </c>
      <c r="G789" s="246" t="inlineStr">
        <is>
          <t>#8 Loss on Drying</t>
        </is>
      </c>
      <c r="H789" s="309" t="inlineStr">
        <is>
          <t>credit removed</t>
        </is>
      </c>
      <c r="I789" s="308" t="inlineStr">
        <is>
          <t>R1 Farmahem pair — cannabinoid certificate; loss on drying is on the LoD certificate</t>
        </is>
      </c>
    </row>
    <row r="790">
      <c r="A790" s="244" t="inlineStr">
        <is>
          <t>FB012602*</t>
        </is>
      </c>
      <c r="B790" s="243" t="inlineStr">
        <is>
          <t>P060352</t>
        </is>
      </c>
      <c r="C790" s="243" t="inlineStr">
        <is>
          <t>197-7-K-26</t>
        </is>
      </c>
      <c r="D790" s="245" t="n">
        <v>46241</v>
      </c>
      <c r="E790" s="243" t="inlineStr">
        <is>
          <t>FHM-K</t>
        </is>
      </c>
      <c r="F790" s="243" t="inlineStr">
        <is>
          <t>#8</t>
        </is>
      </c>
      <c r="G790" s="246" t="inlineStr">
        <is>
          <t>#8 Loss on Drying</t>
        </is>
      </c>
      <c r="H790" s="309" t="inlineStr">
        <is>
          <t>credit removed</t>
        </is>
      </c>
      <c r="I790" s="308" t="inlineStr">
        <is>
          <t>R1 Farmahem pair — cannabinoid certificate; loss on drying is on the LoD certificate</t>
        </is>
      </c>
    </row>
    <row r="791">
      <c r="A791" s="244" t="inlineStr">
        <is>
          <t>GG012603</t>
        </is>
      </c>
      <c r="B791" s="243" t="inlineStr">
        <is>
          <t>P060402</t>
        </is>
      </c>
      <c r="C791" s="243" t="inlineStr">
        <is>
          <t>197-8-K-26</t>
        </is>
      </c>
      <c r="D791" s="245" t="n">
        <v>46241</v>
      </c>
      <c r="E791" s="243" t="inlineStr">
        <is>
          <t>FHM-K</t>
        </is>
      </c>
      <c r="F791" s="243" t="inlineStr">
        <is>
          <t>#8</t>
        </is>
      </c>
      <c r="G791" s="246" t="inlineStr">
        <is>
          <t>#8 Loss on Drying</t>
        </is>
      </c>
      <c r="H791" s="309" t="inlineStr">
        <is>
          <t>credit removed</t>
        </is>
      </c>
      <c r="I791" s="308" t="inlineStr">
        <is>
          <t>R1 Farmahem pair — cannabinoid certificate; loss on drying is on the LoD certificate</t>
        </is>
      </c>
    </row>
    <row r="792">
      <c r="A792" s="244" t="inlineStr">
        <is>
          <t>GG1024_01</t>
        </is>
      </c>
      <c r="B792" s="243" t="inlineStr">
        <is>
          <t>P050092</t>
        </is>
      </c>
      <c r="C792" s="243" t="inlineStr">
        <is>
          <t>197-9-K-26</t>
        </is>
      </c>
      <c r="D792" s="245" t="n">
        <v>46241</v>
      </c>
      <c r="E792" s="243" t="inlineStr">
        <is>
          <t>FHM-K</t>
        </is>
      </c>
      <c r="F792" s="243" t="inlineStr">
        <is>
          <t>#8</t>
        </is>
      </c>
      <c r="G792" s="246" t="inlineStr">
        <is>
          <t>#8 Loss on Drying</t>
        </is>
      </c>
      <c r="H792" s="309" t="inlineStr">
        <is>
          <t>credit removed</t>
        </is>
      </c>
      <c r="I792" s="308" t="inlineStr">
        <is>
          <t>R1 Farmahem pair — cannabinoid certificate; loss on drying is on the LoD certificate</t>
        </is>
      </c>
    </row>
    <row r="793">
      <c r="A793" s="244" t="inlineStr">
        <is>
          <t>GP052501</t>
        </is>
      </c>
      <c r="B793" s="243" t="inlineStr">
        <is>
          <t>P050152</t>
        </is>
      </c>
      <c r="C793" s="243" t="inlineStr">
        <is>
          <t>197-10-K-26</t>
        </is>
      </c>
      <c r="D793" s="245" t="n">
        <v>46241</v>
      </c>
      <c r="E793" s="243" t="inlineStr">
        <is>
          <t>FHM-K</t>
        </is>
      </c>
      <c r="F793" s="243" t="inlineStr">
        <is>
          <t>#8</t>
        </is>
      </c>
      <c r="G793" s="246" t="inlineStr">
        <is>
          <t>#8 Loss on Drying</t>
        </is>
      </c>
      <c r="H793" s="309" t="inlineStr">
        <is>
          <t>credit removed</t>
        </is>
      </c>
      <c r="I793" s="308" t="inlineStr">
        <is>
          <t>R1 Farmahem pair — cannabinoid certificate; loss on drying is on the LoD certificate</t>
        </is>
      </c>
    </row>
    <row r="794">
      <c r="A794" s="244" t="inlineStr">
        <is>
          <t>GP0824_02</t>
        </is>
      </c>
      <c r="B794" s="243" t="inlineStr">
        <is>
          <t>P050022</t>
        </is>
      </c>
      <c r="C794" s="243" t="inlineStr">
        <is>
          <t>197-11-K-26</t>
        </is>
      </c>
      <c r="D794" s="245" t="n">
        <v>46241</v>
      </c>
      <c r="E794" s="243" t="inlineStr">
        <is>
          <t>FHM-K</t>
        </is>
      </c>
      <c r="F794" s="243" t="inlineStr">
        <is>
          <t>#8</t>
        </is>
      </c>
      <c r="G794" s="246" t="inlineStr">
        <is>
          <t>#8 Loss on Drying</t>
        </is>
      </c>
      <c r="H794" s="309" t="inlineStr">
        <is>
          <t>credit removed</t>
        </is>
      </c>
      <c r="I794" s="308" t="inlineStr">
        <is>
          <t>R1 Farmahem pair — cannabinoid certificate; loss on drying is on the LoD certificate</t>
        </is>
      </c>
    </row>
    <row r="795">
      <c r="A795" s="244" t="inlineStr">
        <is>
          <t>GP082501/2</t>
        </is>
      </c>
      <c r="B795" s="243" t="inlineStr">
        <is>
          <t>P050322</t>
        </is>
      </c>
      <c r="C795" s="243" t="inlineStr">
        <is>
          <t>197-12-K-26</t>
        </is>
      </c>
      <c r="D795" s="245" t="n">
        <v>46241</v>
      </c>
      <c r="E795" s="243" t="inlineStr">
        <is>
          <t>FHM-K</t>
        </is>
      </c>
      <c r="F795" s="243" t="inlineStr">
        <is>
          <t>#8</t>
        </is>
      </c>
      <c r="G795" s="246" t="inlineStr">
        <is>
          <t>#8 Loss on Drying</t>
        </is>
      </c>
      <c r="H795" s="309" t="inlineStr">
        <is>
          <t>credit removed</t>
        </is>
      </c>
      <c r="I795" s="308" t="inlineStr">
        <is>
          <t>R1 Farmahem pair — cannabinoid certificate; loss on drying is on the LoD certificate</t>
        </is>
      </c>
    </row>
    <row r="796">
      <c r="A796" s="244" t="inlineStr">
        <is>
          <t>GRC102501</t>
        </is>
      </c>
      <c r="B796" s="243" t="inlineStr">
        <is>
          <t>P060142 / P060182</t>
        </is>
      </c>
      <c r="C796" s="243" t="inlineStr">
        <is>
          <t>051-6-LoD-26</t>
        </is>
      </c>
      <c r="D796" s="245" t="n">
        <v>46083</v>
      </c>
      <c r="E796" s="243" t="inlineStr">
        <is>
          <t>FHM-K</t>
        </is>
      </c>
      <c r="F796" s="243" t="inlineStr">
        <is>
          <t>#3</t>
        </is>
      </c>
      <c r="G796" s="246" t="inlineStr">
        <is>
          <t>#3 Identification C</t>
        </is>
      </c>
      <c r="H796" s="309" t="inlineStr">
        <is>
          <t>credit removed</t>
        </is>
      </c>
      <c r="I796" s="308" t="inlineStr">
        <is>
          <t>R1 Farmahem pair — loss-on-drying certificate; reports no such determination</t>
        </is>
      </c>
    </row>
    <row r="797">
      <c r="A797" s="244" t="inlineStr">
        <is>
          <t>GRC102501</t>
        </is>
      </c>
      <c r="B797" s="243" t="inlineStr">
        <is>
          <t>P060142 / P060182</t>
        </is>
      </c>
      <c r="C797" s="243" t="inlineStr">
        <is>
          <t>051-6-LoD-26</t>
        </is>
      </c>
      <c r="D797" s="245" t="n">
        <v>46083</v>
      </c>
      <c r="E797" s="243" t="inlineStr">
        <is>
          <t>FHM-K</t>
        </is>
      </c>
      <c r="F797" s="243" t="inlineStr">
        <is>
          <t>#4</t>
        </is>
      </c>
      <c r="G797" s="246" t="inlineStr">
        <is>
          <t>#4 Assay — Total Δ⁹-THC*</t>
        </is>
      </c>
      <c r="H797" s="309" t="inlineStr">
        <is>
          <t>credit removed</t>
        </is>
      </c>
      <c r="I797" s="308" t="inlineStr">
        <is>
          <t>R1 Farmahem pair — loss-on-drying certificate; reports no such determination</t>
        </is>
      </c>
    </row>
    <row r="798">
      <c r="A798" s="244" t="inlineStr">
        <is>
          <t>GRC102501</t>
        </is>
      </c>
      <c r="B798" s="243" t="inlineStr">
        <is>
          <t>P060142 / P060182</t>
        </is>
      </c>
      <c r="C798" s="243" t="inlineStr">
        <is>
          <t>051-6-LoD-26</t>
        </is>
      </c>
      <c r="D798" s="245" t="n">
        <v>46083</v>
      </c>
      <c r="E798" s="243" t="inlineStr">
        <is>
          <t>FHM-K</t>
        </is>
      </c>
      <c r="F798" s="243" t="inlineStr">
        <is>
          <t>#5</t>
        </is>
      </c>
      <c r="G798" s="246" t="inlineStr">
        <is>
          <t>#5 Assay — Total CBD</t>
        </is>
      </c>
      <c r="H798" s="309" t="inlineStr">
        <is>
          <t>credit removed</t>
        </is>
      </c>
      <c r="I798" s="308" t="inlineStr">
        <is>
          <t>R1 Farmahem pair — loss-on-drying certificate; reports no such determination</t>
        </is>
      </c>
    </row>
    <row r="799">
      <c r="A799" s="244" t="inlineStr">
        <is>
          <t>GRC102501</t>
        </is>
      </c>
      <c r="B799" s="243" t="inlineStr">
        <is>
          <t>P060142 / P060182</t>
        </is>
      </c>
      <c r="C799" s="243" t="inlineStr">
        <is>
          <t>051-6-LoD-26</t>
        </is>
      </c>
      <c r="D799" s="245" t="n">
        <v>46083</v>
      </c>
      <c r="E799" s="243" t="inlineStr">
        <is>
          <t>FHM-K</t>
        </is>
      </c>
      <c r="F799" s="243" t="inlineStr">
        <is>
          <t>#6</t>
        </is>
      </c>
      <c r="G799" s="246" t="inlineStr">
        <is>
          <t>#6 Total CBN</t>
        </is>
      </c>
      <c r="H799" s="309" t="inlineStr">
        <is>
          <t>credit removed</t>
        </is>
      </c>
      <c r="I799" s="308" t="inlineStr">
        <is>
          <t>R1 Farmahem pair — loss-on-drying certificate; reports no such determination</t>
        </is>
      </c>
    </row>
    <row r="800">
      <c r="A800" s="244" t="inlineStr">
        <is>
          <t>GRC102501</t>
        </is>
      </c>
      <c r="B800" s="243" t="inlineStr">
        <is>
          <t>P060142 / P060182</t>
        </is>
      </c>
      <c r="C800" s="243" t="inlineStr">
        <is>
          <t>051-6-K-26</t>
        </is>
      </c>
      <c r="D800" s="245" t="n">
        <v>46085</v>
      </c>
      <c r="E800" s="243" t="inlineStr">
        <is>
          <t>FHM-K</t>
        </is>
      </c>
      <c r="F800" s="243" t="inlineStr">
        <is>
          <t>#8</t>
        </is>
      </c>
      <c r="G800" s="246" t="inlineStr">
        <is>
          <t>#8 Loss on Drying</t>
        </is>
      </c>
      <c r="H800" s="309" t="inlineStr">
        <is>
          <t>credit removed</t>
        </is>
      </c>
      <c r="I800" s="308" t="inlineStr">
        <is>
          <t>R1 Farmahem pair — cannabinoid certificate; loss on drying is on the LoD certificate</t>
        </is>
      </c>
    </row>
    <row r="801">
      <c r="A801" s="244" t="inlineStr">
        <is>
          <t>HPA1024</t>
        </is>
      </c>
      <c r="B801" s="243" t="inlineStr">
        <is>
          <t>N/A — no P batch assigned</t>
        </is>
      </c>
      <c r="C801" s="243" t="inlineStr">
        <is>
          <t>197-13-K-26</t>
        </is>
      </c>
      <c r="D801" s="245" t="n">
        <v>46241</v>
      </c>
      <c r="E801" s="243" t="inlineStr">
        <is>
          <t>FHM-K</t>
        </is>
      </c>
      <c r="F801" s="243" t="inlineStr">
        <is>
          <t>#8</t>
        </is>
      </c>
      <c r="G801" s="246" t="inlineStr">
        <is>
          <t>#8 Loss on Drying</t>
        </is>
      </c>
      <c r="H801" s="309" t="inlineStr">
        <is>
          <t>credit removed</t>
        </is>
      </c>
      <c r="I801" s="308" t="inlineStr">
        <is>
          <t>R1 Farmahem pair — cannabinoid certificate; loss on drying is on the LoD certificate</t>
        </is>
      </c>
    </row>
    <row r="802">
      <c r="A802" s="244" t="inlineStr">
        <is>
          <t>HPA1024_01</t>
        </is>
      </c>
      <c r="B802" s="243" t="inlineStr">
        <is>
          <t>P050052</t>
        </is>
      </c>
      <c r="C802" s="243" t="inlineStr">
        <is>
          <t>197-14-K-26</t>
        </is>
      </c>
      <c r="D802" s="245" t="n">
        <v>46241</v>
      </c>
      <c r="E802" s="243" t="inlineStr">
        <is>
          <t>FHM-K</t>
        </is>
      </c>
      <c r="F802" s="243" t="inlineStr">
        <is>
          <t>#8</t>
        </is>
      </c>
      <c r="G802" s="246" t="inlineStr">
        <is>
          <t>#8 Loss on Drying</t>
        </is>
      </c>
      <c r="H802" s="309" t="inlineStr">
        <is>
          <t>credit removed</t>
        </is>
      </c>
      <c r="I802" s="308" t="inlineStr">
        <is>
          <t>R1 Farmahem pair — cannabinoid certificate; loss on drying is on the LoD certificate</t>
        </is>
      </c>
    </row>
    <row r="803">
      <c r="A803" s="244" t="inlineStr">
        <is>
          <t>J31102501</t>
        </is>
      </c>
      <c r="B803" s="243" t="inlineStr">
        <is>
          <t>P060152</t>
        </is>
      </c>
      <c r="C803" s="243" t="inlineStr">
        <is>
          <t>051-1-LoD-26</t>
        </is>
      </c>
      <c r="D803" s="245" t="n">
        <v>46083</v>
      </c>
      <c r="E803" s="243" t="inlineStr">
        <is>
          <t>FHM-K</t>
        </is>
      </c>
      <c r="F803" s="243" t="inlineStr">
        <is>
          <t>#3</t>
        </is>
      </c>
      <c r="G803" s="246" t="inlineStr">
        <is>
          <t>#3 Identification C</t>
        </is>
      </c>
      <c r="H803" s="309" t="inlineStr">
        <is>
          <t>credit removed</t>
        </is>
      </c>
      <c r="I803" s="308" t="inlineStr">
        <is>
          <t>R1 Farmahem pair — loss-on-drying certificate; reports no such determination</t>
        </is>
      </c>
    </row>
    <row r="804">
      <c r="A804" s="244" t="inlineStr">
        <is>
          <t>J31102501</t>
        </is>
      </c>
      <c r="B804" s="243" t="inlineStr">
        <is>
          <t>P060152</t>
        </is>
      </c>
      <c r="C804" s="243" t="inlineStr">
        <is>
          <t>051-1-LoD-26</t>
        </is>
      </c>
      <c r="D804" s="245" t="n">
        <v>46083</v>
      </c>
      <c r="E804" s="243" t="inlineStr">
        <is>
          <t>FHM-K</t>
        </is>
      </c>
      <c r="F804" s="243" t="inlineStr">
        <is>
          <t>#4</t>
        </is>
      </c>
      <c r="G804" s="246" t="inlineStr">
        <is>
          <t>#4 Assay — Total Δ⁹-THC*</t>
        </is>
      </c>
      <c r="H804" s="309" t="inlineStr">
        <is>
          <t>credit removed</t>
        </is>
      </c>
      <c r="I804" s="308" t="inlineStr">
        <is>
          <t>R1 Farmahem pair — loss-on-drying certificate; reports no such determination</t>
        </is>
      </c>
    </row>
    <row r="805">
      <c r="A805" s="244" t="inlineStr">
        <is>
          <t>J31102501</t>
        </is>
      </c>
      <c r="B805" s="243" t="inlineStr">
        <is>
          <t>P060152</t>
        </is>
      </c>
      <c r="C805" s="243" t="inlineStr">
        <is>
          <t>051-1-LoD-26</t>
        </is>
      </c>
      <c r="D805" s="245" t="n">
        <v>46083</v>
      </c>
      <c r="E805" s="243" t="inlineStr">
        <is>
          <t>FHM-K</t>
        </is>
      </c>
      <c r="F805" s="243" t="inlineStr">
        <is>
          <t>#5</t>
        </is>
      </c>
      <c r="G805" s="246" t="inlineStr">
        <is>
          <t>#5 Assay — Total CBD</t>
        </is>
      </c>
      <c r="H805" s="309" t="inlineStr">
        <is>
          <t>credit removed</t>
        </is>
      </c>
      <c r="I805" s="308" t="inlineStr">
        <is>
          <t>R1 Farmahem pair — loss-on-drying certificate; reports no such determination</t>
        </is>
      </c>
    </row>
    <row r="806">
      <c r="A806" s="244" t="inlineStr">
        <is>
          <t>J31102501</t>
        </is>
      </c>
      <c r="B806" s="243" t="inlineStr">
        <is>
          <t>P060152</t>
        </is>
      </c>
      <c r="C806" s="243" t="inlineStr">
        <is>
          <t>051-1-LoD-26</t>
        </is>
      </c>
      <c r="D806" s="245" t="n">
        <v>46083</v>
      </c>
      <c r="E806" s="243" t="inlineStr">
        <is>
          <t>FHM-K</t>
        </is>
      </c>
      <c r="F806" s="243" t="inlineStr">
        <is>
          <t>#6</t>
        </is>
      </c>
      <c r="G806" s="246" t="inlineStr">
        <is>
          <t>#6 Total CBN</t>
        </is>
      </c>
      <c r="H806" s="309" t="inlineStr">
        <is>
          <t>credit removed</t>
        </is>
      </c>
      <c r="I806" s="308" t="inlineStr">
        <is>
          <t>R1 Farmahem pair — loss-on-drying certificate; reports no such determination</t>
        </is>
      </c>
    </row>
    <row r="807">
      <c r="A807" s="244" t="inlineStr">
        <is>
          <t>J31102501</t>
        </is>
      </c>
      <c r="B807" s="243" t="inlineStr">
        <is>
          <t>P060152</t>
        </is>
      </c>
      <c r="C807" s="243" t="inlineStr">
        <is>
          <t>051-1-K-26</t>
        </is>
      </c>
      <c r="D807" s="245" t="n">
        <v>46085</v>
      </c>
      <c r="E807" s="243" t="inlineStr">
        <is>
          <t>FHM-K</t>
        </is>
      </c>
      <c r="F807" s="243" t="inlineStr">
        <is>
          <t>#8</t>
        </is>
      </c>
      <c r="G807" s="246" t="inlineStr">
        <is>
          <t>#8 Loss on Drying</t>
        </is>
      </c>
      <c r="H807" s="309" t="inlineStr">
        <is>
          <t>credit removed</t>
        </is>
      </c>
      <c r="I807" s="308" t="inlineStr">
        <is>
          <t>R1 Farmahem pair — cannabinoid certificate; loss on drying is on the LoD certificate</t>
        </is>
      </c>
    </row>
    <row r="808">
      <c r="A808" s="244" t="inlineStr">
        <is>
          <t>J31102501</t>
        </is>
      </c>
      <c r="B808" s="243" t="inlineStr">
        <is>
          <t>P060152</t>
        </is>
      </c>
      <c r="C808" s="243" t="inlineStr">
        <is>
          <t>197-16-K-26</t>
        </is>
      </c>
      <c r="D808" s="245" t="n">
        <v>46241</v>
      </c>
      <c r="E808" s="243" t="inlineStr">
        <is>
          <t>FHM-K</t>
        </is>
      </c>
      <c r="F808" s="243" t="inlineStr">
        <is>
          <t>#8</t>
        </is>
      </c>
      <c r="G808" s="246" t="inlineStr">
        <is>
          <t>#8 Loss on Drying</t>
        </is>
      </c>
      <c r="H808" s="309" t="inlineStr">
        <is>
          <t>credit removed</t>
        </is>
      </c>
      <c r="I808" s="308" t="inlineStr">
        <is>
          <t>R1 Farmahem pair — cannabinoid certificate; loss on drying is on the LoD certificate</t>
        </is>
      </c>
    </row>
    <row r="809">
      <c r="A809" s="244" t="inlineStr">
        <is>
          <t>J31112501</t>
        </is>
      </c>
      <c r="B809" s="243" t="inlineStr">
        <is>
          <t>P060202</t>
        </is>
      </c>
      <c r="C809" s="243" t="inlineStr">
        <is>
          <t>051-5-LoD-26</t>
        </is>
      </c>
      <c r="D809" s="245" t="n">
        <v>46083</v>
      </c>
      <c r="E809" s="243" t="inlineStr">
        <is>
          <t>FHM-K</t>
        </is>
      </c>
      <c r="F809" s="243" t="inlineStr">
        <is>
          <t>#3</t>
        </is>
      </c>
      <c r="G809" s="246" t="inlineStr">
        <is>
          <t>#3 Identification C</t>
        </is>
      </c>
      <c r="H809" s="309" t="inlineStr">
        <is>
          <t>credit removed</t>
        </is>
      </c>
      <c r="I809" s="308" t="inlineStr">
        <is>
          <t>R1 Farmahem pair — loss-on-drying certificate; reports no such determination</t>
        </is>
      </c>
    </row>
    <row r="810">
      <c r="A810" s="244" t="inlineStr">
        <is>
          <t>J31112501</t>
        </is>
      </c>
      <c r="B810" s="243" t="inlineStr">
        <is>
          <t>P060202</t>
        </is>
      </c>
      <c r="C810" s="243" t="inlineStr">
        <is>
          <t>100-1-LoD-26</t>
        </is>
      </c>
      <c r="D810" s="245" t="n">
        <v>46121</v>
      </c>
      <c r="E810" s="243" t="inlineStr">
        <is>
          <t>FHM-K</t>
        </is>
      </c>
      <c r="F810" s="243" t="inlineStr">
        <is>
          <t>#3</t>
        </is>
      </c>
      <c r="G810" s="246" t="inlineStr">
        <is>
          <t>#3 Identification C</t>
        </is>
      </c>
      <c r="H810" s="309" t="inlineStr">
        <is>
          <t>credit removed</t>
        </is>
      </c>
      <c r="I810" s="308" t="inlineStr">
        <is>
          <t>R1 Farmahem pair — loss-on-drying certificate; reports no such determination</t>
        </is>
      </c>
    </row>
    <row r="811">
      <c r="A811" s="244" t="inlineStr">
        <is>
          <t>J31112501</t>
        </is>
      </c>
      <c r="B811" s="243" t="inlineStr">
        <is>
          <t>P060202</t>
        </is>
      </c>
      <c r="C811" s="243" t="inlineStr">
        <is>
          <t>100-2-LoD-26</t>
        </is>
      </c>
      <c r="D811" s="245" t="n">
        <v>46121</v>
      </c>
      <c r="E811" s="243" t="inlineStr">
        <is>
          <t>FHM-K</t>
        </is>
      </c>
      <c r="F811" s="243" t="inlineStr">
        <is>
          <t>#3</t>
        </is>
      </c>
      <c r="G811" s="246" t="inlineStr">
        <is>
          <t>#3 Identification C</t>
        </is>
      </c>
      <c r="H811" s="309" t="inlineStr">
        <is>
          <t>credit removed</t>
        </is>
      </c>
      <c r="I811" s="308" t="inlineStr">
        <is>
          <t>R1 Farmahem pair — loss-on-drying certificate; reports no such determination</t>
        </is>
      </c>
    </row>
    <row r="812">
      <c r="A812" s="244" t="inlineStr">
        <is>
          <t>J31112501</t>
        </is>
      </c>
      <c r="B812" s="243" t="inlineStr">
        <is>
          <t>P060202</t>
        </is>
      </c>
      <c r="C812" s="243" t="inlineStr">
        <is>
          <t>100-3-LoD-26</t>
        </is>
      </c>
      <c r="D812" s="245" t="n">
        <v>46121</v>
      </c>
      <c r="E812" s="243" t="inlineStr">
        <is>
          <t>FHM-K</t>
        </is>
      </c>
      <c r="F812" s="243" t="inlineStr">
        <is>
          <t>#3</t>
        </is>
      </c>
      <c r="G812" s="246" t="inlineStr">
        <is>
          <t>#3 Identification C</t>
        </is>
      </c>
      <c r="H812" s="309" t="inlineStr">
        <is>
          <t>credit removed</t>
        </is>
      </c>
      <c r="I812" s="308" t="inlineStr">
        <is>
          <t>R1 Farmahem pair — loss-on-drying certificate; reports no such determination</t>
        </is>
      </c>
    </row>
    <row r="813">
      <c r="A813" s="244" t="inlineStr">
        <is>
          <t>J31112501</t>
        </is>
      </c>
      <c r="B813" s="243" t="inlineStr">
        <is>
          <t>P060202</t>
        </is>
      </c>
      <c r="C813" s="243" t="inlineStr">
        <is>
          <t>051-5-LoD-26</t>
        </is>
      </c>
      <c r="D813" s="245" t="n">
        <v>46083</v>
      </c>
      <c r="E813" s="243" t="inlineStr">
        <is>
          <t>FHM-K</t>
        </is>
      </c>
      <c r="F813" s="243" t="inlineStr">
        <is>
          <t>#4</t>
        </is>
      </c>
      <c r="G813" s="246" t="inlineStr">
        <is>
          <t>#4 Assay — Total Δ⁹-THC*</t>
        </is>
      </c>
      <c r="H813" s="309" t="inlineStr">
        <is>
          <t>credit removed</t>
        </is>
      </c>
      <c r="I813" s="308" t="inlineStr">
        <is>
          <t>R1 Farmahem pair — loss-on-drying certificate; reports no such determination</t>
        </is>
      </c>
    </row>
    <row r="814">
      <c r="A814" s="244" t="inlineStr">
        <is>
          <t>J31112501</t>
        </is>
      </c>
      <c r="B814" s="243" t="inlineStr">
        <is>
          <t>P060202</t>
        </is>
      </c>
      <c r="C814" s="243" t="inlineStr">
        <is>
          <t>100-1-LoD-26</t>
        </is>
      </c>
      <c r="D814" s="245" t="n">
        <v>46121</v>
      </c>
      <c r="E814" s="243" t="inlineStr">
        <is>
          <t>FHM-K</t>
        </is>
      </c>
      <c r="F814" s="243" t="inlineStr">
        <is>
          <t>#4</t>
        </is>
      </c>
      <c r="G814" s="246" t="inlineStr">
        <is>
          <t>#4 Assay — Total Δ⁹-THC*</t>
        </is>
      </c>
      <c r="H814" s="309" t="inlineStr">
        <is>
          <t>credit removed</t>
        </is>
      </c>
      <c r="I814" s="308" t="inlineStr">
        <is>
          <t>R1 Farmahem pair — loss-on-drying certificate; reports no such determination</t>
        </is>
      </c>
    </row>
    <row r="815">
      <c r="A815" s="244" t="inlineStr">
        <is>
          <t>J31112501</t>
        </is>
      </c>
      <c r="B815" s="243" t="inlineStr">
        <is>
          <t>P060202</t>
        </is>
      </c>
      <c r="C815" s="243" t="inlineStr">
        <is>
          <t>100-2-LoD-26</t>
        </is>
      </c>
      <c r="D815" s="245" t="n">
        <v>46121</v>
      </c>
      <c r="E815" s="243" t="inlineStr">
        <is>
          <t>FHM-K</t>
        </is>
      </c>
      <c r="F815" s="243" t="inlineStr">
        <is>
          <t>#4</t>
        </is>
      </c>
      <c r="G815" s="246" t="inlineStr">
        <is>
          <t>#4 Assay — Total Δ⁹-THC*</t>
        </is>
      </c>
      <c r="H815" s="309" t="inlineStr">
        <is>
          <t>credit removed</t>
        </is>
      </c>
      <c r="I815" s="308" t="inlineStr">
        <is>
          <t>R1 Farmahem pair — loss-on-drying certificate; reports no such determination</t>
        </is>
      </c>
    </row>
    <row r="816">
      <c r="A816" s="244" t="inlineStr">
        <is>
          <t>J31112501</t>
        </is>
      </c>
      <c r="B816" s="243" t="inlineStr">
        <is>
          <t>P060202</t>
        </is>
      </c>
      <c r="C816" s="243" t="inlineStr">
        <is>
          <t>100-3-LoD-26</t>
        </is>
      </c>
      <c r="D816" s="245" t="n">
        <v>46121</v>
      </c>
      <c r="E816" s="243" t="inlineStr">
        <is>
          <t>FHM-K</t>
        </is>
      </c>
      <c r="F816" s="243" t="inlineStr">
        <is>
          <t>#4</t>
        </is>
      </c>
      <c r="G816" s="246" t="inlineStr">
        <is>
          <t>#4 Assay — Total Δ⁹-THC*</t>
        </is>
      </c>
      <c r="H816" s="309" t="inlineStr">
        <is>
          <t>credit removed</t>
        </is>
      </c>
      <c r="I816" s="308" t="inlineStr">
        <is>
          <t>R1 Farmahem pair — loss-on-drying certificate; reports no such determination</t>
        </is>
      </c>
    </row>
    <row r="817">
      <c r="A817" s="244" t="inlineStr">
        <is>
          <t>J31112501</t>
        </is>
      </c>
      <c r="B817" s="243" t="inlineStr">
        <is>
          <t>P060202</t>
        </is>
      </c>
      <c r="C817" s="243" t="inlineStr">
        <is>
          <t>051-5-LoD-26</t>
        </is>
      </c>
      <c r="D817" s="245" t="n">
        <v>46083</v>
      </c>
      <c r="E817" s="243" t="inlineStr">
        <is>
          <t>FHM-K</t>
        </is>
      </c>
      <c r="F817" s="243" t="inlineStr">
        <is>
          <t>#5</t>
        </is>
      </c>
      <c r="G817" s="246" t="inlineStr">
        <is>
          <t>#5 Assay — Total CBD</t>
        </is>
      </c>
      <c r="H817" s="309" t="inlineStr">
        <is>
          <t>credit removed</t>
        </is>
      </c>
      <c r="I817" s="308" t="inlineStr">
        <is>
          <t>R1 Farmahem pair — loss-on-drying certificate; reports no such determination</t>
        </is>
      </c>
    </row>
    <row r="818">
      <c r="A818" s="244" t="inlineStr">
        <is>
          <t>J31112501</t>
        </is>
      </c>
      <c r="B818" s="243" t="inlineStr">
        <is>
          <t>P060202</t>
        </is>
      </c>
      <c r="C818" s="243" t="inlineStr">
        <is>
          <t>100-1-LoD-26</t>
        </is>
      </c>
      <c r="D818" s="245" t="n">
        <v>46121</v>
      </c>
      <c r="E818" s="243" t="inlineStr">
        <is>
          <t>FHM-K</t>
        </is>
      </c>
      <c r="F818" s="243" t="inlineStr">
        <is>
          <t>#5</t>
        </is>
      </c>
      <c r="G818" s="246" t="inlineStr">
        <is>
          <t>#5 Assay — Total CBD</t>
        </is>
      </c>
      <c r="H818" s="309" t="inlineStr">
        <is>
          <t>credit removed</t>
        </is>
      </c>
      <c r="I818" s="308" t="inlineStr">
        <is>
          <t>R1 Farmahem pair — loss-on-drying certificate; reports no such determination</t>
        </is>
      </c>
    </row>
    <row r="819">
      <c r="A819" s="244" t="inlineStr">
        <is>
          <t>J31112501</t>
        </is>
      </c>
      <c r="B819" s="243" t="inlineStr">
        <is>
          <t>P060202</t>
        </is>
      </c>
      <c r="C819" s="243" t="inlineStr">
        <is>
          <t>100-2-LoD-26</t>
        </is>
      </c>
      <c r="D819" s="245" t="n">
        <v>46121</v>
      </c>
      <c r="E819" s="243" t="inlineStr">
        <is>
          <t>FHM-K</t>
        </is>
      </c>
      <c r="F819" s="243" t="inlineStr">
        <is>
          <t>#5</t>
        </is>
      </c>
      <c r="G819" s="246" t="inlineStr">
        <is>
          <t>#5 Assay — Total CBD</t>
        </is>
      </c>
      <c r="H819" s="309" t="inlineStr">
        <is>
          <t>credit removed</t>
        </is>
      </c>
      <c r="I819" s="308" t="inlineStr">
        <is>
          <t>R1 Farmahem pair — loss-on-drying certificate; reports no such determination</t>
        </is>
      </c>
    </row>
    <row r="820">
      <c r="A820" s="244" t="inlineStr">
        <is>
          <t>J31112501</t>
        </is>
      </c>
      <c r="B820" s="243" t="inlineStr">
        <is>
          <t>P060202</t>
        </is>
      </c>
      <c r="C820" s="243" t="inlineStr">
        <is>
          <t>100-3-LoD-26</t>
        </is>
      </c>
      <c r="D820" s="245" t="n">
        <v>46121</v>
      </c>
      <c r="E820" s="243" t="inlineStr">
        <is>
          <t>FHM-K</t>
        </is>
      </c>
      <c r="F820" s="243" t="inlineStr">
        <is>
          <t>#5</t>
        </is>
      </c>
      <c r="G820" s="246" t="inlineStr">
        <is>
          <t>#5 Assay — Total CBD</t>
        </is>
      </c>
      <c r="H820" s="309" t="inlineStr">
        <is>
          <t>credit removed</t>
        </is>
      </c>
      <c r="I820" s="308" t="inlineStr">
        <is>
          <t>R1 Farmahem pair — loss-on-drying certificate; reports no such determination</t>
        </is>
      </c>
    </row>
    <row r="821">
      <c r="A821" s="244" t="inlineStr">
        <is>
          <t>J31112501</t>
        </is>
      </c>
      <c r="B821" s="243" t="inlineStr">
        <is>
          <t>P060202</t>
        </is>
      </c>
      <c r="C821" s="243" t="inlineStr">
        <is>
          <t>051-5-LoD-26</t>
        </is>
      </c>
      <c r="D821" s="245" t="n">
        <v>46083</v>
      </c>
      <c r="E821" s="243" t="inlineStr">
        <is>
          <t>FHM-K</t>
        </is>
      </c>
      <c r="F821" s="243" t="inlineStr">
        <is>
          <t>#6</t>
        </is>
      </c>
      <c r="G821" s="246" t="inlineStr">
        <is>
          <t>#6 Total CBN</t>
        </is>
      </c>
      <c r="H821" s="309" t="inlineStr">
        <is>
          <t>credit removed</t>
        </is>
      </c>
      <c r="I821" s="308" t="inlineStr">
        <is>
          <t>R1 Farmahem pair — loss-on-drying certificate; reports no such determination</t>
        </is>
      </c>
    </row>
    <row r="822">
      <c r="A822" s="244" t="inlineStr">
        <is>
          <t>J31112501</t>
        </is>
      </c>
      <c r="B822" s="243" t="inlineStr">
        <is>
          <t>P060202</t>
        </is>
      </c>
      <c r="C822" s="243" t="inlineStr">
        <is>
          <t>100-1-LoD-26</t>
        </is>
      </c>
      <c r="D822" s="245" t="n">
        <v>46121</v>
      </c>
      <c r="E822" s="243" t="inlineStr">
        <is>
          <t>FHM-K</t>
        </is>
      </c>
      <c r="F822" s="243" t="inlineStr">
        <is>
          <t>#6</t>
        </is>
      </c>
      <c r="G822" s="246" t="inlineStr">
        <is>
          <t>#6 Total CBN</t>
        </is>
      </c>
      <c r="H822" s="309" t="inlineStr">
        <is>
          <t>credit removed</t>
        </is>
      </c>
      <c r="I822" s="308" t="inlineStr">
        <is>
          <t>R1 Farmahem pair — loss-on-drying certificate; reports no such determination</t>
        </is>
      </c>
    </row>
    <row r="823">
      <c r="A823" s="244" t="inlineStr">
        <is>
          <t>J31112501</t>
        </is>
      </c>
      <c r="B823" s="243" t="inlineStr">
        <is>
          <t>P060202</t>
        </is>
      </c>
      <c r="C823" s="243" t="inlineStr">
        <is>
          <t>100-2-LoD-26</t>
        </is>
      </c>
      <c r="D823" s="245" t="n">
        <v>46121</v>
      </c>
      <c r="E823" s="243" t="inlineStr">
        <is>
          <t>FHM-K</t>
        </is>
      </c>
      <c r="F823" s="243" t="inlineStr">
        <is>
          <t>#6</t>
        </is>
      </c>
      <c r="G823" s="246" t="inlineStr">
        <is>
          <t>#6 Total CBN</t>
        </is>
      </c>
      <c r="H823" s="309" t="inlineStr">
        <is>
          <t>credit removed</t>
        </is>
      </c>
      <c r="I823" s="308" t="inlineStr">
        <is>
          <t>R1 Farmahem pair — loss-on-drying certificate; reports no such determination</t>
        </is>
      </c>
    </row>
    <row r="824">
      <c r="A824" s="244" t="inlineStr">
        <is>
          <t>J31112501</t>
        </is>
      </c>
      <c r="B824" s="243" t="inlineStr">
        <is>
          <t>P060202</t>
        </is>
      </c>
      <c r="C824" s="243" t="inlineStr">
        <is>
          <t>100-3-LoD-26</t>
        </is>
      </c>
      <c r="D824" s="245" t="n">
        <v>46121</v>
      </c>
      <c r="E824" s="243" t="inlineStr">
        <is>
          <t>FHM-K</t>
        </is>
      </c>
      <c r="F824" s="243" t="inlineStr">
        <is>
          <t>#6</t>
        </is>
      </c>
      <c r="G824" s="246" t="inlineStr">
        <is>
          <t>#6 Total CBN</t>
        </is>
      </c>
      <c r="H824" s="309" t="inlineStr">
        <is>
          <t>credit removed</t>
        </is>
      </c>
      <c r="I824" s="308" t="inlineStr">
        <is>
          <t>R1 Farmahem pair — loss-on-drying certificate; reports no such determination</t>
        </is>
      </c>
    </row>
    <row r="825">
      <c r="A825" s="244" t="inlineStr">
        <is>
          <t>J31112501</t>
        </is>
      </c>
      <c r="B825" s="243" t="inlineStr">
        <is>
          <t>P060202</t>
        </is>
      </c>
      <c r="C825" s="243" t="inlineStr">
        <is>
          <t>051-5-K-26</t>
        </is>
      </c>
      <c r="D825" s="245" t="n">
        <v>46085</v>
      </c>
      <c r="E825" s="243" t="inlineStr">
        <is>
          <t>FHM-K</t>
        </is>
      </c>
      <c r="F825" s="243" t="inlineStr">
        <is>
          <t>#8</t>
        </is>
      </c>
      <c r="G825" s="246" t="inlineStr">
        <is>
          <t>#8 Loss on Drying</t>
        </is>
      </c>
      <c r="H825" s="309" t="inlineStr">
        <is>
          <t>credit removed</t>
        </is>
      </c>
      <c r="I825" s="308" t="inlineStr">
        <is>
          <t>R1 Farmahem pair — cannabinoid certificate; loss on drying is on the LoD certificate</t>
        </is>
      </c>
    </row>
    <row r="826">
      <c r="A826" s="244" t="inlineStr">
        <is>
          <t>J31112501</t>
        </is>
      </c>
      <c r="B826" s="243" t="inlineStr">
        <is>
          <t>P060202</t>
        </is>
      </c>
      <c r="C826" s="243" t="inlineStr">
        <is>
          <t>100-1-K-26</t>
        </is>
      </c>
      <c r="D826" s="245" t="n">
        <v>46121</v>
      </c>
      <c r="E826" s="243" t="inlineStr">
        <is>
          <t>FHM-K</t>
        </is>
      </c>
      <c r="F826" s="243" t="inlineStr">
        <is>
          <t>#8</t>
        </is>
      </c>
      <c r="G826" s="246" t="inlineStr">
        <is>
          <t>#8 Loss on Drying</t>
        </is>
      </c>
      <c r="H826" s="309" t="inlineStr">
        <is>
          <t>credit removed</t>
        </is>
      </c>
      <c r="I826" s="308" t="inlineStr">
        <is>
          <t>R1 Farmahem pair — cannabinoid certificate; loss on drying is on the LoD certificate</t>
        </is>
      </c>
    </row>
    <row r="827">
      <c r="A827" s="244" t="inlineStr">
        <is>
          <t>J31122501</t>
        </is>
      </c>
      <c r="B827" s="243" t="inlineStr">
        <is>
          <t>P060262</t>
        </is>
      </c>
      <c r="C827" s="243" t="inlineStr">
        <is>
          <t>100-2-K-26</t>
        </is>
      </c>
      <c r="D827" s="245" t="n">
        <v>46121</v>
      </c>
      <c r="E827" s="243" t="inlineStr">
        <is>
          <t>FHM-K</t>
        </is>
      </c>
      <c r="F827" s="243" t="inlineStr">
        <is>
          <t>#8</t>
        </is>
      </c>
      <c r="G827" s="246" t="inlineStr">
        <is>
          <t>#8 Loss on Drying</t>
        </is>
      </c>
      <c r="H827" s="309" t="inlineStr">
        <is>
          <t>credit removed</t>
        </is>
      </c>
      <c r="I827" s="308" t="inlineStr">
        <is>
          <t>R1 Farmahem pair — cannabinoid certificate; loss on drying is on the LoD certificate</t>
        </is>
      </c>
    </row>
    <row r="828">
      <c r="A828" s="244" t="inlineStr">
        <is>
          <t>J31122501</t>
        </is>
      </c>
      <c r="B828" s="243" t="inlineStr">
        <is>
          <t>P060262</t>
        </is>
      </c>
      <c r="C828" s="243" t="inlineStr">
        <is>
          <t>100-3-K-26</t>
        </is>
      </c>
      <c r="D828" s="245" t="n">
        <v>46121</v>
      </c>
      <c r="E828" s="243" t="inlineStr">
        <is>
          <t>FHM-K</t>
        </is>
      </c>
      <c r="F828" s="243" t="inlineStr">
        <is>
          <t>#8</t>
        </is>
      </c>
      <c r="G828" s="246" t="inlineStr">
        <is>
          <t>#8 Loss on Drying</t>
        </is>
      </c>
      <c r="H828" s="309" t="inlineStr">
        <is>
          <t>credit removed</t>
        </is>
      </c>
      <c r="I828" s="308" t="inlineStr">
        <is>
          <t>R1 Farmahem pair — cannabinoid certificate; loss on drying is on the LoD certificate</t>
        </is>
      </c>
    </row>
    <row r="829">
      <c r="A829" s="244" t="inlineStr">
        <is>
          <t>JD112501</t>
        </is>
      </c>
      <c r="B829" s="243" t="inlineStr">
        <is>
          <t>P060212</t>
        </is>
      </c>
      <c r="C829" s="243" t="inlineStr">
        <is>
          <t>197-15-K-26</t>
        </is>
      </c>
      <c r="D829" s="245" t="n">
        <v>46241</v>
      </c>
      <c r="E829" s="243" t="inlineStr">
        <is>
          <t>FHM-K</t>
        </is>
      </c>
      <c r="F829" s="243" t="inlineStr">
        <is>
          <t>#8</t>
        </is>
      </c>
      <c r="G829" s="246" t="inlineStr">
        <is>
          <t>#8 Loss on Drying</t>
        </is>
      </c>
      <c r="H829" s="309" t="inlineStr">
        <is>
          <t>credit removed</t>
        </is>
      </c>
      <c r="I829" s="308" t="inlineStr">
        <is>
          <t>R1 Farmahem pair — cannabinoid certificate; loss on drying is on the LoD certificate</t>
        </is>
      </c>
    </row>
    <row r="830">
      <c r="A830" s="244" t="inlineStr">
        <is>
          <t>KC102501</t>
        </is>
      </c>
      <c r="B830" s="243" t="inlineStr">
        <is>
          <t>P060172</t>
        </is>
      </c>
      <c r="C830" s="243" t="inlineStr">
        <is>
          <t>051-4-LoD-26</t>
        </is>
      </c>
      <c r="D830" s="245" t="n">
        <v>46083</v>
      </c>
      <c r="E830" s="243" t="inlineStr">
        <is>
          <t>FHM-K</t>
        </is>
      </c>
      <c r="F830" s="243" t="inlineStr">
        <is>
          <t>#3</t>
        </is>
      </c>
      <c r="G830" s="246" t="inlineStr">
        <is>
          <t>#3 Identification C</t>
        </is>
      </c>
      <c r="H830" s="309" t="inlineStr">
        <is>
          <t>credit removed</t>
        </is>
      </c>
      <c r="I830" s="308" t="inlineStr">
        <is>
          <t>R1 Farmahem pair — loss-on-drying certificate; reports no such determination</t>
        </is>
      </c>
    </row>
    <row r="831">
      <c r="A831" s="244" t="inlineStr">
        <is>
          <t>KC102501</t>
        </is>
      </c>
      <c r="B831" s="243" t="inlineStr">
        <is>
          <t>P060172</t>
        </is>
      </c>
      <c r="C831" s="243" t="inlineStr">
        <is>
          <t>051-4-LoD-26</t>
        </is>
      </c>
      <c r="D831" s="245" t="n">
        <v>46083</v>
      </c>
      <c r="E831" s="243" t="inlineStr">
        <is>
          <t>FHM-K</t>
        </is>
      </c>
      <c r="F831" s="243" t="inlineStr">
        <is>
          <t>#4</t>
        </is>
      </c>
      <c r="G831" s="246" t="inlineStr">
        <is>
          <t>#4 Assay — Total Δ⁹-THC*</t>
        </is>
      </c>
      <c r="H831" s="309" t="inlineStr">
        <is>
          <t>credit removed</t>
        </is>
      </c>
      <c r="I831" s="308" t="inlineStr">
        <is>
          <t>R1 Farmahem pair — loss-on-drying certificate; reports no such determination</t>
        </is>
      </c>
    </row>
    <row r="832">
      <c r="A832" s="244" t="inlineStr">
        <is>
          <t>KC102501</t>
        </is>
      </c>
      <c r="B832" s="243" t="inlineStr">
        <is>
          <t>P060172</t>
        </is>
      </c>
      <c r="C832" s="243" t="inlineStr">
        <is>
          <t>051-4-LoD-26</t>
        </is>
      </c>
      <c r="D832" s="245" t="n">
        <v>46083</v>
      </c>
      <c r="E832" s="243" t="inlineStr">
        <is>
          <t>FHM-K</t>
        </is>
      </c>
      <c r="F832" s="243" t="inlineStr">
        <is>
          <t>#5</t>
        </is>
      </c>
      <c r="G832" s="246" t="inlineStr">
        <is>
          <t>#5 Assay — Total CBD</t>
        </is>
      </c>
      <c r="H832" s="309" t="inlineStr">
        <is>
          <t>credit removed</t>
        </is>
      </c>
      <c r="I832" s="308" t="inlineStr">
        <is>
          <t>R1 Farmahem pair — loss-on-drying certificate; reports no such determination</t>
        </is>
      </c>
    </row>
    <row r="833">
      <c r="A833" s="244" t="inlineStr">
        <is>
          <t>KC102501</t>
        </is>
      </c>
      <c r="B833" s="243" t="inlineStr">
        <is>
          <t>P060172</t>
        </is>
      </c>
      <c r="C833" s="243" t="inlineStr">
        <is>
          <t>051-4-LoD-26</t>
        </is>
      </c>
      <c r="D833" s="245" t="n">
        <v>46083</v>
      </c>
      <c r="E833" s="243" t="inlineStr">
        <is>
          <t>FHM-K</t>
        </is>
      </c>
      <c r="F833" s="243" t="inlineStr">
        <is>
          <t>#6</t>
        </is>
      </c>
      <c r="G833" s="246" t="inlineStr">
        <is>
          <t>#6 Total CBN</t>
        </is>
      </c>
      <c r="H833" s="309" t="inlineStr">
        <is>
          <t>credit removed</t>
        </is>
      </c>
      <c r="I833" s="308" t="inlineStr">
        <is>
          <t>R1 Farmahem pair — loss-on-drying certificate; reports no such determination</t>
        </is>
      </c>
    </row>
    <row r="834">
      <c r="A834" s="244" t="inlineStr">
        <is>
          <t>KC102501</t>
        </is>
      </c>
      <c r="B834" s="243" t="inlineStr">
        <is>
          <t>P060172</t>
        </is>
      </c>
      <c r="C834" s="243" t="inlineStr">
        <is>
          <t>051-4-K-26</t>
        </is>
      </c>
      <c r="D834" s="245" t="n">
        <v>46085</v>
      </c>
      <c r="E834" s="243" t="inlineStr">
        <is>
          <t>FHM-K</t>
        </is>
      </c>
      <c r="F834" s="243" t="inlineStr">
        <is>
          <t>#8</t>
        </is>
      </c>
      <c r="G834" s="246" t="inlineStr">
        <is>
          <t>#8 Loss on Drying</t>
        </is>
      </c>
      <c r="H834" s="309" t="inlineStr">
        <is>
          <t>credit removed</t>
        </is>
      </c>
      <c r="I834" s="308" t="inlineStr">
        <is>
          <t>R1 Farmahem pair — cannabinoid certificate; loss on drying is on the LoD certificate</t>
        </is>
      </c>
    </row>
    <row r="835">
      <c r="A835" s="244" t="inlineStr">
        <is>
          <t>OPM1024</t>
        </is>
      </c>
      <c r="B835" s="243" t="inlineStr">
        <is>
          <t>N/A — no P batch assigned</t>
        </is>
      </c>
      <c r="C835" s="243" t="inlineStr">
        <is>
          <t>197-17-K-26</t>
        </is>
      </c>
      <c r="D835" s="245" t="n">
        <v>46241</v>
      </c>
      <c r="E835" s="243" t="inlineStr">
        <is>
          <t>FHM-K</t>
        </is>
      </c>
      <c r="F835" s="243" t="inlineStr">
        <is>
          <t>#8</t>
        </is>
      </c>
      <c r="G835" s="246" t="inlineStr">
        <is>
          <t>#8 Loss on Drying</t>
        </is>
      </c>
      <c r="H835" s="309" t="inlineStr">
        <is>
          <t>credit removed</t>
        </is>
      </c>
      <c r="I835" s="308" t="inlineStr">
        <is>
          <t>R1 Farmahem pair — cannabinoid certificate; loss on drying is on the LoD certificate</t>
        </is>
      </c>
    </row>
    <row r="836">
      <c r="A836" s="244" t="inlineStr">
        <is>
          <t>OPM1024_02</t>
        </is>
      </c>
      <c r="B836" s="243" t="inlineStr">
        <is>
          <t>P050062</t>
        </is>
      </c>
      <c r="C836" s="243" t="inlineStr">
        <is>
          <t>197-18-K-26</t>
        </is>
      </c>
      <c r="D836" s="245" t="n">
        <v>46241</v>
      </c>
      <c r="E836" s="243" t="inlineStr">
        <is>
          <t>FHM-K</t>
        </is>
      </c>
      <c r="F836" s="243" t="inlineStr">
        <is>
          <t>#8</t>
        </is>
      </c>
      <c r="G836" s="246" t="inlineStr">
        <is>
          <t>#8 Loss on Drying</t>
        </is>
      </c>
      <c r="H836" s="309" t="inlineStr">
        <is>
          <t>credit removed</t>
        </is>
      </c>
      <c r="I836" s="308" t="inlineStr">
        <is>
          <t>R1 Farmahem pair — cannabinoid certificate; loss on drying is on the LoD certificate</t>
        </is>
      </c>
    </row>
    <row r="837">
      <c r="A837" s="244" t="inlineStr">
        <is>
          <t>OPM122501</t>
        </is>
      </c>
      <c r="B837" s="243" t="inlineStr">
        <is>
          <t>P060242</t>
        </is>
      </c>
      <c r="C837" s="243" t="inlineStr">
        <is>
          <t>100-4-LoD-26</t>
        </is>
      </c>
      <c r="D837" s="245" t="n">
        <v>46121</v>
      </c>
      <c r="E837" s="243" t="inlineStr">
        <is>
          <t>FHM-K</t>
        </is>
      </c>
      <c r="F837" s="243" t="inlineStr">
        <is>
          <t>#3</t>
        </is>
      </c>
      <c r="G837" s="246" t="inlineStr">
        <is>
          <t>#3 Identification C</t>
        </is>
      </c>
      <c r="H837" s="309" t="inlineStr">
        <is>
          <t>credit removed</t>
        </is>
      </c>
      <c r="I837" s="308" t="inlineStr">
        <is>
          <t>R1 Farmahem pair — loss-on-drying certificate; reports no such determination</t>
        </is>
      </c>
    </row>
    <row r="838">
      <c r="A838" s="244" t="inlineStr">
        <is>
          <t>OPM122501</t>
        </is>
      </c>
      <c r="B838" s="243" t="inlineStr">
        <is>
          <t>P060242</t>
        </is>
      </c>
      <c r="C838" s="243" t="inlineStr">
        <is>
          <t>100-4-LoD-26</t>
        </is>
      </c>
      <c r="D838" s="245" t="n">
        <v>46121</v>
      </c>
      <c r="E838" s="243" t="inlineStr">
        <is>
          <t>FHM-K</t>
        </is>
      </c>
      <c r="F838" s="243" t="inlineStr">
        <is>
          <t>#4</t>
        </is>
      </c>
      <c r="G838" s="246" t="inlineStr">
        <is>
          <t>#4 Assay — Total Δ⁹-THC*</t>
        </is>
      </c>
      <c r="H838" s="309" t="inlineStr">
        <is>
          <t>credit removed</t>
        </is>
      </c>
      <c r="I838" s="308" t="inlineStr">
        <is>
          <t>R1 Farmahem pair — loss-on-drying certificate; reports no such determination</t>
        </is>
      </c>
    </row>
    <row r="839">
      <c r="A839" s="244" t="inlineStr">
        <is>
          <t>OPM122501</t>
        </is>
      </c>
      <c r="B839" s="243" t="inlineStr">
        <is>
          <t>P060242</t>
        </is>
      </c>
      <c r="C839" s="243" t="inlineStr">
        <is>
          <t>100-4-LoD-26</t>
        </is>
      </c>
      <c r="D839" s="245" t="n">
        <v>46121</v>
      </c>
      <c r="E839" s="243" t="inlineStr">
        <is>
          <t>FHM-K</t>
        </is>
      </c>
      <c r="F839" s="243" t="inlineStr">
        <is>
          <t>#5</t>
        </is>
      </c>
      <c r="G839" s="246" t="inlineStr">
        <is>
          <t>#5 Assay — Total CBD</t>
        </is>
      </c>
      <c r="H839" s="309" t="inlineStr">
        <is>
          <t>credit removed</t>
        </is>
      </c>
      <c r="I839" s="308" t="inlineStr">
        <is>
          <t>R1 Farmahem pair — loss-on-drying certificate; reports no such determination</t>
        </is>
      </c>
    </row>
    <row r="840">
      <c r="A840" s="244" t="inlineStr">
        <is>
          <t>OPM122501</t>
        </is>
      </c>
      <c r="B840" s="243" t="inlineStr">
        <is>
          <t>P060242</t>
        </is>
      </c>
      <c r="C840" s="243" t="inlineStr">
        <is>
          <t>100-4-LoD-26</t>
        </is>
      </c>
      <c r="D840" s="245" t="n">
        <v>46121</v>
      </c>
      <c r="E840" s="243" t="inlineStr">
        <is>
          <t>FHM-K</t>
        </is>
      </c>
      <c r="F840" s="243" t="inlineStr">
        <is>
          <t>#6</t>
        </is>
      </c>
      <c r="G840" s="246" t="inlineStr">
        <is>
          <t>#6 Total CBN</t>
        </is>
      </c>
      <c r="H840" s="309" t="inlineStr">
        <is>
          <t>credit removed</t>
        </is>
      </c>
      <c r="I840" s="308" t="inlineStr">
        <is>
          <t>R1 Farmahem pair — loss-on-drying certificate; reports no such determination</t>
        </is>
      </c>
    </row>
    <row r="841">
      <c r="A841" s="244" t="inlineStr">
        <is>
          <t>OPM122501</t>
        </is>
      </c>
      <c r="B841" s="243" t="inlineStr">
        <is>
          <t>P060242</t>
        </is>
      </c>
      <c r="C841" s="243" t="inlineStr">
        <is>
          <t>100-4-K-26</t>
        </is>
      </c>
      <c r="D841" s="245" t="n">
        <v>46121</v>
      </c>
      <c r="E841" s="243" t="inlineStr">
        <is>
          <t>FHM-K</t>
        </is>
      </c>
      <c r="F841" s="243" t="inlineStr">
        <is>
          <t>#8</t>
        </is>
      </c>
      <c r="G841" s="246" t="inlineStr">
        <is>
          <t>#8 Loss on Drying</t>
        </is>
      </c>
      <c r="H841" s="309" t="inlineStr">
        <is>
          <t>credit removed</t>
        </is>
      </c>
      <c r="I841" s="308" t="inlineStr">
        <is>
          <t>R1 Farmahem pair — cannabinoid certificate; loss on drying is on the LoD certificate</t>
        </is>
      </c>
    </row>
    <row r="842">
      <c r="A842" s="244" t="inlineStr">
        <is>
          <t>OPM122501</t>
        </is>
      </c>
      <c r="B842" s="243" t="inlineStr">
        <is>
          <t>P060242</t>
        </is>
      </c>
      <c r="C842" s="243" t="inlineStr">
        <is>
          <t>197-19-K-26</t>
        </is>
      </c>
      <c r="D842" s="245" t="n">
        <v>46241</v>
      </c>
      <c r="E842" s="243" t="inlineStr">
        <is>
          <t>FHM-K</t>
        </is>
      </c>
      <c r="F842" s="243" t="inlineStr">
        <is>
          <t>#8</t>
        </is>
      </c>
      <c r="G842" s="246" t="inlineStr">
        <is>
          <t>#8 Loss on Drying</t>
        </is>
      </c>
      <c r="H842" s="309" t="inlineStr">
        <is>
          <t>credit removed</t>
        </is>
      </c>
      <c r="I842" s="308" t="inlineStr">
        <is>
          <t>R1 Farmahem pair — cannabinoid certificate; loss on drying is on the LoD certificate</t>
        </is>
      </c>
    </row>
    <row r="843">
      <c r="A843" s="244" t="inlineStr">
        <is>
          <t>PM092501</t>
        </is>
      </c>
      <c r="B843" s="243" t="inlineStr">
        <is>
          <t>P060062</t>
        </is>
      </c>
      <c r="C843" s="243" t="inlineStr">
        <is>
          <t>197-20-K-26</t>
        </is>
      </c>
      <c r="D843" s="245" t="n">
        <v>46241</v>
      </c>
      <c r="E843" s="243" t="inlineStr">
        <is>
          <t>FHM-K</t>
        </is>
      </c>
      <c r="F843" s="243" t="inlineStr">
        <is>
          <t>#8</t>
        </is>
      </c>
      <c r="G843" s="246" t="inlineStr">
        <is>
          <t>#8 Loss on Drying</t>
        </is>
      </c>
      <c r="H843" s="309" t="inlineStr">
        <is>
          <t>credit removed</t>
        </is>
      </c>
      <c r="I843" s="308" t="inlineStr">
        <is>
          <t>R1 Farmahem pair — cannabinoid certificate; loss on drying is on the LoD certificate</t>
        </is>
      </c>
    </row>
    <row r="844">
      <c r="A844" s="244" t="inlineStr">
        <is>
          <t>SCR012603</t>
        </is>
      </c>
      <c r="B844" s="243" t="inlineStr">
        <is>
          <t>P060382</t>
        </is>
      </c>
      <c r="C844" s="243" t="inlineStr">
        <is>
          <t>197-21-K-26</t>
        </is>
      </c>
      <c r="D844" s="245" t="n">
        <v>46241</v>
      </c>
      <c r="E844" s="243" t="inlineStr">
        <is>
          <t>FHM-K</t>
        </is>
      </c>
      <c r="F844" s="243" t="inlineStr">
        <is>
          <t>#8</t>
        </is>
      </c>
      <c r="G844" s="246" t="inlineStr">
        <is>
          <t>#8 Loss on Drying</t>
        </is>
      </c>
      <c r="H844" s="309" t="inlineStr">
        <is>
          <t>credit removed</t>
        </is>
      </c>
      <c r="I844" s="308" t="inlineStr">
        <is>
          <t>R1 Farmahem pair — cannabinoid certificate; loss on drying is on the LoD certificate</t>
        </is>
      </c>
    </row>
    <row r="845">
      <c r="A845" s="244" t="inlineStr">
        <is>
          <t>SJ102501</t>
        </is>
      </c>
      <c r="B845" s="243" t="inlineStr">
        <is>
          <t>P060162</t>
        </is>
      </c>
      <c r="C845" s="243" t="inlineStr">
        <is>
          <t>051-3-LoD-26</t>
        </is>
      </c>
      <c r="D845" s="245" t="n">
        <v>46083</v>
      </c>
      <c r="E845" s="243" t="inlineStr">
        <is>
          <t>FHM-K</t>
        </is>
      </c>
      <c r="F845" s="243" t="inlineStr">
        <is>
          <t>#3</t>
        </is>
      </c>
      <c r="G845" s="246" t="inlineStr">
        <is>
          <t>#3 Identification C</t>
        </is>
      </c>
      <c r="H845" s="309" t="inlineStr">
        <is>
          <t>credit removed</t>
        </is>
      </c>
      <c r="I845" s="308" t="inlineStr">
        <is>
          <t>R1 Farmahem pair — loss-on-drying certificate; reports no such determination</t>
        </is>
      </c>
    </row>
    <row r="846">
      <c r="A846" s="244" t="inlineStr">
        <is>
          <t>SJ102501</t>
        </is>
      </c>
      <c r="B846" s="243" t="inlineStr">
        <is>
          <t>P060162</t>
        </is>
      </c>
      <c r="C846" s="243" t="inlineStr">
        <is>
          <t>051-3-LoD-26</t>
        </is>
      </c>
      <c r="D846" s="245" t="n">
        <v>46083</v>
      </c>
      <c r="E846" s="243" t="inlineStr">
        <is>
          <t>FHM-K</t>
        </is>
      </c>
      <c r="F846" s="243" t="inlineStr">
        <is>
          <t>#4</t>
        </is>
      </c>
      <c r="G846" s="246" t="inlineStr">
        <is>
          <t>#4 Assay — Total Δ⁹-THC*</t>
        </is>
      </c>
      <c r="H846" s="309" t="inlineStr">
        <is>
          <t>credit removed</t>
        </is>
      </c>
      <c r="I846" s="308" t="inlineStr">
        <is>
          <t>R1 Farmahem pair — loss-on-drying certificate; reports no such determination</t>
        </is>
      </c>
    </row>
    <row r="847">
      <c r="A847" s="244" t="inlineStr">
        <is>
          <t>SJ102501</t>
        </is>
      </c>
      <c r="B847" s="243" t="inlineStr">
        <is>
          <t>P060162</t>
        </is>
      </c>
      <c r="C847" s="243" t="inlineStr">
        <is>
          <t>051-3-LoD-26</t>
        </is>
      </c>
      <c r="D847" s="245" t="n">
        <v>46083</v>
      </c>
      <c r="E847" s="243" t="inlineStr">
        <is>
          <t>FHM-K</t>
        </is>
      </c>
      <c r="F847" s="243" t="inlineStr">
        <is>
          <t>#5</t>
        </is>
      </c>
      <c r="G847" s="246" t="inlineStr">
        <is>
          <t>#5 Assay — Total CBD</t>
        </is>
      </c>
      <c r="H847" s="309" t="inlineStr">
        <is>
          <t>credit removed</t>
        </is>
      </c>
      <c r="I847" s="308" t="inlineStr">
        <is>
          <t>R1 Farmahem pair — loss-on-drying certificate; reports no such determination</t>
        </is>
      </c>
    </row>
    <row r="848">
      <c r="A848" s="244" t="inlineStr">
        <is>
          <t>SJ102501</t>
        </is>
      </c>
      <c r="B848" s="243" t="inlineStr">
        <is>
          <t>P060162</t>
        </is>
      </c>
      <c r="C848" s="243" t="inlineStr">
        <is>
          <t>051-3-LoD-26</t>
        </is>
      </c>
      <c r="D848" s="245" t="n">
        <v>46083</v>
      </c>
      <c r="E848" s="243" t="inlineStr">
        <is>
          <t>FHM-K</t>
        </is>
      </c>
      <c r="F848" s="243" t="inlineStr">
        <is>
          <t>#6</t>
        </is>
      </c>
      <c r="G848" s="246" t="inlineStr">
        <is>
          <t>#6 Total CBN</t>
        </is>
      </c>
      <c r="H848" s="309" t="inlineStr">
        <is>
          <t>credit removed</t>
        </is>
      </c>
      <c r="I848" s="308" t="inlineStr">
        <is>
          <t>R1 Farmahem pair — loss-on-drying certificate; reports no such determination</t>
        </is>
      </c>
    </row>
    <row r="849">
      <c r="A849" s="244" t="inlineStr">
        <is>
          <t>SJ102501</t>
        </is>
      </c>
      <c r="B849" s="243" t="inlineStr">
        <is>
          <t>P060162</t>
        </is>
      </c>
      <c r="C849" s="243" t="inlineStr">
        <is>
          <t>051-3-K-26</t>
        </is>
      </c>
      <c r="D849" s="245" t="n">
        <v>46085</v>
      </c>
      <c r="E849" s="243" t="inlineStr">
        <is>
          <t>FHM-K</t>
        </is>
      </c>
      <c r="F849" s="243" t="inlineStr">
        <is>
          <t>#8</t>
        </is>
      </c>
      <c r="G849" s="246" t="inlineStr">
        <is>
          <t>#8 Loss on Drying</t>
        </is>
      </c>
      <c r="H849" s="309" t="inlineStr">
        <is>
          <t>credit removed</t>
        </is>
      </c>
      <c r="I849" s="308" t="inlineStr">
        <is>
          <t>R1 Farmahem pair — cannabinoid certificate; loss on drying is on the LoD certificate</t>
        </is>
      </c>
    </row>
    <row r="850">
      <c r="A850" s="244" t="inlineStr">
        <is>
          <t>SJ112501</t>
        </is>
      </c>
      <c r="B850" s="243" t="inlineStr">
        <is>
          <t>P060192</t>
        </is>
      </c>
      <c r="C850" s="243" t="inlineStr">
        <is>
          <t>051-2-LoD-26</t>
        </is>
      </c>
      <c r="D850" s="245" t="n">
        <v>46083</v>
      </c>
      <c r="E850" s="243" t="inlineStr">
        <is>
          <t>FHM-K</t>
        </is>
      </c>
      <c r="F850" s="243" t="inlineStr">
        <is>
          <t>#3</t>
        </is>
      </c>
      <c r="G850" s="246" t="inlineStr">
        <is>
          <t>#3 Identification C</t>
        </is>
      </c>
      <c r="H850" s="309" t="inlineStr">
        <is>
          <t>credit removed</t>
        </is>
      </c>
      <c r="I850" s="308" t="inlineStr">
        <is>
          <t>R1 Farmahem pair — loss-on-drying certificate; reports no such determination</t>
        </is>
      </c>
    </row>
    <row r="851">
      <c r="A851" s="244" t="inlineStr">
        <is>
          <t>SJ112501</t>
        </is>
      </c>
      <c r="B851" s="243" t="inlineStr">
        <is>
          <t>P060192</t>
        </is>
      </c>
      <c r="C851" s="243" t="inlineStr">
        <is>
          <t>051-2-LoD-26</t>
        </is>
      </c>
      <c r="D851" s="245" t="n">
        <v>46083</v>
      </c>
      <c r="E851" s="243" t="inlineStr">
        <is>
          <t>FHM-K</t>
        </is>
      </c>
      <c r="F851" s="243" t="inlineStr">
        <is>
          <t>#4</t>
        </is>
      </c>
      <c r="G851" s="246" t="inlineStr">
        <is>
          <t>#4 Assay — Total Δ⁹-THC*</t>
        </is>
      </c>
      <c r="H851" s="309" t="inlineStr">
        <is>
          <t>credit removed</t>
        </is>
      </c>
      <c r="I851" s="308" t="inlineStr">
        <is>
          <t>R1 Farmahem pair — loss-on-drying certificate; reports no such determination</t>
        </is>
      </c>
    </row>
    <row r="852">
      <c r="A852" s="244" t="inlineStr">
        <is>
          <t>SJ112501</t>
        </is>
      </c>
      <c r="B852" s="243" t="inlineStr">
        <is>
          <t>P060192</t>
        </is>
      </c>
      <c r="C852" s="243" t="inlineStr">
        <is>
          <t>051-2-LoD-26</t>
        </is>
      </c>
      <c r="D852" s="245" t="n">
        <v>46083</v>
      </c>
      <c r="E852" s="243" t="inlineStr">
        <is>
          <t>FHM-K</t>
        </is>
      </c>
      <c r="F852" s="243" t="inlineStr">
        <is>
          <t>#5</t>
        </is>
      </c>
      <c r="G852" s="246" t="inlineStr">
        <is>
          <t>#5 Assay — Total CBD</t>
        </is>
      </c>
      <c r="H852" s="309" t="inlineStr">
        <is>
          <t>credit removed</t>
        </is>
      </c>
      <c r="I852" s="308" t="inlineStr">
        <is>
          <t>R1 Farmahem pair — loss-on-drying certificate; reports no such determination</t>
        </is>
      </c>
    </row>
    <row r="853">
      <c r="A853" s="244" t="inlineStr">
        <is>
          <t>SJ112501</t>
        </is>
      </c>
      <c r="B853" s="243" t="inlineStr">
        <is>
          <t>P060192</t>
        </is>
      </c>
      <c r="C853" s="243" t="inlineStr">
        <is>
          <t>051-2-LoD-26</t>
        </is>
      </c>
      <c r="D853" s="245" t="n">
        <v>46083</v>
      </c>
      <c r="E853" s="243" t="inlineStr">
        <is>
          <t>FHM-K</t>
        </is>
      </c>
      <c r="F853" s="243" t="inlineStr">
        <is>
          <t>#6</t>
        </is>
      </c>
      <c r="G853" s="246" t="inlineStr">
        <is>
          <t>#6 Total CBN</t>
        </is>
      </c>
      <c r="H853" s="309" t="inlineStr">
        <is>
          <t>credit removed</t>
        </is>
      </c>
      <c r="I853" s="308" t="inlineStr">
        <is>
          <t>R1 Farmahem pair — loss-on-drying certificate; reports no such determination</t>
        </is>
      </c>
    </row>
    <row r="854">
      <c r="A854" s="244" t="inlineStr">
        <is>
          <t>SJ112501</t>
        </is>
      </c>
      <c r="B854" s="243" t="inlineStr">
        <is>
          <t>P060192</t>
        </is>
      </c>
      <c r="C854" s="243" t="inlineStr">
        <is>
          <t>051-2-K-26</t>
        </is>
      </c>
      <c r="D854" s="245" t="n">
        <v>46085</v>
      </c>
      <c r="E854" s="243" t="inlineStr">
        <is>
          <t>FHM-K</t>
        </is>
      </c>
      <c r="F854" s="243" t="inlineStr">
        <is>
          <t>#8</t>
        </is>
      </c>
      <c r="G854" s="246" t="inlineStr">
        <is>
          <t>#8 Loss on Drying</t>
        </is>
      </c>
      <c r="H854" s="309" t="inlineStr">
        <is>
          <t>credit removed</t>
        </is>
      </c>
      <c r="I854" s="308" t="inlineStr">
        <is>
          <t>R1 Farmahem pair — cannabinoid certificate; loss on drying is on the LoD certificate</t>
        </is>
      </c>
    </row>
    <row r="855">
      <c r="A855" s="244" t="inlineStr">
        <is>
          <t>AB092501</t>
        </is>
      </c>
      <c r="B855" s="243" t="inlineStr">
        <is>
          <t>P060052</t>
        </is>
      </c>
      <c r="C855" s="243" t="inlineStr">
        <is>
          <t>ППК26005</t>
        </is>
      </c>
      <c r="D855" s="245" t="n">
        <v>46043</v>
      </c>
      <c r="E855" s="243" t="inlineStr">
        <is>
          <t>CNP</t>
        </is>
      </c>
      <c r="F855" s="243" t="inlineStr">
        <is>
          <t>#2</t>
        </is>
      </c>
      <c r="G855" s="246" t="inlineStr">
        <is>
          <t>#2 Identification B</t>
        </is>
      </c>
      <c r="H855" s="309" t="inlineStr">
        <is>
          <t>credit removed</t>
        </is>
      </c>
      <c r="I855" s="308" t="inlineStr">
        <is>
          <t>R2 CNP identification B — no microscopy row on this certificate</t>
        </is>
      </c>
    </row>
    <row r="856">
      <c r="A856" s="244" t="inlineStr">
        <is>
          <t>BG1024</t>
        </is>
      </c>
      <c r="B856" s="243" t="inlineStr">
        <is>
          <t>N/A — no P batch assigned</t>
        </is>
      </c>
      <c r="C856" s="243" t="inlineStr">
        <is>
          <t>ППК25050</t>
        </is>
      </c>
      <c r="D856" s="245" t="n">
        <v>45714</v>
      </c>
      <c r="E856" s="243" t="inlineStr">
        <is>
          <t>CNP</t>
        </is>
      </c>
      <c r="F856" s="243" t="inlineStr">
        <is>
          <t>#2</t>
        </is>
      </c>
      <c r="G856" s="246" t="inlineStr">
        <is>
          <t>#2 Identification B</t>
        </is>
      </c>
      <c r="H856" s="309" t="inlineStr">
        <is>
          <t>credit removed</t>
        </is>
      </c>
      <c r="I856" s="308" t="inlineStr">
        <is>
          <t>R2 CNP identification B — no microscopy row on this certificate</t>
        </is>
      </c>
    </row>
    <row r="857">
      <c r="A857" s="244" t="inlineStr">
        <is>
          <t>BSS1024</t>
        </is>
      </c>
      <c r="B857" s="243" t="inlineStr">
        <is>
          <t>N/A — no P batch assigned</t>
        </is>
      </c>
      <c r="C857" s="243" t="inlineStr">
        <is>
          <t>ППК25051</t>
        </is>
      </c>
      <c r="D857" s="245" t="n">
        <v>45714</v>
      </c>
      <c r="E857" s="243" t="inlineStr">
        <is>
          <t>CNP</t>
        </is>
      </c>
      <c r="F857" s="243" t="inlineStr">
        <is>
          <t>#2</t>
        </is>
      </c>
      <c r="G857" s="246" t="inlineStr">
        <is>
          <t>#2 Identification B</t>
        </is>
      </c>
      <c r="H857" s="309" t="inlineStr">
        <is>
          <t>credit removed</t>
        </is>
      </c>
      <c r="I857" s="308" t="inlineStr">
        <is>
          <t>R2 CNP identification B — no microscopy row on this certificate</t>
        </is>
      </c>
    </row>
    <row r="858">
      <c r="A858" s="244" t="inlineStr">
        <is>
          <t>BSS1024_01/1</t>
        </is>
      </c>
      <c r="B858" s="243" t="inlineStr">
        <is>
          <t>P050122</t>
        </is>
      </c>
      <c r="C858" s="243" t="inlineStr">
        <is>
          <t>ППК25176</t>
        </is>
      </c>
      <c r="D858" s="245" t="n">
        <v>45848</v>
      </c>
      <c r="E858" s="243" t="inlineStr">
        <is>
          <t>CNP</t>
        </is>
      </c>
      <c r="F858" s="243" t="inlineStr">
        <is>
          <t>#2</t>
        </is>
      </c>
      <c r="G858" s="246" t="inlineStr">
        <is>
          <t>#2 Identification B</t>
        </is>
      </c>
      <c r="H858" s="309" t="inlineStr">
        <is>
          <t>credit removed</t>
        </is>
      </c>
      <c r="I858" s="308" t="inlineStr">
        <is>
          <t>R2 CNP identification B — no microscopy row on this certificate</t>
        </is>
      </c>
    </row>
    <row r="859">
      <c r="A859" s="244" t="inlineStr">
        <is>
          <t>CC112501</t>
        </is>
      </c>
      <c r="B859" s="243" t="inlineStr">
        <is>
          <t>P060272</t>
        </is>
      </c>
      <c r="C859" s="243" t="inlineStr">
        <is>
          <t>ППК26068</t>
        </is>
      </c>
      <c r="D859" s="245" t="n">
        <v>46153</v>
      </c>
      <c r="E859" s="243" t="inlineStr">
        <is>
          <t>CNP</t>
        </is>
      </c>
      <c r="F859" s="243" t="inlineStr">
        <is>
          <t>#2</t>
        </is>
      </c>
      <c r="G859" s="246" t="inlineStr">
        <is>
          <t>#2 Identification B</t>
        </is>
      </c>
      <c r="H859" s="309" t="inlineStr">
        <is>
          <t>credit removed</t>
        </is>
      </c>
      <c r="I859" s="308" t="inlineStr">
        <is>
          <t>R2 CNP identification B — no microscopy row on this certificate</t>
        </is>
      </c>
    </row>
    <row r="860">
      <c r="A860" s="244" t="inlineStr">
        <is>
          <t>CJ052501/01</t>
        </is>
      </c>
      <c r="B860" s="243" t="inlineStr">
        <is>
          <t>P050162</t>
        </is>
      </c>
      <c r="C860" s="243" t="inlineStr">
        <is>
          <t>ППК25280</t>
        </is>
      </c>
      <c r="D860" s="245" t="n">
        <v>45917</v>
      </c>
      <c r="E860" s="243" t="inlineStr">
        <is>
          <t>CNP</t>
        </is>
      </c>
      <c r="F860" s="243" t="inlineStr">
        <is>
          <t>#2</t>
        </is>
      </c>
      <c r="G860" s="246" t="inlineStr">
        <is>
          <t>#2 Identification B</t>
        </is>
      </c>
      <c r="H860" s="309" t="inlineStr">
        <is>
          <t>credit removed</t>
        </is>
      </c>
      <c r="I860" s="308" t="inlineStr">
        <is>
          <t>R2 CNP identification B — no microscopy row on this certificate</t>
        </is>
      </c>
    </row>
    <row r="861">
      <c r="A861" s="244" t="inlineStr">
        <is>
          <t>CJ052501/02</t>
        </is>
      </c>
      <c r="B861" s="243" t="inlineStr">
        <is>
          <t>P050172</t>
        </is>
      </c>
      <c r="C861" s="243" t="inlineStr">
        <is>
          <t>ППК25281</t>
        </is>
      </c>
      <c r="D861" s="245" t="n">
        <v>45917</v>
      </c>
      <c r="E861" s="243" t="inlineStr">
        <is>
          <t>CNP</t>
        </is>
      </c>
      <c r="F861" s="243" t="inlineStr">
        <is>
          <t>#2</t>
        </is>
      </c>
      <c r="G861" s="246" t="inlineStr">
        <is>
          <t>#2 Identification B</t>
        </is>
      </c>
      <c r="H861" s="309" t="inlineStr">
        <is>
          <t>credit removed</t>
        </is>
      </c>
      <c r="I861" s="308" t="inlineStr">
        <is>
          <t>R2 CNP identification B — no microscopy row on this certificate</t>
        </is>
      </c>
    </row>
    <row r="862">
      <c r="A862" s="244" t="inlineStr">
        <is>
          <t>CJ062501/1</t>
        </is>
      </c>
      <c r="B862" s="243" t="inlineStr">
        <is>
          <t>P050222</t>
        </is>
      </c>
      <c r="C862" s="243" t="inlineStr">
        <is>
          <t>ППК25321</t>
        </is>
      </c>
      <c r="D862" s="245" t="n">
        <v>45953</v>
      </c>
      <c r="E862" s="243" t="inlineStr">
        <is>
          <t>CNP</t>
        </is>
      </c>
      <c r="F862" s="243" t="inlineStr">
        <is>
          <t>#2</t>
        </is>
      </c>
      <c r="G862" s="246" t="inlineStr">
        <is>
          <t>#2 Identification B</t>
        </is>
      </c>
      <c r="H862" s="309" t="inlineStr">
        <is>
          <t>credit removed</t>
        </is>
      </c>
      <c r="I862" s="308" t="inlineStr">
        <is>
          <t>R2 CNP identification B — no microscopy row on this certificate</t>
        </is>
      </c>
    </row>
    <row r="863">
      <c r="A863" s="244" t="inlineStr">
        <is>
          <t>CJ062501/2</t>
        </is>
      </c>
      <c r="B863" s="243" t="inlineStr">
        <is>
          <t>P050212</t>
        </is>
      </c>
      <c r="C863" s="243" t="inlineStr">
        <is>
          <t>ППК25322</t>
        </is>
      </c>
      <c r="D863" s="245" t="n">
        <v>45953</v>
      </c>
      <c r="E863" s="243" t="inlineStr">
        <is>
          <t>CNP</t>
        </is>
      </c>
      <c r="F863" s="243" t="inlineStr">
        <is>
          <t>#2</t>
        </is>
      </c>
      <c r="G863" s="246" t="inlineStr">
        <is>
          <t>#2 Identification B</t>
        </is>
      </c>
      <c r="H863" s="309" t="inlineStr">
        <is>
          <t>credit removed</t>
        </is>
      </c>
      <c r="I863" s="308" t="inlineStr">
        <is>
          <t>R2 CNP identification B — no microscopy row on this certificate</t>
        </is>
      </c>
    </row>
    <row r="864">
      <c r="A864" s="244" t="inlineStr">
        <is>
          <t>CJ072501</t>
        </is>
      </c>
      <c r="B864" s="243" t="inlineStr">
        <is>
          <t>P050252</t>
        </is>
      </c>
      <c r="C864" s="243" t="inlineStr">
        <is>
          <t>ППК25367</t>
        </is>
      </c>
      <c r="D864" s="245" t="n">
        <v>45989</v>
      </c>
      <c r="E864" s="243" t="inlineStr">
        <is>
          <t>CNP</t>
        </is>
      </c>
      <c r="F864" s="243" t="inlineStr">
        <is>
          <t>#2</t>
        </is>
      </c>
      <c r="G864" s="246" t="inlineStr">
        <is>
          <t>#2 Identification B</t>
        </is>
      </c>
      <c r="H864" s="309" t="inlineStr">
        <is>
          <t>credit removed</t>
        </is>
      </c>
      <c r="I864" s="308" t="inlineStr">
        <is>
          <t>R2 CNP identification B — no microscopy row on this certificate</t>
        </is>
      </c>
    </row>
    <row r="865">
      <c r="A865" s="244" t="inlineStr">
        <is>
          <t>CJ082501/1</t>
        </is>
      </c>
      <c r="B865" s="243" t="inlineStr">
        <is>
          <t>P060022</t>
        </is>
      </c>
      <c r="C865" s="243" t="inlineStr">
        <is>
          <t>ППК26002</t>
        </is>
      </c>
      <c r="D865" s="245" t="n">
        <v>46043</v>
      </c>
      <c r="E865" s="243" t="inlineStr">
        <is>
          <t>CNP</t>
        </is>
      </c>
      <c r="F865" s="243" t="inlineStr">
        <is>
          <t>#2</t>
        </is>
      </c>
      <c r="G865" s="246" t="inlineStr">
        <is>
          <t>#2 Identification B</t>
        </is>
      </c>
      <c r="H865" s="309" t="inlineStr">
        <is>
          <t>credit removed</t>
        </is>
      </c>
      <c r="I865" s="308" t="inlineStr">
        <is>
          <t>R2 CNP identification B — no microscopy row on this certificate</t>
        </is>
      </c>
    </row>
    <row r="866">
      <c r="A866" s="244" t="inlineStr">
        <is>
          <t>CJ082501/2</t>
        </is>
      </c>
      <c r="B866" s="243" t="inlineStr">
        <is>
          <t>P060032</t>
        </is>
      </c>
      <c r="C866" s="243" t="inlineStr">
        <is>
          <t>ППК26003</t>
        </is>
      </c>
      <c r="D866" s="245" t="n">
        <v>46043</v>
      </c>
      <c r="E866" s="243" t="inlineStr">
        <is>
          <t>CNP</t>
        </is>
      </c>
      <c r="F866" s="243" t="inlineStr">
        <is>
          <t>#2</t>
        </is>
      </c>
      <c r="G866" s="246" t="inlineStr">
        <is>
          <t>#2 Identification B</t>
        </is>
      </c>
      <c r="H866" s="309" t="inlineStr">
        <is>
          <t>credit removed</t>
        </is>
      </c>
      <c r="I866" s="308" t="inlineStr">
        <is>
          <t>R2 CNP identification B — no microscopy row on this certificate</t>
        </is>
      </c>
    </row>
    <row r="867">
      <c r="A867" s="244" t="inlineStr">
        <is>
          <t>CJ092501</t>
        </is>
      </c>
      <c r="B867" s="243" t="inlineStr">
        <is>
          <t>P060072</t>
        </is>
      </c>
      <c r="C867" s="243" t="inlineStr">
        <is>
          <t>ППК26007</t>
        </is>
      </c>
      <c r="D867" s="245" t="n">
        <v>46043</v>
      </c>
      <c r="E867" s="243" t="inlineStr">
        <is>
          <t>CNP</t>
        </is>
      </c>
      <c r="F867" s="243" t="inlineStr">
        <is>
          <t>#2</t>
        </is>
      </c>
      <c r="G867" s="246" t="inlineStr">
        <is>
          <t>#2 Identification B</t>
        </is>
      </c>
      <c r="H867" s="309" t="inlineStr">
        <is>
          <t>credit removed</t>
        </is>
      </c>
      <c r="I867" s="308" t="inlineStr">
        <is>
          <t>R2 CNP identification B — no microscopy row on this certificate</t>
        </is>
      </c>
    </row>
    <row r="868">
      <c r="A868" s="244" t="inlineStr">
        <is>
          <t>CJ1024</t>
        </is>
      </c>
      <c r="B868" s="243" t="inlineStr">
        <is>
          <t>N/A — no P batch assigned</t>
        </is>
      </c>
      <c r="C868" s="243" t="inlineStr">
        <is>
          <t>ППК25052</t>
        </is>
      </c>
      <c r="D868" s="245" t="n">
        <v>45714</v>
      </c>
      <c r="E868" s="243" t="inlineStr">
        <is>
          <t>CNP</t>
        </is>
      </c>
      <c r="F868" s="243" t="inlineStr">
        <is>
          <t>#2</t>
        </is>
      </c>
      <c r="G868" s="246" t="inlineStr">
        <is>
          <t>#2 Identification B</t>
        </is>
      </c>
      <c r="H868" s="309" t="inlineStr">
        <is>
          <t>credit removed</t>
        </is>
      </c>
      <c r="I868" s="308" t="inlineStr">
        <is>
          <t>R2 CNP identification B — no microscopy row on this certificate</t>
        </is>
      </c>
    </row>
    <row r="869">
      <c r="A869" s="244" t="inlineStr">
        <is>
          <t>CLE072501</t>
        </is>
      </c>
      <c r="B869" s="243" t="inlineStr">
        <is>
          <t>P050282</t>
        </is>
      </c>
      <c r="C869" s="243" t="inlineStr">
        <is>
          <t>ППК25370</t>
        </is>
      </c>
      <c r="D869" s="245" t="n">
        <v>45989</v>
      </c>
      <c r="E869" s="243" t="inlineStr">
        <is>
          <t>CNP</t>
        </is>
      </c>
      <c r="F869" s="243" t="inlineStr">
        <is>
          <t>#2</t>
        </is>
      </c>
      <c r="G869" s="246" t="inlineStr">
        <is>
          <t>#2 Identification B</t>
        </is>
      </c>
      <c r="H869" s="309" t="inlineStr">
        <is>
          <t>credit removed</t>
        </is>
      </c>
      <c r="I869" s="308" t="inlineStr">
        <is>
          <t>R2 CNP identification B — no microscopy row on this certificate</t>
        </is>
      </c>
    </row>
    <row r="870">
      <c r="A870" s="244" t="inlineStr">
        <is>
          <t>FB012601_1</t>
        </is>
      </c>
      <c r="B870" s="243" t="inlineStr">
        <is>
          <t>P060322</t>
        </is>
      </c>
      <c r="C870" s="243" t="inlineStr">
        <is>
          <t>ППК26067</t>
        </is>
      </c>
      <c r="D870" s="245" t="n">
        <v>46153</v>
      </c>
      <c r="E870" s="243" t="inlineStr">
        <is>
          <t>CNP</t>
        </is>
      </c>
      <c r="F870" s="243" t="inlineStr">
        <is>
          <t>#2</t>
        </is>
      </c>
      <c r="G870" s="246" t="inlineStr">
        <is>
          <t>#2 Identification B</t>
        </is>
      </c>
      <c r="H870" s="309" t="inlineStr">
        <is>
          <t>credit removed</t>
        </is>
      </c>
      <c r="I870" s="308" t="inlineStr">
        <is>
          <t>R2 CNP identification B — no microscopy row on this certificate</t>
        </is>
      </c>
    </row>
    <row r="871">
      <c r="A871" s="244" t="inlineStr">
        <is>
          <t>FB112501</t>
        </is>
      </c>
      <c r="B871" s="243" t="inlineStr">
        <is>
          <t>P060292</t>
        </is>
      </c>
      <c r="C871" s="243" t="inlineStr">
        <is>
          <t>ППК26066</t>
        </is>
      </c>
      <c r="D871" s="245" t="n">
        <v>46153</v>
      </c>
      <c r="E871" s="243" t="inlineStr">
        <is>
          <t>CNP</t>
        </is>
      </c>
      <c r="F871" s="243" t="inlineStr">
        <is>
          <t>#2</t>
        </is>
      </c>
      <c r="G871" s="246" t="inlineStr">
        <is>
          <t>#2 Identification B</t>
        </is>
      </c>
      <c r="H871" s="309" t="inlineStr">
        <is>
          <t>credit removed</t>
        </is>
      </c>
      <c r="I871" s="308" t="inlineStr">
        <is>
          <t>R2 CNP identification B — no microscopy row on this certificate</t>
        </is>
      </c>
    </row>
    <row r="872">
      <c r="A872" s="244" t="inlineStr">
        <is>
          <t>GG012601＊</t>
        </is>
      </c>
      <c r="B872" s="243" t="inlineStr">
        <is>
          <t>P060302</t>
        </is>
      </c>
      <c r="C872" s="243" t="inlineStr">
        <is>
          <t>ППК26062</t>
        </is>
      </c>
      <c r="D872" s="245" t="n">
        <v>46153</v>
      </c>
      <c r="E872" s="243" t="inlineStr">
        <is>
          <t>CNP</t>
        </is>
      </c>
      <c r="F872" s="243" t="inlineStr">
        <is>
          <t>#2</t>
        </is>
      </c>
      <c r="G872" s="246" t="inlineStr">
        <is>
          <t>#2 Identification B</t>
        </is>
      </c>
      <c r="H872" s="309" t="inlineStr">
        <is>
          <t>credit removed</t>
        </is>
      </c>
      <c r="I872" s="308" t="inlineStr">
        <is>
          <t>R2 CNP identification B — no microscopy row on this certificate</t>
        </is>
      </c>
    </row>
    <row r="873">
      <c r="A873" s="244" t="inlineStr">
        <is>
          <t>GG1024_01</t>
        </is>
      </c>
      <c r="B873" s="243" t="inlineStr">
        <is>
          <t>P050092</t>
        </is>
      </c>
      <c r="C873" s="243" t="inlineStr">
        <is>
          <t>ППК25104</t>
        </is>
      </c>
      <c r="D873" s="245" t="n">
        <v>45764</v>
      </c>
      <c r="E873" s="243" t="inlineStr">
        <is>
          <t>CNP</t>
        </is>
      </c>
      <c r="F873" s="243" t="inlineStr">
        <is>
          <t>#2</t>
        </is>
      </c>
      <c r="G873" s="246" t="inlineStr">
        <is>
          <t>#2 Identification B</t>
        </is>
      </c>
      <c r="H873" s="309" t="inlineStr">
        <is>
          <t>credit removed</t>
        </is>
      </c>
      <c r="I873" s="308" t="inlineStr">
        <is>
          <t>R2 CNP identification B — no microscopy row on this certificate</t>
        </is>
      </c>
    </row>
    <row r="874">
      <c r="A874" s="244" t="inlineStr">
        <is>
          <t>GG1024_02</t>
        </is>
      </c>
      <c r="B874" s="243" t="inlineStr">
        <is>
          <t>P050012</t>
        </is>
      </c>
      <c r="C874" s="243" t="inlineStr">
        <is>
          <t>ППК25140</t>
        </is>
      </c>
      <c r="D874" s="245" t="n">
        <v>45799</v>
      </c>
      <c r="E874" s="243" t="inlineStr">
        <is>
          <t>CNP</t>
        </is>
      </c>
      <c r="F874" s="243" t="inlineStr">
        <is>
          <t>#2</t>
        </is>
      </c>
      <c r="G874" s="246" t="inlineStr">
        <is>
          <t>#2 Identification B</t>
        </is>
      </c>
      <c r="H874" s="309" t="inlineStr">
        <is>
          <t>credit removed</t>
        </is>
      </c>
      <c r="I874" s="308" t="inlineStr">
        <is>
          <t>R2 CNP identification B — no microscopy row on this certificate</t>
        </is>
      </c>
    </row>
    <row r="875">
      <c r="A875" s="244" t="inlineStr">
        <is>
          <t>GG112501</t>
        </is>
      </c>
      <c r="B875" s="243" t="inlineStr">
        <is>
          <t>P060252</t>
        </is>
      </c>
      <c r="C875" s="243" t="inlineStr">
        <is>
          <t>ППК26061</t>
        </is>
      </c>
      <c r="D875" s="245" t="n">
        <v>46153</v>
      </c>
      <c r="E875" s="243" t="inlineStr">
        <is>
          <t>CNP</t>
        </is>
      </c>
      <c r="F875" s="243" t="inlineStr">
        <is>
          <t>#2</t>
        </is>
      </c>
      <c r="G875" s="246" t="inlineStr">
        <is>
          <t>#2 Identification B</t>
        </is>
      </c>
      <c r="H875" s="309" t="inlineStr">
        <is>
          <t>credit removed</t>
        </is>
      </c>
      <c r="I875" s="308" t="inlineStr">
        <is>
          <t>R2 CNP identification B — no microscopy row on this certificate</t>
        </is>
      </c>
    </row>
    <row r="876">
      <c r="A876" s="244" t="inlineStr">
        <is>
          <t>GP052501</t>
        </is>
      </c>
      <c r="B876" s="243" t="inlineStr">
        <is>
          <t>P050152</t>
        </is>
      </c>
      <c r="C876" s="243" t="inlineStr">
        <is>
          <t>ППК25279</t>
        </is>
      </c>
      <c r="D876" s="245" t="n">
        <v>45919</v>
      </c>
      <c r="E876" s="243" t="inlineStr">
        <is>
          <t>CNP</t>
        </is>
      </c>
      <c r="F876" s="243" t="inlineStr">
        <is>
          <t>#2</t>
        </is>
      </c>
      <c r="G876" s="246" t="inlineStr">
        <is>
          <t>#2 Identification B</t>
        </is>
      </c>
      <c r="H876" s="309" t="inlineStr">
        <is>
          <t>credit removed</t>
        </is>
      </c>
      <c r="I876" s="308" t="inlineStr">
        <is>
          <t>R2 CNP identification B — no microscopy row on this certificate</t>
        </is>
      </c>
    </row>
    <row r="877">
      <c r="A877" s="244" t="inlineStr">
        <is>
          <t>GP062501</t>
        </is>
      </c>
      <c r="B877" s="243" t="inlineStr">
        <is>
          <t>P050202</t>
        </is>
      </c>
      <c r="C877" s="243" t="inlineStr">
        <is>
          <t>ППК26036</t>
        </is>
      </c>
      <c r="D877" s="245" t="n">
        <v>46086</v>
      </c>
      <c r="E877" s="243" t="inlineStr">
        <is>
          <t>CNP</t>
        </is>
      </c>
      <c r="F877" s="243" t="inlineStr">
        <is>
          <t>#2</t>
        </is>
      </c>
      <c r="G877" s="246" t="inlineStr">
        <is>
          <t>#2 Identification B</t>
        </is>
      </c>
      <c r="H877" s="309" t="inlineStr">
        <is>
          <t>credit removed</t>
        </is>
      </c>
      <c r="I877" s="308" t="inlineStr">
        <is>
          <t>R2 CNP identification B — no microscopy row on this certificate</t>
        </is>
      </c>
    </row>
    <row r="878">
      <c r="A878" s="244" t="inlineStr">
        <is>
          <t>GP062501</t>
        </is>
      </c>
      <c r="B878" s="243" t="inlineStr">
        <is>
          <t>P050202</t>
        </is>
      </c>
      <c r="C878" s="243" t="inlineStr">
        <is>
          <t>ППК26037</t>
        </is>
      </c>
      <c r="D878" s="245" t="n">
        <v>46086</v>
      </c>
      <c r="E878" s="243" t="inlineStr">
        <is>
          <t>CNP</t>
        </is>
      </c>
      <c r="F878" s="243" t="inlineStr">
        <is>
          <t>#2</t>
        </is>
      </c>
      <c r="G878" s="246" t="inlineStr">
        <is>
          <t>#2 Identification B</t>
        </is>
      </c>
      <c r="H878" s="309" t="inlineStr">
        <is>
          <t>credit removed</t>
        </is>
      </c>
      <c r="I878" s="308" t="inlineStr">
        <is>
          <t>R2 CNP identification B — no microscopy row on this certificate</t>
        </is>
      </c>
    </row>
    <row r="879">
      <c r="A879" s="244" t="inlineStr">
        <is>
          <t>GP062501</t>
        </is>
      </c>
      <c r="B879" s="243" t="inlineStr">
        <is>
          <t>P050202</t>
        </is>
      </c>
      <c r="C879" s="243" t="inlineStr">
        <is>
          <t>ППК26057</t>
        </is>
      </c>
      <c r="D879" s="245" t="n">
        <v>46153</v>
      </c>
      <c r="E879" s="243" t="inlineStr">
        <is>
          <t>CNP</t>
        </is>
      </c>
      <c r="F879" s="243" t="inlineStr">
        <is>
          <t>#2</t>
        </is>
      </c>
      <c r="G879" s="246" t="inlineStr">
        <is>
          <t>#2 Identification B</t>
        </is>
      </c>
      <c r="H879" s="309" t="inlineStr">
        <is>
          <t>credit removed</t>
        </is>
      </c>
      <c r="I879" s="308" t="inlineStr">
        <is>
          <t>R2 CNP identification B — no microscopy row on this certificate</t>
        </is>
      </c>
    </row>
    <row r="880">
      <c r="A880" s="244" t="inlineStr">
        <is>
          <t>GP062501</t>
        </is>
      </c>
      <c r="B880" s="243" t="inlineStr">
        <is>
          <t>P050202</t>
        </is>
      </c>
      <c r="C880" s="243" t="inlineStr">
        <is>
          <t>ППК26058</t>
        </is>
      </c>
      <c r="D880" s="245" t="n">
        <v>46153</v>
      </c>
      <c r="E880" s="243" t="inlineStr">
        <is>
          <t>CNP</t>
        </is>
      </c>
      <c r="F880" s="243" t="inlineStr">
        <is>
          <t>#2</t>
        </is>
      </c>
      <c r="G880" s="246" t="inlineStr">
        <is>
          <t>#2 Identification B</t>
        </is>
      </c>
      <c r="H880" s="309" t="inlineStr">
        <is>
          <t>credit removed</t>
        </is>
      </c>
      <c r="I880" s="308" t="inlineStr">
        <is>
          <t>R2 CNP identification B — no microscopy row on this certificate</t>
        </is>
      </c>
    </row>
    <row r="881">
      <c r="A881" s="244" t="inlineStr">
        <is>
          <t>GP072501/1</t>
        </is>
      </c>
      <c r="B881" s="243" t="inlineStr">
        <is>
          <t>P050292</t>
        </is>
      </c>
      <c r="C881" s="243" t="inlineStr">
        <is>
          <t>ППК25378</t>
        </is>
      </c>
      <c r="D881" s="245" t="n">
        <v>46003</v>
      </c>
      <c r="E881" s="243" t="inlineStr">
        <is>
          <t>CNP</t>
        </is>
      </c>
      <c r="F881" s="243" t="inlineStr">
        <is>
          <t>#2</t>
        </is>
      </c>
      <c r="G881" s="246" t="inlineStr">
        <is>
          <t>#2 Identification B</t>
        </is>
      </c>
      <c r="H881" s="309" t="inlineStr">
        <is>
          <t>credit removed</t>
        </is>
      </c>
      <c r="I881" s="308" t="inlineStr">
        <is>
          <t>R2 CNP identification B — no microscopy row on this certificate</t>
        </is>
      </c>
    </row>
    <row r="882">
      <c r="A882" s="244" t="inlineStr">
        <is>
          <t>GP072501/2</t>
        </is>
      </c>
      <c r="B882" s="243" t="inlineStr">
        <is>
          <t>P050302</t>
        </is>
      </c>
      <c r="C882" s="243" t="inlineStr">
        <is>
          <t>ППК25379</t>
        </is>
      </c>
      <c r="D882" s="245" t="n">
        <v>46003</v>
      </c>
      <c r="E882" s="243" t="inlineStr">
        <is>
          <t>CNP</t>
        </is>
      </c>
      <c r="F882" s="243" t="inlineStr">
        <is>
          <t>#2</t>
        </is>
      </c>
      <c r="G882" s="246" t="inlineStr">
        <is>
          <t>#2 Identification B</t>
        </is>
      </c>
      <c r="H882" s="309" t="inlineStr">
        <is>
          <t>credit removed</t>
        </is>
      </c>
      <c r="I882" s="308" t="inlineStr">
        <is>
          <t>R2 CNP identification B — no microscopy row on this certificate</t>
        </is>
      </c>
    </row>
    <row r="883">
      <c r="A883" s="244" t="inlineStr">
        <is>
          <t>GP0824_01</t>
        </is>
      </c>
      <c r="B883" s="243" t="inlineStr">
        <is>
          <t>P050102</t>
        </is>
      </c>
      <c r="C883" s="243" t="inlineStr">
        <is>
          <t>ППК25105</t>
        </is>
      </c>
      <c r="D883" s="245" t="n">
        <v>45764</v>
      </c>
      <c r="E883" s="243" t="inlineStr">
        <is>
          <t>CNP</t>
        </is>
      </c>
      <c r="F883" s="243" t="inlineStr">
        <is>
          <t>#2</t>
        </is>
      </c>
      <c r="G883" s="246" t="inlineStr">
        <is>
          <t>#2 Identification B</t>
        </is>
      </c>
      <c r="H883" s="309" t="inlineStr">
        <is>
          <t>credit removed</t>
        </is>
      </c>
      <c r="I883" s="308" t="inlineStr">
        <is>
          <t>R2 CNP identification B — no microscopy row on this certificate</t>
        </is>
      </c>
    </row>
    <row r="884">
      <c r="A884" s="244" t="inlineStr">
        <is>
          <t>GP0824_02</t>
        </is>
      </c>
      <c r="B884" s="243" t="inlineStr">
        <is>
          <t>P050022</t>
        </is>
      </c>
      <c r="C884" s="243" t="inlineStr">
        <is>
          <t>ППК25139</t>
        </is>
      </c>
      <c r="D884" s="245" t="n">
        <v>45799</v>
      </c>
      <c r="E884" s="243" t="inlineStr">
        <is>
          <t>CNP</t>
        </is>
      </c>
      <c r="F884" s="243" t="inlineStr">
        <is>
          <t>#2</t>
        </is>
      </c>
      <c r="G884" s="246" t="inlineStr">
        <is>
          <t>#2 Identification B</t>
        </is>
      </c>
      <c r="H884" s="309" t="inlineStr">
        <is>
          <t>credit removed</t>
        </is>
      </c>
      <c r="I884" s="308" t="inlineStr">
        <is>
          <t>R2 CNP identification B — no microscopy row on this certificate</t>
        </is>
      </c>
    </row>
    <row r="885">
      <c r="A885" s="244" t="inlineStr">
        <is>
          <t>GP0824_02</t>
        </is>
      </c>
      <c r="B885" s="243" t="inlineStr">
        <is>
          <t>P050022</t>
        </is>
      </c>
      <c r="C885" s="243" t="inlineStr">
        <is>
          <t>ППК25174</t>
        </is>
      </c>
      <c r="D885" s="245" t="n">
        <v>45848</v>
      </c>
      <c r="E885" s="243" t="inlineStr">
        <is>
          <t>CNP</t>
        </is>
      </c>
      <c r="F885" s="243" t="inlineStr">
        <is>
          <t>#2</t>
        </is>
      </c>
      <c r="G885" s="246" t="inlineStr">
        <is>
          <t>#2 Identification B</t>
        </is>
      </c>
      <c r="H885" s="309" t="inlineStr">
        <is>
          <t>credit removed</t>
        </is>
      </c>
      <c r="I885" s="308" t="inlineStr">
        <is>
          <t>R2 CNP identification B — no microscopy row on this certificate</t>
        </is>
      </c>
    </row>
    <row r="886">
      <c r="A886" s="244" t="inlineStr">
        <is>
          <t>GP0824_02</t>
        </is>
      </c>
      <c r="B886" s="243" t="inlineStr">
        <is>
          <t>P050022</t>
        </is>
      </c>
      <c r="C886" s="243" t="inlineStr">
        <is>
          <t>ППК26032</t>
        </is>
      </c>
      <c r="D886" s="245" t="n">
        <v>46086</v>
      </c>
      <c r="E886" s="243" t="inlineStr">
        <is>
          <t>CNP</t>
        </is>
      </c>
      <c r="F886" s="243" t="inlineStr">
        <is>
          <t>#2</t>
        </is>
      </c>
      <c r="G886" s="246" t="inlineStr">
        <is>
          <t>#2 Identification B</t>
        </is>
      </c>
      <c r="H886" s="309" t="inlineStr">
        <is>
          <t>credit removed</t>
        </is>
      </c>
      <c r="I886" s="308" t="inlineStr">
        <is>
          <t>R2 CNP identification B — no microscopy row on this certificate</t>
        </is>
      </c>
    </row>
    <row r="887">
      <c r="A887" s="244" t="inlineStr">
        <is>
          <t>GP0824_02</t>
        </is>
      </c>
      <c r="B887" s="243" t="inlineStr">
        <is>
          <t>P050022</t>
        </is>
      </c>
      <c r="C887" s="243" t="inlineStr">
        <is>
          <t>ППК26033</t>
        </is>
      </c>
      <c r="D887" s="245" t="n">
        <v>46086</v>
      </c>
      <c r="E887" s="243" t="inlineStr">
        <is>
          <t>CNP</t>
        </is>
      </c>
      <c r="F887" s="243" t="inlineStr">
        <is>
          <t>#2</t>
        </is>
      </c>
      <c r="G887" s="246" t="inlineStr">
        <is>
          <t>#2 Identification B</t>
        </is>
      </c>
      <c r="H887" s="309" t="inlineStr">
        <is>
          <t>credit removed</t>
        </is>
      </c>
      <c r="I887" s="308" t="inlineStr">
        <is>
          <t>R2 CNP identification B — no microscopy row on this certificate</t>
        </is>
      </c>
    </row>
    <row r="888">
      <c r="A888" s="244" t="inlineStr">
        <is>
          <t>GP0824_02</t>
        </is>
      </c>
      <c r="B888" s="243" t="inlineStr">
        <is>
          <t>P050022</t>
        </is>
      </c>
      <c r="C888" s="243" t="inlineStr">
        <is>
          <t>ППК26059</t>
        </is>
      </c>
      <c r="D888" s="245" t="n">
        <v>46153</v>
      </c>
      <c r="E888" s="243" t="inlineStr">
        <is>
          <t>CNP</t>
        </is>
      </c>
      <c r="F888" s="243" t="inlineStr">
        <is>
          <t>#2</t>
        </is>
      </c>
      <c r="G888" s="246" t="inlineStr">
        <is>
          <t>#2 Identification B</t>
        </is>
      </c>
      <c r="H888" s="309" t="inlineStr">
        <is>
          <t>credit removed</t>
        </is>
      </c>
      <c r="I888" s="308" t="inlineStr">
        <is>
          <t>R2 CNP identification B — no microscopy row on this certificate</t>
        </is>
      </c>
    </row>
    <row r="889">
      <c r="A889" s="244" t="inlineStr">
        <is>
          <t>GP0824_03</t>
        </is>
      </c>
      <c r="B889" s="243" t="inlineStr">
        <is>
          <t>P050072</t>
        </is>
      </c>
      <c r="C889" s="243" t="inlineStr">
        <is>
          <t>ППК25175</t>
        </is>
      </c>
      <c r="D889" s="245" t="n">
        <v>45848</v>
      </c>
      <c r="E889" s="243" t="inlineStr">
        <is>
          <t>CNP</t>
        </is>
      </c>
      <c r="F889" s="243" t="inlineStr">
        <is>
          <t>#2</t>
        </is>
      </c>
      <c r="G889" s="246" t="inlineStr">
        <is>
          <t>#2 Identification B</t>
        </is>
      </c>
      <c r="H889" s="309" t="inlineStr">
        <is>
          <t>credit removed</t>
        </is>
      </c>
      <c r="I889" s="308" t="inlineStr">
        <is>
          <t>R2 CNP identification B — no microscopy row on this certificate</t>
        </is>
      </c>
    </row>
    <row r="890">
      <c r="A890" s="244" t="inlineStr">
        <is>
          <t>GP0824_03</t>
        </is>
      </c>
      <c r="B890" s="243" t="inlineStr">
        <is>
          <t>P050072</t>
        </is>
      </c>
      <c r="C890" s="243" t="inlineStr">
        <is>
          <t>ППК26034</t>
        </is>
      </c>
      <c r="D890" s="245" t="n">
        <v>46086</v>
      </c>
      <c r="E890" s="243" t="inlineStr">
        <is>
          <t>CNP</t>
        </is>
      </c>
      <c r="F890" s="243" t="inlineStr">
        <is>
          <t>#2</t>
        </is>
      </c>
      <c r="G890" s="246" t="inlineStr">
        <is>
          <t>#2 Identification B</t>
        </is>
      </c>
      <c r="H890" s="309" t="inlineStr">
        <is>
          <t>credit removed</t>
        </is>
      </c>
      <c r="I890" s="308" t="inlineStr">
        <is>
          <t>R2 CNP identification B — no microscopy row on this certificate</t>
        </is>
      </c>
    </row>
    <row r="891">
      <c r="A891" s="244" t="inlineStr">
        <is>
          <t>GP0824_03</t>
        </is>
      </c>
      <c r="B891" s="243" t="inlineStr">
        <is>
          <t>P050072</t>
        </is>
      </c>
      <c r="C891" s="243" t="inlineStr">
        <is>
          <t>ППК26035</t>
        </is>
      </c>
      <c r="D891" s="245" t="n">
        <v>46086</v>
      </c>
      <c r="E891" s="243" t="inlineStr">
        <is>
          <t>CNP</t>
        </is>
      </c>
      <c r="F891" s="243" t="inlineStr">
        <is>
          <t>#2</t>
        </is>
      </c>
      <c r="G891" s="246" t="inlineStr">
        <is>
          <t>#2 Identification B</t>
        </is>
      </c>
      <c r="H891" s="309" t="inlineStr">
        <is>
          <t>credit removed</t>
        </is>
      </c>
      <c r="I891" s="308" t="inlineStr">
        <is>
          <t>R2 CNP identification B — no microscopy row on this certificate</t>
        </is>
      </c>
    </row>
    <row r="892">
      <c r="A892" s="244" t="inlineStr">
        <is>
          <t>GP0824_03</t>
        </is>
      </c>
      <c r="B892" s="243" t="inlineStr">
        <is>
          <t>P050072</t>
        </is>
      </c>
      <c r="C892" s="243" t="inlineStr">
        <is>
          <t>ППК26060</t>
        </is>
      </c>
      <c r="D892" s="245" t="n">
        <v>46153</v>
      </c>
      <c r="E892" s="243" t="inlineStr">
        <is>
          <t>CNP</t>
        </is>
      </c>
      <c r="F892" s="243" t="inlineStr">
        <is>
          <t>#2</t>
        </is>
      </c>
      <c r="G892" s="246" t="inlineStr">
        <is>
          <t>#2 Identification B</t>
        </is>
      </c>
      <c r="H892" s="309" t="inlineStr">
        <is>
          <t>credit removed</t>
        </is>
      </c>
      <c r="I892" s="308" t="inlineStr">
        <is>
          <t>R2 CNP identification B — no microscopy row on this certificate</t>
        </is>
      </c>
    </row>
    <row r="893">
      <c r="A893" s="244" t="inlineStr">
        <is>
          <t>GP082501/1</t>
        </is>
      </c>
      <c r="B893" s="243" t="inlineStr">
        <is>
          <t>P050312</t>
        </is>
      </c>
      <c r="C893" s="243" t="inlineStr">
        <is>
          <t>ППК25380</t>
        </is>
      </c>
      <c r="D893" s="245" t="n">
        <v>46003</v>
      </c>
      <c r="E893" s="243" t="inlineStr">
        <is>
          <t>CNP</t>
        </is>
      </c>
      <c r="F893" s="243" t="inlineStr">
        <is>
          <t>#2</t>
        </is>
      </c>
      <c r="G893" s="246" t="inlineStr">
        <is>
          <t>#2 Identification B</t>
        </is>
      </c>
      <c r="H893" s="309" t="inlineStr">
        <is>
          <t>credit removed</t>
        </is>
      </c>
      <c r="I893" s="308" t="inlineStr">
        <is>
          <t>R2 CNP identification B — no microscopy row on this certificate</t>
        </is>
      </c>
    </row>
    <row r="894">
      <c r="A894" s="244" t="inlineStr">
        <is>
          <t>GP082501/2</t>
        </is>
      </c>
      <c r="B894" s="243" t="inlineStr">
        <is>
          <t>P050322</t>
        </is>
      </c>
      <c r="C894" s="243" t="inlineStr">
        <is>
          <t>ППК25381</t>
        </is>
      </c>
      <c r="D894" s="245" t="n">
        <v>46003</v>
      </c>
      <c r="E894" s="243" t="inlineStr">
        <is>
          <t>CNP</t>
        </is>
      </c>
      <c r="F894" s="243" t="inlineStr">
        <is>
          <t>#2</t>
        </is>
      </c>
      <c r="G894" s="246" t="inlineStr">
        <is>
          <t>#2 Identification B</t>
        </is>
      </c>
      <c r="H894" s="309" t="inlineStr">
        <is>
          <t>credit removed</t>
        </is>
      </c>
      <c r="I894" s="308" t="inlineStr">
        <is>
          <t>R2 CNP identification B — no microscopy row on this certificate</t>
        </is>
      </c>
    </row>
    <row r="895">
      <c r="A895" s="244" t="inlineStr">
        <is>
          <t>GP092501</t>
        </is>
      </c>
      <c r="B895" s="243" t="inlineStr">
        <is>
          <t>P060092</t>
        </is>
      </c>
      <c r="C895" s="243" t="inlineStr">
        <is>
          <t>ППК26009</t>
        </is>
      </c>
      <c r="D895" s="245" t="n">
        <v>46043</v>
      </c>
      <c r="E895" s="243" t="inlineStr">
        <is>
          <t>CNP</t>
        </is>
      </c>
      <c r="F895" s="243" t="inlineStr">
        <is>
          <t>#2</t>
        </is>
      </c>
      <c r="G895" s="246" t="inlineStr">
        <is>
          <t>#2 Identification B</t>
        </is>
      </c>
      <c r="H895" s="309" t="inlineStr">
        <is>
          <t>credit removed</t>
        </is>
      </c>
      <c r="I895" s="308" t="inlineStr">
        <is>
          <t>R2 CNP identification B — no microscopy row on this certificate</t>
        </is>
      </c>
    </row>
    <row r="896">
      <c r="A896" s="244" t="inlineStr">
        <is>
          <t>HPA052501</t>
        </is>
      </c>
      <c r="B896" s="243" t="inlineStr">
        <is>
          <t>P050182</t>
        </is>
      </c>
      <c r="C896" s="243" t="inlineStr">
        <is>
          <t>ППК25278</t>
        </is>
      </c>
      <c r="D896" s="245" t="n">
        <v>45919</v>
      </c>
      <c r="E896" s="243" t="inlineStr">
        <is>
          <t>CNP</t>
        </is>
      </c>
      <c r="F896" s="243" t="inlineStr">
        <is>
          <t>#2</t>
        </is>
      </c>
      <c r="G896" s="246" t="inlineStr">
        <is>
          <t>#2 Identification B</t>
        </is>
      </c>
      <c r="H896" s="309" t="inlineStr">
        <is>
          <t>credit removed</t>
        </is>
      </c>
      <c r="I896" s="308" t="inlineStr">
        <is>
          <t>R2 CNP identification B — no microscopy row on this certificate</t>
        </is>
      </c>
    </row>
    <row r="897">
      <c r="A897" s="244" t="inlineStr">
        <is>
          <t>HPA1024_01</t>
        </is>
      </c>
      <c r="B897" s="243" t="inlineStr">
        <is>
          <t>P050052</t>
        </is>
      </c>
      <c r="C897" s="243" t="inlineStr">
        <is>
          <t>ППК25155</t>
        </is>
      </c>
      <c r="D897" s="245" t="n">
        <v>45832</v>
      </c>
      <c r="E897" s="243" t="inlineStr">
        <is>
          <t>CNP</t>
        </is>
      </c>
      <c r="F897" s="243" t="inlineStr">
        <is>
          <t>#2</t>
        </is>
      </c>
      <c r="G897" s="246" t="inlineStr">
        <is>
          <t>#2 Identification B</t>
        </is>
      </c>
      <c r="H897" s="309" t="inlineStr">
        <is>
          <t>credit removed</t>
        </is>
      </c>
      <c r="I897" s="308" t="inlineStr">
        <is>
          <t>R2 CNP identification B — no microscopy row on this certificate</t>
        </is>
      </c>
    </row>
    <row r="898">
      <c r="A898" s="244" t="inlineStr">
        <is>
          <t>JD012601＊</t>
        </is>
      </c>
      <c r="B898" s="243" t="inlineStr">
        <is>
          <t>P060312</t>
        </is>
      </c>
      <c r="C898" s="243" t="inlineStr">
        <is>
          <t>ППК26064</t>
        </is>
      </c>
      <c r="D898" s="245" t="n">
        <v>46153</v>
      </c>
      <c r="E898" s="243" t="inlineStr">
        <is>
          <t>CNP</t>
        </is>
      </c>
      <c r="F898" s="243" t="inlineStr">
        <is>
          <t>#2</t>
        </is>
      </c>
      <c r="G898" s="246" t="inlineStr">
        <is>
          <t>#2 Identification B</t>
        </is>
      </c>
      <c r="H898" s="309" t="inlineStr">
        <is>
          <t>credit removed</t>
        </is>
      </c>
      <c r="I898" s="308" t="inlineStr">
        <is>
          <t>R2 CNP identification B — no microscopy row on this certificate</t>
        </is>
      </c>
    </row>
    <row r="899">
      <c r="A899" s="244" t="inlineStr">
        <is>
          <t>JD112501</t>
        </is>
      </c>
      <c r="B899" s="243" t="inlineStr">
        <is>
          <t>P060212</t>
        </is>
      </c>
      <c r="C899" s="243" t="inlineStr">
        <is>
          <t>ППК26063</t>
        </is>
      </c>
      <c r="D899" s="245" t="n">
        <v>46153</v>
      </c>
      <c r="E899" s="243" t="inlineStr">
        <is>
          <t>CNP</t>
        </is>
      </c>
      <c r="F899" s="243" t="inlineStr">
        <is>
          <t>#2</t>
        </is>
      </c>
      <c r="G899" s="246" t="inlineStr">
        <is>
          <t>#2 Identification B</t>
        </is>
      </c>
      <c r="H899" s="309" t="inlineStr">
        <is>
          <t>credit removed</t>
        </is>
      </c>
      <c r="I899" s="308" t="inlineStr">
        <is>
          <t>R2 CNP identification B — no microscopy row on this certificate</t>
        </is>
      </c>
    </row>
    <row r="900">
      <c r="A900" s="244" t="inlineStr">
        <is>
          <t>MB0824_04</t>
        </is>
      </c>
      <c r="B900" s="243" t="inlineStr">
        <is>
          <t>P050032</t>
        </is>
      </c>
      <c r="C900" s="243" t="inlineStr">
        <is>
          <t>ППК25118</t>
        </is>
      </c>
      <c r="D900" s="245" t="n">
        <v>45783</v>
      </c>
      <c r="E900" s="243" t="inlineStr">
        <is>
          <t>CNP</t>
        </is>
      </c>
      <c r="F900" s="243" t="inlineStr">
        <is>
          <t>#2</t>
        </is>
      </c>
      <c r="G900" s="246" t="inlineStr">
        <is>
          <t>#2 Identification B</t>
        </is>
      </c>
      <c r="H900" s="309" t="inlineStr">
        <is>
          <t>credit removed</t>
        </is>
      </c>
      <c r="I900" s="308" t="inlineStr">
        <is>
          <t>R2 CNP identification B — no microscopy row on this certificate</t>
        </is>
      </c>
    </row>
    <row r="901">
      <c r="A901" s="244" t="inlineStr">
        <is>
          <t>MB0824_05</t>
        </is>
      </c>
      <c r="B901" s="243" t="inlineStr">
        <is>
          <t>P050112</t>
        </is>
      </c>
      <c r="C901" s="243" t="inlineStr">
        <is>
          <t>ППК25211</t>
        </is>
      </c>
      <c r="D901" s="245" t="n">
        <v>45866</v>
      </c>
      <c r="E901" s="243" t="inlineStr">
        <is>
          <t>CNP</t>
        </is>
      </c>
      <c r="F901" s="243" t="inlineStr">
        <is>
          <t>#2</t>
        </is>
      </c>
      <c r="G901" s="246" t="inlineStr">
        <is>
          <t>#2 Identification B</t>
        </is>
      </c>
      <c r="H901" s="309" t="inlineStr">
        <is>
          <t>credit removed</t>
        </is>
      </c>
      <c r="I901" s="308" t="inlineStr">
        <is>
          <t>R2 CNP identification B — no microscopy row on this certificate</t>
        </is>
      </c>
    </row>
    <row r="902">
      <c r="A902" s="244" t="inlineStr">
        <is>
          <t>OMP1024_01</t>
        </is>
      </c>
      <c r="B902" s="243" t="inlineStr">
        <is>
          <t>P050042</t>
        </is>
      </c>
      <c r="C902" s="243" t="inlineStr">
        <is>
          <t>ППК25117</t>
        </is>
      </c>
      <c r="D902" s="245" t="n">
        <v>45783</v>
      </c>
      <c r="E902" s="243" t="inlineStr">
        <is>
          <t>CNP</t>
        </is>
      </c>
      <c r="F902" s="243" t="inlineStr">
        <is>
          <t>#2</t>
        </is>
      </c>
      <c r="G902" s="246" t="inlineStr">
        <is>
          <t>#2 Identification B</t>
        </is>
      </c>
      <c r="H902" s="309" t="inlineStr">
        <is>
          <t>credit removed</t>
        </is>
      </c>
      <c r="I902" s="308" t="inlineStr">
        <is>
          <t>R2 CNP identification B — no microscopy row on this certificate</t>
        </is>
      </c>
    </row>
    <row r="903">
      <c r="A903" s="244" t="inlineStr">
        <is>
          <t>OPM052501</t>
        </is>
      </c>
      <c r="B903" s="243" t="inlineStr">
        <is>
          <t>P050132</t>
        </is>
      </c>
      <c r="C903" s="243" t="inlineStr">
        <is>
          <t>ППК25257</t>
        </is>
      </c>
      <c r="D903" s="245" t="n">
        <v>45905</v>
      </c>
      <c r="E903" s="243" t="inlineStr">
        <is>
          <t>CNP</t>
        </is>
      </c>
      <c r="F903" s="243" t="inlineStr">
        <is>
          <t>#2</t>
        </is>
      </c>
      <c r="G903" s="246" t="inlineStr">
        <is>
          <t>#2 Identification B</t>
        </is>
      </c>
      <c r="H903" s="309" t="inlineStr">
        <is>
          <t>credit removed</t>
        </is>
      </c>
      <c r="I903" s="308" t="inlineStr">
        <is>
          <t>R2 CNP identification B — no microscopy row on this certificate</t>
        </is>
      </c>
    </row>
    <row r="904">
      <c r="A904" s="244" t="inlineStr">
        <is>
          <t>OPM092501</t>
        </is>
      </c>
      <c r="B904" s="243" t="inlineStr">
        <is>
          <t>P060042</t>
        </is>
      </c>
      <c r="C904" s="243" t="inlineStr">
        <is>
          <t>ППК26008</t>
        </is>
      </c>
      <c r="D904" s="245" t="n">
        <v>46043</v>
      </c>
      <c r="E904" s="243" t="inlineStr">
        <is>
          <t>CNP</t>
        </is>
      </c>
      <c r="F904" s="243" t="inlineStr">
        <is>
          <t>#2</t>
        </is>
      </c>
      <c r="G904" s="246" t="inlineStr">
        <is>
          <t>#2 Identification B</t>
        </is>
      </c>
      <c r="H904" s="309" t="inlineStr">
        <is>
          <t>credit removed</t>
        </is>
      </c>
      <c r="I904" s="308" t="inlineStr">
        <is>
          <t>R2 CNP identification B — no microscopy row on this certificate</t>
        </is>
      </c>
    </row>
    <row r="905">
      <c r="A905" s="244" t="inlineStr">
        <is>
          <t>OPM1024_02</t>
        </is>
      </c>
      <c r="B905" s="243" t="inlineStr">
        <is>
          <t>P050062</t>
        </is>
      </c>
      <c r="C905" s="243" t="inlineStr">
        <is>
          <t>ППК25154</t>
        </is>
      </c>
      <c r="D905" s="245" t="n">
        <v>45832</v>
      </c>
      <c r="E905" s="243" t="inlineStr">
        <is>
          <t>CNP</t>
        </is>
      </c>
      <c r="F905" s="243" t="inlineStr">
        <is>
          <t>#2</t>
        </is>
      </c>
      <c r="G905" s="246" t="inlineStr">
        <is>
          <t>#2 Identification B</t>
        </is>
      </c>
      <c r="H905" s="309" t="inlineStr">
        <is>
          <t>credit removed</t>
        </is>
      </c>
      <c r="I905" s="308" t="inlineStr">
        <is>
          <t>R2 CNP identification B — no microscopy row on this certificate</t>
        </is>
      </c>
    </row>
    <row r="906">
      <c r="A906" s="244" t="inlineStr">
        <is>
          <t>OPM1024_03</t>
        </is>
      </c>
      <c r="B906" s="243" t="inlineStr">
        <is>
          <t>P050082</t>
        </is>
      </c>
      <c r="C906" s="243" t="inlineStr">
        <is>
          <t>ППК25210</t>
        </is>
      </c>
      <c r="D906" s="245" t="n">
        <v>45866</v>
      </c>
      <c r="E906" s="243" t="inlineStr">
        <is>
          <t>CNP</t>
        </is>
      </c>
      <c r="F906" s="243" t="inlineStr">
        <is>
          <t>#2</t>
        </is>
      </c>
      <c r="G906" s="246" t="inlineStr">
        <is>
          <t>#2 Identification B</t>
        </is>
      </c>
      <c r="H906" s="309" t="inlineStr">
        <is>
          <t>credit removed</t>
        </is>
      </c>
      <c r="I906" s="308" t="inlineStr">
        <is>
          <t>R2 CNP identification B — no microscopy row on this certificate</t>
        </is>
      </c>
    </row>
    <row r="907">
      <c r="A907" s="244" t="inlineStr">
        <is>
          <t>OPM112501</t>
        </is>
      </c>
      <c r="B907" s="243" t="inlineStr">
        <is>
          <t>P060222</t>
        </is>
      </c>
      <c r="C907" s="243" t="inlineStr">
        <is>
          <t>ППК26031</t>
        </is>
      </c>
      <c r="D907" s="245" t="n">
        <v>46086</v>
      </c>
      <c r="E907" s="243" t="inlineStr">
        <is>
          <t>CNP</t>
        </is>
      </c>
      <c r="F907" s="243" t="inlineStr">
        <is>
          <t>#2</t>
        </is>
      </c>
      <c r="G907" s="246" t="inlineStr">
        <is>
          <t>#2 Identification B</t>
        </is>
      </c>
      <c r="H907" s="309" t="inlineStr">
        <is>
          <t>credit removed</t>
        </is>
      </c>
      <c r="I907" s="308" t="inlineStr">
        <is>
          <t>R2 CNP identification B — no microscopy row on this certificate</t>
        </is>
      </c>
    </row>
    <row r="908">
      <c r="A908" s="244" t="inlineStr">
        <is>
          <t>PM072501</t>
        </is>
      </c>
      <c r="B908" s="243" t="inlineStr">
        <is>
          <t>P050272</t>
        </is>
      </c>
      <c r="C908" s="243" t="inlineStr">
        <is>
          <t>ППК25368</t>
        </is>
      </c>
      <c r="D908" s="245" t="n">
        <v>45989</v>
      </c>
      <c r="E908" s="243" t="inlineStr">
        <is>
          <t>CNP</t>
        </is>
      </c>
      <c r="F908" s="243" t="inlineStr">
        <is>
          <t>#2</t>
        </is>
      </c>
      <c r="G908" s="246" t="inlineStr">
        <is>
          <t>#2 Identification B</t>
        </is>
      </c>
      <c r="H908" s="309" t="inlineStr">
        <is>
          <t>credit removed</t>
        </is>
      </c>
      <c r="I908" s="308" t="inlineStr">
        <is>
          <t>R2 CNP identification B — no microscopy row on this certificate</t>
        </is>
      </c>
    </row>
    <row r="909">
      <c r="A909" s="244" t="inlineStr">
        <is>
          <t>PM092501</t>
        </is>
      </c>
      <c r="B909" s="243" t="inlineStr">
        <is>
          <t>P060062</t>
        </is>
      </c>
      <c r="C909" s="243" t="inlineStr">
        <is>
          <t>ППК26004</t>
        </is>
      </c>
      <c r="D909" s="245" t="n">
        <v>46043</v>
      </c>
      <c r="E909" s="243" t="inlineStr">
        <is>
          <t>CNP</t>
        </is>
      </c>
      <c r="F909" s="243" t="inlineStr">
        <is>
          <t>#2</t>
        </is>
      </c>
      <c r="G909" s="246" t="inlineStr">
        <is>
          <t>#2 Identification B</t>
        </is>
      </c>
      <c r="H909" s="309" t="inlineStr">
        <is>
          <t>credit removed</t>
        </is>
      </c>
      <c r="I909" s="308" t="inlineStr">
        <is>
          <t>R2 CNP identification B — no microscopy row on this certificate</t>
        </is>
      </c>
    </row>
    <row r="910">
      <c r="A910" s="244" t="inlineStr">
        <is>
          <t>PM112501</t>
        </is>
      </c>
      <c r="B910" s="243" t="inlineStr">
        <is>
          <t>P060232</t>
        </is>
      </c>
      <c r="C910" s="243" t="inlineStr">
        <is>
          <t>ППК26030</t>
        </is>
      </c>
      <c r="D910" s="245" t="n">
        <v>46086</v>
      </c>
      <c r="E910" s="243" t="inlineStr">
        <is>
          <t>CNP</t>
        </is>
      </c>
      <c r="F910" s="243" t="inlineStr">
        <is>
          <t>#2</t>
        </is>
      </c>
      <c r="G910" s="246" t="inlineStr">
        <is>
          <t>#2 Identification B</t>
        </is>
      </c>
      <c r="H910" s="309" t="inlineStr">
        <is>
          <t>credit removed</t>
        </is>
      </c>
      <c r="I910" s="308" t="inlineStr">
        <is>
          <t>R2 CNP identification B — no microscopy row on this certificate</t>
        </is>
      </c>
    </row>
    <row r="911">
      <c r="A911" s="244" t="inlineStr">
        <is>
          <t>SCR112501</t>
        </is>
      </c>
      <c r="B911" s="243" t="inlineStr">
        <is>
          <t>P060282</t>
        </is>
      </c>
      <c r="C911" s="243" t="inlineStr">
        <is>
          <t>ППК26069</t>
        </is>
      </c>
      <c r="D911" s="245" t="n">
        <v>46153</v>
      </c>
      <c r="E911" s="243" t="inlineStr">
        <is>
          <t>CNP</t>
        </is>
      </c>
      <c r="F911" s="243" t="inlineStr">
        <is>
          <t>#2</t>
        </is>
      </c>
      <c r="G911" s="246" t="inlineStr">
        <is>
          <t>#2 Identification B</t>
        </is>
      </c>
      <c r="H911" s="309" t="inlineStr">
        <is>
          <t>credit removed</t>
        </is>
      </c>
      <c r="I911" s="308" t="inlineStr">
        <is>
          <t>R2 CNP identification B — no microscopy row on this certificate</t>
        </is>
      </c>
    </row>
    <row r="912">
      <c r="A912" s="244" t="inlineStr">
        <is>
          <t>SJ0925021</t>
        </is>
      </c>
      <c r="B912" s="243" t="inlineStr">
        <is>
          <t>P060082</t>
        </is>
      </c>
      <c r="C912" s="243" t="inlineStr">
        <is>
          <t>ППК26006</t>
        </is>
      </c>
      <c r="D912" s="245" t="n">
        <v>46043</v>
      </c>
      <c r="E912" s="243" t="inlineStr">
        <is>
          <t>CNP</t>
        </is>
      </c>
      <c r="F912" s="243" t="inlineStr">
        <is>
          <t>#2</t>
        </is>
      </c>
      <c r="G912" s="246" t="inlineStr">
        <is>
          <t>#2 Identification B</t>
        </is>
      </c>
      <c r="H912" s="309" t="inlineStr">
        <is>
          <t>credit removed</t>
        </is>
      </c>
      <c r="I912" s="308" t="inlineStr">
        <is>
          <t>R2 CNP identification B — no microscopy row on this certificate</t>
        </is>
      </c>
    </row>
    <row r="913">
      <c r="A913" s="244" t="inlineStr">
        <is>
          <t>WC072501</t>
        </is>
      </c>
      <c r="B913" s="243" t="inlineStr">
        <is>
          <t>P050262</t>
        </is>
      </c>
      <c r="C913" s="243" t="inlineStr">
        <is>
          <t>ППК25369</t>
        </is>
      </c>
      <c r="D913" s="245" t="n">
        <v>45989</v>
      </c>
      <c r="E913" s="243" t="inlineStr">
        <is>
          <t>CNP</t>
        </is>
      </c>
      <c r="F913" s="243" t="inlineStr">
        <is>
          <t>#2</t>
        </is>
      </c>
      <c r="G913" s="246" t="inlineStr">
        <is>
          <t>#2 Identification B</t>
        </is>
      </c>
      <c r="H913" s="309" t="inlineStr">
        <is>
          <t>credit removed</t>
        </is>
      </c>
      <c r="I913" s="308" t="inlineStr">
        <is>
          <t>R2 CNP identification B — no microscopy row on this certificate</t>
        </is>
      </c>
    </row>
    <row r="914">
      <c r="A914" s="244" t="inlineStr">
        <is>
          <t>WC082501</t>
        </is>
      </c>
      <c r="B914" s="243" t="inlineStr">
        <is>
          <t>P060012</t>
        </is>
      </c>
      <c r="C914" s="243" t="inlineStr">
        <is>
          <t>ППК26001</t>
        </is>
      </c>
      <c r="D914" s="245" t="n">
        <v>46043</v>
      </c>
      <c r="E914" s="243" t="inlineStr">
        <is>
          <t>CNP</t>
        </is>
      </c>
      <c r="F914" s="243" t="inlineStr">
        <is>
          <t>#2</t>
        </is>
      </c>
      <c r="G914" s="246" t="inlineStr">
        <is>
          <t>#2 Identification B</t>
        </is>
      </c>
      <c r="H914" s="309" t="inlineStr">
        <is>
          <t>credit removed</t>
        </is>
      </c>
      <c r="I914" s="308" t="inlineStr">
        <is>
          <t>R2 CNP identification B — no microscopy row on this certificate</t>
        </is>
      </c>
    </row>
    <row r="916" ht="58" customHeight="1" s="70">
      <c r="A916"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6" s="120" t="n"/>
      <c r="C916" s="120" t="n"/>
      <c r="D916" s="120" t="n"/>
      <c r="E916" s="120" t="n"/>
      <c r="F916" s="120" t="n"/>
      <c r="G916" s="120" t="n"/>
      <c r="H916" s="120" t="n"/>
      <c r="I916" s="121" t="n"/>
    </row>
    <row r="919" ht="20" customHeight="1" s="70">
      <c r="A919" s="264" t="inlineStr">
        <is>
          <t>WORK ORDER</t>
        </is>
      </c>
    </row>
    <row r="920" ht="22" customHeight="1" s="70">
      <c r="A920" s="119" t="inlineStr">
        <is>
          <t>Task</t>
        </is>
      </c>
      <c r="B920" s="119" t="inlineStr">
        <is>
          <t>CU Batch</t>
        </is>
      </c>
      <c r="C920" s="119" t="inlineStr">
        <is>
          <t>P Batch</t>
        </is>
      </c>
      <c r="D920" s="119" t="inlineStr">
        <is>
          <t>Certificate</t>
        </is>
      </c>
      <c r="E920" s="119" t="inlineStr">
        <is>
          <t>Date</t>
        </is>
      </c>
      <c r="F920" s="119" t="inlineStr">
        <is>
          <t>Lab</t>
        </is>
      </c>
      <c r="G920" s="119" t="inlineStr">
        <is>
          <t>Parameters affected</t>
        </is>
      </c>
      <c r="H920" s="119" t="inlineStr">
        <is>
          <t>What is needed</t>
        </is>
      </c>
    </row>
    <row r="921">
      <c r="A921" s="309" t="inlineStr">
        <is>
          <t>held for review</t>
        </is>
      </c>
      <c r="B921" s="244" t="inlineStr">
        <is>
          <t>BSS052501</t>
        </is>
      </c>
      <c r="C921" s="243" t="inlineStr">
        <is>
          <t>P050192</t>
        </is>
      </c>
      <c r="D921" s="243" t="inlineStr">
        <is>
          <t>NGP-QCG-SOP-024 F3</t>
        </is>
      </c>
      <c r="E921" s="245" t="n">
        <v>45989</v>
      </c>
      <c r="F921" s="243" t="inlineStr">
        <is>
          <t>NGP</t>
        </is>
      </c>
      <c r="G921" s="243" t="inlineStr">
        <is>
          <t>#6</t>
        </is>
      </c>
      <c r="H921" s="308" t="inlineStr">
        <is>
          <t>The two independent reads disagreed. A person must read the figure from the page and confirm it.</t>
        </is>
      </c>
    </row>
    <row r="922">
      <c r="A922" s="309" t="inlineStr">
        <is>
          <t>held for review</t>
        </is>
      </c>
      <c r="B922" s="244" t="inlineStr">
        <is>
          <t>GP062501</t>
        </is>
      </c>
      <c r="C922" s="243" t="inlineStr">
        <is>
          <t>P050202</t>
        </is>
      </c>
      <c r="D922" s="243" t="inlineStr">
        <is>
          <t>NGP-QCG-SOP-024 F3</t>
        </is>
      </c>
      <c r="E922" s="245" t="n">
        <v>45989</v>
      </c>
      <c r="F922" s="243" t="inlineStr">
        <is>
          <t>NGP</t>
        </is>
      </c>
      <c r="G922" s="243" t="inlineStr">
        <is>
          <t>#6</t>
        </is>
      </c>
      <c r="H922" s="308" t="inlineStr">
        <is>
          <t>The two independent reads disagreed. A person must read the figure from the page and confirm it.</t>
        </is>
      </c>
    </row>
    <row r="923">
      <c r="A923" s="309" t="inlineStr">
        <is>
          <t>held for review</t>
        </is>
      </c>
      <c r="B923" s="244" t="inlineStr">
        <is>
          <t>J31112501</t>
        </is>
      </c>
      <c r="C923" s="243" t="inlineStr">
        <is>
          <t>P060202</t>
        </is>
      </c>
      <c r="D923" s="243" t="inlineStr">
        <is>
          <t>100-1-K-26</t>
        </is>
      </c>
      <c r="E923" s="245" t="n">
        <v>46121</v>
      </c>
      <c r="F923" s="243" t="inlineStr">
        <is>
          <t>FHM-K</t>
        </is>
      </c>
      <c r="G923" s="243" t="inlineStr">
        <is>
          <t>#3</t>
        </is>
      </c>
      <c r="H923" s="308" t="inlineStr">
        <is>
          <t>The two independent reads disagreed. A person must read the figure from the page and confirm it.</t>
        </is>
      </c>
    </row>
    <row r="924">
      <c r="A924" s="309" t="inlineStr">
        <is>
          <t>lot not on tracker</t>
        </is>
      </c>
      <c r="B924" s="244" t="inlineStr">
        <is>
          <t>N/A — no P batch assigned</t>
        </is>
      </c>
      <c r="C924" s="243" t="inlineStr">
        <is>
          <t>N/A — no P batch assigned</t>
        </is>
      </c>
      <c r="D924" s="243" t="inlineStr">
        <is>
          <t>iCoA — at issue (FB042601)</t>
        </is>
      </c>
      <c r="E924" s="245" t="inlineStr">
        <is>
          <t>packaging date — to record</t>
        </is>
      </c>
      <c r="F924" s="243" t="inlineStr">
        <is>
          <t>PP</t>
        </is>
      </c>
      <c r="G924" s="243" t="inlineStr">
        <is>
          <t>#1, #2, #7</t>
        </is>
      </c>
      <c r="H924" s="308" t="inlineStr">
        <is>
          <t>The certificate names a P batch the owner's tracker does not carry. Record the lot (cultivation batch code, strain) on the tracker so the certificate is credited under its batch.</t>
        </is>
      </c>
    </row>
    <row r="925">
      <c r="A925" s="309" t="inlineStr">
        <is>
          <t>lot not on tracker</t>
        </is>
      </c>
      <c r="B925" s="244" t="inlineStr">
        <is>
          <t>N/A — no P batch assigned</t>
        </is>
      </c>
      <c r="C925" s="243" t="inlineStr">
        <is>
          <t>N/A — no P batch assigned</t>
        </is>
      </c>
      <c r="D925" s="243" t="inlineStr">
        <is>
          <t>220-31-K-26</t>
        </is>
      </c>
      <c r="E925" s="245" t="n">
        <v>46260</v>
      </c>
      <c r="F925" s="243" t="inlineStr">
        <is>
          <t>FHM-K</t>
        </is>
      </c>
      <c r="G925" s="243" t="inlineStr">
        <is>
          <t>#3, #4, #5, #6</t>
        </is>
      </c>
      <c r="H925" s="308" t="inlineStr">
        <is>
          <t>The certificate names a P batch the owner's tracker does not carry. Record the lot (cultivation batch code, strain) on the tracker so the certificate is credited under its batch.</t>
        </is>
      </c>
    </row>
    <row r="926">
      <c r="A926" s="309" t="inlineStr">
        <is>
          <t>lot not on tracker</t>
        </is>
      </c>
      <c r="B926" s="244" t="inlineStr">
        <is>
          <t>N/A — no P batch assigned</t>
        </is>
      </c>
      <c r="C926" s="243" t="inlineStr">
        <is>
          <t>N/A — no P batch assigned</t>
        </is>
      </c>
      <c r="D926" s="243" t="inlineStr">
        <is>
          <t>220-31-M-26</t>
        </is>
      </c>
      <c r="E926" s="245" t="n">
        <v>46276</v>
      </c>
      <c r="F926" s="243" t="inlineStr">
        <is>
          <t>FHM-M</t>
        </is>
      </c>
      <c r="G926" s="243" t="inlineStr">
        <is>
          <t>#10</t>
        </is>
      </c>
      <c r="H926" s="308" t="inlineStr">
        <is>
          <t>The certificate names a P batch the owner's tracker does not carry. Record the lot (cultivation batch code, strain) on the tracker so the certificate is credited under its batch.</t>
        </is>
      </c>
    </row>
    <row r="927">
      <c r="A927" s="309" t="inlineStr">
        <is>
          <t>lot not on tracker</t>
        </is>
      </c>
      <c r="B927" s="244" t="inlineStr">
        <is>
          <t>N/A — no P batch assigned</t>
        </is>
      </c>
      <c r="C927" s="243" t="inlineStr">
        <is>
          <t>N/A — no P batch assigned</t>
        </is>
      </c>
      <c r="D927" s="243" t="inlineStr">
        <is>
          <t>iCoA — at issue (CC042601)</t>
        </is>
      </c>
      <c r="E927" s="245" t="inlineStr">
        <is>
          <t>packaging date — to record</t>
        </is>
      </c>
      <c r="F927" s="243" t="inlineStr">
        <is>
          <t>PP</t>
        </is>
      </c>
      <c r="G927" s="243" t="inlineStr">
        <is>
          <t>#1, #2, #7</t>
        </is>
      </c>
      <c r="H927" s="308" t="inlineStr">
        <is>
          <t>The certificate names a P batch the owner's tracker does not carry. Record the lot (cultivation batch code, strain) on the tracker so the certificate is credited under its batch.</t>
        </is>
      </c>
    </row>
    <row r="928">
      <c r="A928" s="309" t="inlineStr">
        <is>
          <t>lot not on tracker</t>
        </is>
      </c>
      <c r="B928" s="244" t="inlineStr">
        <is>
          <t>N/A — no P batch assigned</t>
        </is>
      </c>
      <c r="C928" s="243" t="inlineStr">
        <is>
          <t>N/A — no P batch assigned</t>
        </is>
      </c>
      <c r="D928" s="243" t="inlineStr">
        <is>
          <t>220-32-K-26</t>
        </is>
      </c>
      <c r="E928" s="245" t="n">
        <v>46260</v>
      </c>
      <c r="F928" s="243" t="inlineStr">
        <is>
          <t>FHM-K</t>
        </is>
      </c>
      <c r="G928" s="243" t="inlineStr">
        <is>
          <t>#3, #4, #5, #6</t>
        </is>
      </c>
      <c r="H928" s="308" t="inlineStr">
        <is>
          <t>The certificate names a P batch the owner's tracker does not carry. Record the lot (cultivation batch code, strain) on the tracker so the certificate is credited under its batch.</t>
        </is>
      </c>
    </row>
    <row r="929">
      <c r="A929" s="309" t="inlineStr">
        <is>
          <t>lot not on tracker</t>
        </is>
      </c>
      <c r="B929" s="244" t="inlineStr">
        <is>
          <t>N/A — no P batch assigned</t>
        </is>
      </c>
      <c r="C929" s="243" t="inlineStr">
        <is>
          <t>N/A — no P batch assigned</t>
        </is>
      </c>
      <c r="D929" s="243" t="inlineStr">
        <is>
          <t>220-32-M-26</t>
        </is>
      </c>
      <c r="E929" s="245" t="n">
        <v>46276</v>
      </c>
      <c r="F929" s="243" t="inlineStr">
        <is>
          <t>FHM-M</t>
        </is>
      </c>
      <c r="G929" s="243" t="inlineStr">
        <is>
          <t>#10</t>
        </is>
      </c>
      <c r="H929" s="308" t="inlineStr">
        <is>
          <t>The certificate names a P batch the owner's tracker does not carry. Record the lot (cultivation batch code, strain) on the tracker so the certificate is credited under its batch.</t>
        </is>
      </c>
    </row>
    <row r="930">
      <c r="A930" s="309" t="inlineStr">
        <is>
          <t>lot not on tracker</t>
        </is>
      </c>
      <c r="B930" s="244" t="inlineStr">
        <is>
          <t>P050142</t>
        </is>
      </c>
      <c r="C930" s="243" t="inlineStr">
        <is>
          <t>P050142</t>
        </is>
      </c>
      <c r="D930" s="243" t="inlineStr">
        <is>
          <t>iCoA-PP_26-019</t>
        </is>
      </c>
      <c r="E930" s="245" t="n">
        <v>45930</v>
      </c>
      <c r="F930" s="243" t="inlineStr">
        <is>
          <t>PP</t>
        </is>
      </c>
      <c r="G930" s="243" t="inlineStr">
        <is>
          <t>#1, #2, #7</t>
        </is>
      </c>
      <c r="H930" s="308" t="inlineStr">
        <is>
          <t>The certificate names a P batch the owner's tracker does not carry. Record the lot (cultivation batch code, strain) on the tracker so the certificate is credited under its batch.</t>
        </is>
      </c>
    </row>
    <row r="931">
      <c r="A931" s="309" t="inlineStr">
        <is>
          <t>lot not on tracker</t>
        </is>
      </c>
      <c r="B931" s="244" t="inlineStr">
        <is>
          <t>P050142</t>
        </is>
      </c>
      <c r="C931" s="243" t="inlineStr">
        <is>
          <t>P050142</t>
        </is>
      </c>
      <c r="D931" s="243" t="inlineStr">
        <is>
          <t>227-1-K-26</t>
        </is>
      </c>
      <c r="E931" s="245" t="n">
        <v>46276</v>
      </c>
      <c r="F931" s="243" t="inlineStr">
        <is>
          <t>FHM-K</t>
        </is>
      </c>
      <c r="G931" s="243" t="inlineStr">
        <is>
          <t>#3, #4, #5, #6</t>
        </is>
      </c>
      <c r="H931" s="308" t="inlineStr">
        <is>
          <t>The certificate names a P batch the owner's tracker does not carry. Record the lot (cultivation batch code, strain) on the tracker so the certificate is credited under its batch.</t>
        </is>
      </c>
    </row>
    <row r="932">
      <c r="A932" s="309" t="inlineStr">
        <is>
          <t>lot not on tracker</t>
        </is>
      </c>
      <c r="B932" s="244" t="inlineStr">
        <is>
          <t>P050142</t>
        </is>
      </c>
      <c r="C932" s="243" t="inlineStr">
        <is>
          <t>P050142</t>
        </is>
      </c>
      <c r="D932" s="243" t="inlineStr">
        <is>
          <t>559-1090-26</t>
        </is>
      </c>
      <c r="E932" s="245" t="n">
        <v>46266</v>
      </c>
      <c r="F932" s="243" t="inlineStr">
        <is>
          <t>IJZ-MB</t>
        </is>
      </c>
      <c r="G932" s="243" t="inlineStr">
        <is>
          <t>#9</t>
        </is>
      </c>
      <c r="H932" s="308" t="inlineStr">
        <is>
          <t>The certificate names a P batch the owner's tracker does not carry. Record the lot (cultivation batch code, strain) on the tracker so the certificate is credited under its batch.</t>
        </is>
      </c>
    </row>
    <row r="933">
      <c r="A933" s="309" t="inlineStr">
        <is>
          <t>lot not on tracker</t>
        </is>
      </c>
      <c r="B933" s="244" t="inlineStr">
        <is>
          <t>P060102</t>
        </is>
      </c>
      <c r="C933" s="243" t="inlineStr">
        <is>
          <t>P060102</t>
        </is>
      </c>
      <c r="D933" s="243" t="inlineStr">
        <is>
          <t>iCoA-PP_26-044</t>
        </is>
      </c>
      <c r="E933" s="245" t="n">
        <v>46069</v>
      </c>
      <c r="F933" s="243" t="inlineStr">
        <is>
          <t>PP</t>
        </is>
      </c>
      <c r="G933" s="243" t="inlineStr">
        <is>
          <t>#1, #2, #7</t>
        </is>
      </c>
      <c r="H933" s="308" t="inlineStr">
        <is>
          <t>The certificate names a P batch the owner's tracker does not carry. Record the lot (cultivation batch code, strain) on the tracker so the certificate is credited under its batch.</t>
        </is>
      </c>
    </row>
    <row r="934">
      <c r="A934" s="309" t="inlineStr">
        <is>
          <t>lot not on tracker</t>
        </is>
      </c>
      <c r="B934" s="244" t="inlineStr">
        <is>
          <t>P060102</t>
        </is>
      </c>
      <c r="C934" s="243" t="inlineStr">
        <is>
          <t>P060102</t>
        </is>
      </c>
      <c r="D934" s="243" t="inlineStr">
        <is>
          <t>227-4-K-26</t>
        </is>
      </c>
      <c r="E934" s="245" t="n">
        <v>46276</v>
      </c>
      <c r="F934" s="243" t="inlineStr">
        <is>
          <t>FHM-K</t>
        </is>
      </c>
      <c r="G934" s="243" t="inlineStr">
        <is>
          <t>#3, #4, #5, #6</t>
        </is>
      </c>
      <c r="H934" s="308" t="inlineStr">
        <is>
          <t>The certificate names a P batch the owner's tracker does not carry. Record the lot (cultivation batch code, strain) on the tracker so the certificate is credited under its batch.</t>
        </is>
      </c>
    </row>
    <row r="935">
      <c r="A935" s="309" t="inlineStr">
        <is>
          <t>lot not on tracker</t>
        </is>
      </c>
      <c r="B935" s="244" t="inlineStr">
        <is>
          <t>P060102</t>
        </is>
      </c>
      <c r="C935" s="243" t="inlineStr">
        <is>
          <t>P060102</t>
        </is>
      </c>
      <c r="D935" s="243" t="inlineStr">
        <is>
          <t>031-3-ГС-26</t>
        </is>
      </c>
      <c r="E935" s="245" t="n">
        <v>46065</v>
      </c>
      <c r="F935" s="243" t="inlineStr">
        <is>
          <t>FHM</t>
        </is>
      </c>
      <c r="G935" s="243" t="inlineStr">
        <is>
          <t>#8</t>
        </is>
      </c>
      <c r="H935" s="308" t="inlineStr">
        <is>
          <t>The certificate names a P batch the owner's tracker does not carry. Record the lot (cultivation batch code, strain) on the tracker so the certificate is credited under its batch.</t>
        </is>
      </c>
    </row>
    <row r="936">
      <c r="A936" s="309" t="inlineStr">
        <is>
          <t>lot not on tracker</t>
        </is>
      </c>
      <c r="B936" s="244" t="inlineStr">
        <is>
          <t>P060102</t>
        </is>
      </c>
      <c r="C936" s="243" t="inlineStr">
        <is>
          <t>P060102</t>
        </is>
      </c>
      <c r="D936" s="243" t="inlineStr">
        <is>
          <t>551-1082-26</t>
        </is>
      </c>
      <c r="E936" s="245" t="n">
        <v>46266</v>
      </c>
      <c r="F936" s="243" t="inlineStr">
        <is>
          <t>IJZ-MB</t>
        </is>
      </c>
      <c r="G936" s="243" t="inlineStr">
        <is>
          <t>#9</t>
        </is>
      </c>
      <c r="H936" s="308" t="inlineStr">
        <is>
          <t>The certificate names a P batch the owner's tracker does not carry. Record the lot (cultivation batch code, strain) on the tracker so the certificate is credited under its batch.</t>
        </is>
      </c>
    </row>
    <row r="937">
      <c r="A937" s="309" t="inlineStr">
        <is>
          <t>lot not on tracker</t>
        </is>
      </c>
      <c r="B937" s="244" t="inlineStr">
        <is>
          <t>P060112</t>
        </is>
      </c>
      <c r="C937" s="243" t="inlineStr">
        <is>
          <t>P060112</t>
        </is>
      </c>
      <c r="D937" s="243" t="inlineStr">
        <is>
          <t>iCoA-PP_26-045</t>
        </is>
      </c>
      <c r="E937" s="245" t="n">
        <v>46070</v>
      </c>
      <c r="F937" s="243" t="inlineStr">
        <is>
          <t>PP</t>
        </is>
      </c>
      <c r="G937" s="243" t="inlineStr">
        <is>
          <t>#1, #2, #7</t>
        </is>
      </c>
      <c r="H937" s="308" t="inlineStr">
        <is>
          <t>The certificate names a P batch the owner's tracker does not carry. Record the lot (cultivation batch code, strain) on the tracker so the certificate is credited under its batch.</t>
        </is>
      </c>
    </row>
    <row r="938">
      <c r="A938" s="309" t="inlineStr">
        <is>
          <t>lot not on tracker</t>
        </is>
      </c>
      <c r="B938" s="244" t="inlineStr">
        <is>
          <t>P060112</t>
        </is>
      </c>
      <c r="C938" s="243" t="inlineStr">
        <is>
          <t>P060112</t>
        </is>
      </c>
      <c r="D938" s="243" t="inlineStr">
        <is>
          <t>220-25-K-26</t>
        </is>
      </c>
      <c r="E938" s="245" t="n">
        <v>46260</v>
      </c>
      <c r="F938" s="243" t="inlineStr">
        <is>
          <t>FHM-K</t>
        </is>
      </c>
      <c r="G938" s="243" t="inlineStr">
        <is>
          <t>#3, #4, #5, #6</t>
        </is>
      </c>
      <c r="H938" s="308" t="inlineStr">
        <is>
          <t>The certificate names a P batch the owner's tracker does not carry. Record the lot (cultivation batch code, strain) on the tracker so the certificate is credited under its batch.</t>
        </is>
      </c>
    </row>
    <row r="939">
      <c r="A939" s="309" t="inlineStr">
        <is>
          <t>lot not on tracker</t>
        </is>
      </c>
      <c r="B939" s="244" t="inlineStr">
        <is>
          <t>P060112</t>
        </is>
      </c>
      <c r="C939" s="243" t="inlineStr">
        <is>
          <t>P060112</t>
        </is>
      </c>
      <c r="D939" s="243" t="inlineStr">
        <is>
          <t>220-25-M-26</t>
        </is>
      </c>
      <c r="E939" s="245" t="n">
        <v>46276</v>
      </c>
      <c r="F939" s="243" t="inlineStr">
        <is>
          <t>FHM-M</t>
        </is>
      </c>
      <c r="G939" s="243" t="inlineStr">
        <is>
          <t>#10</t>
        </is>
      </c>
      <c r="H939" s="308" t="inlineStr">
        <is>
          <t>The certificate names a P batch the owner's tracker does not carry. Record the lot (cultivation batch code, strain) on the tracker so the certificate is credited under its batch.</t>
        </is>
      </c>
    </row>
    <row r="940">
      <c r="A940" s="309" t="inlineStr">
        <is>
          <t>lot not on tracker</t>
        </is>
      </c>
      <c r="B940" s="244" t="inlineStr">
        <is>
          <t>P060122</t>
        </is>
      </c>
      <c r="C940" s="243" t="inlineStr">
        <is>
          <t>P060122</t>
        </is>
      </c>
      <c r="D940" s="243" t="inlineStr">
        <is>
          <t>iCoA-PP_26-046</t>
        </is>
      </c>
      <c r="E940" s="245" t="n">
        <v>46071</v>
      </c>
      <c r="F940" s="243" t="inlineStr">
        <is>
          <t>PP</t>
        </is>
      </c>
      <c r="G940" s="243" t="inlineStr">
        <is>
          <t>#1, #2, #7</t>
        </is>
      </c>
      <c r="H940" s="308" t="inlineStr">
        <is>
          <t>The certificate names a P batch the owner's tracker does not carry. Record the lot (cultivation batch code, strain) on the tracker so the certificate is credited under its batch.</t>
        </is>
      </c>
    </row>
    <row r="941">
      <c r="A941" s="309" t="inlineStr">
        <is>
          <t>lot not on tracker</t>
        </is>
      </c>
      <c r="B941" s="244" t="inlineStr">
        <is>
          <t>P060122</t>
        </is>
      </c>
      <c r="C941" s="243" t="inlineStr">
        <is>
          <t>P060122</t>
        </is>
      </c>
      <c r="D941" s="243" t="inlineStr">
        <is>
          <t>220-1-K-26</t>
        </is>
      </c>
      <c r="E941" s="245" t="n">
        <v>46259</v>
      </c>
      <c r="F941" s="243" t="inlineStr">
        <is>
          <t>FHM-K</t>
        </is>
      </c>
      <c r="G941" s="243" t="inlineStr">
        <is>
          <t>#3, #4, #5, #6</t>
        </is>
      </c>
      <c r="H941" s="308" t="inlineStr">
        <is>
          <t>The certificate names a P batch the owner's tracker does not carry. Record the lot (cultivation batch code, strain) on the tracker so the certificate is credited under its batch.</t>
        </is>
      </c>
    </row>
    <row r="942">
      <c r="A942" s="309" t="inlineStr">
        <is>
          <t>lot not on tracker</t>
        </is>
      </c>
      <c r="B942" s="244" t="inlineStr">
        <is>
          <t>P060122</t>
        </is>
      </c>
      <c r="C942" s="243" t="inlineStr">
        <is>
          <t>P060122</t>
        </is>
      </c>
      <c r="D942" s="243" t="inlineStr">
        <is>
          <t>220-1-M-26</t>
        </is>
      </c>
      <c r="E942" s="245" t="n">
        <v>46276</v>
      </c>
      <c r="F942" s="243" t="inlineStr">
        <is>
          <t>FHM-M</t>
        </is>
      </c>
      <c r="G942" s="243" t="inlineStr">
        <is>
          <t>#10</t>
        </is>
      </c>
      <c r="H942" s="308" t="inlineStr">
        <is>
          <t>The certificate names a P batch the owner's tracker does not carry. Record the lot (cultivation batch code, strain) on the tracker so the certificate is credited under its batch.</t>
        </is>
      </c>
    </row>
    <row r="943">
      <c r="A943" s="309" t="inlineStr">
        <is>
          <t>lot not on tracker</t>
        </is>
      </c>
      <c r="B943" s="244" t="inlineStr">
        <is>
          <t>P060132</t>
        </is>
      </c>
      <c r="C943" s="243" t="inlineStr">
        <is>
          <t>P060132</t>
        </is>
      </c>
      <c r="D943" s="243" t="inlineStr">
        <is>
          <t>iCoA-PP_26-047</t>
        </is>
      </c>
      <c r="E943" s="245" t="n">
        <v>46072</v>
      </c>
      <c r="F943" s="243" t="inlineStr">
        <is>
          <t>PP</t>
        </is>
      </c>
      <c r="G943" s="243" t="inlineStr">
        <is>
          <t>#1, #2, #7</t>
        </is>
      </c>
      <c r="H943" s="308" t="inlineStr">
        <is>
          <t>The certificate names a P batch the owner's tracker does not carry. Record the lot (cultivation batch code, strain) on the tracker so the certificate is credited under its batch.</t>
        </is>
      </c>
    </row>
    <row r="944">
      <c r="A944" s="309" t="inlineStr">
        <is>
          <t>lot not on tracker</t>
        </is>
      </c>
      <c r="B944" s="244" t="inlineStr">
        <is>
          <t>P060132</t>
        </is>
      </c>
      <c r="C944" s="243" t="inlineStr">
        <is>
          <t>P060132</t>
        </is>
      </c>
      <c r="D944" s="243" t="inlineStr">
        <is>
          <t>220-6-K-26</t>
        </is>
      </c>
      <c r="E944" s="245" t="n">
        <v>46259</v>
      </c>
      <c r="F944" s="243" t="inlineStr">
        <is>
          <t>FHM-K</t>
        </is>
      </c>
      <c r="G944" s="243" t="inlineStr">
        <is>
          <t>#3, #4, #5, #6</t>
        </is>
      </c>
      <c r="H944" s="308" t="inlineStr">
        <is>
          <t>The certificate names a P batch the owner's tracker does not carry. Record the lot (cultivation batch code, strain) on the tracker so the certificate is credited under its batch.</t>
        </is>
      </c>
    </row>
    <row r="945">
      <c r="A945" s="309" t="inlineStr">
        <is>
          <t>lot not on tracker</t>
        </is>
      </c>
      <c r="B945" s="244" t="inlineStr">
        <is>
          <t>P060132</t>
        </is>
      </c>
      <c r="C945" s="243" t="inlineStr">
        <is>
          <t>P060132</t>
        </is>
      </c>
      <c r="D945" s="243" t="inlineStr">
        <is>
          <t>220-6-M-26</t>
        </is>
      </c>
      <c r="E945" s="245" t="n">
        <v>46276</v>
      </c>
      <c r="F945" s="243" t="inlineStr">
        <is>
          <t>FHM-M</t>
        </is>
      </c>
      <c r="G945" s="243" t="inlineStr">
        <is>
          <t>#10</t>
        </is>
      </c>
      <c r="H945" s="308" t="inlineStr">
        <is>
          <t>The certificate names a P batch the owner's tracker does not carry. Record the lot (cultivation batch code, strain) on the tracker so the certificate is credited under its batch.</t>
        </is>
      </c>
    </row>
    <row r="946">
      <c r="A946" s="309" t="inlineStr">
        <is>
          <t>lot not on tracker</t>
        </is>
      </c>
      <c r="B946" s="244" t="inlineStr">
        <is>
          <t>P060342</t>
        </is>
      </c>
      <c r="C946" s="243" t="inlineStr">
        <is>
          <t>P060342</t>
        </is>
      </c>
      <c r="D946" s="243" t="inlineStr">
        <is>
          <t>iCoA-PP_26-076</t>
        </is>
      </c>
      <c r="E946" s="245" t="n">
        <v>46167</v>
      </c>
      <c r="F946" s="243" t="inlineStr">
        <is>
          <t>PP</t>
        </is>
      </c>
      <c r="G946" s="243" t="inlineStr">
        <is>
          <t>#1, #2, #7</t>
        </is>
      </c>
      <c r="H946" s="308" t="inlineStr">
        <is>
          <t>The certificate names a P batch the owner's tracker does not carry. Record the lot (cultivation batch code, strain) on the tracker so the certificate is credited under its batch.</t>
        </is>
      </c>
    </row>
    <row r="947">
      <c r="A947" s="309" t="inlineStr">
        <is>
          <t>lot not on tracker</t>
        </is>
      </c>
      <c r="B947" s="244" t="inlineStr">
        <is>
          <t>P060342</t>
        </is>
      </c>
      <c r="C947" s="243" t="inlineStr">
        <is>
          <t>P060342</t>
        </is>
      </c>
      <c r="D947" s="243" t="inlineStr">
        <is>
          <t>227-8-K-26</t>
        </is>
      </c>
      <c r="E947" s="245" t="n">
        <v>46276</v>
      </c>
      <c r="F947" s="243" t="inlineStr">
        <is>
          <t>FHM-K</t>
        </is>
      </c>
      <c r="G947" s="243" t="inlineStr">
        <is>
          <t>#3, #4, #5, #6</t>
        </is>
      </c>
      <c r="H947" s="308" t="inlineStr">
        <is>
          <t>The certificate names a P batch the owner's tracker does not carry. Record the lot (cultivation batch code, strain) on the tracker so the certificate is credited under its batch.</t>
        </is>
      </c>
    </row>
    <row r="948">
      <c r="A948" s="309" t="inlineStr">
        <is>
          <t>lot not on tracker</t>
        </is>
      </c>
      <c r="B948" s="244" t="inlineStr">
        <is>
          <t>P060342</t>
        </is>
      </c>
      <c r="C948" s="243" t="inlineStr">
        <is>
          <t>P060342</t>
        </is>
      </c>
      <c r="D948" s="243" t="inlineStr">
        <is>
          <t>539-1070-26</t>
        </is>
      </c>
      <c r="E948" s="245" t="n">
        <v>46265</v>
      </c>
      <c r="F948" s="243" t="inlineStr">
        <is>
          <t>IJZ-MB</t>
        </is>
      </c>
      <c r="G948" s="243" t="inlineStr">
        <is>
          <t>#9</t>
        </is>
      </c>
      <c r="H948" s="308" t="inlineStr">
        <is>
          <t>The certificate names a P batch the owner's tracker does not carry. Record the lot (cultivation batch code, strain) on the tracker so the certificate is credited under its batch.</t>
        </is>
      </c>
    </row>
    <row r="949">
      <c r="A949" s="309" t="inlineStr">
        <is>
          <t>lot not on tracker</t>
        </is>
      </c>
      <c r="B949" s="244" t="inlineStr">
        <is>
          <t>P060372</t>
        </is>
      </c>
      <c r="C949" s="243" t="inlineStr">
        <is>
          <t>P060372</t>
        </is>
      </c>
      <c r="D949" s="243" t="inlineStr">
        <is>
          <t>iCoA-PP_26-072</t>
        </is>
      </c>
      <c r="E949" s="245" t="n">
        <v>46166</v>
      </c>
      <c r="F949" s="243" t="inlineStr">
        <is>
          <t>PP</t>
        </is>
      </c>
      <c r="G949" s="243" t="inlineStr">
        <is>
          <t>#1, #2, #7</t>
        </is>
      </c>
      <c r="H949" s="308" t="inlineStr">
        <is>
          <t>The certificate names a P batch the owner's tracker does not carry. Record the lot (cultivation batch code, strain) on the tracker so the certificate is credited under its batch.</t>
        </is>
      </c>
    </row>
    <row r="950">
      <c r="A950" s="309" t="inlineStr">
        <is>
          <t>lot not on tracker</t>
        </is>
      </c>
      <c r="B950" s="244" t="inlineStr">
        <is>
          <t>P060372</t>
        </is>
      </c>
      <c r="C950" s="243" t="inlineStr">
        <is>
          <t>P060372</t>
        </is>
      </c>
      <c r="D950" s="243" t="inlineStr">
        <is>
          <t>220-29-K-26</t>
        </is>
      </c>
      <c r="E950" s="245" t="n">
        <v>46260</v>
      </c>
      <c r="F950" s="243" t="inlineStr">
        <is>
          <t>FHM-K</t>
        </is>
      </c>
      <c r="G950" s="243" t="inlineStr">
        <is>
          <t>#3, #4, #5, #6</t>
        </is>
      </c>
      <c r="H950" s="308" t="inlineStr">
        <is>
          <t>The certificate names a P batch the owner's tracker does not carry. Record the lot (cultivation batch code, strain) on the tracker so the certificate is credited under its batch.</t>
        </is>
      </c>
    </row>
    <row r="951">
      <c r="A951" s="309" t="inlineStr">
        <is>
          <t>lot not on tracker</t>
        </is>
      </c>
      <c r="B951" s="244" t="inlineStr">
        <is>
          <t>P060372</t>
        </is>
      </c>
      <c r="C951" s="243" t="inlineStr">
        <is>
          <t>P060372</t>
        </is>
      </c>
      <c r="D951" s="243" t="inlineStr">
        <is>
          <t>220-29-M-26</t>
        </is>
      </c>
      <c r="E951" s="245" t="n">
        <v>46276</v>
      </c>
      <c r="F951" s="243" t="inlineStr">
        <is>
          <t>FHM-M</t>
        </is>
      </c>
      <c r="G951" s="243" t="inlineStr">
        <is>
          <t>#10</t>
        </is>
      </c>
      <c r="H951" s="308" t="inlineStr">
        <is>
          <t>The certificate names a P batch the owner's tracker does not carry. Record the lot (cultivation batch code, strain) on the tracker so the certificate is credited under its batch.</t>
        </is>
      </c>
    </row>
    <row r="952">
      <c r="A952" s="309" t="inlineStr">
        <is>
          <t>lot not on tracker</t>
        </is>
      </c>
      <c r="B952" s="244" t="inlineStr">
        <is>
          <t>P060492</t>
        </is>
      </c>
      <c r="C952" s="243" t="inlineStr">
        <is>
          <t>P060492</t>
        </is>
      </c>
      <c r="D952" s="243" t="inlineStr">
        <is>
          <t>iCoA-PP_26-110</t>
        </is>
      </c>
      <c r="E952" s="245" t="n">
        <v>46247</v>
      </c>
      <c r="F952" s="243" t="inlineStr">
        <is>
          <t>PP</t>
        </is>
      </c>
      <c r="G952" s="243" t="inlineStr">
        <is>
          <t>#1, #2, #7</t>
        </is>
      </c>
      <c r="H952" s="308" t="inlineStr">
        <is>
          <t>The certificate names a P batch the owner's tracker does not carry. Record the lot (cultivation batch code, strain) on the tracker so the certificate is credited under its batch.</t>
        </is>
      </c>
    </row>
    <row r="953">
      <c r="A953" s="309" t="inlineStr">
        <is>
          <t>lot not on tracker</t>
        </is>
      </c>
      <c r="B953" s="244" t="inlineStr">
        <is>
          <t>P060492</t>
        </is>
      </c>
      <c r="C953" s="243" t="inlineStr">
        <is>
          <t>P060492</t>
        </is>
      </c>
      <c r="D953" s="243" t="inlineStr">
        <is>
          <t>220-30-K-26</t>
        </is>
      </c>
      <c r="E953" s="245" t="n">
        <v>46260</v>
      </c>
      <c r="F953" s="243" t="inlineStr">
        <is>
          <t>FHM-K</t>
        </is>
      </c>
      <c r="G953" s="243" t="inlineStr">
        <is>
          <t>#3, #4, #5, #6</t>
        </is>
      </c>
      <c r="H953" s="308" t="inlineStr">
        <is>
          <t>The certificate names a P batch the owner's tracker does not carry. Record the lot (cultivation batch code, strain) on the tracker so the certificate is credited under its batch.</t>
        </is>
      </c>
    </row>
    <row r="954">
      <c r="A954" s="309" t="inlineStr">
        <is>
          <t>lot not on tracker</t>
        </is>
      </c>
      <c r="B954" s="244" t="inlineStr">
        <is>
          <t>P060492</t>
        </is>
      </c>
      <c r="C954" s="243" t="inlineStr">
        <is>
          <t>P060492</t>
        </is>
      </c>
      <c r="D954" s="243" t="inlineStr">
        <is>
          <t>220-30-M-26</t>
        </is>
      </c>
      <c r="E954" s="245" t="n">
        <v>46276</v>
      </c>
      <c r="F954" s="243" t="inlineStr">
        <is>
          <t>FHM-M</t>
        </is>
      </c>
      <c r="G954" s="243" t="inlineStr">
        <is>
          <t>#10</t>
        </is>
      </c>
      <c r="H954" s="308" t="inlineStr">
        <is>
          <t>The certificate names a P batch the owner's tracker does not carry. Record the lot (cultivation batch code, strain) on the tracker so the certificate is credited under its batch.</t>
        </is>
      </c>
    </row>
    <row r="955">
      <c r="A955" s="309" t="inlineStr">
        <is>
          <t>non-conformance reported</t>
        </is>
      </c>
      <c r="B955" s="244" t="inlineStr">
        <is>
          <t>FB032601</t>
        </is>
      </c>
      <c r="C955" s="243" t="inlineStr">
        <is>
          <t>P060452</t>
        </is>
      </c>
      <c r="D955" s="243" t="inlineStr">
        <is>
          <t>ППК26127</t>
        </is>
      </c>
      <c r="E955" s="245" t="n">
        <v>46224</v>
      </c>
      <c r="F955" s="243" t="inlineStr">
        <is>
          <t>CNP</t>
        </is>
      </c>
      <c r="G955" s="243" t="inlineStr">
        <is>
          <t>#7</t>
        </is>
      </c>
      <c r="H955" s="308" t="inlineStr">
        <is>
          <t>The laboratory reports the result as not conforming (Не одговара). A deviation / OOS record is needed before this lot's CoQ can issue.</t>
        </is>
      </c>
    </row>
    <row r="956">
      <c r="A956" s="307" t="inlineStr">
        <is>
          <t>not ingested</t>
        </is>
      </c>
      <c r="B956" s="244" t="inlineStr">
        <is>
          <t>J31122501</t>
        </is>
      </c>
      <c r="C956" s="243" t="inlineStr">
        <is>
          <t>P060262</t>
        </is>
      </c>
      <c r="D956" s="243" t="inlineStr">
        <is>
          <t>1625-2026</t>
        </is>
      </c>
      <c r="E956" s="245" t="n">
        <v>46135</v>
      </c>
      <c r="F956" s="243" t="inlineStr">
        <is>
          <t>IJZ</t>
        </is>
      </c>
      <c r="G956" s="243" t="inlineStr">
        <is>
          <t>#11</t>
        </is>
      </c>
      <c r="H956" s="308" t="inlineStr">
        <is>
          <t>Re-extract the document into the eCoA database (two independent reads, 300 DPI). Until then the lot cannot reach a CoQ on these parameters.</t>
        </is>
      </c>
    </row>
    <row r="957">
      <c r="A957" s="307" t="inlineStr">
        <is>
          <t>not ingested</t>
        </is>
      </c>
      <c r="B957" s="244" t="inlineStr">
        <is>
          <t>J31122501</t>
        </is>
      </c>
      <c r="C957" s="243" t="inlineStr">
        <is>
          <t>P060262</t>
        </is>
      </c>
      <c r="D957" s="243" t="inlineStr">
        <is>
          <t>100-3-K-26</t>
        </is>
      </c>
      <c r="E957" s="245" t="n">
        <v>46121</v>
      </c>
      <c r="F957" s="243" t="inlineStr">
        <is>
          <t>FHM-K</t>
        </is>
      </c>
      <c r="G957" s="243" t="inlineStr">
        <is>
          <t>#3</t>
        </is>
      </c>
      <c r="H957" s="308" t="inlineStr">
        <is>
          <t>Re-extract the document into the eCoA database (two independent reads, 300 DPI). Until then the lot cannot reach a CoQ on these parameters.</t>
        </is>
      </c>
    </row>
    <row r="958">
      <c r="A958" s="307" t="inlineStr">
        <is>
          <t>not ingested</t>
        </is>
      </c>
      <c r="B958" s="244" t="inlineStr">
        <is>
          <t>MB0824_04</t>
        </is>
      </c>
      <c r="C958" s="243" t="inlineStr">
        <is>
          <t>P050032</t>
        </is>
      </c>
      <c r="D958" s="243" t="inlineStr">
        <is>
          <t>ППК25118</t>
        </is>
      </c>
      <c r="E958" s="245" t="n">
        <v>45783</v>
      </c>
      <c r="F958" s="243" t="inlineStr">
        <is>
          <t>CNP</t>
        </is>
      </c>
      <c r="G958" s="243" t="inlineStr">
        <is>
          <t>#6</t>
        </is>
      </c>
      <c r="H958" s="308" t="inlineStr">
        <is>
          <t>Re-extract the document into the eCoA database (two independent reads, 300 DPI). Until then the lot cannot reach a CoQ on these parameters.</t>
        </is>
      </c>
    </row>
    <row r="959">
      <c r="A959" s="307" t="inlineStr">
        <is>
          <t>not ingested</t>
        </is>
      </c>
      <c r="B959" s="244" t="inlineStr">
        <is>
          <t>OPM052501</t>
        </is>
      </c>
      <c r="C959" s="243" t="inlineStr">
        <is>
          <t>P050132</t>
        </is>
      </c>
      <c r="D959" s="243" t="inlineStr">
        <is>
          <t>ППК25257</t>
        </is>
      </c>
      <c r="E959" s="245" t="n">
        <v>45905</v>
      </c>
      <c r="F959" s="243" t="inlineStr">
        <is>
          <t>CNP</t>
        </is>
      </c>
      <c r="G959" s="243" t="inlineStr">
        <is>
          <t>#6</t>
        </is>
      </c>
      <c r="H959" s="308" t="inlineStr">
        <is>
          <t>Re-extract the document into the eCoA database (two independent reads, 300 DPI). Until then the lot cannot reach a CoQ on these parameters.</t>
        </is>
      </c>
    </row>
    <row r="960">
      <c r="A960" s="307" t="inlineStr">
        <is>
          <t>not ingested</t>
        </is>
      </c>
      <c r="B960" s="244" t="inlineStr">
        <is>
          <t>OPM112501</t>
        </is>
      </c>
      <c r="C960" s="243" t="inlineStr">
        <is>
          <t>P060222</t>
        </is>
      </c>
      <c r="D960" s="243" t="inlineStr">
        <is>
          <t>ППК26031</t>
        </is>
      </c>
      <c r="E960" s="245" t="n">
        <v>46086</v>
      </c>
      <c r="F960" s="243" t="inlineStr">
        <is>
          <t>CNP</t>
        </is>
      </c>
      <c r="G960" s="243" t="inlineStr">
        <is>
          <t>#6</t>
        </is>
      </c>
      <c r="H960" s="308" t="inlineStr">
        <is>
          <t>Re-extract the document into the eCoA database (two independent reads, 300 DPI). Until then the lot cannot reach a CoQ on these parameters.</t>
        </is>
      </c>
    </row>
    <row r="961">
      <c r="A961" s="307" t="inlineStr">
        <is>
          <t>not ingested</t>
        </is>
      </c>
      <c r="B961" s="244" t="inlineStr">
        <is>
          <t>PM072501</t>
        </is>
      </c>
      <c r="C961" s="243" t="inlineStr">
        <is>
          <t>P050272</t>
        </is>
      </c>
      <c r="D961" s="243" t="inlineStr">
        <is>
          <t>ППК25368</t>
        </is>
      </c>
      <c r="E961" s="245" t="n">
        <v>45989</v>
      </c>
      <c r="F961" s="243" t="inlineStr">
        <is>
          <t>CNP</t>
        </is>
      </c>
      <c r="G961" s="243" t="inlineStr">
        <is>
          <t>#6</t>
        </is>
      </c>
      <c r="H961" s="308" t="inlineStr">
        <is>
          <t>Re-extract the document into the eCoA database (two independent reads, 300 DPI). Until then the lot cannot reach a CoQ on these parameters.</t>
        </is>
      </c>
    </row>
    <row r="964" ht="20" customHeight="1" s="70">
      <c r="A964" s="264" t="inlineStr">
        <is>
          <t>OPEN ITEMS</t>
        </is>
      </c>
    </row>
    <row r="965">
      <c r="A965" s="310" t="inlineStr">
        <is>
          <t>Ref</t>
        </is>
      </c>
      <c r="B965" s="310" t="inlineStr">
        <is>
          <t>Area</t>
        </is>
      </c>
      <c r="C965" s="310" t="inlineStr">
        <is>
          <t>State</t>
        </is>
      </c>
      <c r="D965" s="310" t="inlineStr">
        <is>
          <t>Item</t>
        </is>
      </c>
      <c r="E965" s="310" t="inlineStr">
        <is>
          <t>What was found</t>
        </is>
      </c>
      <c r="F965" s="310" t="inlineStr">
        <is>
          <t>What the desk did</t>
        </is>
      </c>
      <c r="G965" s="310" t="inlineStr">
        <is>
          <t>What is needed</t>
        </is>
      </c>
      <c r="H965" s="310" t="inlineStr">
        <is>
          <t>Evidence</t>
        </is>
      </c>
    </row>
    <row r="966" ht="66" customHeight="1" s="70">
      <c r="A966" s="311" t="inlineStr">
        <is>
          <t>OI-01</t>
        </is>
      </c>
      <c r="B966" s="311" t="inlineStr">
        <is>
          <t>Specification</t>
        </is>
      </c>
      <c r="C966" s="312" t="inlineStr">
        <is>
          <t>marked</t>
        </is>
      </c>
      <c r="D966" s="313" t="inlineStr">
        <is>
          <t>A lot graded IV or V whose strain has no specification at that grade</t>
        </is>
      </c>
      <c r="E966"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66" s="313" t="inlineStr">
        <is>
          <t>The phenotype, chemotype, processing and packaging pills are left unticked and the band is marked, on 3 lots.</t>
        </is>
      </c>
      <c r="G966"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66" s="313" t="inlineStr">
        <is>
          <t>spec_attributes_2026-09-10.csv; CJ082501/2, GP082501/2, OPM122501</t>
        </is>
      </c>
    </row>
    <row r="967" ht="66" customHeight="1" s="70">
      <c r="A967" s="311" t="inlineStr">
        <is>
          <t>OI-02</t>
        </is>
      </c>
      <c r="B967" s="311" t="inlineStr">
        <is>
          <t>Specification</t>
        </is>
      </c>
      <c r="C967" s="312" t="inlineStr">
        <is>
          <t>marked</t>
        </is>
      </c>
      <c r="D967" s="313" t="inlineStr">
        <is>
          <t>Two certificates name a specification by potency band instead of grade</t>
        </is>
      </c>
      <c r="E967" s="313" t="inlineStr">
        <is>
          <t>GP052501 names QCSP_001_GP-THC18_v.01 and GRC102501/2 names QCSP_001_GRC-THC12_v.01. Neither exists in the issued set under any name — but QCSP_001_GP-IV_v.01 does, and IV is the grade GP052501 carries.</t>
        </is>
      </c>
      <c r="F967" s="313" t="inlineStr">
        <is>
          <t>Both pills are marked. No substitution was made without a ruling.</t>
        </is>
      </c>
      <c r="G967" s="313" t="inlineStr">
        <is>
          <t>Is the potency-band name an older convention for the same document? If so the desk joins on the grade and both resolve immediately.</t>
        </is>
      </c>
      <c r="H967" s="313" t="inlineStr">
        <is>
          <t>export_coq_artifact_data.py specification join; 2 lots</t>
        </is>
      </c>
    </row>
    <row r="968" ht="66" customHeight="1" s="70">
      <c r="A968" s="311" t="inlineStr">
        <is>
          <t>OI-03</t>
        </is>
      </c>
      <c r="B968" s="311" t="inlineStr">
        <is>
          <t>Specification</t>
        </is>
      </c>
      <c r="C968" s="314" t="inlineStr">
        <is>
          <t>open</t>
        </is>
      </c>
      <c r="D968" s="313" t="inlineStr">
        <is>
          <t>Thirty-two lots have no grade, so no specification can be named at all</t>
        </is>
      </c>
      <c r="E968" s="313" t="inlineStr">
        <is>
          <t>The grade comes from product_specifications_QCSP001.json, built from the specification copies handed out with the tranches, which covers 48 of the 80 lots. For the other 32 the desk cannot compose a specification code, and the certificate names none.</t>
        </is>
      </c>
      <c r="F968" s="313" t="inlineStr">
        <is>
          <t>Nothing is printed and nothing is guessed.</t>
        </is>
      </c>
      <c r="G968" s="313" t="inlineStr">
        <is>
          <t>Where is the grade for the remaining 32 lots recorded? Once the desk has it, the specification code follows from the strain and the pills fill themselves.</t>
        </is>
      </c>
      <c r="H968" s="313" t="inlineStr">
        <is>
          <t>48 of 80 lots indexed; 68 of 164 certificate records carry no grade</t>
        </is>
      </c>
    </row>
    <row r="969" ht="66" customHeight="1" s="70">
      <c r="A969" s="311" t="inlineStr">
        <is>
          <t>OI-04</t>
        </is>
      </c>
      <c r="B969" s="311" t="inlineStr">
        <is>
          <t>Result reading</t>
        </is>
      </c>
      <c r="C969" s="312" t="inlineStr">
        <is>
          <t>marked</t>
        </is>
      </c>
      <c r="D969" s="313" t="inlineStr">
        <is>
          <t>Four lots where which analyte the figure belongs to decides pass or fail</t>
        </is>
      </c>
      <c r="E969"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69" s="313" t="inlineStr">
        <is>
          <t>The figure is printed as the desk reads it and the lot is named here. None of the four may be signed until a person has read the page.</t>
        </is>
      </c>
      <c r="G969" s="313" t="inlineStr">
        <is>
          <t>Read the four certificates and confirm which analyte the figure belongs to.</t>
        </is>
      </c>
      <c r="H969" s="313" t="inlineStr">
        <is>
          <t>COQ_DRAFTING_2026-09-10.md; 4 lots</t>
        </is>
      </c>
    </row>
    <row r="970" ht="66" customHeight="1" s="70">
      <c r="A970" s="311" t="inlineStr">
        <is>
          <t>OI-05</t>
        </is>
      </c>
      <c r="B970" s="311" t="inlineStr">
        <is>
          <t>Result reading</t>
        </is>
      </c>
      <c r="C970" s="314" t="inlineStr">
        <is>
          <t>open</t>
        </is>
      </c>
      <c r="D970" s="313" t="inlineStr">
        <is>
          <t>Nineteen lots print a Total Δ⁹-THC outside the range printed beside it</t>
        </is>
      </c>
      <c r="E970" s="313" t="inlineStr">
        <is>
          <t>The acceptance test was one-sided — it asked only whether a value exceeded its limit — so an assay BELOW its band was never flagged anywhere. Corpus-wide, 19 lots carry a potency outside the range on their own certificate, every one recorded as covered.</t>
        </is>
      </c>
      <c r="F970" s="313" t="inlineStr">
        <is>
          <t>The comparison now happens in the gap report, never on the certificate, and the report declines any criterion it cannot read as two numbers.</t>
        </is>
      </c>
      <c r="G970" s="313" t="inlineStr">
        <is>
          <t>Each of the 19 needs a disposition: re-read, re-test, or a regrade.</t>
        </is>
      </c>
      <c r="H970" s="313" t="inlineStr">
        <is>
          <t>status_of / the two-sided criterion; 19 lots</t>
        </is>
      </c>
    </row>
    <row r="971" ht="66" customHeight="1" s="70">
      <c r="A971" s="311" t="inlineStr">
        <is>
          <t>OI-06</t>
        </is>
      </c>
      <c r="B971" s="311" t="inlineStr">
        <is>
          <t>Reconciliation</t>
        </is>
      </c>
      <c r="C971" s="314" t="inlineStr">
        <is>
          <t>open</t>
        </is>
      </c>
      <c r="D971" s="313" t="inlineStr">
        <is>
          <t>Forty-six disagreements between the desk and the owner's 09.09 pass</t>
        </is>
      </c>
      <c r="E971"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71" s="313" t="inlineStr">
        <is>
          <t>One of the 46 is resolved by the Head of QC's ruling. The rest are not resolved by the desk; both readings are shown with their sources.</t>
        </is>
      </c>
      <c r="G971" s="313" t="inlineStr">
        <is>
          <t>A person reads the page for each of the 46 and says which reading stands.</t>
        </is>
      </c>
      <c r="H971" s="313" t="inlineStr">
        <is>
          <t>Reconciliation 09.09 sheet; 46 rows</t>
        </is>
      </c>
    </row>
    <row r="972" ht="66" customHeight="1" s="70">
      <c r="A972" s="311" t="inlineStr">
        <is>
          <t>OI-07</t>
        </is>
      </c>
      <c r="B972" s="311" t="inlineStr">
        <is>
          <t>Issuance</t>
        </is>
      </c>
      <c r="C972" s="314" t="inlineStr">
        <is>
          <t>open</t>
        </is>
      </c>
      <c r="D972" s="313" t="inlineStr">
        <is>
          <t>Fifty-seven certificates of quality are dated on a Saturday</t>
        </is>
      </c>
      <c r="E972" s="313" t="inlineStr">
        <is>
          <t>06.06.2026, the blanket date for everything that would otherwise issue before the specification SOP, is a Saturday. The builder's own convention is that a controlled document issues on a working day.</t>
        </is>
      </c>
      <c r="F972" s="313" t="inlineStr">
        <is>
          <t>The owner's date outranks the desk's convention, so it is kept as given and the workbook carries a flag saying it was chosen deliberately.</t>
        </is>
      </c>
      <c r="G972" s="313" t="inlineStr">
        <is>
          <t>Confirm 06.06.2026, or name the working day it moves to (08.06.2026 is the Monday).</t>
        </is>
      </c>
      <c r="H972" s="313" t="inlineStr">
        <is>
          <t>issuance_schedule.COQ_BLANKET; 57 certificates</t>
        </is>
      </c>
    </row>
    <row r="973" ht="66" customHeight="1" s="70">
      <c r="A973" s="311" t="inlineStr">
        <is>
          <t>OI-08</t>
        </is>
      </c>
      <c r="B973" s="311" t="inlineStr">
        <is>
          <t>Reference</t>
        </is>
      </c>
      <c r="C973" s="314" t="inlineStr">
        <is>
          <t>open</t>
        </is>
      </c>
      <c r="D973" s="313" t="inlineStr">
        <is>
          <t>Five result cells cite an SOP form number instead of a certificate</t>
        </is>
      </c>
      <c r="E973"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73" s="313" t="inlineStr">
        <is>
          <t>The reference is printed as it stands and the lots are named here.</t>
        </is>
      </c>
      <c r="G973" s="313" t="inlineStr">
        <is>
          <t>Does the NGP laboratory issue a numbered report for this work? If not, these results need a different basis.</t>
        </is>
      </c>
      <c r="H973" s="313" t="inlineStr">
        <is>
          <t>2 lots, 10 result cells</t>
        </is>
      </c>
    </row>
    <row r="974" ht="66" customHeight="1" s="70">
      <c r="A974" s="311" t="inlineStr">
        <is>
          <t>OI-09</t>
        </is>
      </c>
      <c r="B974" s="311" t="inlineStr">
        <is>
          <t>Reference</t>
        </is>
      </c>
      <c r="C974" s="314" t="inlineStr">
        <is>
          <t>open</t>
        </is>
      </c>
      <c r="D974" s="313" t="inlineStr">
        <is>
          <t>One laboratory report is on file twice, once per language</t>
        </is>
      </c>
      <c r="E974" s="313" t="inlineStr">
        <is>
          <t>10802_2845-2 EN and 10802_2845-2 MK are the same DFL report for BSS052501, cited as two documents, which is why that lot's certificate count reads one higher than the sheet's.</t>
        </is>
      </c>
      <c r="F974" s="313" t="inlineStr">
        <is>
          <t>Both are cited as the desk found them.</t>
        </is>
      </c>
      <c r="G974" s="313" t="inlineStr">
        <is>
          <t>Confirm the two files are one report, and which language version is the controlled copy.</t>
        </is>
      </c>
      <c r="H974" s="313" t="inlineStr">
        <is>
          <t>BSS052501; Batch Coverage Certificates (n)</t>
        </is>
      </c>
    </row>
    <row r="975" ht="66" customHeight="1" s="70">
      <c r="A975" s="311" t="inlineStr">
        <is>
          <t>OI-10</t>
        </is>
      </c>
      <c r="B975" s="311" t="inlineStr">
        <is>
          <t>Batch identity</t>
        </is>
      </c>
      <c r="C975" s="314" t="inlineStr">
        <is>
          <t>open</t>
        </is>
      </c>
      <c r="D975" s="313" t="inlineStr">
        <is>
          <t>Three delivered lots have no cultivation batch recorded anywhere</t>
        </is>
      </c>
      <c r="E975" s="313" t="inlineStr">
        <is>
          <t>P160012, P160022 and P160032 carry full CNP results (ППК26117/18/19, 06.07.2026) and a P number in a series of their own, but no cultivation batch, and no row at all in the Head of QC's Batch Dates list — so no manufacturing date and no internal CoA basis.</t>
        </is>
      </c>
      <c r="F975" s="313" t="inlineStr">
        <is>
          <t>Each row now names its P number inside the label so the three are distinguishable and no join collapses them; the cultivation batch is left unrecorded rather than invented.</t>
        </is>
      </c>
      <c r="G975" s="313" t="inlineStr">
        <is>
          <t>What are the cultivation batches, manufacturing and packaging dates for the P1600xx series?</t>
        </is>
      </c>
      <c r="H975" s="313" t="inlineStr">
        <is>
          <t>3 lots; also absent from Batch Dates: JD112501＊</t>
        </is>
      </c>
    </row>
    <row r="976" ht="66" customHeight="1" s="70">
      <c r="A976" s="311" t="inlineStr">
        <is>
          <t>OI-11</t>
        </is>
      </c>
      <c r="B976" s="311" t="inlineStr">
        <is>
          <t>Batch identity</t>
        </is>
      </c>
      <c r="C976" s="314" t="inlineStr">
        <is>
          <t>open</t>
        </is>
      </c>
      <c r="D976" s="313" t="inlineStr">
        <is>
          <t>One lot carries two P batches in a single cell</t>
        </is>
      </c>
      <c r="E976" s="313" t="inlineStr">
        <is>
          <t>GRC102501 is recorded against P060142 / P060182 in one cell, so its coverage row aggregates what are arguably two lots and its certificate count cannot reconcile.</t>
        </is>
      </c>
      <c r="F976" s="313" t="inlineStr">
        <is>
          <t>Left as the owner's tracker records it.</t>
        </is>
      </c>
      <c r="G976" s="313" t="inlineStr">
        <is>
          <t>Are these one lot packed into two P batches, or two lots sharing a cultivation batch? If two, they need two rows.</t>
        </is>
      </c>
      <c r="H976" s="313" t="inlineStr">
        <is>
          <t>GRC102501</t>
        </is>
      </c>
    </row>
    <row r="977" ht="66" customHeight="1" s="70">
      <c r="A977" s="311" t="inlineStr">
        <is>
          <t>OI-12</t>
        </is>
      </c>
      <c r="B977" s="311" t="inlineStr">
        <is>
          <t>Batch identity</t>
        </is>
      </c>
      <c r="C977" s="315" t="inlineStr">
        <is>
          <t>ruled</t>
        </is>
      </c>
      <c r="D977" s="313" t="inlineStr">
        <is>
          <t>A lot and its ＊ sub-lot are credited from the same three documents</t>
        </is>
      </c>
      <c r="E977"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77"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77"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77" s="313" t="inlineStr">
        <is>
          <t>ППК26063 / ППК26065 (both P060212); the scans 110526_ППК26063_CNP_JD112501-P060212.pdf and 110526_ППК26065_CNP_JD112501＊-P060212.pdf; cell_resolution_2026-09-09.tsv; testing_series.EXPERIMENTAL</t>
        </is>
      </c>
    </row>
    <row r="978" ht="66" customHeight="1" s="70">
      <c r="A978" s="311" t="inlineStr">
        <is>
          <t>OI-29</t>
        </is>
      </c>
      <c r="B978" s="311" t="inlineStr">
        <is>
          <t>Document identity</t>
        </is>
      </c>
      <c r="C978" s="314" t="inlineStr">
        <is>
          <t>open</t>
        </is>
      </c>
      <c r="D978" s="313" t="inlineStr">
        <is>
          <t>The two series count different things, so they cannot be the same length</t>
        </is>
      </c>
      <c r="E978"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78"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78"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78" s="313" t="inlineStr">
        <is>
          <t>icoa_register.py 102 rounds / 76 lots vs coq_artifact_data.json 164 records / 82 lots; 3 lots with 4, 5 and 6 rounds</t>
        </is>
      </c>
    </row>
    <row r="979" ht="66" customHeight="1" s="70">
      <c r="A979" s="311" t="inlineStr">
        <is>
          <t>OI-28</t>
        </is>
      </c>
      <c r="B979" s="311" t="inlineStr">
        <is>
          <t>Batch identity</t>
        </is>
      </c>
      <c r="C979" s="315" t="inlineStr">
        <is>
          <t>ruled</t>
        </is>
      </c>
      <c r="D979" s="313" t="inlineStr">
        <is>
          <t>The starred spellings are one lot each with their unstarred namesakes — applied; one word confirms it</t>
        </is>
      </c>
      <c r="E979"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79"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79" s="313" t="inlineStr">
        <is>
          <t>The four rows for GG012601*, JD012601*, SCR012601* and FB012602* say "the desk, as a consequence of the ruling" where the JD112501* row says "Head of QC". One word from the Head of QC turns the four into rulings; one word reverses them.</t>
        </is>
      </c>
      <c r="H979" s="313" t="inlineStr">
        <is>
          <t>ingestion/ecoa_runner/identity_decisions.tsv (batch_alias, 16.09.2026); identity_questions_2026-09-07.tsv rows 2–6; icoa_register.py:227/:246; tracker/FLEET_FINDINGS_2026-09-16.md</t>
        </is>
      </c>
    </row>
    <row r="980" ht="66" customHeight="1" s="70">
      <c r="A980" s="311" t="inlineStr">
        <is>
          <t>OI-30</t>
        </is>
      </c>
      <c r="B980" s="311" t="inlineStr">
        <is>
          <t>Method status</t>
        </is>
      </c>
      <c r="C980" s="314" t="inlineStr">
        <is>
          <t>open</t>
        </is>
      </c>
      <c r="D980" s="313" t="inlineStr">
        <is>
          <t>The Loss on Drying method text is not verified per lot against the era it was tested in</t>
        </is>
      </c>
      <c r="E980"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80" s="313" t="inlineStr">
        <is>
          <t>Nothing changed on the printed method text — it was already uniform before this check and stays uniform, because there is no per-certificate method record to read it from. Nothing is guessed.</t>
        </is>
      </c>
      <c r="G980"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80" s="313" t="inlineStr">
        <is>
          <t>ISSUANCE_RULES_2026-09-10.md §4; extract_product_specifications.py #8; 70 numeric results, 1 in the disputed band (already resolved)</t>
        </is>
      </c>
    </row>
    <row r="981" ht="66" customHeight="1" s="70">
      <c r="A981" s="311" t="inlineStr">
        <is>
          <t>OI-31</t>
        </is>
      </c>
      <c r="B981" s="311" t="inlineStr">
        <is>
          <t>Batch identity</t>
        </is>
      </c>
      <c r="C981" s="314" t="inlineStr">
        <is>
          <t>open</t>
        </is>
      </c>
      <c r="D981" s="313" t="inlineStr">
        <is>
          <t>Six batches are silently filed under one strain name where a source document keeps two</t>
        </is>
      </c>
      <c r="E981"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81"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81" s="313" t="inlineStr">
        <is>
          <t>Is GG4 the same strain as Gorilla Glue, or a separate strain that happens to be filed under it? If separate, the six lots need their own strain field and, in time, their own specification.</t>
        </is>
      </c>
      <c r="H981" s="313" t="inlineStr">
        <is>
          <t>tracker/DELIVERY_RECONCILIATION_2026-09-07.md §5; tracker/strains.py; iCoA Register Strain column, 6 lots</t>
        </is>
      </c>
    </row>
    <row r="982" ht="66" customHeight="1" s="70">
      <c r="A982" s="311" t="inlineStr">
        <is>
          <t>OI-32</t>
        </is>
      </c>
      <c r="B982" s="311" t="inlineStr">
        <is>
          <t>Batch identity</t>
        </is>
      </c>
      <c r="C982" s="314" t="inlineStr">
        <is>
          <t>open</t>
        </is>
      </c>
      <c r="D982" s="313" t="inlineStr">
        <is>
          <t>Five of the thirty Tranche 3 potency retests rest on one page read</t>
        </is>
      </c>
      <c r="E982"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82"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82"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82" s="313" t="inlineStr">
        <is>
          <t>intake_227K_2026-09-15/ (reads_227K.json, checkpoint_master_coa_table.json, apply_227K.py); PP_Batch_Release_QC_Register_SUBLOT_2026-09-01.xlsx after apply_227K.py; tracker/batch_dates.csv</t>
        </is>
      </c>
    </row>
    <row r="983" ht="66" customHeight="1" s="70">
      <c r="A983" s="311" t="inlineStr">
        <is>
          <t>OI-33</t>
        </is>
      </c>
      <c r="B983" s="311" t="inlineStr">
        <is>
          <t>Batch identity</t>
        </is>
      </c>
      <c r="C983" s="314" t="inlineStr">
        <is>
          <t>open</t>
        </is>
      </c>
      <c r="D983" s="313" t="inlineStr">
        <is>
          <t>Two batches on the Tranche 2 mycotoxin certificates are on no list the desk holds</t>
        </is>
      </c>
      <c r="E983"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83"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83"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83" s="313" t="inlineStr">
        <is>
          <t>intake_220M_2026-09-14/ (reads_claude.json n=30, 31, 32; placement.json); tracker/batch_dates.csv; PP_Batch_Release_QC_Register_SUBLOT_2026-09-01.xlsx after apply_220M.py</t>
        </is>
      </c>
    </row>
    <row r="984" ht="66" customHeight="1" s="70">
      <c r="A984" s="311" t="inlineStr">
        <is>
          <t>OI-34</t>
        </is>
      </c>
      <c r="B984" s="311" t="inlineStr">
        <is>
          <t>Register scope</t>
        </is>
      </c>
      <c r="C984" s="315" t="inlineStr">
        <is>
          <t>ruled</t>
        </is>
      </c>
      <c r="D984" s="313" t="inlineStr">
        <is>
          <t>The IJZ-MB campaign microbiology was on the tracker and not in the release register</t>
        </is>
      </c>
      <c r="E984"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984"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984" s="313" t="inlineStr">
        <is>
          <t>Nothing further, unless the owner rules on OI-37 (the held certificate) or on OI-13 (the expanded panel this same delivery reports).</t>
        </is>
      </c>
      <c r="H984" s="313" t="inlineStr">
        <is>
          <t>tracker/new_instances.json (the 30 IJZ-MB instances); tracker/split_manifest_IJZ-MB_2026-09-01.csv; build_coq_schedule.py ST_CARRIED</t>
        </is>
      </c>
    </row>
    <row r="985" ht="66" customHeight="1" s="70">
      <c r="A985" s="311" t="inlineStr">
        <is>
          <t>OI-37</t>
        </is>
      </c>
      <c r="B985" s="311" t="inlineStr">
        <is>
          <t>Batch identity</t>
        </is>
      </c>
      <c r="C985" s="314" t="inlineStr">
        <is>
          <t>open</t>
        </is>
      </c>
      <c r="D985" s="313" t="inlineStr">
        <is>
          <t>One campaign microbiology certificate names a strain that is not its filed lot's</t>
        </is>
      </c>
      <c r="E985"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985"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985" s="313" t="inlineStr">
        <is>
          <t>Which lot 548/1079/26 belongs to: P050192, as the typed serial reads, or P060192, as the printed strain and the handwritten correction say?</t>
        </is>
      </c>
      <c r="H985" s="313" t="inlineStr">
        <is>
          <t>the scan 310826_548-1079-26_IJZ-MB_BSS052501-P050192.pdf in eCoA_DATABASE; tracker/split_manifest_IJZ-MB_2026-09-01.csv; intake_IJZMB_2026-09-16/reads_IJZMB.json</t>
        </is>
      </c>
    </row>
    <row r="986" ht="66" customHeight="1" s="70">
      <c r="A986" s="311" t="inlineStr">
        <is>
          <t>OI-38</t>
        </is>
      </c>
      <c r="B986" s="311" t="inlineStr">
        <is>
          <t>Certificate content</t>
        </is>
      </c>
      <c r="C986" s="314" t="inlineStr">
        <is>
          <t>open</t>
        </is>
      </c>
      <c r="D986" s="313" t="inlineStr">
        <is>
          <t>Fourteen reissues carry the initial result while a later one for the same lot is on file</t>
        </is>
      </c>
      <c r="E986"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986"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986"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986" s="313" t="inlineStr">
        <is>
          <t>intake_IJZMB_2026-09-16/carried_microbiology_2026-09-16.csv (26 rows, 12 reissues); tracker/RESULT_SUPERSESSION_2026-09-16.md section 1 (31 rows, 14 reissues); build_coq_schedule.py ST_CARRIED; the ruling of 15.09.2026</t>
        </is>
      </c>
    </row>
    <row r="987" ht="66" customHeight="1" s="70">
      <c r="A987" s="311" t="inlineStr">
        <is>
          <t>OI-39</t>
        </is>
      </c>
      <c r="B987" s="311" t="inlineStr">
        <is>
          <t>Batch identity</t>
        </is>
      </c>
      <c r="C987" s="314" t="inlineStr">
        <is>
          <t>open</t>
        </is>
      </c>
      <c r="D987" s="313" t="inlineStr">
        <is>
          <t>Two register blocks carry two sublots each, and the certificate prints one of them</t>
        </is>
      </c>
      <c r="E987"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987"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987"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987" s="313" t="inlineStr">
        <is>
          <t>tracker/RESULT_SUPERSESSION_2026-09-16.md section 3; the register block J31122501 (10 certificates); tracker/batch_dates.csv row 64; OI-12 for the JD112501 half</t>
        </is>
      </c>
    </row>
    <row r="988" ht="66" customHeight="1" s="70">
      <c r="A988" s="311" t="inlineStr">
        <is>
          <t>OI-40</t>
        </is>
      </c>
      <c r="B988" s="311" t="inlineStr">
        <is>
          <t>Document identity</t>
        </is>
      </c>
      <c r="C988" s="314" t="inlineStr">
        <is>
          <t>open</t>
        </is>
      </c>
      <c r="D988" s="313" t="inlineStr">
        <is>
          <t>Six lots hold two register rows for one testing, the results on the composite row</t>
        </is>
      </c>
      <c r="E988"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988"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988"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988" s="313" t="inlineStr">
        <is>
          <t>register rows 123/124, 127/128, 131/132, 135/136, 139/140, 163/165; tracker/HANDOVER_RESPONSE_2026-09-16.md §2.2</t>
        </is>
      </c>
    </row>
    <row r="989" ht="66" customHeight="1" s="70">
      <c r="A989" s="311" t="inlineStr">
        <is>
          <t>OI-41</t>
        </is>
      </c>
      <c r="B989" s="311" t="inlineStr">
        <is>
          <t>Document content</t>
        </is>
      </c>
      <c r="C989" s="314" t="inlineStr">
        <is>
          <t>open</t>
        </is>
      </c>
      <c r="D989" s="313" t="inlineStr">
        <is>
          <t>Forty-eight certificates print no result for the three determinations done in-house — and what remains is documents, not routing</t>
        </is>
      </c>
      <c r="E989"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989"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989"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989" s="313" t="inlineStr">
        <is>
          <t>44 lots, 82 certificates, 246 determination rows; build_coq_schedule.ST_ICOA; export_coq_artifact_data.py (the 09.09 pass fill); tracker/FLEET_FINDINGS_2026-09-16.md (audit B); tracker/HANDOVER_RESPONSE_2026-09-16.md §2.1</t>
        </is>
      </c>
    </row>
    <row r="990" ht="66" customHeight="1" s="70">
      <c r="A990" s="311" t="inlineStr">
        <is>
          <t>OI-42</t>
        </is>
      </c>
      <c r="B990" s="311" t="inlineStr">
        <is>
          <t>Record integrity</t>
        </is>
      </c>
      <c r="C990" s="314" t="inlineStr">
        <is>
          <t>open</t>
        </is>
      </c>
      <c r="D990" s="313" t="inlineStr">
        <is>
          <t>Forty-four laboratory certificates are on Drive and in no record of the desk; 58 more are only in the 09.09 pass</t>
        </is>
      </c>
      <c r="E990"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990"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990"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990" s="313" t="inlineStr">
        <is>
          <t>tracker/FLEET_FINDINGS_2026-09-16.md (audit A); the Drive tree 1SmOicCRa8KEqoB-YlCojdap161YMQ-Di and _IN-HOUSE_PP 1bBGgFavrUTOu7PC7VVRcj0P4onWOAquN, enumerated 16.09.2026</t>
        </is>
      </c>
    </row>
    <row r="991" ht="66" customHeight="1" s="70">
      <c r="A991" s="311" t="inlineStr">
        <is>
          <t>OI-43</t>
        </is>
      </c>
      <c r="B991" s="311" t="inlineStr">
        <is>
          <t>Record integrity</t>
        </is>
      </c>
      <c r="C991" s="314" t="inlineStr">
        <is>
          <t>open</t>
        </is>
      </c>
      <c r="D991" s="313" t="inlineStr">
        <is>
          <t>Twenty-eight in-house certificates of analysis are on Drive with no desk entry — twelve of them for lots OI-41 names</t>
        </is>
      </c>
      <c r="E991"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991" s="313" t="inlineStr">
        <is>
          <t>Nothing read, nothing written: an in-house scan reaches the desk through the same two-read gate as a laboratory certificate, and the desk holds no read of any of the 28.</t>
        </is>
      </c>
      <c r="G991"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991" s="313" t="inlineStr">
        <is>
          <t>tracker/FLEET_FINDINGS_2026-09-16.md (audits A and B); the 41 scans in _IN-HOUSE_PP</t>
        </is>
      </c>
    </row>
    <row r="992" ht="66" customHeight="1" s="70">
      <c r="A992" s="311" t="inlineStr">
        <is>
          <t>OI-44</t>
        </is>
      </c>
      <c r="B992" s="311" t="inlineStr">
        <is>
          <t>Specification</t>
        </is>
      </c>
      <c r="C992" s="314" t="inlineStr">
        <is>
          <t>open</t>
        </is>
      </c>
      <c r="D992" s="313" t="inlineStr">
        <is>
          <t>The grade numerals were assigned against the desk's own rule, and 69 certificates cite a code that used to mean something else</t>
        </is>
      </c>
      <c r="E992"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992"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992"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992" s="313" t="inlineStr">
        <is>
          <t>potency_grades.py number(); potency_grades_2026-09-15.csv; product_specifications_QCSP001.json; tracker/FLEET_FINDINGS_2026-09-16.md (audit C)</t>
        </is>
      </c>
    </row>
    <row r="993" ht="66" customHeight="1" s="70">
      <c r="A993" s="311" t="inlineStr">
        <is>
          <t>OI-45</t>
        </is>
      </c>
      <c r="B993" s="311" t="inlineStr">
        <is>
          <t>Register cell</t>
        </is>
      </c>
      <c r="C993" s="314" t="inlineStr">
        <is>
          <t>open</t>
        </is>
      </c>
      <c r="D993" s="313" t="inlineStr">
        <is>
          <t>One in-house microbiology cell states two bounds that cannot both be true, and two certificates print it</t>
        </is>
      </c>
      <c r="E993"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993"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993" s="313" t="inlineStr">
        <is>
          <t>Is the intended reading “&lt; 10³ and &gt; 10²” — the same pair as every other block, with the bounds transposed in transcription? One word corrects the register cell and both certificates with it.</t>
        </is>
      </c>
      <c r="H993" s="313" t="inlineStr">
        <is>
          <t>coq_artifact_data.json reg[OPM1024]; design_handoff/out/_build_report.txt; design_handoff/toolchain/coq_check.js A11</t>
        </is>
      </c>
    </row>
    <row r="994" ht="66" customHeight="1" s="70">
      <c r="A994" s="311" t="inlineStr">
        <is>
          <t>OI-46</t>
        </is>
      </c>
      <c r="B994" s="311" t="inlineStr">
        <is>
          <t>Result read</t>
        </is>
      </c>
      <c r="C994" s="315" t="inlineStr">
        <is>
          <t>ruled</t>
        </is>
      </c>
      <c r="D994" s="313" t="inlineStr">
        <is>
          <t>Ten microbiology cells were read once and held; the Head of QC's own pass had all five values for every one of them</t>
        </is>
      </c>
      <c r="E994"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994"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994" s="313" t="inlineStr">
        <is>
          <t>Nothing. Two rows of the pass are still held and named in the script's output: 305-0549-26 carries ten values where five are wanted, and 85/2026 five where four are.</t>
        </is>
      </c>
      <c r="H994" s="313" t="inlineStr">
        <is>
          <t>cell_resolution_2026-09-09.tsv; apply_resolution_pass.py; verify_panels.py; intake_ijz_2026-09-16/reads_microbiology.json</t>
        </is>
      </c>
    </row>
    <row r="995" ht="66" customHeight="1" s="70">
      <c r="A995" s="311" t="inlineStr">
        <is>
          <t>OI-47</t>
        </is>
      </c>
      <c r="B995" s="311" t="inlineStr">
        <is>
          <t>Ingestion</t>
        </is>
      </c>
      <c r="C995" s="314" t="inlineStr">
        <is>
          <t>open</t>
        </is>
      </c>
      <c r="D995" s="313" t="inlineStr">
        <is>
          <t>Twenty-three certificates in the owner's database folder were never ingested, and every desk file recorded their absence as a coverage gap</t>
        </is>
      </c>
      <c r="E995"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995" s="313" t="inlineStr">
        <is>
          <t>The twenty-three documents are now in the release register, and the certificates print from them. The ingestion itself is untouched — the same folder may hold more that the corpus lacks, and nothing in the pipeline would say so.</t>
        </is>
      </c>
      <c r="G995" s="313" t="inlineStr">
        <is>
          <t>Should the desk re-run the CoA_DATABASE_2026 ingestion against the whole folder and reconcile it against the register, so that a coverage gap means the document does not exist rather than that it was not fetched?</t>
        </is>
      </c>
      <c r="H995" s="313" t="inlineStr">
        <is>
          <t>ingestion/coa_track/letta-imb-coas/ingest_coa_database_2026.py; exports/master_coa_table.tsv; tracker/DRIVE_DATABASE_INTAKE_2026-09-16.md</t>
        </is>
      </c>
    </row>
    <row r="996" ht="66" customHeight="1" s="70">
      <c r="A996" s="311" t="inlineStr">
        <is>
          <t>OI-48</t>
        </is>
      </c>
      <c r="B996" s="311" t="inlineStr">
        <is>
          <t>Document</t>
        </is>
      </c>
      <c r="C996" s="314" t="inlineStr">
        <is>
          <t>open</t>
        </is>
      </c>
      <c r="D996" s="313" t="inlineStr">
        <is>
          <t>One Tranche 3 mycotoxin certificate has not been read by anyone, and one lot's #10 waits on it</t>
        </is>
      </c>
      <c r="E996"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996"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996" s="313" t="inlineStr">
        <is>
          <t>Open 227-18-М/26 by hand and tell the desk the five analytes. It is the only certificate of the thirty that needs it — the six the Head of QC flagged on 16.09.2026 were flagged from one reader's failures, and five of those six are read.</t>
        </is>
      </c>
      <c r="H996" s="313" t="inlineStr">
        <is>
          <t>intake_227M_2026-09-16/reads.json; tracker/T3_MYCOTOXIN_INTAKE_2026-09-16.md; apply_227M_intake.py</t>
        </is>
      </c>
    </row>
    <row r="997" ht="66" customHeight="1" s="70">
      <c r="A997" s="311" t="inlineStr">
        <is>
          <t>OI-35</t>
        </is>
      </c>
      <c r="B997" s="311" t="inlineStr">
        <is>
          <t>Tracker scope</t>
        </is>
      </c>
      <c r="C997" s="314" t="inlineStr">
        <is>
          <t>open</t>
        </is>
      </c>
      <c r="D997" s="313" t="inlineStr">
        <is>
          <t>The tracker does not carry the documents of the 09.09 pass that eleven certificates print from</t>
        </is>
      </c>
      <c r="E997"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997" s="313" t="inlineStr">
        <is>
          <t>Recorded, not built: the 17 documents need the two-read intake the 220-М, 227-К and 220-К certificates had before the tracker credits them, and the certificate rows that rest on them are marked on the references table as single-read.</t>
        </is>
      </c>
      <c r="G997" s="313" t="inlineStr">
        <is>
          <t>Whether the desk should read the 17 documents of the 09.09 pass through the two-read gate now, so that the tracker and the certificates cite one record — or whether the certificates that print from a single read (GG1024 above all) wait for it.</t>
        </is>
      </c>
      <c r="H997" s="313" t="inlineStr">
        <is>
          <t>tracker/TRUTH_CHECK_2026-09-15.md (T5); cell_resolution_2026-09-09.tsv; coq_artifact_data.json rows citing those codes</t>
        </is>
      </c>
    </row>
    <row r="998" ht="66" customHeight="1" s="70">
      <c r="A998" s="311" t="inlineStr">
        <is>
          <t>OI-36</t>
        </is>
      </c>
      <c r="B998" s="311" t="inlineStr">
        <is>
          <t>Record integrity</t>
        </is>
      </c>
      <c r="C998" s="314" t="inlineStr">
        <is>
          <t>open</t>
        </is>
      </c>
      <c r="D998" s="313" t="inlineStr">
        <is>
          <t>Four two-read corpus records passed the gate with their reads disagreeing on a comparator</t>
        </is>
      </c>
      <c r="E998"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998" s="313" t="inlineStr">
        <is>
          <t>The four tracker cells are corrected from a third read of each page (tracker/value_corrections_2026-09-15.json, applied in values_of). The corpus records and the pass table are the ingestion's and are left as they are, listed here.</t>
        </is>
      </c>
      <c r="G998" s="313" t="inlineStr">
        <is>
          <t>Whether the ingestion's reconciliation should treat a comparator ('&lt;', '&gt;') as part of the result when it compares two reads, and re-gate the four records; and whether the three pass-table cells should be corrected or the rows retired.</t>
        </is>
      </c>
      <c r="H998" s="313" t="inlineStr">
        <is>
          <t>tracker/TRUTH_CHECK_2026-09-15.md (T3, T4, T5); ingestion/ecoa_runner/records_corpus.json; the four page reads of 15.09.2026</t>
        </is>
      </c>
    </row>
    <row r="999" ht="66" customHeight="1" s="70">
      <c r="A999" s="311" t="inlineStr">
        <is>
          <t>OI-13</t>
        </is>
      </c>
      <c r="B999" s="311" t="inlineStr">
        <is>
          <t>Panel scope</t>
        </is>
      </c>
      <c r="C999" s="314" t="inlineStr">
        <is>
          <t>open</t>
        </is>
      </c>
      <c r="D999" s="313" t="inlineStr">
        <is>
          <t>The expanded microbiology panel HAS been run and no certificate says so</t>
        </is>
      </c>
      <c r="E999"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999"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999"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999" s="313" t="inlineStr">
        <is>
          <t>Ph. Eur. 2.8.13; Ph. Eur. 2.6.13 expanded panel</t>
        </is>
      </c>
    </row>
    <row r="1000" ht="66" customHeight="1" s="70">
      <c r="A1000" s="311" t="inlineStr">
        <is>
          <t>OI-14</t>
        </is>
      </c>
      <c r="B1000" s="311" t="inlineStr">
        <is>
          <t>Document content</t>
        </is>
      </c>
      <c r="C1000" s="314" t="inlineStr">
        <is>
          <t>open</t>
        </is>
      </c>
      <c r="D1000" s="313" t="inlineStr">
        <is>
          <t>Two fields still print a specimen or a placeholder</t>
        </is>
      </c>
      <c r="E1000" s="313" t="inlineStr">
        <is>
          <t>The two approvers' names are the master template's specimen. The potency acceptance range is a bracketed placeholder in both places it prints.</t>
        </is>
      </c>
      <c r="F1000"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00" s="313" t="inlineStr">
        <is>
          <t>The approvers' names and titles; the potency range per grade.</t>
        </is>
      </c>
      <c r="H1000" s="313" t="inlineStr">
        <is>
          <t>_CoQ_MASTER_Template.html; 22 drafts</t>
        </is>
      </c>
    </row>
    <row r="1001" ht="66" customHeight="1" s="70">
      <c r="A1001" s="311" t="inlineStr">
        <is>
          <t>OI-15</t>
        </is>
      </c>
      <c r="B1001" s="311" t="inlineStr">
        <is>
          <t>Method status</t>
        </is>
      </c>
      <c r="C1001" s="314" t="inlineStr">
        <is>
          <t>open</t>
        </is>
      </c>
      <c r="D1001" s="313" t="inlineStr">
        <is>
          <t>The pesticide acceptance criterion is stated as ≤ LOQ, which is not the Ph. Eur. test</t>
        </is>
      </c>
      <c r="E1001"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01" s="313" t="inlineStr">
        <is>
          <t>The result is printed as the laboratory reports it.</t>
        </is>
      </c>
      <c r="G1001" s="313" t="inlineStr">
        <is>
          <t>Restate the criterion as the Ph. Eur. maximum table, and say how a conforming detection should print beside 28 not-detected residues.</t>
        </is>
      </c>
      <c r="H1001" s="313" t="inlineStr">
        <is>
          <t>IJZ 2994/2025, 19.06.2025, OPM 1024_02 (P050062); verdict on the page: ОДГОВАРА</t>
        </is>
      </c>
    </row>
    <row r="1002" ht="66" customHeight="1" s="70">
      <c r="A1002" s="311" t="inlineStr">
        <is>
          <t>OI-16</t>
        </is>
      </c>
      <c r="B1002" s="311" t="inlineStr">
        <is>
          <t>Result</t>
        </is>
      </c>
      <c r="C1002" s="314" t="inlineStr">
        <is>
          <t>open</t>
        </is>
      </c>
      <c r="D1002" s="313" t="inlineStr">
        <is>
          <t>One lot's foreign matter is reported by the laboratory as not conforming</t>
        </is>
      </c>
      <c r="E1002"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02" s="313" t="inlineStr">
        <is>
          <t>Flagged OOS. An out-of-specification result needs an investigation record.</t>
        </is>
      </c>
      <c r="G1002" s="313" t="inlineStr">
        <is>
          <t>Confirm the non-conformity with CNP and open the deviation, or obtain a corrected certificate.</t>
        </is>
      </c>
      <c r="H1002" s="313" t="inlineStr">
        <is>
          <t>FB032601; ППК26127, 21.07.2026 [CNP]</t>
        </is>
      </c>
    </row>
    <row r="1003" ht="66" customHeight="1" s="70">
      <c r="A1003" s="311" t="inlineStr">
        <is>
          <t>OI-17</t>
        </is>
      </c>
      <c r="B1003" s="311" t="inlineStr">
        <is>
          <t>Result</t>
        </is>
      </c>
      <c r="C1003" s="314" t="inlineStr">
        <is>
          <t>open</t>
        </is>
      </c>
      <c r="D1003" s="313" t="inlineStr">
        <is>
          <t>Thirteen lots exceed a criterion — every one of them on #9.2, and on nothing else in the whole set</t>
        </is>
      </c>
      <c r="E1003"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03"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03"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03" s="313" t="inlineStr">
        <is>
          <t>Ph. Eur. 5.1.4; 13 lots, all #9.2; QCSP 001; mark_microbial_band.py</t>
        </is>
      </c>
    </row>
    <row r="1004" ht="66" customHeight="1" s="70">
      <c r="A1004" s="311" t="inlineStr">
        <is>
          <t>OI-18</t>
        </is>
      </c>
      <c r="B1004" s="311" t="inlineStr">
        <is>
          <t>Document content</t>
        </is>
      </c>
      <c r="C1004" s="315" t="inlineStr">
        <is>
          <t>ruled</t>
        </is>
      </c>
      <c r="D1004" s="313" t="inlineStr">
        <is>
          <t>The same assertion printed bilingually on some certificates and in English on others</t>
        </is>
      </c>
      <c r="E1004" s="313" t="inlineStr">
        <is>
          <t>Identification A and foreign matter print Conforms on 51 determinations and Conforms | Соодветствува on 12 — the certificate's own English | Macedonian pattern, applied to some cells and not others.</t>
        </is>
      </c>
      <c r="F1004"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04" s="313" t="inlineStr">
        <is>
          <t>Nothing further.</t>
        </is>
      </c>
      <c r="H1004" s="313" t="inlineStr">
        <is>
          <t>375 determinations; .r-conform .mk in _CoQ_MASTER_Template.html</t>
        </is>
      </c>
    </row>
    <row r="1005" ht="66" customHeight="1" s="70">
      <c r="A1005" s="311" t="inlineStr">
        <is>
          <t>OI-19</t>
        </is>
      </c>
      <c r="B1005" s="311" t="inlineStr">
        <is>
          <t>Result</t>
        </is>
      </c>
      <c r="C1005" s="314" t="inlineStr">
        <is>
          <t>open</t>
        </is>
      </c>
      <c r="D1005" s="313" t="inlineStr">
        <is>
          <t>One ochratoxin result prints as a working note rather than a value</t>
        </is>
      </c>
      <c r="E1005" s="313" t="inlineStr">
        <is>
          <t>2.06 — DETECTED, &gt;LOQ on Ochratoxin A. The limit is 20 µg/kg so it conforms, but the cell carries the reader's note instead of the figure and its qualifier.</t>
        </is>
      </c>
      <c r="F1005" s="313" t="inlineStr">
        <is>
          <t>Printed as the desk holds it.</t>
        </is>
      </c>
      <c r="G1005" s="313" t="inlineStr">
        <is>
          <t>How should a conforming detection print — the figure alone, or the figure with a detected qualifier? The same question as OI-15 for pesticides.</t>
        </is>
      </c>
      <c r="H1005" s="313" t="inlineStr">
        <is>
          <t>#10.3 Ochratoxin A, 1 determination</t>
        </is>
      </c>
    </row>
    <row r="1006" ht="66" customHeight="1" s="70">
      <c r="A1006" s="311" t="inlineStr">
        <is>
          <t>OI-24</t>
        </is>
      </c>
      <c r="B1006" s="311" t="inlineStr">
        <is>
          <t>Document content</t>
        </is>
      </c>
      <c r="C1006" s="314" t="inlineStr">
        <is>
          <t>open</t>
        </is>
      </c>
      <c r="D1006" s="313" t="inlineStr">
        <is>
          <t>The Identification C result no longer states the method on the face of the document</t>
        </is>
      </c>
      <c r="E1006"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06" s="313" t="inlineStr">
        <is>
          <t>Shortened to "Conforms | Одговара" like every other identity row. The basis for Identification C stays in the Section 03 citation, where a basis belongs.</t>
        </is>
      </c>
      <c r="G1006" s="313" t="inlineStr">
        <is>
          <t>Do you want the method restated in the result cell? It would need a wider results column, which is a change to the master.</t>
        </is>
      </c>
      <c r="H1006" s="313" t="inlineStr">
        <is>
          <t>#3 Identification C; 35 determinations</t>
        </is>
      </c>
    </row>
    <row r="1007" ht="66" customHeight="1" s="70">
      <c r="A1007" s="311" t="inlineStr">
        <is>
          <t>OI-27</t>
        </is>
      </c>
      <c r="B1007" s="311" t="inlineStr">
        <is>
          <t>Document identity</t>
        </is>
      </c>
      <c r="C1007" s="315" t="inlineStr">
        <is>
          <t>ruled</t>
        </is>
      </c>
      <c r="D1007" s="313" t="inlineStr">
        <is>
          <t>The register sheet carried 60 of the series' 95 internal certificates</t>
        </is>
      </c>
      <c r="E1007"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07"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07"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07" s="313" t="inlineStr">
        <is>
          <t>95 of 95 series codes on the sheet (was 60); 166 rows; verify_workbook.py 0 findings</t>
        </is>
      </c>
    </row>
    <row r="1008" ht="66" customHeight="1" s="70">
      <c r="A1008" s="311" t="inlineStr">
        <is>
          <t>OI-26</t>
        </is>
      </c>
      <c r="B1008" s="311" t="inlineStr">
        <is>
          <t>Document identity</t>
        </is>
      </c>
      <c r="C1008" s="315" t="inlineStr">
        <is>
          <t>ruled</t>
        </is>
      </c>
      <c r="D1008" s="313" t="inlineStr">
        <is>
          <t>The internal-CoA number was defined twice and the two disagreed on every comparable row</t>
        </is>
      </c>
      <c r="E1008"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08"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08" s="313" t="inlineStr">
        <is>
          <t>Nothing. Recorded because the numbers moved: de-duplicating shifted every code from 045 onward, so any code quoted before 11.09.2026 is stale.</t>
        </is>
      </c>
      <c r="H1008" s="313" t="inlineStr">
        <is>
          <t>icoa_register.py and the iCoA Register sheet; 49 of 49 differed, now 0</t>
        </is>
      </c>
    </row>
    <row r="1009" ht="66" customHeight="1" s="70">
      <c r="A1009" s="311" t="inlineStr">
        <is>
          <t>OI-25</t>
        </is>
      </c>
      <c r="B1009" s="311" t="inlineStr">
        <is>
          <t>Document rendering</t>
        </is>
      </c>
      <c r="C1009" s="315" t="inlineStr">
        <is>
          <t>ruled</t>
        </is>
      </c>
      <c r="D1009" s="313" t="inlineStr">
        <is>
          <t>The A4 page was never measured with the fonts it prints in</t>
        </is>
      </c>
      <c r="E1009"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09"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09" s="313" t="inlineStr">
        <is>
          <t>Nothing. Recorded because the claim had been made and was not true, and because the page has very little slack: the next thing that adds a line will need this check.</t>
        </is>
      </c>
      <c r="H1009" s="313" t="inlineStr">
        <is>
          <t>build_coq_drafts.py page-height report; measured 5 of 22 -&gt; 0 of 22 losing content</t>
        </is>
      </c>
    </row>
    <row r="1010" ht="66" customHeight="1" s="70">
      <c r="A1010" s="311" t="inlineStr">
        <is>
          <t>OI-23</t>
        </is>
      </c>
      <c r="B1010" s="311" t="inlineStr">
        <is>
          <t>Document content</t>
        </is>
      </c>
      <c r="C1010" s="314" t="inlineStr">
        <is>
          <t>open</t>
        </is>
      </c>
      <c r="D1010" s="313" t="inlineStr">
        <is>
          <t>The Macedonian for an absent organism was chosen from the laboratories' own usage</t>
        </is>
      </c>
      <c r="E1010"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10" s="313" t="inlineStr">
        <is>
          <t>The certificate prints "Absent | Отсутна" on 92 determinations: CNP's own most-used form ("отсутна/25 g"), capitalised, rather than a term translated afresh for a controlled document.</t>
        </is>
      </c>
      <c r="G1010" s="313" t="inlineStr">
        <is>
          <t>Confirm Отсутна, or give the term the two absence rows should carry.</t>
        </is>
      </c>
      <c r="H1010" s="313" t="inlineStr">
        <is>
          <t>#9.4 Salmonella, #9.5 E. coli; 92 determinations</t>
        </is>
      </c>
    </row>
    <row r="1011" ht="66" customHeight="1" s="70">
      <c r="A1011" s="311" t="inlineStr">
        <is>
          <t>OI-22</t>
        </is>
      </c>
      <c r="B1011" s="311" t="inlineStr">
        <is>
          <t>Result reading</t>
        </is>
      </c>
      <c r="C1011" s="315" t="inlineStr">
        <is>
          <t>ruled</t>
        </is>
      </c>
      <c r="D1011" s="313" t="inlineStr">
        <is>
          <t>An analyte the laboratory never tested was printing a line on the certificate</t>
        </is>
      </c>
      <c r="E1011"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11"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11" s="313" t="inlineStr">
        <is>
          <t>Nothing. Recorded because it is the boundary of the ND ruling: n.r. printed by a laboratory as a result means ND, and an analyte absent from the panel is not a result at all.</t>
        </is>
      </c>
      <c r="H1011" s="313" t="inlineStr">
        <is>
          <t>BG1024 release vs retest, verified through fillCoq in headless Chromium</t>
        </is>
      </c>
    </row>
    <row r="1012" ht="66" customHeight="1" s="70">
      <c r="A1012" s="311" t="inlineStr">
        <is>
          <t>OI-21</t>
        </is>
      </c>
      <c r="B1012" s="311" t="inlineStr">
        <is>
          <t>Document rendering</t>
        </is>
      </c>
      <c r="C1012" s="315" t="inlineStr">
        <is>
          <t>ruled</t>
        </is>
      </c>
      <c r="D1012" s="313" t="inlineStr">
        <is>
          <t>Sixty-six faces in the tranche PDFs embedded as Type 3 rather than outlines</t>
        </is>
      </c>
      <c r="E1012"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12" s="313" t="inlineStr">
        <is>
          <t>Fixed: italic 600 and 700 added to the font request in both print_coq_pdfs.py and house_fonts.py, and the rule written down beside them — when a stylesheet sets an italic weight, that weight belongs in FAMILIES.</t>
        </is>
      </c>
      <c r="G1012" s="313" t="inlineStr">
        <is>
          <t>Nothing. Recorded because the first Type 3 fix (pinning the variable axes) looked complete and was not: it fixes the faces the page asks for by name, never one the page never asked for.</t>
        </is>
      </c>
      <c r="H1012" s="313" t="inlineStr">
        <is>
          <t>print_coq_pdfs.py FAMILIES; pdffonts on both tranche PDFs</t>
        </is>
      </c>
    </row>
    <row r="1013" ht="66" customHeight="1" s="70">
      <c r="A1013" s="311" t="inlineStr">
        <is>
          <t>OI-20</t>
        </is>
      </c>
      <c r="B1013" s="311" t="inlineStr">
        <is>
          <t>Desk status</t>
        </is>
      </c>
      <c r="C1013" s="314" t="inlineStr">
        <is>
          <t>open</t>
        </is>
      </c>
      <c r="D1013" s="313" t="inlineStr">
        <is>
          <t>Nine result cells hold a desk status instead of a value</t>
        </is>
      </c>
      <c r="E1013" s="313" t="inlineStr">
        <is>
          <t>not ingested (the document exists but has not been extracted into the eCoA database) on 5 cells, held for review (the two independent reads disagreed) on 3, and one Identification C awaiting a decision.</t>
        </is>
      </c>
      <c r="F1013" s="313" t="inlineStr">
        <is>
          <t>Each is carried on the Work Order sheet with what it needs; none reaches a certificate.</t>
        </is>
      </c>
      <c r="G1013" s="313" t="inlineStr">
        <is>
          <t>Nothing — these are desk work, listed so the count is visible.</t>
        </is>
      </c>
      <c r="H1013" s="313" t="inlineStr">
        <is>
          <t>Work Order sheet</t>
        </is>
      </c>
    </row>
    <row r="1014" ht="66" customHeight="1" s="70">
      <c r="A1014" s="311" t="inlineStr">
        <is>
          <t>OI-49</t>
        </is>
      </c>
      <c r="B1014" s="311" t="inlineStr">
        <is>
          <t>Document identity</t>
        </is>
      </c>
      <c r="C1014" s="314" t="inlineStr">
        <is>
          <t>open</t>
        </is>
      </c>
      <c r="D1014" s="313" t="inlineStr">
        <is>
          <t>Eight certificates still credit the in-house certificate beyond identification A, identification B and foreign matter</t>
        </is>
      </c>
      <c r="E1014"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14" s="313" t="inlineStr">
        <is>
          <t>Kept as the 10.09 ruling says, with one date per document; the internal certificates of those four lots list the parameters they cover.</t>
        </is>
      </c>
      <c r="G1014"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14" s="313" t="inlineStr">
        <is>
          <t>apply_lab_attribution.py; icoa_register_2026-09-10.csv (covers_in_house); design_handoff/docs/REBUILD_v40.md §3f</t>
        </is>
      </c>
    </row>
    <row r="1015" ht="66" customHeight="1" s="70">
      <c r="A1015" s="311" t="inlineStr">
        <is>
          <t>OI-50</t>
        </is>
      </c>
      <c r="B1015" s="311" t="inlineStr">
        <is>
          <t>Specification</t>
        </is>
      </c>
      <c r="C1015" s="314" t="inlineStr">
        <is>
          <t>open</t>
        </is>
      </c>
      <c r="D1015" s="313" t="inlineStr">
        <is>
          <t>Wedding Cake: one result, a first specification of 26.00 ± 2.60 %, four older issued WED documents it supersedes, dominance still to be determined</t>
        </is>
      </c>
      <c r="E1015"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15" s="313" t="inlineStr">
        <is>
          <t>Grade, code, window and attributes print; the dominance is not guessed.</t>
        </is>
      </c>
      <c r="G1015" s="313" t="inlineStr">
        <is>
          <t>The dominance (indica : sativa) of Wedding Cake, and confirmation that QCSP_001_WED-I_v.01 at 26.00 ± 2.60 % is the first specification of the new series and supersedes the four issued WED documents.</t>
        </is>
      </c>
      <c r="H1015" s="313" t="inlineStr">
        <is>
          <t>specs/Potency_specifications_25_2026-09-17.pdf; apply_potency_grades.py; spec_attributes_2026-09-10.csv</t>
        </is>
      </c>
    </row>
    <row r="1016" ht="66" customHeight="1" s="70">
      <c r="A1016" s="311" t="inlineStr">
        <is>
          <t>OI-51</t>
        </is>
      </c>
      <c r="B1016" s="311" t="inlineStr">
        <is>
          <t>Register cell</t>
        </is>
      </c>
      <c r="C1016" s="314" t="inlineStr">
        <is>
          <t>open</t>
        </is>
      </c>
      <c r="D1016" s="313" t="inlineStr">
        <is>
          <t>Six release-register blocks file a CNP certificate under the in-house CoA's number and date</t>
        </is>
      </c>
      <c r="E1016"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16" s="313" t="inlineStr">
        <is>
          <t>The certificates print the CNP date; the register still prints the combined name and the in-house date.</t>
        </is>
      </c>
      <c r="G1016" s="313" t="inlineStr">
        <is>
          <t>Whether to correct the six register cells to the CNP code and its issue date (apply_register_corrections.py is the mechanism).</t>
        </is>
      </c>
      <c r="H1016" s="313" t="inlineStr">
        <is>
          <t>check_thc_consistency.py; apply_lab_attribution.py (R5); ingestion/ragflow/cache</t>
        </is>
      </c>
    </row>
    <row r="1017" ht="66" customHeight="1" s="70">
      <c r="A1017" s="311" t="inlineStr">
        <is>
          <t>OI-52</t>
        </is>
      </c>
      <c r="B1017" s="311" t="inlineStr">
        <is>
          <t>Result</t>
        </is>
      </c>
      <c r="C1017" s="314" t="inlineStr">
        <is>
          <t>open</t>
        </is>
      </c>
      <c r="D1017" s="313" t="inlineStr">
        <is>
          <t>Loss on drying: seven reissues cite an older document than the newest one on file for the lot</t>
        </is>
      </c>
      <c r="E1017"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17"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17" s="313" t="inlineStr">
        <is>
          <t>Does the ruling of 17.09.2026 reach loss on drying — should CoQ-PP_26-095 cite ППК25174 and CoQ-PP_26-153 cite 100-1-ГС/26? And does it reach every determination, as a standing rule, rather than being asked family by family?</t>
        </is>
      </c>
      <c r="H1017" s="313" t="inlineStr">
        <is>
          <t>apply_microbiology_retest.py; tracker/LoD_Check_2026-09-17.md; OI-51</t>
        </is>
      </c>
    </row>
    <row r="1018" ht="66" customHeight="1" s="70">
      <c r="A1018" s="311" t="inlineStr">
        <is>
          <t>OI-53</t>
        </is>
      </c>
      <c r="B1018" s="311" t="inlineStr">
        <is>
          <t>Result</t>
        </is>
      </c>
      <c r="C1018" s="314" t="inlineStr">
        <is>
          <t>open</t>
        </is>
      </c>
      <c r="D1018" s="313" t="inlineStr">
        <is>
          <t>Thirteen lots have no loss-on-drying determination at all — 26 certificates print “not tested”</t>
        </is>
      </c>
      <c r="E1018"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18" s="313" t="inlineStr">
        <is>
          <t>The two Wedding Cake certificates now print 6,8 % and cite 031-3-ГС/26. The other 26 certificates keep “not tested — no certificate covers it”, which is the truth of them. apply_lod_source.py is the standing rule and lod_check.py the census that shows it.</t>
        </is>
      </c>
      <c r="G1018" s="313" t="inlineStr">
        <is>
          <t>These thirteen lots need loss on drying determined — or a ruling that they are released without it. Farmahem’s ГС report is one parameter on one page and would close all thirteen in a single submission.</t>
        </is>
      </c>
      <c r="H1018" s="313" t="inlineStr">
        <is>
          <t>apply_lod_source.py; lod_check.py; tracker/LoD_Check_2026-09-17.md; intake_LoD031_2026-09-17; OI-42</t>
        </is>
      </c>
    </row>
    <row r="1019" ht="66" customHeight="1" s="70">
      <c r="A1019" s="311" t="inlineStr">
        <is>
          <t>OI-54</t>
        </is>
      </c>
      <c r="B1019" s="311" t="inlineStr">
        <is>
          <t>Result</t>
        </is>
      </c>
      <c r="C1019" s="315" t="inlineStr">
        <is>
          <t>ruled</t>
        </is>
      </c>
      <c r="D1019" s="313" t="inlineStr">
        <is>
          <t>Two release certificates were printing the retest of a determination instead of the release testing</t>
        </is>
      </c>
      <c r="E1019"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19"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19" s="313" t="inlineStr">
        <is>
          <t>Nothing — the Head of QC named the defect and the rule that fixes it is his own of 10.09.2026. Recorded so the next reader knows why two certificates changed.</t>
        </is>
      </c>
      <c r="H1019" s="313" t="inlineStr">
        <is>
          <t>apply_release_round.py; intake_release_round_2026-09-17; the reads of 471-0862-25 and 2471/2025 of 17.09.2026</t>
        </is>
      </c>
    </row>
    <row r="1020" ht="66" customHeight="1" s="70">
      <c r="A1020" s="311" t="inlineStr">
        <is>
          <t>OI-55</t>
        </is>
      </c>
      <c r="B1020" s="311" t="inlineStr">
        <is>
          <t>Result</t>
        </is>
      </c>
      <c r="C1020" s="314" t="inlineStr">
        <is>
          <t>open</t>
        </is>
      </c>
      <c r="D1020" s="313" t="inlineStr">
        <is>
          <t>P060382 has no heavy-metal, pesticide or loss-on-drying determination — searched again on 17.09.2026</t>
        </is>
      </c>
      <c r="E1020"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20" s="313" t="inlineStr">
        <is>
          <t>Nothing written. The certificate prints “not tested — no certificate covers it” for #8, #11 and #12 because that is the truth of the record.</t>
        </is>
      </c>
      <c r="G1020"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20" s="313" t="inlineStr">
        <is>
          <t>197-21-М/26 read 17.09.2026; cell_resolution_2026-09-09.tsv; PP_Spec_Parameter_Listing.xlsx; Drive lot folder P060382_SCR012603; OI-53</t>
        </is>
      </c>
    </row>
    <row r="1021" ht="66" customHeight="1" s="70">
      <c r="A1021" s="311" t="inlineStr">
        <is>
          <t>OI-56</t>
        </is>
      </c>
      <c r="B1021" s="311" t="inlineStr">
        <is>
          <t>Scope</t>
        </is>
      </c>
      <c r="C1021" s="314" t="inlineStr">
        <is>
          <t>open</t>
        </is>
      </c>
      <c r="D1021" s="313" t="inlineStr">
        <is>
          <t>The new tranche grouping of 18.09.2026 disagrees with the laboratory campaign for seven lots</t>
        </is>
      </c>
      <c r="E1021"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21"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1021"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21" s="313" t="inlineStr">
        <is>
          <t>Drive BY_P_FOLDERS T1/T2/T3 read 18.09.2026; tracker/TRANCHE_ASSIGNMENT_2026-09-18.md; tranche_assignment_2026-09-18.csv; sampling_dates.py; coq_reissue_scope_2026-09-15.csv</t>
        </is>
      </c>
    </row>
    <row r="1022" ht="66" customHeight="1" s="70">
      <c r="A1022" s="311" t="inlineStr">
        <is>
          <t>OI-57</t>
        </is>
      </c>
      <c r="B1022" s="311" t="inlineStr">
        <is>
          <t>Document</t>
        </is>
      </c>
      <c r="C1022" s="314" t="inlineStr">
        <is>
          <t>open</t>
        </is>
      </c>
      <c r="D1022" s="313" t="inlineStr">
        <is>
          <t>P060372 and P060362 — loss on drying, heavy metals and pesticides marked by hand with no certificate behind them</t>
        </is>
      </c>
      <c r="E1022"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22" s="313" t="inlineStr">
        <is>
          <t>The figures are recorded in intake_handmarked_2026-09-18/reads_handmarked.json and are NOT printed. The certificates keep [NT] for those three determinations.</t>
        </is>
      </c>
      <c r="G1022" s="313" t="inlineStr">
        <is>
          <t>One scan into eCoA_DATABASE closes it. Otherwise the two lots were never sent for loss on drying, metals or pesticides and need to be, or released explicitly without them — the same question as OI-53 and OI-55, on two more lots.</t>
        </is>
      </c>
      <c r="H1022" s="313" t="inlineStr">
        <is>
          <t>Photographs of 18.09.2026; cell_resolution_2026-09-09.tsv; Drive folders CC012603_P060372 and JD012603_P060362; tracker/HANDMARKED_CORRECTIONS_2026-09-18.md</t>
        </is>
      </c>
    </row>
    <row r="1023" ht="66" customHeight="1" s="70">
      <c r="A1023" s="311" t="inlineStr">
        <is>
          <t>OI-58</t>
        </is>
      </c>
      <c r="B1023" s="311" t="inlineStr">
        <is>
          <t>Desk status</t>
        </is>
      </c>
      <c r="C1023" s="315" t="inlineStr">
        <is>
          <t>ruled</t>
        </is>
      </c>
      <c r="D1023" s="313" t="inlineStr">
        <is>
          <t>The master workbook was said to be unbuildable. It was a missing flag</t>
        </is>
      </c>
      <c r="E1023"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23"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23" s="313" t="inlineStr">
        <is>
          <t>Nothing. The diagnosis was wrong and is corrected here so the record does not keep a working builder marked broken.</t>
        </is>
      </c>
      <c r="H1023" s="313" t="inlineStr">
        <is>
          <t>tracker/build_tracker_v8.py:382 (the guard), :428 (`if ICOA_RULE:`), :2432; tracker/HANDMARKED_CORRECTIONS_2026-09-18.md</t>
        </is>
      </c>
    </row>
    <row r="1024" ht="66" customHeight="1" s="70">
      <c r="A1024" s="311" t="inlineStr">
        <is>
          <t>OI-59</t>
        </is>
      </c>
      <c r="B1024" s="311" t="inlineStr">
        <is>
          <t>Document</t>
        </is>
      </c>
      <c r="C1024" s="314" t="inlineStr">
        <is>
          <t>open</t>
        </is>
      </c>
      <c r="D1024" s="313" t="inlineStr">
        <is>
          <t>Three certificates in the archive are missing their page 3 — the heavy metals</t>
        </is>
      </c>
      <c r="E1024"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24"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24" s="313" t="inlineStr">
        <is>
          <t>Re-scan the three certificates from the paper originals, or ask the Institute of Public Health for a fresh copy. Three lots' heavy metals depend on it.</t>
        </is>
      </c>
      <c r="H1024" s="313" t="inlineStr">
        <is>
          <t>intake_contaminants_2026-09-18/two_read_result.json; apply_contaminants.py</t>
        </is>
      </c>
    </row>
    <row r="1025" ht="66" customHeight="1" s="70">
      <c r="A1025" s="311" t="inlineStr">
        <is>
          <t>OI-60</t>
        </is>
      </c>
      <c r="B1025" s="311" t="inlineStr">
        <is>
          <t>Document</t>
        </is>
      </c>
      <c r="C1025" s="314" t="inlineStr">
        <is>
          <t>open</t>
        </is>
      </c>
      <c r="D1025" s="313" t="inlineStr">
        <is>
          <t>Eleven lots have no heavy-metal, mycotoxin or pesticide panel in the archive at all</t>
        </is>
      </c>
      <c r="E1025" s="313"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25" s="313" t="inlineStr">
        <is>
          <t>Nothing entered. A sibling sub-lot's certificate is not this lot's certificate, and the desk does not print a heavy-metal result no document reports. The certificates say so.</t>
        </is>
      </c>
      <c r="G1025" s="313" t="inlineStr">
        <is>
          <t>Either the panels were run and never filed — then the paper needs finding and scanning — or these lots were never sent for contaminant testing, and the Head of QC decides what a release certificate without heavy metals means for them.</t>
        </is>
      </c>
      <c r="H1025" s="313" t="inlineStr">
        <is>
          <t>intake_contaminants_2026-09-18/INTAKE_2026-09-18.md; apply_contaminants.py</t>
        </is>
      </c>
    </row>
    <row r="1028" ht="20" customHeight="1" s="70">
      <c r="A1028" s="264" t="inlineStr">
        <is>
          <t>NOT TESTED REVIEW</t>
        </is>
      </c>
    </row>
    <row r="1029">
      <c r="A1029" s="316" t="inlineStr">
        <is>
          <t>CoQ</t>
        </is>
      </c>
      <c r="B1029" s="316" t="inlineStr">
        <is>
          <t>Batch</t>
        </is>
      </c>
      <c r="C1029" s="316" t="inlineStr">
        <is>
          <t>Series</t>
        </is>
      </c>
      <c r="D1029" s="316" t="inlineStr">
        <is>
          <t>Parameter</t>
        </is>
      </c>
      <c r="E1029" s="316" t="inlineStr">
        <is>
          <t>Cell</t>
        </is>
      </c>
    </row>
    <row r="1030">
      <c r="A1030" s="256" t="inlineStr">
        <is>
          <t>CoQ-PP_26-001</t>
        </is>
      </c>
      <c r="B1030" s="256" t="inlineStr">
        <is>
          <t>CJ1024</t>
        </is>
      </c>
      <c r="C1030" s="256" t="inlineStr">
        <is>
          <t>release (predicted)</t>
        </is>
      </c>
      <c r="D1030" s="256" t="inlineStr">
        <is>
          <t>#6</t>
        </is>
      </c>
      <c r="E1030" s="257" t="inlineStr">
        <is>
          <t>n/t</t>
        </is>
      </c>
    </row>
    <row r="1031">
      <c r="A1031" s="256" t="inlineStr">
        <is>
          <t>CoQ-PP_26-001</t>
        </is>
      </c>
      <c r="B1031" s="256" t="inlineStr">
        <is>
          <t>CJ1024</t>
        </is>
      </c>
      <c r="C1031" s="256" t="inlineStr">
        <is>
          <t>release (predicted)</t>
        </is>
      </c>
      <c r="D1031" s="256" t="inlineStr">
        <is>
          <t>#10</t>
        </is>
      </c>
      <c r="E1031" s="257" t="inlineStr">
        <is>
          <t>750/2025 27.02.25 IJZ; n/t 10.1,10.3</t>
        </is>
      </c>
    </row>
    <row r="1032">
      <c r="A1032" s="256" t="inlineStr">
        <is>
          <t>CoQ-PP_26-002</t>
        </is>
      </c>
      <c r="B1032" s="256" t="inlineStr">
        <is>
          <t>BSS1024</t>
        </is>
      </c>
      <c r="C1032" s="256" t="inlineStr">
        <is>
          <t>release</t>
        </is>
      </c>
      <c r="D1032" s="256" t="inlineStr">
        <is>
          <t>#10</t>
        </is>
      </c>
      <c r="E1032" s="257" t="inlineStr">
        <is>
          <t>751/2025 27.02.25 IJZ; also 197-2-М/26; n/t 10.1,10.3</t>
        </is>
      </c>
    </row>
    <row r="1033">
      <c r="A1033" s="256" t="inlineStr">
        <is>
          <t>CoQ-PP_26-003</t>
        </is>
      </c>
      <c r="B1033" s="256" t="inlineStr">
        <is>
          <t>BG1024</t>
        </is>
      </c>
      <c r="C1033" s="256" t="inlineStr">
        <is>
          <t>release</t>
        </is>
      </c>
      <c r="D1033" s="256" t="inlineStr">
        <is>
          <t>#10</t>
        </is>
      </c>
      <c r="E1033" s="257" t="inlineStr">
        <is>
          <t>752/2025 27.02.25 IJZ; also 197-1-М/26; n/t 10.1,10.3</t>
        </is>
      </c>
    </row>
    <row r="1034">
      <c r="A1034" s="256" t="inlineStr">
        <is>
          <t>CoQ-PP_26-004</t>
        </is>
      </c>
      <c r="B1034" s="256" t="inlineStr">
        <is>
          <t>GG1024</t>
        </is>
      </c>
      <c r="C1034" s="256" t="inlineStr">
        <is>
          <t>release</t>
        </is>
      </c>
      <c r="D1034" s="256" t="inlineStr">
        <is>
          <t>#3</t>
        </is>
      </c>
      <c r="E1034" s="257" t="inlineStr">
        <is>
          <t>n/t</t>
        </is>
      </c>
    </row>
    <row r="1035">
      <c r="A1035" s="256" t="inlineStr">
        <is>
          <t>CoQ-PP_26-004</t>
        </is>
      </c>
      <c r="B1035" s="256" t="inlineStr">
        <is>
          <t>GG1024</t>
        </is>
      </c>
      <c r="C1035" s="256" t="inlineStr">
        <is>
          <t>release</t>
        </is>
      </c>
      <c r="D1035" s="256" t="inlineStr">
        <is>
          <t>#4</t>
        </is>
      </c>
      <c r="E1035" s="257" t="inlineStr">
        <is>
          <t>n/t</t>
        </is>
      </c>
    </row>
    <row r="1036">
      <c r="A1036" s="256" t="inlineStr">
        <is>
          <t>CoQ-PP_26-004</t>
        </is>
      </c>
      <c r="B1036" s="256" t="inlineStr">
        <is>
          <t>GG1024</t>
        </is>
      </c>
      <c r="C1036" s="256" t="inlineStr">
        <is>
          <t>release</t>
        </is>
      </c>
      <c r="D1036" s="256" t="inlineStr">
        <is>
          <t>#5</t>
        </is>
      </c>
      <c r="E1036" s="257" t="inlineStr">
        <is>
          <t>n/t</t>
        </is>
      </c>
    </row>
    <row r="1037">
      <c r="A1037" s="256" t="inlineStr">
        <is>
          <t>CoQ-PP_26-004</t>
        </is>
      </c>
      <c r="B1037" s="256" t="inlineStr">
        <is>
          <t>GG1024</t>
        </is>
      </c>
      <c r="C1037" s="256" t="inlineStr">
        <is>
          <t>release</t>
        </is>
      </c>
      <c r="D1037" s="256" t="inlineStr">
        <is>
          <t>#6</t>
        </is>
      </c>
      <c r="E1037" s="257" t="inlineStr">
        <is>
          <t>n/t</t>
        </is>
      </c>
    </row>
    <row r="1038">
      <c r="A1038" s="256" t="inlineStr">
        <is>
          <t>CoQ-PP_26-004</t>
        </is>
      </c>
      <c r="B1038" s="256" t="inlineStr">
        <is>
          <t>GG1024</t>
        </is>
      </c>
      <c r="C1038" s="256" t="inlineStr">
        <is>
          <t>release</t>
        </is>
      </c>
      <c r="D1038" s="256" t="inlineStr">
        <is>
          <t>#10</t>
        </is>
      </c>
      <c r="E1038" s="257" t="inlineStr">
        <is>
          <t>748/2025 04.03.25 IJZ; also 220-9-М/26; n/t 10.1,10.3</t>
        </is>
      </c>
    </row>
    <row r="1039">
      <c r="A1039" s="256" t="inlineStr">
        <is>
          <t>CoQ-PP_26-005</t>
        </is>
      </c>
      <c r="B1039" s="256" t="inlineStr">
        <is>
          <t>HPA1024</t>
        </is>
      </c>
      <c r="C1039" s="256" t="inlineStr">
        <is>
          <t>release</t>
        </is>
      </c>
      <c r="D1039" s="256" t="inlineStr">
        <is>
          <t>#3</t>
        </is>
      </c>
      <c r="E1039" s="257" t="inlineStr">
        <is>
          <t>n/t</t>
        </is>
      </c>
    </row>
    <row r="1040">
      <c r="A1040" s="256" t="inlineStr">
        <is>
          <t>CoQ-PP_26-005</t>
        </is>
      </c>
      <c r="B1040" s="256" t="inlineStr">
        <is>
          <t>HPA1024</t>
        </is>
      </c>
      <c r="C1040" s="256" t="inlineStr">
        <is>
          <t>release</t>
        </is>
      </c>
      <c r="D1040" s="256" t="inlineStr">
        <is>
          <t>#6</t>
        </is>
      </c>
      <c r="E1040" s="257" t="inlineStr">
        <is>
          <t>n/t</t>
        </is>
      </c>
    </row>
    <row r="1041">
      <c r="A1041" s="256" t="inlineStr">
        <is>
          <t>CoQ-PP_26-005</t>
        </is>
      </c>
      <c r="B1041" s="256" t="inlineStr">
        <is>
          <t>HPA1024</t>
        </is>
      </c>
      <c r="C1041" s="256" t="inlineStr">
        <is>
          <t>release</t>
        </is>
      </c>
      <c r="D1041" s="256" t="inlineStr">
        <is>
          <t>#8</t>
        </is>
      </c>
      <c r="E1041" s="257" t="inlineStr">
        <is>
          <t>n/t</t>
        </is>
      </c>
    </row>
    <row r="1042">
      <c r="A1042" s="256" t="inlineStr">
        <is>
          <t>CoQ-PP_26-005</t>
        </is>
      </c>
      <c r="B1042" s="256" t="inlineStr">
        <is>
          <t>HPA1024</t>
        </is>
      </c>
      <c r="C1042" s="256" t="inlineStr">
        <is>
          <t>release</t>
        </is>
      </c>
      <c r="D1042" s="256" t="inlineStr">
        <is>
          <t>#10</t>
        </is>
      </c>
      <c r="E1042" s="257" t="inlineStr">
        <is>
          <t>iCoA-PP_26-005 03.06.26 PP; also 197-13-М/26; n/t 10.1,10.3</t>
        </is>
      </c>
    </row>
    <row r="1043">
      <c r="A1043" s="256" t="inlineStr">
        <is>
          <t>CoQ-PP_26-006</t>
        </is>
      </c>
      <c r="B1043" s="256" t="inlineStr">
        <is>
          <t>OPM1024</t>
        </is>
      </c>
      <c r="C1043" s="256" t="inlineStr">
        <is>
          <t>release</t>
        </is>
      </c>
      <c r="D1043" s="256" t="inlineStr">
        <is>
          <t>#3</t>
        </is>
      </c>
      <c r="E1043" s="257" t="inlineStr">
        <is>
          <t>n/t</t>
        </is>
      </c>
    </row>
    <row r="1044">
      <c r="A1044" s="256" t="inlineStr">
        <is>
          <t>CoQ-PP_26-006</t>
        </is>
      </c>
      <c r="B1044" s="256" t="inlineStr">
        <is>
          <t>OPM1024</t>
        </is>
      </c>
      <c r="C1044" s="256" t="inlineStr">
        <is>
          <t>release</t>
        </is>
      </c>
      <c r="D1044" s="256" t="inlineStr">
        <is>
          <t>#6</t>
        </is>
      </c>
      <c r="E1044" s="257" t="inlineStr">
        <is>
          <t>n/t</t>
        </is>
      </c>
    </row>
    <row r="1045">
      <c r="A1045" s="256" t="inlineStr">
        <is>
          <t>CoQ-PP_26-006</t>
        </is>
      </c>
      <c r="B1045" s="256" t="inlineStr">
        <is>
          <t>OPM1024</t>
        </is>
      </c>
      <c r="C1045" s="256" t="inlineStr">
        <is>
          <t>release</t>
        </is>
      </c>
      <c r="D1045" s="256" t="inlineStr">
        <is>
          <t>#8</t>
        </is>
      </c>
      <c r="E1045" s="257" t="inlineStr">
        <is>
          <t>n/t</t>
        </is>
      </c>
    </row>
    <row r="1046">
      <c r="A1046" s="256" t="inlineStr">
        <is>
          <t>CoQ-PP_26-006</t>
        </is>
      </c>
      <c r="B1046" s="256" t="inlineStr">
        <is>
          <t>OPM1024</t>
        </is>
      </c>
      <c r="C1046" s="256" t="inlineStr">
        <is>
          <t>release</t>
        </is>
      </c>
      <c r="D1046" s="256" t="inlineStr">
        <is>
          <t>#10</t>
        </is>
      </c>
      <c r="E1046" s="257" t="inlineStr">
        <is>
          <t>iCoA-PP_26-006 03.06.26 PP; also 197-17-М/26; n/t 10.1,10.3</t>
        </is>
      </c>
    </row>
    <row r="1047">
      <c r="A1047" s="256" t="inlineStr">
        <is>
          <t>CoQ-PP_26-007</t>
        </is>
      </c>
      <c r="B1047" s="256" t="inlineStr">
        <is>
          <t>P050022 (GP0824_02)</t>
        </is>
      </c>
      <c r="C1047" s="256" t="inlineStr">
        <is>
          <t>release</t>
        </is>
      </c>
      <c r="D1047" s="256" t="inlineStr">
        <is>
          <t>#10</t>
        </is>
      </c>
      <c r="E1047" s="257" t="inlineStr">
        <is>
          <t>2471-2025 30.05.25 IJZ; also 197-11-М/26; n/t 10.1,10.3</t>
        </is>
      </c>
    </row>
    <row r="1048">
      <c r="A1048" s="256" t="inlineStr">
        <is>
          <t>CoQ-PP_26-008</t>
        </is>
      </c>
      <c r="B1048" s="256" t="inlineStr">
        <is>
          <t>P050012 (GG1024_02)</t>
        </is>
      </c>
      <c r="C1048" s="256" t="inlineStr">
        <is>
          <t>release (predicted)</t>
        </is>
      </c>
      <c r="D1048" s="256" t="inlineStr">
        <is>
          <t>#6</t>
        </is>
      </c>
      <c r="E1048" s="257" t="inlineStr">
        <is>
          <t>n/t</t>
        </is>
      </c>
    </row>
    <row r="1049">
      <c r="A1049" s="256" t="inlineStr">
        <is>
          <t>CoQ-PP_26-008</t>
        </is>
      </c>
      <c r="B1049" s="256" t="inlineStr">
        <is>
          <t>P050012 (GG1024_02)</t>
        </is>
      </c>
      <c r="C1049" s="256" t="inlineStr">
        <is>
          <t>release (predicted)</t>
        </is>
      </c>
      <c r="D1049" s="256" t="inlineStr">
        <is>
          <t>#10</t>
        </is>
      </c>
      <c r="E1049" s="257" t="inlineStr">
        <is>
          <t>2472/2025 30.05.25 IJZ; n/t 10.1,10.3</t>
        </is>
      </c>
    </row>
    <row r="1050">
      <c r="A1050" s="256" t="inlineStr">
        <is>
          <t>CoQ-PP_26-009</t>
        </is>
      </c>
      <c r="B1050" s="256" t="inlineStr">
        <is>
          <t>P050032 (MB0824_04)</t>
        </is>
      </c>
      <c r="C1050" s="256" t="inlineStr">
        <is>
          <t>release (predicted)</t>
        </is>
      </c>
      <c r="D1050" s="256" t="inlineStr">
        <is>
          <t>#6</t>
        </is>
      </c>
      <c r="E1050" s="257" t="inlineStr">
        <is>
          <t>n/t</t>
        </is>
      </c>
    </row>
    <row r="1051">
      <c r="A1051" s="256" t="inlineStr">
        <is>
          <t>CoQ-PP_26-009</t>
        </is>
      </c>
      <c r="B1051" s="256" t="inlineStr">
        <is>
          <t>P050032 (MB0824_04)</t>
        </is>
      </c>
      <c r="C1051" s="256" t="inlineStr">
        <is>
          <t>release (predicted)</t>
        </is>
      </c>
      <c r="D1051" s="256" t="inlineStr">
        <is>
          <t>#10</t>
        </is>
      </c>
      <c r="E1051" s="257" t="inlineStr">
        <is>
          <t>2157/2025 07.05.25 IJZ; n/t 10.1,10.3</t>
        </is>
      </c>
    </row>
    <row r="1052">
      <c r="A1052" s="256" t="inlineStr">
        <is>
          <t>CoQ-PP_26-010</t>
        </is>
      </c>
      <c r="B1052" s="256" t="inlineStr">
        <is>
          <t>P050042 (OMP1024_01)</t>
        </is>
      </c>
      <c r="C1052" s="256" t="inlineStr">
        <is>
          <t>release</t>
        </is>
      </c>
      <c r="D1052" s="256" t="inlineStr">
        <is>
          <t>#10</t>
        </is>
      </c>
      <c r="E1052" s="257" t="inlineStr">
        <is>
          <t>2156/2025 07.05.25 IJZ; also 220-21-М/26; n/t 10.1,10.3</t>
        </is>
      </c>
    </row>
    <row r="1053">
      <c r="A1053" s="256" t="inlineStr">
        <is>
          <t>CoQ-PP_26-011</t>
        </is>
      </c>
      <c r="B1053" s="256" t="inlineStr">
        <is>
          <t>P050052 (HPA1024_01)</t>
        </is>
      </c>
      <c r="C1053" s="256" t="inlineStr">
        <is>
          <t>release</t>
        </is>
      </c>
      <c r="D1053" s="256" t="inlineStr">
        <is>
          <t>#10</t>
        </is>
      </c>
      <c r="E1053" s="257" t="inlineStr">
        <is>
          <t>2995/2025 19.06.25 IJZ; also 197-14-М/26; n/t 10.1,10.3</t>
        </is>
      </c>
    </row>
    <row r="1054">
      <c r="A1054" s="256" t="inlineStr">
        <is>
          <t>CoQ-PP_26-012</t>
        </is>
      </c>
      <c r="B1054" s="256" t="inlineStr">
        <is>
          <t>P050062 (OPM1024_02)</t>
        </is>
      </c>
      <c r="C1054" s="256" t="inlineStr">
        <is>
          <t>release</t>
        </is>
      </c>
      <c r="D1054" s="256" t="inlineStr">
        <is>
          <t>#10</t>
        </is>
      </c>
      <c r="E1054" s="257" t="inlineStr">
        <is>
          <t>2994/2025 19.06.25 IJZ; also 197-18-М/26; n/t 10.1,10.3</t>
        </is>
      </c>
    </row>
    <row r="1055">
      <c r="A1055" s="256" t="inlineStr">
        <is>
          <t>CoQ-PP_26-013</t>
        </is>
      </c>
      <c r="B1055" s="256" t="inlineStr">
        <is>
          <t>P050072 (GP0824_03)</t>
        </is>
      </c>
      <c r="C1055" s="256" t="inlineStr">
        <is>
          <t>release</t>
        </is>
      </c>
      <c r="D1055" s="256" t="inlineStr">
        <is>
          <t>#10</t>
        </is>
      </c>
      <c r="E1055" s="257" t="inlineStr">
        <is>
          <t>3178/2025 26.06.25 IJZ; also 220-11-М/26; n/t 10.1,10.3</t>
        </is>
      </c>
    </row>
    <row r="1056">
      <c r="A1056" s="256" t="inlineStr">
        <is>
          <t>CoQ-PP_26-014</t>
        </is>
      </c>
      <c r="B1056" s="256" t="inlineStr">
        <is>
          <t>P050082 (OPM1024_03)</t>
        </is>
      </c>
      <c r="C1056" s="256" t="inlineStr">
        <is>
          <t>release</t>
        </is>
      </c>
      <c r="D1056" s="256" t="inlineStr">
        <is>
          <t>#10</t>
        </is>
      </c>
      <c r="E1056" s="257" t="inlineStr">
        <is>
          <t>3636/2025 28.07.25 IJZ; also 220-23-М/26; n/t 10.1,10.3</t>
        </is>
      </c>
    </row>
    <row r="1057">
      <c r="A1057" s="256" t="inlineStr">
        <is>
          <t>CoQ-PP_26-015</t>
        </is>
      </c>
      <c r="B1057" s="256" t="inlineStr">
        <is>
          <t>P050092 (GG1024_01)</t>
        </is>
      </c>
      <c r="C1057" s="256" t="inlineStr">
        <is>
          <t>release</t>
        </is>
      </c>
      <c r="D1057" s="256" t="inlineStr">
        <is>
          <t>#10</t>
        </is>
      </c>
      <c r="E1057" s="257" t="inlineStr">
        <is>
          <t>1766/2025 11.04.25 IJZ; also 197-9-М/26; n/t 10.1,10.3</t>
        </is>
      </c>
    </row>
    <row r="1058">
      <c r="A1058" s="256" t="inlineStr">
        <is>
          <t>CoQ-PP_26-016</t>
        </is>
      </c>
      <c r="B1058" s="256" t="inlineStr">
        <is>
          <t>P050102 (GP0824_01)</t>
        </is>
      </c>
      <c r="C1058" s="256" t="inlineStr">
        <is>
          <t>release (predicted)</t>
        </is>
      </c>
      <c r="D1058" s="256" t="inlineStr">
        <is>
          <t>#6</t>
        </is>
      </c>
      <c r="E1058" s="257" t="inlineStr">
        <is>
          <t>n/t</t>
        </is>
      </c>
    </row>
    <row r="1059">
      <c r="A1059" s="256" t="inlineStr">
        <is>
          <t>CoQ-PP_26-016</t>
        </is>
      </c>
      <c r="B1059" s="256" t="inlineStr">
        <is>
          <t>P050102 (GP0824_01)</t>
        </is>
      </c>
      <c r="C1059" s="256" t="inlineStr">
        <is>
          <t>release (predicted)</t>
        </is>
      </c>
      <c r="D1059" s="256" t="inlineStr">
        <is>
          <t>#10</t>
        </is>
      </c>
      <c r="E1059" s="257" t="inlineStr">
        <is>
          <t>1767/2025 11.04.25 IJZ; n/t 10.1,10.3</t>
        </is>
      </c>
    </row>
    <row r="1060">
      <c r="A1060" s="256" t="inlineStr">
        <is>
          <t>CoQ-PP_26-017</t>
        </is>
      </c>
      <c r="B1060" s="256" t="inlineStr">
        <is>
          <t>P050112 (MB0824_05)</t>
        </is>
      </c>
      <c r="C1060" s="256" t="inlineStr">
        <is>
          <t>release</t>
        </is>
      </c>
      <c r="D1060" s="256" t="inlineStr">
        <is>
          <t>#10</t>
        </is>
      </c>
      <c r="E1060" s="257" t="inlineStr">
        <is>
          <t>3638/2025 28.07.25 IJZ; also 220-20-М/26; n/t 10.1,10.3</t>
        </is>
      </c>
    </row>
    <row r="1061">
      <c r="A1061" s="256" t="inlineStr">
        <is>
          <t>CoQ-PP_26-018</t>
        </is>
      </c>
      <c r="B1061" s="256" t="inlineStr">
        <is>
          <t>P050122 (BSS1024_01)</t>
        </is>
      </c>
      <c r="C1061" s="256" t="inlineStr">
        <is>
          <t>release (predicted)</t>
        </is>
      </c>
      <c r="D1061" s="256" t="inlineStr">
        <is>
          <t>#6</t>
        </is>
      </c>
      <c r="E1061" s="257" t="inlineStr">
        <is>
          <t>n/t</t>
        </is>
      </c>
    </row>
    <row r="1062">
      <c r="A1062" s="256" t="inlineStr">
        <is>
          <t>CoQ-PP_26-018</t>
        </is>
      </c>
      <c r="B1062" s="256" t="inlineStr">
        <is>
          <t>P050122 (BSS1024_01)</t>
        </is>
      </c>
      <c r="C1062" s="256" t="inlineStr">
        <is>
          <t>release (predicted)</t>
        </is>
      </c>
      <c r="D1062" s="256" t="inlineStr">
        <is>
          <t>#10</t>
        </is>
      </c>
      <c r="E1062" s="257" t="inlineStr">
        <is>
          <t>3177/2025 26.06.25 IJZ; n/t 10.1,10.3</t>
        </is>
      </c>
    </row>
    <row r="1063">
      <c r="A1063" s="256" t="inlineStr">
        <is>
          <t>CoQ-PP_26-019</t>
        </is>
      </c>
      <c r="B1063" s="256" t="inlineStr">
        <is>
          <t>P050132 (OPM052501)</t>
        </is>
      </c>
      <c r="C1063" s="256" t="inlineStr">
        <is>
          <t>release (predicted)</t>
        </is>
      </c>
      <c r="D1063" s="256" t="inlineStr">
        <is>
          <t>#6</t>
        </is>
      </c>
      <c r="E1063" s="257" t="inlineStr">
        <is>
          <t>n/t</t>
        </is>
      </c>
    </row>
    <row r="1064">
      <c r="A1064" s="256" t="inlineStr">
        <is>
          <t>CoQ-PP_26-019</t>
        </is>
      </c>
      <c r="B1064" s="256" t="inlineStr">
        <is>
          <t>P050132 (OPM052501)</t>
        </is>
      </c>
      <c r="C1064" s="256" t="inlineStr">
        <is>
          <t>release (predicted)</t>
        </is>
      </c>
      <c r="D1064" s="256" t="inlineStr">
        <is>
          <t>#10</t>
        </is>
      </c>
      <c r="E1064" s="257" t="inlineStr">
        <is>
          <t>4157/2025 29.08.25 IJZ; n/t 10.1,10.3</t>
        </is>
      </c>
    </row>
    <row r="1065">
      <c r="A1065" s="256" t="inlineStr">
        <is>
          <t>CoQ-PP_26-020</t>
        </is>
      </c>
      <c r="B1065" s="256" t="inlineStr">
        <is>
          <t>P050152 (GP052501)</t>
        </is>
      </c>
      <c r="C1065" s="256" t="inlineStr">
        <is>
          <t>release</t>
        </is>
      </c>
      <c r="D1065" s="256" t="inlineStr">
        <is>
          <t>#10</t>
        </is>
      </c>
      <c r="E1065" s="257" t="inlineStr">
        <is>
          <t>4348/2025 15.09.25 IJZ; also 197-10-М/26; n/t 10.1,10.3</t>
        </is>
      </c>
    </row>
    <row r="1066">
      <c r="A1066" s="256" t="inlineStr">
        <is>
          <t>CoQ-PP_26-021</t>
        </is>
      </c>
      <c r="B1066" s="256" t="inlineStr">
        <is>
          <t>P050142 (BSS1024_01/2)</t>
        </is>
      </c>
      <c r="C1066" s="256" t="inlineStr">
        <is>
          <t>release (predicted)</t>
        </is>
      </c>
      <c r="D1066" s="256" t="inlineStr">
        <is>
          <t>#4</t>
        </is>
      </c>
      <c r="E1066" s="257" t="inlineStr">
        <is>
          <t>n/t</t>
        </is>
      </c>
    </row>
    <row r="1067">
      <c r="A1067" s="256" t="inlineStr">
        <is>
          <t>CoQ-PP_26-021</t>
        </is>
      </c>
      <c r="B1067" s="256" t="inlineStr">
        <is>
          <t>P050142 (BSS1024_01/2)</t>
        </is>
      </c>
      <c r="C1067" s="256" t="inlineStr">
        <is>
          <t>release (predicted)</t>
        </is>
      </c>
      <c r="D1067" s="256" t="inlineStr">
        <is>
          <t>#5</t>
        </is>
      </c>
      <c r="E1067" s="257" t="inlineStr">
        <is>
          <t>n/t</t>
        </is>
      </c>
    </row>
    <row r="1068">
      <c r="A1068" s="256" t="inlineStr">
        <is>
          <t>CoQ-PP_26-021</t>
        </is>
      </c>
      <c r="B1068" s="256" t="inlineStr">
        <is>
          <t>P050142 (BSS1024_01/2)</t>
        </is>
      </c>
      <c r="C1068" s="256" t="inlineStr">
        <is>
          <t>release (predicted)</t>
        </is>
      </c>
      <c r="D1068" s="256" t="inlineStr">
        <is>
          <t>#6</t>
        </is>
      </c>
      <c r="E1068" s="257" t="inlineStr">
        <is>
          <t>n/t</t>
        </is>
      </c>
    </row>
    <row r="1069">
      <c r="A1069" s="256" t="inlineStr">
        <is>
          <t>CoQ-PP_26-021</t>
        </is>
      </c>
      <c r="B1069" s="256" t="inlineStr">
        <is>
          <t>P050142 (BSS1024_01/2)</t>
        </is>
      </c>
      <c r="C1069" s="256" t="inlineStr">
        <is>
          <t>release (predicted)</t>
        </is>
      </c>
      <c r="D1069" s="256" t="inlineStr">
        <is>
          <t>#8</t>
        </is>
      </c>
      <c r="E1069" s="257" t="inlineStr">
        <is>
          <t>n/t</t>
        </is>
      </c>
    </row>
    <row r="1070">
      <c r="A1070" s="256" t="inlineStr">
        <is>
          <t>CoQ-PP_26-021</t>
        </is>
      </c>
      <c r="B1070" s="256" t="inlineStr">
        <is>
          <t>P050142 (BSS1024_01/2)</t>
        </is>
      </c>
      <c r="C1070" s="256" t="inlineStr">
        <is>
          <t>release (predicted)</t>
        </is>
      </c>
      <c r="D1070" s="256" t="inlineStr">
        <is>
          <t>#9</t>
        </is>
      </c>
      <c r="E1070" s="257" t="inlineStr">
        <is>
          <t>n/t</t>
        </is>
      </c>
    </row>
    <row r="1071">
      <c r="A1071" s="256" t="inlineStr">
        <is>
          <t>CoQ-PP_26-021</t>
        </is>
      </c>
      <c r="B1071" s="256" t="inlineStr">
        <is>
          <t>P050142 (BSS1024_01/2)</t>
        </is>
      </c>
      <c r="C1071" s="256" t="inlineStr">
        <is>
          <t>release (predicted)</t>
        </is>
      </c>
      <c r="D1071" s="256" t="inlineStr">
        <is>
          <t>#10</t>
        </is>
      </c>
      <c r="E1071" s="257" t="inlineStr">
        <is>
          <t>n/t</t>
        </is>
      </c>
    </row>
    <row r="1072">
      <c r="A1072" s="256" t="inlineStr">
        <is>
          <t>CoQ-PP_26-021</t>
        </is>
      </c>
      <c r="B1072" s="256" t="inlineStr">
        <is>
          <t>P050142 (BSS1024_01/2)</t>
        </is>
      </c>
      <c r="C1072" s="256" t="inlineStr">
        <is>
          <t>release (predicted)</t>
        </is>
      </c>
      <c r="D1072" s="256" t="inlineStr">
        <is>
          <t>#11</t>
        </is>
      </c>
      <c r="E1072" s="257" t="inlineStr">
        <is>
          <t>n/t</t>
        </is>
      </c>
    </row>
    <row r="1073">
      <c r="A1073" s="256" t="inlineStr">
        <is>
          <t>CoQ-PP_26-021</t>
        </is>
      </c>
      <c r="B1073" s="256" t="inlineStr">
        <is>
          <t>P050142 (BSS1024_01/2)</t>
        </is>
      </c>
      <c r="C1073" s="256" t="inlineStr">
        <is>
          <t>release (predicted)</t>
        </is>
      </c>
      <c r="D1073" s="256" t="inlineStr">
        <is>
          <t>#12</t>
        </is>
      </c>
      <c r="E1073" s="257" t="inlineStr">
        <is>
          <t>n/t</t>
        </is>
      </c>
    </row>
    <row r="1074">
      <c r="A1074" s="256" t="inlineStr">
        <is>
          <t>CoQ-PP_26-022</t>
        </is>
      </c>
      <c r="B1074" s="256" t="inlineStr">
        <is>
          <t>P050162 (CJ052501/01)</t>
        </is>
      </c>
      <c r="C1074" s="256" t="inlineStr">
        <is>
          <t>release</t>
        </is>
      </c>
      <c r="D1074" s="256" t="inlineStr">
        <is>
          <t>#10</t>
        </is>
      </c>
      <c r="E1074" s="257" t="inlineStr">
        <is>
          <t>4350/2025 15.09.25 IJZ; also 197-3-М/26; n/t 10.1,10.3</t>
        </is>
      </c>
    </row>
    <row r="1075">
      <c r="A1075" s="256" t="inlineStr">
        <is>
          <t>CoQ-PP_26-023</t>
        </is>
      </c>
      <c r="B1075" s="256" t="inlineStr">
        <is>
          <t>P050172 (CJ052501-2)</t>
        </is>
      </c>
      <c r="C1075" s="256" t="inlineStr">
        <is>
          <t>release (predicted)</t>
        </is>
      </c>
      <c r="D1075" s="256" t="inlineStr">
        <is>
          <t>#6</t>
        </is>
      </c>
      <c r="E1075" s="257" t="inlineStr">
        <is>
          <t>n/t</t>
        </is>
      </c>
    </row>
    <row r="1076">
      <c r="A1076" s="256" t="inlineStr">
        <is>
          <t>CoQ-PP_26-023</t>
        </is>
      </c>
      <c r="B1076" s="256" t="inlineStr">
        <is>
          <t>P050172 (CJ052501-2)</t>
        </is>
      </c>
      <c r="C1076" s="256" t="inlineStr">
        <is>
          <t>release (predicted)</t>
        </is>
      </c>
      <c r="D1076" s="256" t="inlineStr">
        <is>
          <t>#10</t>
        </is>
      </c>
      <c r="E1076" s="257" t="inlineStr">
        <is>
          <t>4349/2025 15.09.25 IJZ; n/t 10.1,10.3</t>
        </is>
      </c>
    </row>
    <row r="1077">
      <c r="A1077" s="256" t="inlineStr">
        <is>
          <t>CoQ-PP_26-024</t>
        </is>
      </c>
      <c r="B1077" s="256" t="inlineStr">
        <is>
          <t>P050182 (HPA052501)</t>
        </is>
      </c>
      <c r="C1077" s="256" t="inlineStr">
        <is>
          <t>release</t>
        </is>
      </c>
      <c r="D1077" s="256" t="inlineStr">
        <is>
          <t>#10</t>
        </is>
      </c>
      <c r="E1077" s="257" t="inlineStr">
        <is>
          <t>4352/2025 15.09.25 IJZ; also 220-15-М/26; n/t 10.1,10.3</t>
        </is>
      </c>
    </row>
    <row r="1078">
      <c r="A1078" s="256" t="inlineStr">
        <is>
          <t>CoQ-PP_26-025</t>
        </is>
      </c>
      <c r="B1078" s="256" t="inlineStr">
        <is>
          <t>P050192 (BSS052501)</t>
        </is>
      </c>
      <c r="C1078" s="256" t="inlineStr">
        <is>
          <t>release</t>
        </is>
      </c>
      <c r="D1078" s="256" t="inlineStr">
        <is>
          <t>#3</t>
        </is>
      </c>
      <c r="E1078" s="257" t="inlineStr">
        <is>
          <t>n/t</t>
        </is>
      </c>
    </row>
    <row r="1079">
      <c r="A1079" s="256" t="inlineStr">
        <is>
          <t>CoQ-PP_26-025</t>
        </is>
      </c>
      <c r="B1079" s="256" t="inlineStr">
        <is>
          <t>P050192 (BSS052501)</t>
        </is>
      </c>
      <c r="C1079" s="256" t="inlineStr">
        <is>
          <t>release</t>
        </is>
      </c>
      <c r="D1079" s="256" t="inlineStr">
        <is>
          <t>#6</t>
        </is>
      </c>
      <c r="E1079" s="257" t="inlineStr">
        <is>
          <t>n/t</t>
        </is>
      </c>
    </row>
    <row r="1080">
      <c r="A1080" s="256" t="inlineStr">
        <is>
          <t>CoQ-PP_26-025</t>
        </is>
      </c>
      <c r="B1080" s="256" t="inlineStr">
        <is>
          <t>P050192 (BSS052501)</t>
        </is>
      </c>
      <c r="C1080" s="256" t="inlineStr">
        <is>
          <t>release</t>
        </is>
      </c>
      <c r="D1080" s="256" t="inlineStr">
        <is>
          <t>#10</t>
        </is>
      </c>
      <c r="E1080" s="257" t="inlineStr">
        <is>
          <t>276-31-М/25 04.12.25 FHM-M; also 220-2-М/26; n/t 10.2</t>
        </is>
      </c>
    </row>
    <row r="1081">
      <c r="A1081" s="256" t="inlineStr">
        <is>
          <t>CoQ-PP_26-026</t>
        </is>
      </c>
      <c r="B1081" s="256" t="inlineStr">
        <is>
          <t>P050202 (GP062501)</t>
        </is>
      </c>
      <c r="C1081" s="256" t="inlineStr">
        <is>
          <t>release (predicted)</t>
        </is>
      </c>
      <c r="D1081" s="256" t="inlineStr">
        <is>
          <t>#3</t>
        </is>
      </c>
      <c r="E1081" s="257" t="inlineStr">
        <is>
          <t>n/t</t>
        </is>
      </c>
    </row>
    <row r="1082">
      <c r="A1082" s="256" t="inlineStr">
        <is>
          <t>CoQ-PP_26-026</t>
        </is>
      </c>
      <c r="B1082" s="256" t="inlineStr">
        <is>
          <t>P050202 (GP062501)</t>
        </is>
      </c>
      <c r="C1082" s="256" t="inlineStr">
        <is>
          <t>release (predicted)</t>
        </is>
      </c>
      <c r="D1082" s="256" t="inlineStr">
        <is>
          <t>#6</t>
        </is>
      </c>
      <c r="E1082" s="257" t="inlineStr">
        <is>
          <t>n/t</t>
        </is>
      </c>
    </row>
    <row r="1083">
      <c r="A1083" s="256" t="inlineStr">
        <is>
          <t>CoQ-PP_26-026</t>
        </is>
      </c>
      <c r="B1083" s="256" t="inlineStr">
        <is>
          <t>P050202 (GP062501)</t>
        </is>
      </c>
      <c r="C1083" s="256" t="inlineStr">
        <is>
          <t>release (predicted)</t>
        </is>
      </c>
      <c r="D1083" s="256" t="inlineStr">
        <is>
          <t>#10</t>
        </is>
      </c>
      <c r="E1083" s="257" t="inlineStr">
        <is>
          <t>4762/2025 08.10.25 IJZ; n/t 10.1,10.3</t>
        </is>
      </c>
    </row>
    <row r="1084">
      <c r="A1084" s="256" t="inlineStr">
        <is>
          <t>CoQ-PP_26-027</t>
        </is>
      </c>
      <c r="B1084" s="256" t="inlineStr">
        <is>
          <t>P050212 (CJ062501-2)</t>
        </is>
      </c>
      <c r="C1084" s="256" t="inlineStr">
        <is>
          <t>release (predicted)</t>
        </is>
      </c>
      <c r="D1084" s="256" t="inlineStr">
        <is>
          <t>#10</t>
        </is>
      </c>
      <c r="E1084" s="257" t="inlineStr">
        <is>
          <t>4908/2025 24.10.25 IJZ; also 197-4-М/26; n/t 10.1,10.3</t>
        </is>
      </c>
    </row>
    <row r="1085">
      <c r="A1085" s="256" t="inlineStr">
        <is>
          <t>CoQ-PP_26-028</t>
        </is>
      </c>
      <c r="B1085" s="256" t="inlineStr">
        <is>
          <t>P050222 (CJ062501/1)</t>
        </is>
      </c>
      <c r="C1085" s="256" t="inlineStr">
        <is>
          <t>release</t>
        </is>
      </c>
      <c r="D1085" s="256" t="inlineStr">
        <is>
          <t>#10</t>
        </is>
      </c>
      <c r="E1085" s="257" t="inlineStr">
        <is>
          <t>4907/2025 24.10.25 IJZ; also 220-3-М/26; n/t 10.1,10.3</t>
        </is>
      </c>
    </row>
    <row r="1086">
      <c r="A1086" s="256" t="inlineStr">
        <is>
          <t>CoQ-PP_26-029</t>
        </is>
      </c>
      <c r="B1086" s="256" t="inlineStr">
        <is>
          <t>P050252 (CJ072501)</t>
        </is>
      </c>
      <c r="C1086" s="256" t="inlineStr">
        <is>
          <t>release (predicted)</t>
        </is>
      </c>
      <c r="D1086" s="256" t="inlineStr">
        <is>
          <t>#6</t>
        </is>
      </c>
      <c r="E1086" s="257" t="inlineStr">
        <is>
          <t>n/t</t>
        </is>
      </c>
    </row>
    <row r="1087">
      <c r="A1087" s="256" t="inlineStr">
        <is>
          <t>CoQ-PP_26-029</t>
        </is>
      </c>
      <c r="B1087" s="256" t="inlineStr">
        <is>
          <t>P050252 (CJ072501)</t>
        </is>
      </c>
      <c r="C1087" s="256" t="inlineStr">
        <is>
          <t>release (predicted)</t>
        </is>
      </c>
      <c r="D1087" s="256" t="inlineStr">
        <is>
          <t>#10</t>
        </is>
      </c>
      <c r="E1087" s="257" t="inlineStr">
        <is>
          <t>5697/2025 02.12.25 IJZ; n/t 10.1,10.3</t>
        </is>
      </c>
    </row>
    <row r="1088">
      <c r="A1088" s="256" t="inlineStr">
        <is>
          <t>CoQ-PP_26-030</t>
        </is>
      </c>
      <c r="B1088" s="256" t="inlineStr">
        <is>
          <t>P050262 (WC072501)</t>
        </is>
      </c>
      <c r="C1088" s="256" t="inlineStr">
        <is>
          <t>release (predicted)</t>
        </is>
      </c>
      <c r="D1088" s="256" t="inlineStr">
        <is>
          <t>#6</t>
        </is>
      </c>
      <c r="E1088" s="257" t="inlineStr">
        <is>
          <t>n/t</t>
        </is>
      </c>
    </row>
    <row r="1089">
      <c r="A1089" s="256" t="inlineStr">
        <is>
          <t>CoQ-PP_26-030</t>
        </is>
      </c>
      <c r="B1089" s="256" t="inlineStr">
        <is>
          <t>P050262 (WC072501)</t>
        </is>
      </c>
      <c r="C1089" s="256" t="inlineStr">
        <is>
          <t>release (predicted)</t>
        </is>
      </c>
      <c r="D1089" s="256" t="inlineStr">
        <is>
          <t>#10</t>
        </is>
      </c>
      <c r="E1089" s="257" t="inlineStr">
        <is>
          <t>5699/2025 02.12.25 IJZ; n/t 10.1,10.3</t>
        </is>
      </c>
    </row>
    <row r="1090">
      <c r="A1090" s="256" t="inlineStr">
        <is>
          <t>CoQ-PP_26-031</t>
        </is>
      </c>
      <c r="B1090" s="256" t="inlineStr">
        <is>
          <t>P050272 (PM072501)</t>
        </is>
      </c>
      <c r="C1090" s="256" t="inlineStr">
        <is>
          <t>release (predicted)</t>
        </is>
      </c>
      <c r="D1090" s="256" t="inlineStr">
        <is>
          <t>#6</t>
        </is>
      </c>
      <c r="E1090" s="257" t="inlineStr">
        <is>
          <t>n/t</t>
        </is>
      </c>
    </row>
    <row r="1091">
      <c r="A1091" s="256" t="inlineStr">
        <is>
          <t>CoQ-PP_26-031</t>
        </is>
      </c>
      <c r="B1091" s="256" t="inlineStr">
        <is>
          <t>P050272 (PM072501)</t>
        </is>
      </c>
      <c r="C1091" s="256" t="inlineStr">
        <is>
          <t>release (predicted)</t>
        </is>
      </c>
      <c r="D1091" s="256" t="inlineStr">
        <is>
          <t>#10</t>
        </is>
      </c>
      <c r="E1091" s="257" t="inlineStr">
        <is>
          <t>5698/2025 02.12.25 IJZ; n/t 10.1,10.3</t>
        </is>
      </c>
    </row>
    <row r="1092">
      <c r="A1092" s="256" t="inlineStr">
        <is>
          <t>CoQ-PP_26-032</t>
        </is>
      </c>
      <c r="B1092" s="256" t="inlineStr">
        <is>
          <t>P050282 (CLE072501)</t>
        </is>
      </c>
      <c r="C1092" s="256" t="inlineStr">
        <is>
          <t>release</t>
        </is>
      </c>
      <c r="D1092" s="256" t="inlineStr">
        <is>
          <t>#10</t>
        </is>
      </c>
      <c r="E1092" s="257" t="inlineStr">
        <is>
          <t>5700/2025 02.12.25 IJZ; also 220-7-М/26; n/t 10.1,10.3</t>
        </is>
      </c>
    </row>
    <row r="1093">
      <c r="A1093" s="256" t="inlineStr">
        <is>
          <t>CoQ-PP_26-033</t>
        </is>
      </c>
      <c r="B1093" s="256" t="inlineStr">
        <is>
          <t>P050292 (GP072501-1)</t>
        </is>
      </c>
      <c r="C1093" s="256" t="inlineStr">
        <is>
          <t>release (predicted)</t>
        </is>
      </c>
      <c r="D1093" s="256" t="inlineStr">
        <is>
          <t>#6</t>
        </is>
      </c>
      <c r="E1093" s="257" t="inlineStr">
        <is>
          <t>n/t</t>
        </is>
      </c>
    </row>
    <row r="1094">
      <c r="A1094" s="256" t="inlineStr">
        <is>
          <t>CoQ-PP_26-033</t>
        </is>
      </c>
      <c r="B1094" s="256" t="inlineStr">
        <is>
          <t>P050292 (GP072501-1)</t>
        </is>
      </c>
      <c r="C1094" s="256" t="inlineStr">
        <is>
          <t>release (predicted)</t>
        </is>
      </c>
      <c r="D1094" s="256" t="inlineStr">
        <is>
          <t>#10</t>
        </is>
      </c>
      <c r="E1094" s="257" t="inlineStr">
        <is>
          <t>5886/2025 12.12.25 IJZ; n/t 10.1,10.3</t>
        </is>
      </c>
    </row>
    <row r="1095">
      <c r="A1095" s="256" t="inlineStr">
        <is>
          <t>CoQ-PP_26-034</t>
        </is>
      </c>
      <c r="B1095" s="256" t="inlineStr">
        <is>
          <t>P050302 (GP072501/2)</t>
        </is>
      </c>
      <c r="C1095" s="256" t="inlineStr">
        <is>
          <t>release</t>
        </is>
      </c>
      <c r="D1095" s="256" t="inlineStr">
        <is>
          <t>#10</t>
        </is>
      </c>
      <c r="E1095" s="257" t="inlineStr">
        <is>
          <t>5887/2025 12.12.25 IJZ; also 220-10-М/26; n/t 10.1,10.3</t>
        </is>
      </c>
    </row>
    <row r="1096">
      <c r="A1096" s="256" t="inlineStr">
        <is>
          <t>CoQ-PP_26-035</t>
        </is>
      </c>
      <c r="B1096" s="256" t="inlineStr">
        <is>
          <t>P050312 (GP082501/1)</t>
        </is>
      </c>
      <c r="C1096" s="256" t="inlineStr">
        <is>
          <t>release</t>
        </is>
      </c>
      <c r="D1096" s="256" t="inlineStr">
        <is>
          <t>#10</t>
        </is>
      </c>
      <c r="E1096" s="257" t="inlineStr">
        <is>
          <t>5888/2025 12.12.25 IJZ; also 220-12-М/26; n/t 10.1,10.3</t>
        </is>
      </c>
    </row>
    <row r="1097">
      <c r="A1097" s="256" t="inlineStr">
        <is>
          <t>CoQ-PP_26-036</t>
        </is>
      </c>
      <c r="B1097" s="256" t="inlineStr">
        <is>
          <t>P050322 (GP082501/2)</t>
        </is>
      </c>
      <c r="C1097" s="256" t="inlineStr">
        <is>
          <t>release</t>
        </is>
      </c>
      <c r="D1097" s="256" t="inlineStr">
        <is>
          <t>#10</t>
        </is>
      </c>
      <c r="E1097" s="257" t="inlineStr">
        <is>
          <t>5889/2025 12.12.25 IJZ; also 197-12-М/26; n/t 10.1,10.3</t>
        </is>
      </c>
    </row>
    <row r="1098">
      <c r="A1098" s="256" t="inlineStr">
        <is>
          <t>CoQ-PP_26-037</t>
        </is>
      </c>
      <c r="B1098" s="256" t="inlineStr">
        <is>
          <t>P060012 (WC082501)</t>
        </is>
      </c>
      <c r="C1098" s="256" t="inlineStr">
        <is>
          <t>release</t>
        </is>
      </c>
      <c r="D1098" s="256" t="inlineStr">
        <is>
          <t>#10</t>
        </is>
      </c>
      <c r="E1098" s="257" t="inlineStr">
        <is>
          <t>80/2026 02.02.26 IJZ; also 220-28-М/26; n/t 10.1,10.3</t>
        </is>
      </c>
    </row>
    <row r="1099">
      <c r="A1099" s="256" t="inlineStr">
        <is>
          <t>CoQ-PP_26-038</t>
        </is>
      </c>
      <c r="B1099" s="256" t="inlineStr">
        <is>
          <t>P060022 (CJ082501/1)</t>
        </is>
      </c>
      <c r="C1099" s="256" t="inlineStr">
        <is>
          <t>release</t>
        </is>
      </c>
      <c r="D1099" s="256" t="inlineStr">
        <is>
          <t>#10</t>
        </is>
      </c>
      <c r="E1099" s="257" t="inlineStr">
        <is>
          <t>81/2026 02.02.26 IJZ; also 220-4-М/26; n/t 10.1,10.3</t>
        </is>
      </c>
    </row>
    <row r="1100">
      <c r="A1100" s="256" t="inlineStr">
        <is>
          <t>CoQ-PP_26-039</t>
        </is>
      </c>
      <c r="B1100" s="256" t="inlineStr">
        <is>
          <t>P060032 (CJ082501/2)</t>
        </is>
      </c>
      <c r="C1100" s="256" t="inlineStr">
        <is>
          <t>release</t>
        </is>
      </c>
      <c r="D1100" s="256" t="inlineStr">
        <is>
          <t>#10</t>
        </is>
      </c>
      <c r="E1100" s="257" t="inlineStr">
        <is>
          <t>82/2026 02.02.26 IJZ; also 197-5-М/26; n/t 10.1,10.3</t>
        </is>
      </c>
    </row>
    <row r="1101">
      <c r="A1101" s="256" t="inlineStr">
        <is>
          <t>CoQ-PP_26-040</t>
        </is>
      </c>
      <c r="B1101" s="256" t="inlineStr">
        <is>
          <t>P060042 (OPM092501)</t>
        </is>
      </c>
      <c r="C1101" s="256" t="inlineStr">
        <is>
          <t>release</t>
        </is>
      </c>
      <c r="D1101" s="256" t="inlineStr">
        <is>
          <t>#10</t>
        </is>
      </c>
      <c r="E1101" s="257" t="inlineStr">
        <is>
          <t>87/2026 03.02.26 IJZ; also 220-22-М/26; n/t 10.1,10.3</t>
        </is>
      </c>
    </row>
    <row r="1102">
      <c r="A1102" s="256" t="inlineStr">
        <is>
          <t>CoQ-PP_26-041</t>
        </is>
      </c>
      <c r="B1102" s="256" t="inlineStr">
        <is>
          <t>P060052 (AB092501)</t>
        </is>
      </c>
      <c r="C1102" s="256" t="inlineStr">
        <is>
          <t>release (predicted)</t>
        </is>
      </c>
      <c r="D1102" s="256" t="inlineStr">
        <is>
          <t>#6</t>
        </is>
      </c>
      <c r="E1102" s="257" t="inlineStr">
        <is>
          <t>n/t</t>
        </is>
      </c>
    </row>
    <row r="1103">
      <c r="A1103" s="256" t="inlineStr">
        <is>
          <t>CoQ-PP_26-041</t>
        </is>
      </c>
      <c r="B1103" s="256" t="inlineStr">
        <is>
          <t>P060052 (AB092501)</t>
        </is>
      </c>
      <c r="C1103" s="256" t="inlineStr">
        <is>
          <t>release (predicted)</t>
        </is>
      </c>
      <c r="D1103" s="256" t="inlineStr">
        <is>
          <t>#10</t>
        </is>
      </c>
      <c r="E1103" s="257" t="inlineStr">
        <is>
          <t>84/2026 02.02.26 IJZ; n/t 10.1,10.3</t>
        </is>
      </c>
    </row>
    <row r="1104">
      <c r="A1104" s="256" t="inlineStr">
        <is>
          <t>CoQ-PP_26-042</t>
        </is>
      </c>
      <c r="B1104" s="256" t="inlineStr">
        <is>
          <t>P060062 (PM092501)</t>
        </is>
      </c>
      <c r="C1104" s="256" t="inlineStr">
        <is>
          <t>release</t>
        </is>
      </c>
      <c r="D1104" s="256" t="inlineStr">
        <is>
          <t>#10</t>
        </is>
      </c>
      <c r="E1104" s="257" t="inlineStr">
        <is>
          <t>83/2026 02.02.26 IJZ; also 197-20-М/26; n/t 10.1,10.3</t>
        </is>
      </c>
    </row>
    <row r="1105">
      <c r="A1105" s="256" t="inlineStr">
        <is>
          <t>CoQ-PP_26-043</t>
        </is>
      </c>
      <c r="B1105" s="256" t="inlineStr">
        <is>
          <t>P060072 (CJ092501)</t>
        </is>
      </c>
      <c r="C1105" s="256" t="inlineStr">
        <is>
          <t>release</t>
        </is>
      </c>
      <c r="D1105" s="256" t="inlineStr">
        <is>
          <t>#10</t>
        </is>
      </c>
      <c r="E1105" s="257" t="inlineStr">
        <is>
          <t>86/2026 02.02.26 IJZ; also 220-5-М/26; n/t 10.1,10.3</t>
        </is>
      </c>
    </row>
    <row r="1106">
      <c r="A1106" s="256" t="inlineStr">
        <is>
          <t>CoQ-PP_26-044</t>
        </is>
      </c>
      <c r="B1106" s="256" t="inlineStr">
        <is>
          <t>P060082 (SJ092501)</t>
        </is>
      </c>
      <c r="C1106" s="256" t="inlineStr">
        <is>
          <t>release</t>
        </is>
      </c>
      <c r="D1106" s="256" t="inlineStr">
        <is>
          <t>#10</t>
        </is>
      </c>
      <c r="E1106" s="257" t="inlineStr">
        <is>
          <t>85/2026 02.02.26 IJZ; also 220-27-М/26; n/t 10.1,10.3</t>
        </is>
      </c>
    </row>
    <row r="1107">
      <c r="A1107" s="256" t="inlineStr">
        <is>
          <t>CoQ-PP_26-045</t>
        </is>
      </c>
      <c r="B1107" s="256" t="inlineStr">
        <is>
          <t>P060092 (GP092501)</t>
        </is>
      </c>
      <c r="C1107" s="256" t="inlineStr">
        <is>
          <t>release</t>
        </is>
      </c>
      <c r="D1107" s="256" t="inlineStr">
        <is>
          <t>#10</t>
        </is>
      </c>
      <c r="E1107" s="257" t="inlineStr">
        <is>
          <t>88/2026 03.02.26 IJZ; also 220-13-М/26; n/t 10.1,10.3</t>
        </is>
      </c>
    </row>
    <row r="1108">
      <c r="A1108" s="256" t="inlineStr">
        <is>
          <t>CoQ-PP_26-046</t>
        </is>
      </c>
      <c r="B1108" s="256" t="inlineStr">
        <is>
          <t>P060102 (WED102501)</t>
        </is>
      </c>
      <c r="C1108" s="256" t="inlineStr">
        <is>
          <t>release (predicted)</t>
        </is>
      </c>
      <c r="D1108" s="256" t="inlineStr">
        <is>
          <t>#4</t>
        </is>
      </c>
      <c r="E1108" s="257" t="inlineStr">
        <is>
          <t>n/t</t>
        </is>
      </c>
    </row>
    <row r="1109">
      <c r="A1109" s="256" t="inlineStr">
        <is>
          <t>CoQ-PP_26-046</t>
        </is>
      </c>
      <c r="B1109" s="256" t="inlineStr">
        <is>
          <t>P060102 (WED102501)</t>
        </is>
      </c>
      <c r="C1109" s="256" t="inlineStr">
        <is>
          <t>release (predicted)</t>
        </is>
      </c>
      <c r="D1109" s="256" t="inlineStr">
        <is>
          <t>#5</t>
        </is>
      </c>
      <c r="E1109" s="257" t="inlineStr">
        <is>
          <t>n/t</t>
        </is>
      </c>
    </row>
    <row r="1110">
      <c r="A1110" s="256" t="inlineStr">
        <is>
          <t>CoQ-PP_26-046</t>
        </is>
      </c>
      <c r="B1110" s="256" t="inlineStr">
        <is>
          <t>P060102 (WED102501)</t>
        </is>
      </c>
      <c r="C1110" s="256" t="inlineStr">
        <is>
          <t>release (predicted)</t>
        </is>
      </c>
      <c r="D1110" s="256" t="inlineStr">
        <is>
          <t>#6</t>
        </is>
      </c>
      <c r="E1110" s="257" t="inlineStr">
        <is>
          <t>n/t</t>
        </is>
      </c>
    </row>
    <row r="1111">
      <c r="A1111" s="256" t="inlineStr">
        <is>
          <t>CoQ-PP_26-046</t>
        </is>
      </c>
      <c r="B1111" s="256" t="inlineStr">
        <is>
          <t>P060102 (WED102501)</t>
        </is>
      </c>
      <c r="C1111" s="256" t="inlineStr">
        <is>
          <t>release (predicted)</t>
        </is>
      </c>
      <c r="D1111" s="256" t="inlineStr">
        <is>
          <t>#9</t>
        </is>
      </c>
      <c r="E1111" s="257" t="inlineStr">
        <is>
          <t>n/t</t>
        </is>
      </c>
    </row>
    <row r="1112">
      <c r="A1112" s="256" t="inlineStr">
        <is>
          <t>CoQ-PP_26-046</t>
        </is>
      </c>
      <c r="B1112" s="256" t="inlineStr">
        <is>
          <t>P060102 (WED102501)</t>
        </is>
      </c>
      <c r="C1112" s="256" t="inlineStr">
        <is>
          <t>release (predicted)</t>
        </is>
      </c>
      <c r="D1112" s="256" t="inlineStr">
        <is>
          <t>#10</t>
        </is>
      </c>
      <c r="E1112" s="257" t="inlineStr">
        <is>
          <t>329/2026 11.02.26 IJZ; n/t 10.1,10.3</t>
        </is>
      </c>
    </row>
    <row r="1113">
      <c r="A1113" s="256" t="inlineStr">
        <is>
          <t>CoQ-PP_26-047</t>
        </is>
      </c>
      <c r="B1113" s="256" t="inlineStr">
        <is>
          <t>P060112 (PUM102501)</t>
        </is>
      </c>
      <c r="C1113" s="256" t="inlineStr">
        <is>
          <t>release</t>
        </is>
      </c>
      <c r="D1113" s="256" t="inlineStr">
        <is>
          <t>#4</t>
        </is>
      </c>
      <c r="E1113" s="257" t="inlineStr">
        <is>
          <t>n/t</t>
        </is>
      </c>
    </row>
    <row r="1114">
      <c r="A1114" s="256" t="inlineStr">
        <is>
          <t>CoQ-PP_26-047</t>
        </is>
      </c>
      <c r="B1114" s="256" t="inlineStr">
        <is>
          <t>P060112 (PUM102501)</t>
        </is>
      </c>
      <c r="C1114" s="256" t="inlineStr">
        <is>
          <t>release</t>
        </is>
      </c>
      <c r="D1114" s="256" t="inlineStr">
        <is>
          <t>#10</t>
        </is>
      </c>
      <c r="E1114" s="257" t="inlineStr">
        <is>
          <t>327/2026 11.02.26 IJZ; also 220-25-М/26; n/t 10.1,10.3</t>
        </is>
      </c>
    </row>
    <row r="1115">
      <c r="A1115" s="256" t="inlineStr">
        <is>
          <t>CoQ-PP_26-048</t>
        </is>
      </c>
      <c r="B1115" s="256" t="inlineStr">
        <is>
          <t>P060122 (ACC102501)</t>
        </is>
      </c>
      <c r="C1115" s="256" t="inlineStr">
        <is>
          <t>release</t>
        </is>
      </c>
      <c r="D1115" s="256" t="inlineStr">
        <is>
          <t>#10</t>
        </is>
      </c>
      <c r="E1115" s="257" t="inlineStr">
        <is>
          <t>326/2026 11.02.26 IJZ; also 220-1-М/26; n/t 10.1,10.3</t>
        </is>
      </c>
    </row>
    <row r="1116">
      <c r="A1116" s="256" t="inlineStr">
        <is>
          <t>CoQ-PP_26-049</t>
        </is>
      </c>
      <c r="B1116" s="256" t="inlineStr">
        <is>
          <t>P060132 (CF102501)</t>
        </is>
      </c>
      <c r="C1116" s="256" t="inlineStr">
        <is>
          <t>release</t>
        </is>
      </c>
      <c r="D1116" s="256" t="inlineStr">
        <is>
          <t>#10</t>
        </is>
      </c>
      <c r="E1116" s="257" t="inlineStr">
        <is>
          <t>330/2026 11.02.26 IJZ; also 220-6-М/26; n/t 10.1,10.3</t>
        </is>
      </c>
    </row>
    <row r="1117">
      <c r="A1117" s="256" t="inlineStr">
        <is>
          <t>CoQ-PP_26-050</t>
        </is>
      </c>
      <c r="B1117" s="256" t="inlineStr">
        <is>
          <t>P060142 (GRC102501/1)</t>
        </is>
      </c>
      <c r="C1117" s="256" t="inlineStr">
        <is>
          <t>release (predicted)</t>
        </is>
      </c>
      <c r="D1117" s="256" t="inlineStr">
        <is>
          <t>#4</t>
        </is>
      </c>
      <c r="E1117" s="257" t="inlineStr">
        <is>
          <t>n/t</t>
        </is>
      </c>
    </row>
    <row r="1118">
      <c r="A1118" s="256" t="inlineStr">
        <is>
          <t>CoQ-PP_26-050</t>
        </is>
      </c>
      <c r="B1118" s="256" t="inlineStr">
        <is>
          <t>P060142 (GRC102501/1)</t>
        </is>
      </c>
      <c r="C1118" s="256" t="inlineStr">
        <is>
          <t>release (predicted)</t>
        </is>
      </c>
      <c r="D1118" s="256" t="inlineStr">
        <is>
          <t>#5</t>
        </is>
      </c>
      <c r="E1118" s="257" t="inlineStr">
        <is>
          <t>n/t</t>
        </is>
      </c>
    </row>
    <row r="1119">
      <c r="A1119" s="256" t="inlineStr">
        <is>
          <t>CoQ-PP_26-050</t>
        </is>
      </c>
      <c r="B1119" s="256" t="inlineStr">
        <is>
          <t>P060142 (GRC102501/1)</t>
        </is>
      </c>
      <c r="C1119" s="256" t="inlineStr">
        <is>
          <t>release (predicted)</t>
        </is>
      </c>
      <c r="D1119" s="256" t="inlineStr">
        <is>
          <t>#6</t>
        </is>
      </c>
      <c r="E1119" s="257" t="inlineStr">
        <is>
          <t>n/t</t>
        </is>
      </c>
    </row>
    <row r="1120">
      <c r="A1120" s="256" t="inlineStr">
        <is>
          <t>CoQ-PP_26-050</t>
        </is>
      </c>
      <c r="B1120" s="256" t="inlineStr">
        <is>
          <t>P060142 (GRC102501/1)</t>
        </is>
      </c>
      <c r="C1120" s="256" t="inlineStr">
        <is>
          <t>release (predicted)</t>
        </is>
      </c>
      <c r="D1120" s="256" t="inlineStr">
        <is>
          <t>#8</t>
        </is>
      </c>
      <c r="E1120" s="257" t="inlineStr">
        <is>
          <t>n/t</t>
        </is>
      </c>
    </row>
    <row r="1121">
      <c r="A1121" s="256" t="inlineStr">
        <is>
          <t>CoQ-PP_26-050</t>
        </is>
      </c>
      <c r="B1121" s="256" t="inlineStr">
        <is>
          <t>P060142 (GRC102501/1)</t>
        </is>
      </c>
      <c r="C1121" s="256" t="inlineStr">
        <is>
          <t>release (predicted)</t>
        </is>
      </c>
      <c r="D1121" s="256" t="inlineStr">
        <is>
          <t>#9</t>
        </is>
      </c>
      <c r="E1121" s="257" t="inlineStr">
        <is>
          <t>n/t</t>
        </is>
      </c>
    </row>
    <row r="1122">
      <c r="A1122" s="256" t="inlineStr">
        <is>
          <t>CoQ-PP_26-050</t>
        </is>
      </c>
      <c r="B1122" s="256" t="inlineStr">
        <is>
          <t>P060142 (GRC102501/1)</t>
        </is>
      </c>
      <c r="C1122" s="256" t="inlineStr">
        <is>
          <t>release (predicted)</t>
        </is>
      </c>
      <c r="D1122" s="256" t="inlineStr">
        <is>
          <t>#10</t>
        </is>
      </c>
      <c r="E1122" s="257" t="inlineStr">
        <is>
          <t>n/t</t>
        </is>
      </c>
    </row>
    <row r="1123">
      <c r="A1123" s="256" t="inlineStr">
        <is>
          <t>CoQ-PP_26-050</t>
        </is>
      </c>
      <c r="B1123" s="256" t="inlineStr">
        <is>
          <t>P060142 (GRC102501/1)</t>
        </is>
      </c>
      <c r="C1123" s="256" t="inlineStr">
        <is>
          <t>release (predicted)</t>
        </is>
      </c>
      <c r="D1123" s="256" t="inlineStr">
        <is>
          <t>#11</t>
        </is>
      </c>
      <c r="E1123" s="257" t="inlineStr">
        <is>
          <t>n/t</t>
        </is>
      </c>
    </row>
    <row r="1124">
      <c r="A1124" s="256" t="inlineStr">
        <is>
          <t>CoQ-PP_26-050</t>
        </is>
      </c>
      <c r="B1124" s="256" t="inlineStr">
        <is>
          <t>P060142 (GRC102501/1)</t>
        </is>
      </c>
      <c r="C1124" s="256" t="inlineStr">
        <is>
          <t>release (predicted)</t>
        </is>
      </c>
      <c r="D1124" s="256" t="inlineStr">
        <is>
          <t>#12</t>
        </is>
      </c>
      <c r="E1124" s="257" t="inlineStr">
        <is>
          <t>n/t</t>
        </is>
      </c>
    </row>
    <row r="1125">
      <c r="A1125" s="256" t="inlineStr">
        <is>
          <t>CoQ-PP_26-051</t>
        </is>
      </c>
      <c r="B1125" s="256" t="inlineStr">
        <is>
          <t>P060152 (J31102501)</t>
        </is>
      </c>
      <c r="C1125" s="256" t="inlineStr">
        <is>
          <t>release</t>
        </is>
      </c>
      <c r="D1125" s="256" t="inlineStr">
        <is>
          <t>#10</t>
        </is>
      </c>
      <c r="E1125" s="257" t="inlineStr">
        <is>
          <t>1056/2026 09.03.26 IJZ; also 197-16-М/26; n/t 10.1,10.3</t>
        </is>
      </c>
    </row>
    <row r="1126">
      <c r="A1126" s="256" t="inlineStr">
        <is>
          <t>CoQ-PP_26-052</t>
        </is>
      </c>
      <c r="B1126" s="256" t="inlineStr">
        <is>
          <t>SJ102501</t>
        </is>
      </c>
      <c r="C1126" s="256" t="inlineStr">
        <is>
          <t>release (predicted)</t>
        </is>
      </c>
      <c r="D1126" s="256" t="inlineStr">
        <is>
          <t>#9</t>
        </is>
      </c>
      <c r="E1126" s="257" t="inlineStr">
        <is>
          <t>n/t</t>
        </is>
      </c>
    </row>
    <row r="1127">
      <c r="A1127" s="256" t="inlineStr">
        <is>
          <t>CoQ-PP_26-052</t>
        </is>
      </c>
      <c r="B1127" s="256" t="inlineStr">
        <is>
          <t>SJ102501</t>
        </is>
      </c>
      <c r="C1127" s="256" t="inlineStr">
        <is>
          <t>release (predicted)</t>
        </is>
      </c>
      <c r="D1127" s="256" t="inlineStr">
        <is>
          <t>#10</t>
        </is>
      </c>
      <c r="E1127" s="257" t="inlineStr">
        <is>
          <t>n/t</t>
        </is>
      </c>
    </row>
    <row r="1128">
      <c r="A1128" s="256" t="inlineStr">
        <is>
          <t>CoQ-PP_26-052</t>
        </is>
      </c>
      <c r="B1128" s="256" t="inlineStr">
        <is>
          <t>SJ102501</t>
        </is>
      </c>
      <c r="C1128" s="256" t="inlineStr">
        <is>
          <t>release (predicted)</t>
        </is>
      </c>
      <c r="D1128" s="256" t="inlineStr">
        <is>
          <t>#11</t>
        </is>
      </c>
      <c r="E1128" s="257" t="inlineStr">
        <is>
          <t>n/t</t>
        </is>
      </c>
    </row>
    <row r="1129">
      <c r="A1129" s="256" t="inlineStr">
        <is>
          <t>CoQ-PP_26-053</t>
        </is>
      </c>
      <c r="B1129" s="256" t="inlineStr">
        <is>
          <t>P060172 (KC102501)</t>
        </is>
      </c>
      <c r="C1129" s="256" t="inlineStr">
        <is>
          <t>release</t>
        </is>
      </c>
      <c r="D1129" s="256" t="inlineStr">
        <is>
          <t>#10</t>
        </is>
      </c>
      <c r="E1129" s="257" t="inlineStr">
        <is>
          <t>1058/2026 09.03.26 IJZ; also 220-19-М/26; n/t 10.1,10.3</t>
        </is>
      </c>
    </row>
    <row r="1130">
      <c r="A1130" s="256" t="inlineStr">
        <is>
          <t>CoQ-PP_26-054</t>
        </is>
      </c>
      <c r="B1130" s="256" t="inlineStr">
        <is>
          <t>P060182 (GRC102501/2)</t>
        </is>
      </c>
      <c r="C1130" s="256" t="inlineStr">
        <is>
          <t>release</t>
        </is>
      </c>
      <c r="D1130" s="256" t="inlineStr">
        <is>
          <t>#10</t>
        </is>
      </c>
      <c r="E1130" s="257" t="inlineStr">
        <is>
          <t>1060/2026 09.03.26 IJZ; also 220-14-М/26; n/t 10.1,10.3</t>
        </is>
      </c>
    </row>
    <row r="1131">
      <c r="A1131" s="256" t="inlineStr">
        <is>
          <t>CoQ-PP_26-055</t>
        </is>
      </c>
      <c r="B1131" s="256" t="inlineStr">
        <is>
          <t>SJ112501</t>
        </is>
      </c>
      <c r="C1131" s="256" t="inlineStr">
        <is>
          <t>release (predicted)</t>
        </is>
      </c>
      <c r="D1131" s="256" t="inlineStr">
        <is>
          <t>#9</t>
        </is>
      </c>
      <c r="E1131" s="257" t="inlineStr">
        <is>
          <t>n/t</t>
        </is>
      </c>
    </row>
    <row r="1132">
      <c r="A1132" s="256" t="inlineStr">
        <is>
          <t>CoQ-PP_26-055</t>
        </is>
      </c>
      <c r="B1132" s="256" t="inlineStr">
        <is>
          <t>SJ112501</t>
        </is>
      </c>
      <c r="C1132" s="256" t="inlineStr">
        <is>
          <t>release (predicted)</t>
        </is>
      </c>
      <c r="D1132" s="256" t="inlineStr">
        <is>
          <t>#10</t>
        </is>
      </c>
      <c r="E1132" s="257" t="inlineStr">
        <is>
          <t>1061/2026 09.03.26 IJZ; n/t 10.1,10.3</t>
        </is>
      </c>
    </row>
    <row r="1133">
      <c r="A1133" s="256" t="inlineStr">
        <is>
          <t>CoQ-PP_26-056</t>
        </is>
      </c>
      <c r="B1133" s="256" t="inlineStr">
        <is>
          <t>J31112501</t>
        </is>
      </c>
      <c r="C1133" s="256" t="inlineStr">
        <is>
          <t>release (predicted)</t>
        </is>
      </c>
      <c r="D1133" s="256" t="inlineStr">
        <is>
          <t>#9</t>
        </is>
      </c>
      <c r="E1133" s="257" t="inlineStr">
        <is>
          <t>n/t</t>
        </is>
      </c>
    </row>
    <row r="1134">
      <c r="A1134" s="256" t="inlineStr">
        <is>
          <t>CoQ-PP_26-056</t>
        </is>
      </c>
      <c r="B1134" s="256" t="inlineStr">
        <is>
          <t>J31112501</t>
        </is>
      </c>
      <c r="C1134" s="256" t="inlineStr">
        <is>
          <t>release (predicted)</t>
        </is>
      </c>
      <c r="D1134" s="256" t="inlineStr">
        <is>
          <t>#10</t>
        </is>
      </c>
      <c r="E1134" s="257" t="inlineStr">
        <is>
          <t>1057/2026 09.03.26 IJZ; n/t 10.1,10.3</t>
        </is>
      </c>
    </row>
    <row r="1135">
      <c r="A1135" s="256" t="inlineStr">
        <is>
          <t>CoQ-PP_26-057</t>
        </is>
      </c>
      <c r="B1135" s="256" t="inlineStr">
        <is>
          <t>P060212 (JD112501)</t>
        </is>
      </c>
      <c r="C1135" s="256" t="inlineStr">
        <is>
          <t>release</t>
        </is>
      </c>
      <c r="D1135" s="256" t="inlineStr">
        <is>
          <t>#10</t>
        </is>
      </c>
      <c r="E1135" s="257" t="inlineStr">
        <is>
          <t>2361/2026 30.04.26 IJZ; also 197-15-М/26; n/t 10.1,10.3</t>
        </is>
      </c>
    </row>
    <row r="1136">
      <c r="A1136" s="256" t="inlineStr">
        <is>
          <t>CoQ-PP_26-058</t>
        </is>
      </c>
      <c r="B1136" s="256" t="inlineStr">
        <is>
          <t>OPM112501</t>
        </is>
      </c>
      <c r="C1136" s="256" t="inlineStr">
        <is>
          <t>release (predicted)</t>
        </is>
      </c>
      <c r="D1136" s="256" t="inlineStr">
        <is>
          <t>#6</t>
        </is>
      </c>
      <c r="E1136" s="257" t="inlineStr">
        <is>
          <t>n/t</t>
        </is>
      </c>
    </row>
    <row r="1137">
      <c r="A1137" s="256" t="inlineStr">
        <is>
          <t>CoQ-PP_26-058</t>
        </is>
      </c>
      <c r="B1137" s="256" t="inlineStr">
        <is>
          <t>OPM112501</t>
        </is>
      </c>
      <c r="C1137" s="256" t="inlineStr">
        <is>
          <t>release (predicted)</t>
        </is>
      </c>
      <c r="D1137" s="256" t="inlineStr">
        <is>
          <t>#9</t>
        </is>
      </c>
      <c r="E1137" s="257" t="inlineStr">
        <is>
          <t>n/t</t>
        </is>
      </c>
    </row>
    <row r="1138">
      <c r="A1138" s="256" t="inlineStr">
        <is>
          <t>CoQ-PP_26-058</t>
        </is>
      </c>
      <c r="B1138" s="256" t="inlineStr">
        <is>
          <t>OPM112501</t>
        </is>
      </c>
      <c r="C1138" s="256" t="inlineStr">
        <is>
          <t>release (predicted)</t>
        </is>
      </c>
      <c r="D1138" s="256" t="inlineStr">
        <is>
          <t>#10</t>
        </is>
      </c>
      <c r="E1138" s="257" t="inlineStr">
        <is>
          <t>1062/2026 11.03.26 IJZ; n/t 10.1,10.3</t>
        </is>
      </c>
    </row>
    <row r="1139">
      <c r="A1139" s="256" t="inlineStr">
        <is>
          <t>CoQ-PP_26-059</t>
        </is>
      </c>
      <c r="B1139" s="256" t="inlineStr">
        <is>
          <t>P060232 (PM112501)</t>
        </is>
      </c>
      <c r="C1139" s="256" t="inlineStr">
        <is>
          <t>release</t>
        </is>
      </c>
      <c r="D1139" s="256" t="inlineStr">
        <is>
          <t>#10</t>
        </is>
      </c>
      <c r="E1139" s="257" t="inlineStr">
        <is>
          <t>1059/2026 09.03.26 IJZ; also 220-24-М/26; n/t 10.1,10.3</t>
        </is>
      </c>
    </row>
    <row r="1140">
      <c r="A1140" s="256" t="inlineStr">
        <is>
          <t>CoQ-PP_26-060</t>
        </is>
      </c>
      <c r="B1140" s="256" t="inlineStr">
        <is>
          <t>P060242 (OPM122501)</t>
        </is>
      </c>
      <c r="C1140" s="256" t="inlineStr">
        <is>
          <t>release</t>
        </is>
      </c>
      <c r="D1140" s="256" t="inlineStr">
        <is>
          <t>#10</t>
        </is>
      </c>
      <c r="E1140" s="257" t="inlineStr">
        <is>
          <t>1627/2026 23.04.26 IJZ; also 197-19-М/26; n/t 10.1,10.3</t>
        </is>
      </c>
    </row>
    <row r="1141">
      <c r="A1141" s="256" t="inlineStr">
        <is>
          <t>CoQ-PP_26-061</t>
        </is>
      </c>
      <c r="B1141" s="256" t="inlineStr">
        <is>
          <t>GG112501</t>
        </is>
      </c>
      <c r="C1141" s="256" t="inlineStr">
        <is>
          <t>release (predicted)</t>
        </is>
      </c>
      <c r="D1141" s="256" t="inlineStr">
        <is>
          <t>#6</t>
        </is>
      </c>
      <c r="E1141" s="257" t="inlineStr">
        <is>
          <t>n/t</t>
        </is>
      </c>
    </row>
    <row r="1142">
      <c r="A1142" s="256" t="inlineStr">
        <is>
          <t>CoQ-PP_26-061</t>
        </is>
      </c>
      <c r="B1142" s="256" t="inlineStr">
        <is>
          <t>GG112501</t>
        </is>
      </c>
      <c r="C1142" s="256" t="inlineStr">
        <is>
          <t>release (predicted)</t>
        </is>
      </c>
      <c r="D1142" s="256" t="inlineStr">
        <is>
          <t>#10</t>
        </is>
      </c>
      <c r="E1142" s="257" t="inlineStr">
        <is>
          <t>2358/2026 29.04.26 IJZ; n/t 10.1,10.3</t>
        </is>
      </c>
    </row>
    <row r="1143">
      <c r="A1143" s="256" t="inlineStr">
        <is>
          <t>CoQ-PP_26-062</t>
        </is>
      </c>
      <c r="B1143" s="256" t="inlineStr">
        <is>
          <t>J31122501</t>
        </is>
      </c>
      <c r="C1143" s="256" t="inlineStr">
        <is>
          <t>release (predicted)</t>
        </is>
      </c>
      <c r="D1143" s="256" t="inlineStr">
        <is>
          <t>#10</t>
        </is>
      </c>
      <c r="E1143" s="257" t="inlineStr">
        <is>
          <t>1628/2026 23.04.26 IJZ; also 1625/2026; n/t 10.1,10.3</t>
        </is>
      </c>
    </row>
    <row r="1144">
      <c r="A1144" s="256" t="inlineStr">
        <is>
          <t>CoQ-PP_26-063</t>
        </is>
      </c>
      <c r="B1144" s="256" t="inlineStr">
        <is>
          <t>CC112501</t>
        </is>
      </c>
      <c r="C1144" s="256" t="inlineStr">
        <is>
          <t>release (predicted)</t>
        </is>
      </c>
      <c r="D1144" s="256" t="inlineStr">
        <is>
          <t>#6</t>
        </is>
      </c>
      <c r="E1144" s="257" t="inlineStr">
        <is>
          <t>n/t</t>
        </is>
      </c>
    </row>
    <row r="1145">
      <c r="A1145" s="256" t="inlineStr">
        <is>
          <t>CoQ-PP_26-063</t>
        </is>
      </c>
      <c r="B1145" s="256" t="inlineStr">
        <is>
          <t>CC112501</t>
        </is>
      </c>
      <c r="C1145" s="256" t="inlineStr">
        <is>
          <t>release (predicted)</t>
        </is>
      </c>
      <c r="D1145" s="256" t="inlineStr">
        <is>
          <t>#10</t>
        </is>
      </c>
      <c r="E1145" s="257" t="inlineStr">
        <is>
          <t>2359/2026 29.04.26 IJZ; n/t 10.1,10.3</t>
        </is>
      </c>
    </row>
    <row r="1146">
      <c r="A1146" s="256" t="inlineStr">
        <is>
          <t>CoQ-PP_26-064</t>
        </is>
      </c>
      <c r="B1146" s="256" t="inlineStr">
        <is>
          <t>P060282 (SCR112501)</t>
        </is>
      </c>
      <c r="C1146" s="256" t="inlineStr">
        <is>
          <t>release</t>
        </is>
      </c>
      <c r="D1146" s="256" t="inlineStr">
        <is>
          <t>#10</t>
        </is>
      </c>
      <c r="E1146" s="257" t="inlineStr">
        <is>
          <t>2360/2026 29.04.26 IJZ; also 220-26-М/26; n/t 10.1,10.3</t>
        </is>
      </c>
    </row>
    <row r="1147">
      <c r="A1147" s="256" t="inlineStr">
        <is>
          <t>CoQ-PP_26-065</t>
        </is>
      </c>
      <c r="B1147" s="256" t="inlineStr">
        <is>
          <t>FB112501</t>
        </is>
      </c>
      <c r="C1147" s="256" t="inlineStr">
        <is>
          <t>release (predicted)</t>
        </is>
      </c>
      <c r="D1147" s="256" t="inlineStr">
        <is>
          <t>#6</t>
        </is>
      </c>
      <c r="E1147" s="257" t="inlineStr">
        <is>
          <t>n/t</t>
        </is>
      </c>
    </row>
    <row r="1148">
      <c r="A1148" s="256" t="inlineStr">
        <is>
          <t>CoQ-PP_26-065</t>
        </is>
      </c>
      <c r="B1148" s="256" t="inlineStr">
        <is>
          <t>FB112501</t>
        </is>
      </c>
      <c r="C1148" s="256" t="inlineStr">
        <is>
          <t>release (predicted)</t>
        </is>
      </c>
      <c r="D1148" s="256" t="inlineStr">
        <is>
          <t>#10</t>
        </is>
      </c>
      <c r="E1148" s="257" t="inlineStr">
        <is>
          <t>2357/2026 29.04.26 IJZ; n/t 10.1,10.3</t>
        </is>
      </c>
    </row>
    <row r="1149">
      <c r="A1149" s="256" t="inlineStr">
        <is>
          <t>CoQ-PP_26-066</t>
        </is>
      </c>
      <c r="B1149" s="256" t="inlineStr">
        <is>
          <t>GG012601</t>
        </is>
      </c>
      <c r="C1149" s="256" t="inlineStr">
        <is>
          <t>release (predicted)</t>
        </is>
      </c>
      <c r="D1149" s="256" t="inlineStr">
        <is>
          <t>#6</t>
        </is>
      </c>
      <c r="E1149" s="257" t="inlineStr">
        <is>
          <t>n/t</t>
        </is>
      </c>
    </row>
    <row r="1150">
      <c r="A1150" s="256" t="inlineStr">
        <is>
          <t>CoQ-PP_26-066</t>
        </is>
      </c>
      <c r="B1150" s="256" t="inlineStr">
        <is>
          <t>GG012601</t>
        </is>
      </c>
      <c r="C1150" s="256" t="inlineStr">
        <is>
          <t>release (predicted)</t>
        </is>
      </c>
      <c r="D1150" s="256" t="inlineStr">
        <is>
          <t>#10</t>
        </is>
      </c>
      <c r="E1150" s="257" t="inlineStr">
        <is>
          <t>2364/2026 30.04.26 IJZ; n/t 10.1,10.3</t>
        </is>
      </c>
    </row>
    <row r="1151">
      <c r="A1151" s="256" t="inlineStr">
        <is>
          <t>CoQ-PP_26-067</t>
        </is>
      </c>
      <c r="B1151" s="256" t="inlineStr">
        <is>
          <t>JD012601</t>
        </is>
      </c>
      <c r="C1151" s="256" t="inlineStr">
        <is>
          <t>release (predicted)</t>
        </is>
      </c>
      <c r="D1151" s="256" t="inlineStr">
        <is>
          <t>#6</t>
        </is>
      </c>
      <c r="E1151" s="257" t="inlineStr">
        <is>
          <t>n/t</t>
        </is>
      </c>
    </row>
    <row r="1152">
      <c r="A1152" s="256" t="inlineStr">
        <is>
          <t>CoQ-PP_26-067</t>
        </is>
      </c>
      <c r="B1152" s="256" t="inlineStr">
        <is>
          <t>JD012601</t>
        </is>
      </c>
      <c r="C1152" s="256" t="inlineStr">
        <is>
          <t>release (predicted)</t>
        </is>
      </c>
      <c r="D1152" s="256" t="inlineStr">
        <is>
          <t>#10</t>
        </is>
      </c>
      <c r="E1152" s="257" t="inlineStr">
        <is>
          <t>2363/2026 30.04.26 IJZ; n/t 10.1,10.3</t>
        </is>
      </c>
    </row>
    <row r="1153">
      <c r="A1153" s="256" t="inlineStr">
        <is>
          <t>CoQ-PP_26-068</t>
        </is>
      </c>
      <c r="B1153" s="256" t="inlineStr">
        <is>
          <t>P060332</t>
        </is>
      </c>
      <c r="C1153" s="256" t="inlineStr">
        <is>
          <t>release (predicted)</t>
        </is>
      </c>
      <c r="D1153" s="256" t="inlineStr">
        <is>
          <t>#4</t>
        </is>
      </c>
      <c r="E1153" s="257" t="inlineStr">
        <is>
          <t>n/t</t>
        </is>
      </c>
    </row>
    <row r="1154">
      <c r="A1154" s="256" t="inlineStr">
        <is>
          <t>CoQ-PP_26-068</t>
        </is>
      </c>
      <c r="B1154" s="256" t="inlineStr">
        <is>
          <t>P060332</t>
        </is>
      </c>
      <c r="C1154" s="256" t="inlineStr">
        <is>
          <t>release (predicted)</t>
        </is>
      </c>
      <c r="D1154" s="256" t="inlineStr">
        <is>
          <t>#5</t>
        </is>
      </c>
      <c r="E1154" s="257" t="inlineStr">
        <is>
          <t>n/t</t>
        </is>
      </c>
    </row>
    <row r="1155">
      <c r="A1155" s="256" t="inlineStr">
        <is>
          <t>CoQ-PP_26-068</t>
        </is>
      </c>
      <c r="B1155" s="256" t="inlineStr">
        <is>
          <t>P060332</t>
        </is>
      </c>
      <c r="C1155" s="256" t="inlineStr">
        <is>
          <t>release (predicted)</t>
        </is>
      </c>
      <c r="D1155" s="256" t="inlineStr">
        <is>
          <t>#6</t>
        </is>
      </c>
      <c r="E1155" s="257" t="inlineStr">
        <is>
          <t>n/t</t>
        </is>
      </c>
    </row>
    <row r="1156">
      <c r="A1156" s="256" t="inlineStr">
        <is>
          <t>CoQ-PP_26-068</t>
        </is>
      </c>
      <c r="B1156" s="256" t="inlineStr">
        <is>
          <t>P060332</t>
        </is>
      </c>
      <c r="C1156" s="256" t="inlineStr">
        <is>
          <t>release (predicted)</t>
        </is>
      </c>
      <c r="D1156" s="256" t="inlineStr">
        <is>
          <t>#8</t>
        </is>
      </c>
      <c r="E1156" s="257" t="inlineStr">
        <is>
          <t>n/t</t>
        </is>
      </c>
    </row>
    <row r="1157">
      <c r="A1157" s="256" t="inlineStr">
        <is>
          <t>CoQ-PP_26-068</t>
        </is>
      </c>
      <c r="B1157" s="256" t="inlineStr">
        <is>
          <t>P060332</t>
        </is>
      </c>
      <c r="C1157" s="256" t="inlineStr">
        <is>
          <t>release (predicted)</t>
        </is>
      </c>
      <c r="D1157" s="256" t="inlineStr">
        <is>
          <t>#10</t>
        </is>
      </c>
      <c r="E1157" s="257" t="inlineStr">
        <is>
          <t>n/t</t>
        </is>
      </c>
    </row>
    <row r="1158">
      <c r="A1158" s="256" t="inlineStr">
        <is>
          <t>CoQ-PP_26-068</t>
        </is>
      </c>
      <c r="B1158" s="256" t="inlineStr">
        <is>
          <t>P060332</t>
        </is>
      </c>
      <c r="C1158" s="256" t="inlineStr">
        <is>
          <t>release (predicted)</t>
        </is>
      </c>
      <c r="D1158" s="256" t="inlineStr">
        <is>
          <t>#11</t>
        </is>
      </c>
      <c r="E1158" s="257" t="inlineStr">
        <is>
          <t>n/t</t>
        </is>
      </c>
    </row>
    <row r="1159">
      <c r="A1159" s="256" t="inlineStr">
        <is>
          <t>CoQ-PP_26-068</t>
        </is>
      </c>
      <c r="B1159" s="256" t="inlineStr">
        <is>
          <t>P060332</t>
        </is>
      </c>
      <c r="C1159" s="256" t="inlineStr">
        <is>
          <t>release (predicted)</t>
        </is>
      </c>
      <c r="D1159" s="256" t="inlineStr">
        <is>
          <t>#12</t>
        </is>
      </c>
      <c r="E1159" s="257" t="inlineStr">
        <is>
          <t>n/t</t>
        </is>
      </c>
    </row>
    <row r="1160">
      <c r="A1160" s="256" t="inlineStr">
        <is>
          <t>CoQ-PP_26-069</t>
        </is>
      </c>
      <c r="B1160" s="256" t="inlineStr">
        <is>
          <t>P060322 (FB012601/1)</t>
        </is>
      </c>
      <c r="C1160" s="256" t="inlineStr">
        <is>
          <t>release</t>
        </is>
      </c>
      <c r="D1160" s="256" t="inlineStr">
        <is>
          <t>#10</t>
        </is>
      </c>
      <c r="E1160" s="257" t="inlineStr">
        <is>
          <t>2362/2026 30.04.26 IJZ; also 220-8-М/26; n/t 10.1,10.3</t>
        </is>
      </c>
    </row>
    <row r="1161">
      <c r="A1161" s="256" t="inlineStr">
        <is>
          <t>CoQ-PP_26-070</t>
        </is>
      </c>
      <c r="B1161" s="256" t="inlineStr">
        <is>
          <t>P060352 (FB012602)</t>
        </is>
      </c>
      <c r="C1161" s="256" t="inlineStr">
        <is>
          <t>release</t>
        </is>
      </c>
      <c r="D1161" s="256" t="inlineStr">
        <is>
          <t>#4</t>
        </is>
      </c>
      <c r="E1161" s="257" t="inlineStr">
        <is>
          <t>n/t</t>
        </is>
      </c>
    </row>
    <row r="1162">
      <c r="A1162" s="256" t="inlineStr">
        <is>
          <t>CoQ-PP_26-070</t>
        </is>
      </c>
      <c r="B1162" s="256" t="inlineStr">
        <is>
          <t>P060352 (FB012602)</t>
        </is>
      </c>
      <c r="C1162" s="256" t="inlineStr">
        <is>
          <t>release</t>
        </is>
      </c>
      <c r="D1162" s="256" t="inlineStr">
        <is>
          <t>#5</t>
        </is>
      </c>
      <c r="E1162" s="257" t="inlineStr">
        <is>
          <t>n/t</t>
        </is>
      </c>
    </row>
    <row r="1163">
      <c r="A1163" s="256" t="inlineStr">
        <is>
          <t>CoQ-PP_26-070</t>
        </is>
      </c>
      <c r="B1163" s="256" t="inlineStr">
        <is>
          <t>P060352 (FB012602)</t>
        </is>
      </c>
      <c r="C1163" s="256" t="inlineStr">
        <is>
          <t>release</t>
        </is>
      </c>
      <c r="D1163" s="256" t="inlineStr">
        <is>
          <t>#6</t>
        </is>
      </c>
      <c r="E1163" s="257" t="inlineStr">
        <is>
          <t>n/t</t>
        </is>
      </c>
    </row>
    <row r="1164">
      <c r="A1164" s="256" t="inlineStr">
        <is>
          <t>CoQ-PP_26-070</t>
        </is>
      </c>
      <c r="B1164" s="256" t="inlineStr">
        <is>
          <t>P060352 (FB012602)</t>
        </is>
      </c>
      <c r="C1164" s="256" t="inlineStr">
        <is>
          <t>release</t>
        </is>
      </c>
      <c r="D1164" s="256" t="inlineStr">
        <is>
          <t>#8</t>
        </is>
      </c>
      <c r="E1164" s="257" t="inlineStr">
        <is>
          <t>n/t</t>
        </is>
      </c>
    </row>
    <row r="1165">
      <c r="A1165" s="256" t="inlineStr">
        <is>
          <t>CoQ-PP_26-070</t>
        </is>
      </c>
      <c r="B1165" s="256" t="inlineStr">
        <is>
          <t>P060352 (FB012602)</t>
        </is>
      </c>
      <c r="C1165" s="256" t="inlineStr">
        <is>
          <t>release</t>
        </is>
      </c>
      <c r="D1165" s="256" t="inlineStr">
        <is>
          <t>#10</t>
        </is>
      </c>
      <c r="E1165" s="257" t="inlineStr">
        <is>
          <t>n/t</t>
        </is>
      </c>
    </row>
    <row r="1166">
      <c r="A1166" s="256" t="inlineStr">
        <is>
          <t>CoQ-PP_26-070</t>
        </is>
      </c>
      <c r="B1166" s="256" t="inlineStr">
        <is>
          <t>P060352 (FB012602)</t>
        </is>
      </c>
      <c r="C1166" s="256" t="inlineStr">
        <is>
          <t>release</t>
        </is>
      </c>
      <c r="D1166" s="256" t="inlineStr">
        <is>
          <t>#11</t>
        </is>
      </c>
      <c r="E1166" s="257" t="inlineStr">
        <is>
          <t>n/t</t>
        </is>
      </c>
    </row>
    <row r="1167">
      <c r="A1167" s="256" t="inlineStr">
        <is>
          <t>CoQ-PP_26-070</t>
        </is>
      </c>
      <c r="B1167" s="256" t="inlineStr">
        <is>
          <t>P060352 (FB012602)</t>
        </is>
      </c>
      <c r="C1167" s="256" t="inlineStr">
        <is>
          <t>release</t>
        </is>
      </c>
      <c r="D1167" s="256" t="inlineStr">
        <is>
          <t>#12</t>
        </is>
      </c>
      <c r="E1167" s="257" t="inlineStr">
        <is>
          <t>n/t</t>
        </is>
      </c>
    </row>
    <row r="1168">
      <c r="A1168" s="256" t="inlineStr">
        <is>
          <t>CoQ-PP_26-071</t>
        </is>
      </c>
      <c r="B1168" s="256" t="inlineStr">
        <is>
          <t>P060362 (JD012603/01)</t>
        </is>
      </c>
      <c r="C1168" s="256" t="inlineStr">
        <is>
          <t>release</t>
        </is>
      </c>
      <c r="D1168" s="256" t="inlineStr">
        <is>
          <t>#4</t>
        </is>
      </c>
      <c r="E1168" s="257" t="inlineStr">
        <is>
          <t>n/t</t>
        </is>
      </c>
    </row>
    <row r="1169">
      <c r="A1169" s="256" t="inlineStr">
        <is>
          <t>CoQ-PP_26-071</t>
        </is>
      </c>
      <c r="B1169" s="256" t="inlineStr">
        <is>
          <t>P060362 (JD012603/01)</t>
        </is>
      </c>
      <c r="C1169" s="256" t="inlineStr">
        <is>
          <t>release</t>
        </is>
      </c>
      <c r="D1169" s="256" t="inlineStr">
        <is>
          <t>#5</t>
        </is>
      </c>
      <c r="E1169" s="257" t="inlineStr">
        <is>
          <t>n/t</t>
        </is>
      </c>
    </row>
    <row r="1170">
      <c r="A1170" s="256" t="inlineStr">
        <is>
          <t>CoQ-PP_26-071</t>
        </is>
      </c>
      <c r="B1170" s="256" t="inlineStr">
        <is>
          <t>P060362 (JD012603/01)</t>
        </is>
      </c>
      <c r="C1170" s="256" t="inlineStr">
        <is>
          <t>release</t>
        </is>
      </c>
      <c r="D1170" s="256" t="inlineStr">
        <is>
          <t>#6</t>
        </is>
      </c>
      <c r="E1170" s="257" t="inlineStr">
        <is>
          <t>n/t</t>
        </is>
      </c>
    </row>
    <row r="1171">
      <c r="A1171" s="256" t="inlineStr">
        <is>
          <t>CoQ-PP_26-071</t>
        </is>
      </c>
      <c r="B1171" s="256" t="inlineStr">
        <is>
          <t>P060362 (JD012603/01)</t>
        </is>
      </c>
      <c r="C1171" s="256" t="inlineStr">
        <is>
          <t>release</t>
        </is>
      </c>
      <c r="D1171" s="256" t="inlineStr">
        <is>
          <t>#8</t>
        </is>
      </c>
      <c r="E1171" s="257" t="inlineStr">
        <is>
          <t>n/t</t>
        </is>
      </c>
    </row>
    <row r="1172">
      <c r="A1172" s="256" t="inlineStr">
        <is>
          <t>CoQ-PP_26-071</t>
        </is>
      </c>
      <c r="B1172" s="256" t="inlineStr">
        <is>
          <t>P060362 (JD012603/01)</t>
        </is>
      </c>
      <c r="C1172" s="256" t="inlineStr">
        <is>
          <t>release</t>
        </is>
      </c>
      <c r="D1172" s="256" t="inlineStr">
        <is>
          <t>#10</t>
        </is>
      </c>
      <c r="E1172" s="257" t="inlineStr">
        <is>
          <t>n/t</t>
        </is>
      </c>
    </row>
    <row r="1173">
      <c r="A1173" s="256" t="inlineStr">
        <is>
          <t>CoQ-PP_26-071</t>
        </is>
      </c>
      <c r="B1173" s="256" t="inlineStr">
        <is>
          <t>P060362 (JD012603/01)</t>
        </is>
      </c>
      <c r="C1173" s="256" t="inlineStr">
        <is>
          <t>release</t>
        </is>
      </c>
      <c r="D1173" s="256" t="inlineStr">
        <is>
          <t>#11</t>
        </is>
      </c>
      <c r="E1173" s="257" t="inlineStr">
        <is>
          <t>n/t</t>
        </is>
      </c>
    </row>
    <row r="1174">
      <c r="A1174" s="256" t="inlineStr">
        <is>
          <t>CoQ-PP_26-071</t>
        </is>
      </c>
      <c r="B1174" s="256" t="inlineStr">
        <is>
          <t>P060362 (JD012603/01)</t>
        </is>
      </c>
      <c r="C1174" s="256" t="inlineStr">
        <is>
          <t>release</t>
        </is>
      </c>
      <c r="D1174" s="256" t="inlineStr">
        <is>
          <t>#12</t>
        </is>
      </c>
      <c r="E1174" s="257" t="inlineStr">
        <is>
          <t>n/t</t>
        </is>
      </c>
    </row>
    <row r="1175">
      <c r="A1175" s="256" t="inlineStr">
        <is>
          <t>CoQ-PP_26-072</t>
        </is>
      </c>
      <c r="B1175" s="256" t="inlineStr">
        <is>
          <t>P060372 (CC012603)</t>
        </is>
      </c>
      <c r="C1175" s="256" t="inlineStr">
        <is>
          <t>release</t>
        </is>
      </c>
      <c r="D1175" s="256" t="inlineStr">
        <is>
          <t>#4</t>
        </is>
      </c>
      <c r="E1175" s="257" t="inlineStr">
        <is>
          <t>n/t</t>
        </is>
      </c>
    </row>
    <row r="1176">
      <c r="A1176" s="256" t="inlineStr">
        <is>
          <t>CoQ-PP_26-072</t>
        </is>
      </c>
      <c r="B1176" s="256" t="inlineStr">
        <is>
          <t>P060372 (CC012603)</t>
        </is>
      </c>
      <c r="C1176" s="256" t="inlineStr">
        <is>
          <t>release</t>
        </is>
      </c>
      <c r="D1176" s="256" t="inlineStr">
        <is>
          <t>#5</t>
        </is>
      </c>
      <c r="E1176" s="257" t="inlineStr">
        <is>
          <t>n/t</t>
        </is>
      </c>
    </row>
    <row r="1177">
      <c r="A1177" s="256" t="inlineStr">
        <is>
          <t>CoQ-PP_26-072</t>
        </is>
      </c>
      <c r="B1177" s="256" t="inlineStr">
        <is>
          <t>P060372 (CC012603)</t>
        </is>
      </c>
      <c r="C1177" s="256" t="inlineStr">
        <is>
          <t>release</t>
        </is>
      </c>
      <c r="D1177" s="256" t="inlineStr">
        <is>
          <t>#6</t>
        </is>
      </c>
      <c r="E1177" s="257" t="inlineStr">
        <is>
          <t>n/t</t>
        </is>
      </c>
    </row>
    <row r="1178">
      <c r="A1178" s="256" t="inlineStr">
        <is>
          <t>CoQ-PP_26-072</t>
        </is>
      </c>
      <c r="B1178" s="256" t="inlineStr">
        <is>
          <t>P060372 (CC012603)</t>
        </is>
      </c>
      <c r="C1178" s="256" t="inlineStr">
        <is>
          <t>release</t>
        </is>
      </c>
      <c r="D1178" s="256" t="inlineStr">
        <is>
          <t>#8</t>
        </is>
      </c>
      <c r="E1178" s="257" t="inlineStr">
        <is>
          <t>n/t</t>
        </is>
      </c>
    </row>
    <row r="1179">
      <c r="A1179" s="256" t="inlineStr">
        <is>
          <t>CoQ-PP_26-072</t>
        </is>
      </c>
      <c r="B1179" s="256" t="inlineStr">
        <is>
          <t>P060372 (CC012603)</t>
        </is>
      </c>
      <c r="C1179" s="256" t="inlineStr">
        <is>
          <t>release</t>
        </is>
      </c>
      <c r="D1179" s="256" t="inlineStr">
        <is>
          <t>#10</t>
        </is>
      </c>
      <c r="E1179" s="257" t="inlineStr">
        <is>
          <t>n/t</t>
        </is>
      </c>
    </row>
    <row r="1180">
      <c r="A1180" s="256" t="inlineStr">
        <is>
          <t>CoQ-PP_26-072</t>
        </is>
      </c>
      <c r="B1180" s="256" t="inlineStr">
        <is>
          <t>P060372 (CC012603)</t>
        </is>
      </c>
      <c r="C1180" s="256" t="inlineStr">
        <is>
          <t>release</t>
        </is>
      </c>
      <c r="D1180" s="256" t="inlineStr">
        <is>
          <t>#11</t>
        </is>
      </c>
      <c r="E1180" s="257" t="inlineStr">
        <is>
          <t>n/t</t>
        </is>
      </c>
    </row>
    <row r="1181">
      <c r="A1181" s="256" t="inlineStr">
        <is>
          <t>CoQ-PP_26-072</t>
        </is>
      </c>
      <c r="B1181" s="256" t="inlineStr">
        <is>
          <t>P060372 (CC012603)</t>
        </is>
      </c>
      <c r="C1181" s="256" t="inlineStr">
        <is>
          <t>release</t>
        </is>
      </c>
      <c r="D1181" s="256" t="inlineStr">
        <is>
          <t>#12</t>
        </is>
      </c>
      <c r="E1181" s="257" t="inlineStr">
        <is>
          <t>n/t</t>
        </is>
      </c>
    </row>
    <row r="1182">
      <c r="A1182" s="256" t="inlineStr">
        <is>
          <t>CoQ-PP_26-073</t>
        </is>
      </c>
      <c r="B1182" s="256" t="inlineStr">
        <is>
          <t>P060342 (SCR012601)</t>
        </is>
      </c>
      <c r="C1182" s="256" t="inlineStr">
        <is>
          <t>release (predicted)</t>
        </is>
      </c>
      <c r="D1182" s="256" t="inlineStr">
        <is>
          <t>#4</t>
        </is>
      </c>
      <c r="E1182" s="257" t="inlineStr">
        <is>
          <t>n/t</t>
        </is>
      </c>
    </row>
    <row r="1183">
      <c r="A1183" s="256" t="inlineStr">
        <is>
          <t>CoQ-PP_26-073</t>
        </is>
      </c>
      <c r="B1183" s="256" t="inlineStr">
        <is>
          <t>P060342 (SCR012601)</t>
        </is>
      </c>
      <c r="C1183" s="256" t="inlineStr">
        <is>
          <t>release (predicted)</t>
        </is>
      </c>
      <c r="D1183" s="256" t="inlineStr">
        <is>
          <t>#5</t>
        </is>
      </c>
      <c r="E1183" s="257" t="inlineStr">
        <is>
          <t>n/t</t>
        </is>
      </c>
    </row>
    <row r="1184">
      <c r="A1184" s="256" t="inlineStr">
        <is>
          <t>CoQ-PP_26-073</t>
        </is>
      </c>
      <c r="B1184" s="256" t="inlineStr">
        <is>
          <t>P060342 (SCR012601)</t>
        </is>
      </c>
      <c r="C1184" s="256" t="inlineStr">
        <is>
          <t>release (predicted)</t>
        </is>
      </c>
      <c r="D1184" s="256" t="inlineStr">
        <is>
          <t>#6</t>
        </is>
      </c>
      <c r="E1184" s="257" t="inlineStr">
        <is>
          <t>n/t</t>
        </is>
      </c>
    </row>
    <row r="1185">
      <c r="A1185" s="256" t="inlineStr">
        <is>
          <t>CoQ-PP_26-073</t>
        </is>
      </c>
      <c r="B1185" s="256" t="inlineStr">
        <is>
          <t>P060342 (SCR012601)</t>
        </is>
      </c>
      <c r="C1185" s="256" t="inlineStr">
        <is>
          <t>release (predicted)</t>
        </is>
      </c>
      <c r="D1185" s="256" t="inlineStr">
        <is>
          <t>#8</t>
        </is>
      </c>
      <c r="E1185" s="257" t="inlineStr">
        <is>
          <t>n/t</t>
        </is>
      </c>
    </row>
    <row r="1186">
      <c r="A1186" s="256" t="inlineStr">
        <is>
          <t>CoQ-PP_26-073</t>
        </is>
      </c>
      <c r="B1186" s="256" t="inlineStr">
        <is>
          <t>P060342 (SCR012601)</t>
        </is>
      </c>
      <c r="C1186" s="256" t="inlineStr">
        <is>
          <t>release (predicted)</t>
        </is>
      </c>
      <c r="D1186" s="256" t="inlineStr">
        <is>
          <t>#9</t>
        </is>
      </c>
      <c r="E1186" s="257" t="inlineStr">
        <is>
          <t>n/t</t>
        </is>
      </c>
    </row>
    <row r="1187">
      <c r="A1187" s="256" t="inlineStr">
        <is>
          <t>CoQ-PP_26-073</t>
        </is>
      </c>
      <c r="B1187" s="256" t="inlineStr">
        <is>
          <t>P060342 (SCR012601)</t>
        </is>
      </c>
      <c r="C1187" s="256" t="inlineStr">
        <is>
          <t>release (predicted)</t>
        </is>
      </c>
      <c r="D1187" s="256" t="inlineStr">
        <is>
          <t>#10</t>
        </is>
      </c>
      <c r="E1187" s="257" t="inlineStr">
        <is>
          <t>n/t</t>
        </is>
      </c>
    </row>
    <row r="1188">
      <c r="A1188" s="256" t="inlineStr">
        <is>
          <t>CoQ-PP_26-073</t>
        </is>
      </c>
      <c r="B1188" s="256" t="inlineStr">
        <is>
          <t>P060342 (SCR012601)</t>
        </is>
      </c>
      <c r="C1188" s="256" t="inlineStr">
        <is>
          <t>release (predicted)</t>
        </is>
      </c>
      <c r="D1188" s="256" t="inlineStr">
        <is>
          <t>#11</t>
        </is>
      </c>
      <c r="E1188" s="257" t="inlineStr">
        <is>
          <t>n/t</t>
        </is>
      </c>
    </row>
    <row r="1189">
      <c r="A1189" s="256" t="inlineStr">
        <is>
          <t>CoQ-PP_26-073</t>
        </is>
      </c>
      <c r="B1189" s="256" t="inlineStr">
        <is>
          <t>P060342 (SCR012601)</t>
        </is>
      </c>
      <c r="C1189" s="256" t="inlineStr">
        <is>
          <t>release (predicted)</t>
        </is>
      </c>
      <c r="D1189" s="256" t="inlineStr">
        <is>
          <t>#12</t>
        </is>
      </c>
      <c r="E1189" s="257" t="inlineStr">
        <is>
          <t>n/t</t>
        </is>
      </c>
    </row>
    <row r="1190">
      <c r="A1190" s="256" t="inlineStr">
        <is>
          <t>CoQ-PP_26-074</t>
        </is>
      </c>
      <c r="B1190" s="256" t="inlineStr">
        <is>
          <t>P060382 (SCR012603)</t>
        </is>
      </c>
      <c r="C1190" s="256" t="inlineStr">
        <is>
          <t>release</t>
        </is>
      </c>
      <c r="D1190" s="256" t="inlineStr">
        <is>
          <t>#4</t>
        </is>
      </c>
      <c r="E1190" s="257" t="inlineStr">
        <is>
          <t>n/t</t>
        </is>
      </c>
    </row>
    <row r="1191">
      <c r="A1191" s="256" t="inlineStr">
        <is>
          <t>CoQ-PP_26-074</t>
        </is>
      </c>
      <c r="B1191" s="256" t="inlineStr">
        <is>
          <t>P060382 (SCR012603)</t>
        </is>
      </c>
      <c r="C1191" s="256" t="inlineStr">
        <is>
          <t>release</t>
        </is>
      </c>
      <c r="D1191" s="256" t="inlineStr">
        <is>
          <t>#5</t>
        </is>
      </c>
      <c r="E1191" s="257" t="inlineStr">
        <is>
          <t>n/t</t>
        </is>
      </c>
    </row>
    <row r="1192">
      <c r="A1192" s="256" t="inlineStr">
        <is>
          <t>CoQ-PP_26-074</t>
        </is>
      </c>
      <c r="B1192" s="256" t="inlineStr">
        <is>
          <t>P060382 (SCR012603)</t>
        </is>
      </c>
      <c r="C1192" s="256" t="inlineStr">
        <is>
          <t>release</t>
        </is>
      </c>
      <c r="D1192" s="256" t="inlineStr">
        <is>
          <t>#6</t>
        </is>
      </c>
      <c r="E1192" s="257" t="inlineStr">
        <is>
          <t>n/t</t>
        </is>
      </c>
    </row>
    <row r="1193">
      <c r="A1193" s="256" t="inlineStr">
        <is>
          <t>CoQ-PP_26-074</t>
        </is>
      </c>
      <c r="B1193" s="256" t="inlineStr">
        <is>
          <t>P060382 (SCR012603)</t>
        </is>
      </c>
      <c r="C1193" s="256" t="inlineStr">
        <is>
          <t>release</t>
        </is>
      </c>
      <c r="D1193" s="256" t="inlineStr">
        <is>
          <t>#8</t>
        </is>
      </c>
      <c r="E1193" s="257" t="inlineStr">
        <is>
          <t>n/t</t>
        </is>
      </c>
    </row>
    <row r="1194">
      <c r="A1194" s="256" t="inlineStr">
        <is>
          <t>CoQ-PP_26-074</t>
        </is>
      </c>
      <c r="B1194" s="256" t="inlineStr">
        <is>
          <t>P060382 (SCR012603)</t>
        </is>
      </c>
      <c r="C1194" s="256" t="inlineStr">
        <is>
          <t>release</t>
        </is>
      </c>
      <c r="D1194" s="256" t="inlineStr">
        <is>
          <t>#10</t>
        </is>
      </c>
      <c r="E1194" s="257" t="inlineStr">
        <is>
          <t>n/t</t>
        </is>
      </c>
    </row>
    <row r="1195">
      <c r="A1195" s="256" t="inlineStr">
        <is>
          <t>CoQ-PP_26-074</t>
        </is>
      </c>
      <c r="B1195" s="256" t="inlineStr">
        <is>
          <t>P060382 (SCR012603)</t>
        </is>
      </c>
      <c r="C1195" s="256" t="inlineStr">
        <is>
          <t>release</t>
        </is>
      </c>
      <c r="D1195" s="256" t="inlineStr">
        <is>
          <t>#11</t>
        </is>
      </c>
      <c r="E1195" s="257" t="inlineStr">
        <is>
          <t>n/t</t>
        </is>
      </c>
    </row>
    <row r="1196">
      <c r="A1196" s="256" t="inlineStr">
        <is>
          <t>CoQ-PP_26-074</t>
        </is>
      </c>
      <c r="B1196" s="256" t="inlineStr">
        <is>
          <t>P060382 (SCR012603)</t>
        </is>
      </c>
      <c r="C1196" s="256" t="inlineStr">
        <is>
          <t>release</t>
        </is>
      </c>
      <c r="D1196" s="256" t="inlineStr">
        <is>
          <t>#12</t>
        </is>
      </c>
      <c r="E1196" s="257" t="inlineStr">
        <is>
          <t>n/t</t>
        </is>
      </c>
    </row>
    <row r="1197">
      <c r="A1197" s="256" t="inlineStr">
        <is>
          <t>CoQ-PP_26-075</t>
        </is>
      </c>
      <c r="B1197" s="256" t="inlineStr">
        <is>
          <t>FB012603V</t>
        </is>
      </c>
      <c r="C1197" s="256" t="inlineStr">
        <is>
          <t>release (predicted)</t>
        </is>
      </c>
      <c r="D1197" s="256" t="inlineStr">
        <is>
          <t>#9</t>
        </is>
      </c>
      <c r="E1197" s="257" t="inlineStr">
        <is>
          <t>n/t</t>
        </is>
      </c>
    </row>
    <row r="1198">
      <c r="A1198" s="256" t="inlineStr">
        <is>
          <t>CoQ-PP_26-075</t>
        </is>
      </c>
      <c r="B1198" s="256" t="inlineStr">
        <is>
          <t>FB012603V</t>
        </is>
      </c>
      <c r="C1198" s="256" t="inlineStr">
        <is>
          <t>release (predicted)</t>
        </is>
      </c>
      <c r="D1198" s="256" t="inlineStr">
        <is>
          <t>#10</t>
        </is>
      </c>
      <c r="E1198" s="257" t="inlineStr">
        <is>
          <t>3663/2026 22.06.26 IJZ; n/t 10.1,10.3</t>
        </is>
      </c>
    </row>
    <row r="1199">
      <c r="A1199" s="256" t="inlineStr">
        <is>
          <t>CoQ-PP_26-076</t>
        </is>
      </c>
      <c r="B1199" s="256" t="inlineStr">
        <is>
          <t>P060422 (JD012603/02V)</t>
        </is>
      </c>
      <c r="C1199" s="256" t="inlineStr">
        <is>
          <t>release</t>
        </is>
      </c>
      <c r="D1199" s="256" t="inlineStr">
        <is>
          <t>#10</t>
        </is>
      </c>
      <c r="E1199" s="257" t="inlineStr">
        <is>
          <t>3662/2026 22.06.26 IJZ; also 220-18-М/26; n/t 10.1,10.3</t>
        </is>
      </c>
    </row>
    <row r="1200">
      <c r="A1200" s="256" t="inlineStr">
        <is>
          <t>CoQ-PP_26-077</t>
        </is>
      </c>
      <c r="B1200" s="256" t="inlineStr">
        <is>
          <t>P060402 (GG012603)</t>
        </is>
      </c>
      <c r="C1200" s="256" t="inlineStr">
        <is>
          <t>release</t>
        </is>
      </c>
      <c r="D1200" s="256" t="inlineStr">
        <is>
          <t>#10</t>
        </is>
      </c>
      <c r="E1200" s="257" t="inlineStr">
        <is>
          <t>3659/2026 22.06.26 IJZ; also 197-8-М/26; n/t 10.1,10.3</t>
        </is>
      </c>
    </row>
    <row r="1201">
      <c r="A1201" s="256" t="inlineStr">
        <is>
          <t>CoQ-PP_26-078</t>
        </is>
      </c>
      <c r="B1201" s="256" t="inlineStr">
        <is>
          <t>P060412 (JD012603/02)</t>
        </is>
      </c>
      <c r="C1201" s="256" t="inlineStr">
        <is>
          <t>release</t>
        </is>
      </c>
      <c r="D1201" s="256" t="inlineStr">
        <is>
          <t>#10</t>
        </is>
      </c>
      <c r="E1201" s="257" t="inlineStr">
        <is>
          <t>3660/2026 22.06.26 IJZ; also 220-17-М/26; n/t 10.1,10.3</t>
        </is>
      </c>
    </row>
    <row r="1202">
      <c r="A1202" s="256" t="inlineStr">
        <is>
          <t>CoQ-PP_26-079</t>
        </is>
      </c>
      <c r="B1202" s="256" t="inlineStr">
        <is>
          <t>FB012603</t>
        </is>
      </c>
      <c r="C1202" s="256" t="inlineStr">
        <is>
          <t>release (predicted)</t>
        </is>
      </c>
      <c r="D1202" s="256" t="inlineStr">
        <is>
          <t>#9</t>
        </is>
      </c>
      <c r="E1202" s="257" t="inlineStr">
        <is>
          <t>n/t</t>
        </is>
      </c>
    </row>
    <row r="1203">
      <c r="A1203" s="256" t="inlineStr">
        <is>
          <t>CoQ-PP_26-079</t>
        </is>
      </c>
      <c r="B1203" s="256" t="inlineStr">
        <is>
          <t>FB012603</t>
        </is>
      </c>
      <c r="C1203" s="256" t="inlineStr">
        <is>
          <t>release (predicted)</t>
        </is>
      </c>
      <c r="D1203" s="256" t="inlineStr">
        <is>
          <t>#10</t>
        </is>
      </c>
      <c r="E1203" s="257" t="inlineStr">
        <is>
          <t>3661/2026 22.06.26 IJZ; n/t 10.1,10.3</t>
        </is>
      </c>
    </row>
    <row r="1204">
      <c r="A1204" s="256" t="inlineStr">
        <is>
          <t>CoQ-PP_26-080</t>
        </is>
      </c>
      <c r="B1204" s="256" t="inlineStr">
        <is>
          <t>SCR022601</t>
        </is>
      </c>
      <c r="C1204" s="256" t="inlineStr">
        <is>
          <t>release (predicted)</t>
        </is>
      </c>
      <c r="D1204" s="256" t="inlineStr">
        <is>
          <t>#9</t>
        </is>
      </c>
      <c r="E1204" s="257" t="inlineStr">
        <is>
          <t>n/t</t>
        </is>
      </c>
    </row>
    <row r="1205">
      <c r="A1205" s="256" t="inlineStr">
        <is>
          <t>CoQ-PP_26-080</t>
        </is>
      </c>
      <c r="B1205" s="256" t="inlineStr">
        <is>
          <t>SCR022601</t>
        </is>
      </c>
      <c r="C1205" s="256" t="inlineStr">
        <is>
          <t>release (predicted)</t>
        </is>
      </c>
      <c r="D1205" s="256" t="inlineStr">
        <is>
          <t>#10</t>
        </is>
      </c>
      <c r="E1205" s="257" t="inlineStr">
        <is>
          <t>3657/2026 22.06.26 IJZ; n/t 10.1,10.3</t>
        </is>
      </c>
    </row>
    <row r="1206">
      <c r="A1206" s="256" t="inlineStr">
        <is>
          <t>CoQ-PP_26-081</t>
        </is>
      </c>
      <c r="B1206" s="256" t="inlineStr">
        <is>
          <t>FB032601</t>
        </is>
      </c>
      <c r="C1206" s="256" t="inlineStr">
        <is>
          <t>release (predicted)</t>
        </is>
      </c>
      <c r="D1206" s="256" t="inlineStr">
        <is>
          <t>#9</t>
        </is>
      </c>
      <c r="E1206" s="257" t="inlineStr">
        <is>
          <t>n/t</t>
        </is>
      </c>
    </row>
    <row r="1207">
      <c r="A1207" s="256" t="inlineStr">
        <is>
          <t>CoQ-PP_26-081</t>
        </is>
      </c>
      <c r="B1207" s="256" t="inlineStr">
        <is>
          <t>FB032601</t>
        </is>
      </c>
      <c r="C1207" s="256" t="inlineStr">
        <is>
          <t>release (predicted)</t>
        </is>
      </c>
      <c r="D1207" s="256" t="inlineStr">
        <is>
          <t>#10</t>
        </is>
      </c>
      <c r="E1207" s="257" t="inlineStr">
        <is>
          <t>3924/2026 20.07.26 IJZ; n/t 10.1,10.3</t>
        </is>
      </c>
    </row>
    <row r="1208">
      <c r="A1208" s="256" t="inlineStr">
        <is>
          <t>CoQ-PP_26-082</t>
        </is>
      </c>
      <c r="B1208" s="256" t="inlineStr">
        <is>
          <t>GG032601</t>
        </is>
      </c>
      <c r="C1208" s="256" t="inlineStr">
        <is>
          <t>release (predicted)</t>
        </is>
      </c>
      <c r="D1208" s="256" t="inlineStr">
        <is>
          <t>#9</t>
        </is>
      </c>
      <c r="E1208" s="257" t="inlineStr">
        <is>
          <t>n/t</t>
        </is>
      </c>
    </row>
    <row r="1209">
      <c r="A1209" s="256" t="inlineStr">
        <is>
          <t>CoQ-PP_26-082</t>
        </is>
      </c>
      <c r="B1209" s="256" t="inlineStr">
        <is>
          <t>GG032601</t>
        </is>
      </c>
      <c r="C1209" s="256" t="inlineStr">
        <is>
          <t>release (predicted)</t>
        </is>
      </c>
      <c r="D1209" s="256" t="inlineStr">
        <is>
          <t>#10</t>
        </is>
      </c>
      <c r="E1209" s="257" t="inlineStr">
        <is>
          <t>3925/2026 20.07.26 IJZ; n/t 10.1,10.3</t>
        </is>
      </c>
    </row>
    <row r="1210">
      <c r="A1210" s="256" t="inlineStr">
        <is>
          <t>CoQ-PP_26-082</t>
        </is>
      </c>
      <c r="B1210" s="256" t="inlineStr">
        <is>
          <t>GG032601</t>
        </is>
      </c>
      <c r="C1210" s="256" t="inlineStr">
        <is>
          <t>release (predicted)</t>
        </is>
      </c>
      <c r="D1210" s="256" t="inlineStr">
        <is>
          <t>#11</t>
        </is>
      </c>
      <c r="E1210" s="257" t="inlineStr">
        <is>
          <t>n/t</t>
        </is>
      </c>
    </row>
    <row r="1211">
      <c r="A1211" s="256" t="inlineStr">
        <is>
          <t>CoQ-PP_26-083</t>
        </is>
      </c>
      <c r="B1211" s="256" t="inlineStr">
        <is>
          <t>JD022601</t>
        </is>
      </c>
      <c r="C1211" s="256" t="inlineStr">
        <is>
          <t>release (predicted)</t>
        </is>
      </c>
      <c r="D1211" s="256" t="inlineStr">
        <is>
          <t>#9</t>
        </is>
      </c>
      <c r="E1211" s="257" t="inlineStr">
        <is>
          <t>n/t</t>
        </is>
      </c>
    </row>
    <row r="1212">
      <c r="A1212" s="256" t="inlineStr">
        <is>
          <t>CoQ-PP_26-083</t>
        </is>
      </c>
      <c r="B1212" s="256" t="inlineStr">
        <is>
          <t>JD022601</t>
        </is>
      </c>
      <c r="C1212" s="256" t="inlineStr">
        <is>
          <t>release (predicted)</t>
        </is>
      </c>
      <c r="D1212" s="256" t="inlineStr">
        <is>
          <t>#10</t>
        </is>
      </c>
      <c r="E1212" s="257" t="inlineStr">
        <is>
          <t>3658/2026 22.06.26 IJZ; n/t 10.1,10.3</t>
        </is>
      </c>
    </row>
    <row r="1213">
      <c r="A1213" s="256" t="inlineStr">
        <is>
          <t>CoQ-PP_26-084</t>
        </is>
      </c>
      <c r="B1213" s="256" t="inlineStr">
        <is>
          <t>P060492 (JD042601)</t>
        </is>
      </c>
      <c r="C1213" s="256" t="inlineStr">
        <is>
          <t>release (predicted)</t>
        </is>
      </c>
      <c r="D1213" s="256" t="inlineStr">
        <is>
          <t>#4</t>
        </is>
      </c>
      <c r="E1213" s="257" t="inlineStr">
        <is>
          <t>n/t</t>
        </is>
      </c>
    </row>
    <row r="1214">
      <c r="A1214" s="256" t="inlineStr">
        <is>
          <t>CoQ-PP_26-084</t>
        </is>
      </c>
      <c r="B1214" s="256" t="inlineStr">
        <is>
          <t>P060492 (JD042601)</t>
        </is>
      </c>
      <c r="C1214" s="256" t="inlineStr">
        <is>
          <t>release (predicted)</t>
        </is>
      </c>
      <c r="D1214" s="256" t="inlineStr">
        <is>
          <t>#5</t>
        </is>
      </c>
      <c r="E1214" s="257" t="inlineStr">
        <is>
          <t>n/t</t>
        </is>
      </c>
    </row>
    <row r="1215">
      <c r="A1215" s="256" t="inlineStr">
        <is>
          <t>CoQ-PP_26-084</t>
        </is>
      </c>
      <c r="B1215" s="256" t="inlineStr">
        <is>
          <t>P060492 (JD042601)</t>
        </is>
      </c>
      <c r="C1215" s="256" t="inlineStr">
        <is>
          <t>release (predicted)</t>
        </is>
      </c>
      <c r="D1215" s="256" t="inlineStr">
        <is>
          <t>#6</t>
        </is>
      </c>
      <c r="E1215" s="257" t="inlineStr">
        <is>
          <t>n/t</t>
        </is>
      </c>
    </row>
    <row r="1216">
      <c r="A1216" s="256" t="inlineStr">
        <is>
          <t>CoQ-PP_26-084</t>
        </is>
      </c>
      <c r="B1216" s="256" t="inlineStr">
        <is>
          <t>P060492 (JD042601)</t>
        </is>
      </c>
      <c r="C1216" s="256" t="inlineStr">
        <is>
          <t>release (predicted)</t>
        </is>
      </c>
      <c r="D1216" s="256" t="inlineStr">
        <is>
          <t>#8</t>
        </is>
      </c>
      <c r="E1216" s="257" t="inlineStr">
        <is>
          <t>n/t</t>
        </is>
      </c>
    </row>
    <row r="1217">
      <c r="A1217" s="256" t="inlineStr">
        <is>
          <t>CoQ-PP_26-084</t>
        </is>
      </c>
      <c r="B1217" s="256" t="inlineStr">
        <is>
          <t>P060492 (JD042601)</t>
        </is>
      </c>
      <c r="C1217" s="256" t="inlineStr">
        <is>
          <t>release (predicted)</t>
        </is>
      </c>
      <c r="D1217" s="256" t="inlineStr">
        <is>
          <t>#9</t>
        </is>
      </c>
      <c r="E1217" s="257" t="inlineStr">
        <is>
          <t>n/t</t>
        </is>
      </c>
    </row>
    <row r="1218">
      <c r="A1218" s="256" t="inlineStr">
        <is>
          <t>CoQ-PP_26-084</t>
        </is>
      </c>
      <c r="B1218" s="256" t="inlineStr">
        <is>
          <t>P060492 (JD042601)</t>
        </is>
      </c>
      <c r="C1218" s="256" t="inlineStr">
        <is>
          <t>release (predicted)</t>
        </is>
      </c>
      <c r="D1218" s="256" t="inlineStr">
        <is>
          <t>#10</t>
        </is>
      </c>
      <c r="E1218" s="257" t="inlineStr">
        <is>
          <t>n/t</t>
        </is>
      </c>
    </row>
    <row r="1219">
      <c r="A1219" s="256" t="inlineStr">
        <is>
          <t>CoQ-PP_26-084</t>
        </is>
      </c>
      <c r="B1219" s="256" t="inlineStr">
        <is>
          <t>P060492 (JD042601)</t>
        </is>
      </c>
      <c r="C1219" s="256" t="inlineStr">
        <is>
          <t>release (predicted)</t>
        </is>
      </c>
      <c r="D1219" s="256" t="inlineStr">
        <is>
          <t>#11</t>
        </is>
      </c>
      <c r="E1219" s="257" t="inlineStr">
        <is>
          <t>n/t</t>
        </is>
      </c>
    </row>
    <row r="1220">
      <c r="A1220" s="256" t="inlineStr">
        <is>
          <t>CoQ-PP_26-084</t>
        </is>
      </c>
      <c r="B1220" s="256" t="inlineStr">
        <is>
          <t>P060492 (JD042601)</t>
        </is>
      </c>
      <c r="C1220" s="256" t="inlineStr">
        <is>
          <t>release (predicted)</t>
        </is>
      </c>
      <c r="D1220" s="256" t="inlineStr">
        <is>
          <t>#12</t>
        </is>
      </c>
      <c r="E1220" s="257" t="inlineStr">
        <is>
          <t>n/t</t>
        </is>
      </c>
    </row>
    <row r="1221">
      <c r="A1221" s="256" t="inlineStr">
        <is>
          <t>CoQ-PP_26-087</t>
        </is>
      </c>
      <c r="B1221" s="256" t="inlineStr">
        <is>
          <t>P060332</t>
        </is>
      </c>
      <c r="C1221" s="256" t="inlineStr">
        <is>
          <t>retest (predicted)</t>
        </is>
      </c>
      <c r="D1221" s="256" t="inlineStr">
        <is>
          <t>#8</t>
        </is>
      </c>
      <c r="E1221" s="257" t="inlineStr">
        <is>
          <t>n/t (initial)</t>
        </is>
      </c>
    </row>
    <row r="1222">
      <c r="A1222" s="256" t="inlineStr">
        <is>
          <t>CoQ-PP_26-087</t>
        </is>
      </c>
      <c r="B1222" s="256" t="inlineStr">
        <is>
          <t>P060332</t>
        </is>
      </c>
      <c r="C1222" s="256" t="inlineStr">
        <is>
          <t>retest (predicted)</t>
        </is>
      </c>
      <c r="D1222" s="256" t="inlineStr">
        <is>
          <t>#11</t>
        </is>
      </c>
      <c r="E1222" s="257" t="inlineStr">
        <is>
          <t>n/t (initial)</t>
        </is>
      </c>
    </row>
    <row r="1223">
      <c r="A1223" s="256" t="inlineStr">
        <is>
          <t>CoQ-PP_26-087</t>
        </is>
      </c>
      <c r="B1223" s="256" t="inlineStr">
        <is>
          <t>P060332</t>
        </is>
      </c>
      <c r="C1223" s="256" t="inlineStr">
        <is>
          <t>retest (predicted)</t>
        </is>
      </c>
      <c r="D1223" s="256" t="inlineStr">
        <is>
          <t>#12</t>
        </is>
      </c>
      <c r="E1223" s="257" t="inlineStr">
        <is>
          <t>n/t (initial)</t>
        </is>
      </c>
    </row>
    <row r="1224">
      <c r="A1224" s="256" t="inlineStr">
        <is>
          <t>CoQ-PP_26-090</t>
        </is>
      </c>
      <c r="B1224" s="256" t="inlineStr">
        <is>
          <t>P060352 (FB012602)</t>
        </is>
      </c>
      <c r="C1224" s="256" t="inlineStr">
        <is>
          <t>retest (predicted)</t>
        </is>
      </c>
      <c r="D1224" s="256" t="inlineStr">
        <is>
          <t>#8</t>
        </is>
      </c>
      <c r="E1224" s="257" t="inlineStr">
        <is>
          <t>n/t (initial)</t>
        </is>
      </c>
    </row>
    <row r="1225">
      <c r="A1225" s="256" t="inlineStr">
        <is>
          <t>CoQ-PP_26-090</t>
        </is>
      </c>
      <c r="B1225" s="256" t="inlineStr">
        <is>
          <t>P060352 (FB012602)</t>
        </is>
      </c>
      <c r="C1225" s="256" t="inlineStr">
        <is>
          <t>retest (predicted)</t>
        </is>
      </c>
      <c r="D1225" s="256" t="inlineStr">
        <is>
          <t>#11</t>
        </is>
      </c>
      <c r="E1225" s="257" t="inlineStr">
        <is>
          <t>n/t (initial)</t>
        </is>
      </c>
    </row>
    <row r="1226">
      <c r="A1226" s="256" t="inlineStr">
        <is>
          <t>CoQ-PP_26-090</t>
        </is>
      </c>
      <c r="B1226" s="256" t="inlineStr">
        <is>
          <t>P060352 (FB012602)</t>
        </is>
      </c>
      <c r="C1226" s="256" t="inlineStr">
        <is>
          <t>retest (predicted)</t>
        </is>
      </c>
      <c r="D1226" s="256" t="inlineStr">
        <is>
          <t>#12</t>
        </is>
      </c>
      <c r="E1226" s="257" t="inlineStr">
        <is>
          <t>n/t (initial)</t>
        </is>
      </c>
    </row>
    <row r="1227">
      <c r="A1227" s="256" t="inlineStr">
        <is>
          <t>CoQ-PP_26-096</t>
        </is>
      </c>
      <c r="B1227" s="256" t="inlineStr">
        <is>
          <t>HPA1024</t>
        </is>
      </c>
      <c r="C1227" s="256" t="inlineStr">
        <is>
          <t>retest</t>
        </is>
      </c>
      <c r="D1227" s="256" t="inlineStr">
        <is>
          <t>#8</t>
        </is>
      </c>
      <c r="E1227" s="257" t="inlineStr">
        <is>
          <t>n/t (initial)</t>
        </is>
      </c>
    </row>
    <row r="1228">
      <c r="A1228" s="256" t="inlineStr">
        <is>
          <t>CoQ-PP_26-100</t>
        </is>
      </c>
      <c r="B1228" s="256" t="inlineStr">
        <is>
          <t>OPM1024</t>
        </is>
      </c>
      <c r="C1228" s="256" t="inlineStr">
        <is>
          <t>retest</t>
        </is>
      </c>
      <c r="D1228" s="256" t="inlineStr">
        <is>
          <t>#8</t>
        </is>
      </c>
      <c r="E1228" s="257" t="inlineStr">
        <is>
          <t>n/t (initial)</t>
        </is>
      </c>
    </row>
    <row r="1229">
      <c r="A1229" s="256" t="inlineStr">
        <is>
          <t>CoQ-PP_26-104</t>
        </is>
      </c>
      <c r="B1229" s="256" t="inlineStr">
        <is>
          <t>P060382 (SCR012603)</t>
        </is>
      </c>
      <c r="C1229" s="256" t="inlineStr">
        <is>
          <t>retest (predicted)</t>
        </is>
      </c>
      <c r="D1229" s="256" t="inlineStr">
        <is>
          <t>#8</t>
        </is>
      </c>
      <c r="E1229" s="257" t="inlineStr">
        <is>
          <t>n/t (initial)</t>
        </is>
      </c>
    </row>
    <row r="1230">
      <c r="A1230" s="256" t="inlineStr">
        <is>
          <t>CoQ-PP_26-104</t>
        </is>
      </c>
      <c r="B1230" s="256" t="inlineStr">
        <is>
          <t>P060382 (SCR012603)</t>
        </is>
      </c>
      <c r="C1230" s="256" t="inlineStr">
        <is>
          <t>retest (predicted)</t>
        </is>
      </c>
      <c r="D1230" s="256" t="inlineStr">
        <is>
          <t>#11</t>
        </is>
      </c>
      <c r="E1230" s="257" t="inlineStr">
        <is>
          <t>n/t (initial)</t>
        </is>
      </c>
    </row>
    <row r="1231">
      <c r="A1231" s="256" t="inlineStr">
        <is>
          <t>CoQ-PP_26-104</t>
        </is>
      </c>
      <c r="B1231" s="256" t="inlineStr">
        <is>
          <t>P060382 (SCR012603)</t>
        </is>
      </c>
      <c r="C1231" s="256" t="inlineStr">
        <is>
          <t>retest (predicted)</t>
        </is>
      </c>
      <c r="D1231" s="256" t="inlineStr">
        <is>
          <t>#12</t>
        </is>
      </c>
      <c r="E1231" s="257" t="inlineStr">
        <is>
          <t>n/t (initial)</t>
        </is>
      </c>
    </row>
    <row r="1232">
      <c r="A1232" s="256" t="inlineStr">
        <is>
          <t>CoQ-PP_26-108</t>
        </is>
      </c>
      <c r="B1232" s="256" t="inlineStr">
        <is>
          <t>P060372 (CC012603)</t>
        </is>
      </c>
      <c r="C1232" s="256" t="inlineStr">
        <is>
          <t>retest (predicted)</t>
        </is>
      </c>
      <c r="D1232" s="256" t="inlineStr">
        <is>
          <t>#8</t>
        </is>
      </c>
      <c r="E1232" s="257" t="inlineStr">
        <is>
          <t>n/t (initial)</t>
        </is>
      </c>
    </row>
    <row r="1233">
      <c r="A1233" s="256" t="inlineStr">
        <is>
          <t>CoQ-PP_26-108</t>
        </is>
      </c>
      <c r="B1233" s="256" t="inlineStr">
        <is>
          <t>P060372 (CC012603)</t>
        </is>
      </c>
      <c r="C1233" s="256" t="inlineStr">
        <is>
          <t>retest (predicted)</t>
        </is>
      </c>
      <c r="D1233" s="256" t="inlineStr">
        <is>
          <t>#11</t>
        </is>
      </c>
      <c r="E1233" s="257" t="inlineStr">
        <is>
          <t>n/t (initial)</t>
        </is>
      </c>
    </row>
    <row r="1234">
      <c r="A1234" s="256" t="inlineStr">
        <is>
          <t>CoQ-PP_26-108</t>
        </is>
      </c>
      <c r="B1234" s="256" t="inlineStr">
        <is>
          <t>P060372 (CC012603)</t>
        </is>
      </c>
      <c r="C1234" s="256" t="inlineStr">
        <is>
          <t>retest (predicted)</t>
        </is>
      </c>
      <c r="D1234" s="256" t="inlineStr">
        <is>
          <t>#12</t>
        </is>
      </c>
      <c r="E1234" s="257" t="inlineStr">
        <is>
          <t>n/t (initial)</t>
        </is>
      </c>
    </row>
    <row r="1235">
      <c r="A1235" s="256" t="inlineStr">
        <is>
          <t>CoQ-PP_26-122</t>
        </is>
      </c>
      <c r="B1235" s="256" t="inlineStr">
        <is>
          <t>P060362 (JD012603/01)</t>
        </is>
      </c>
      <c r="C1235" s="256" t="inlineStr">
        <is>
          <t>retest (predicted)</t>
        </is>
      </c>
      <c r="D1235" s="256" t="inlineStr">
        <is>
          <t>#8</t>
        </is>
      </c>
      <c r="E1235" s="257" t="inlineStr">
        <is>
          <t>n/t (initial)</t>
        </is>
      </c>
    </row>
    <row r="1236">
      <c r="A1236" s="256" t="inlineStr">
        <is>
          <t>CoQ-PP_26-122</t>
        </is>
      </c>
      <c r="B1236" s="256" t="inlineStr">
        <is>
          <t>P060362 (JD012603/01)</t>
        </is>
      </c>
      <c r="C1236" s="256" t="inlineStr">
        <is>
          <t>retest (predicted)</t>
        </is>
      </c>
      <c r="D1236" s="256" t="inlineStr">
        <is>
          <t>#11</t>
        </is>
      </c>
      <c r="E1236" s="257" t="inlineStr">
        <is>
          <t>n/t (initial)</t>
        </is>
      </c>
    </row>
    <row r="1237">
      <c r="A1237" s="256" t="inlineStr">
        <is>
          <t>CoQ-PP_26-122</t>
        </is>
      </c>
      <c r="B1237" s="256" t="inlineStr">
        <is>
          <t>P060362 (JD012603/01)</t>
        </is>
      </c>
      <c r="C1237" s="256" t="inlineStr">
        <is>
          <t>retest (predicted)</t>
        </is>
      </c>
      <c r="D1237" s="256" t="inlineStr">
        <is>
          <t>#12</t>
        </is>
      </c>
      <c r="E1237" s="257" t="inlineStr">
        <is>
          <t>n/t (initial)</t>
        </is>
      </c>
    </row>
    <row r="1238">
      <c r="A1238" s="256" t="inlineStr">
        <is>
          <t>CoQ-PP_26-125</t>
        </is>
      </c>
      <c r="B1238" s="256" t="inlineStr">
        <is>
          <t>P060492 (JD042601)</t>
        </is>
      </c>
      <c r="C1238" s="256" t="inlineStr">
        <is>
          <t>retest (predicted)</t>
        </is>
      </c>
      <c r="D1238" s="256" t="inlineStr">
        <is>
          <t>#8</t>
        </is>
      </c>
      <c r="E1238" s="257" t="inlineStr">
        <is>
          <t>n/t (initial)</t>
        </is>
      </c>
    </row>
    <row r="1239">
      <c r="A1239" s="256" t="inlineStr">
        <is>
          <t>CoQ-PP_26-125</t>
        </is>
      </c>
      <c r="B1239" s="256" t="inlineStr">
        <is>
          <t>P060492 (JD042601)</t>
        </is>
      </c>
      <c r="C1239" s="256" t="inlineStr">
        <is>
          <t>retest (predicted)</t>
        </is>
      </c>
      <c r="D1239" s="256" t="inlineStr">
        <is>
          <t>#9</t>
        </is>
      </c>
      <c r="E1239" s="257" t="inlineStr">
        <is>
          <t>n/t (initial)</t>
        </is>
      </c>
    </row>
    <row r="1240">
      <c r="A1240" s="256" t="inlineStr">
        <is>
          <t>CoQ-PP_26-125</t>
        </is>
      </c>
      <c r="B1240" s="256" t="inlineStr">
        <is>
          <t>P060492 (JD042601)</t>
        </is>
      </c>
      <c r="C1240" s="256" t="inlineStr">
        <is>
          <t>retest (predicted)</t>
        </is>
      </c>
      <c r="D1240" s="256" t="inlineStr">
        <is>
          <t>#11</t>
        </is>
      </c>
      <c r="E1240" s="257" t="inlineStr">
        <is>
          <t>n/t (initial)</t>
        </is>
      </c>
    </row>
    <row r="1241">
      <c r="A1241" s="256" t="inlineStr">
        <is>
          <t>CoQ-PP_26-125</t>
        </is>
      </c>
      <c r="B1241" s="256" t="inlineStr">
        <is>
          <t>P060492 (JD042601)</t>
        </is>
      </c>
      <c r="C1241" s="256" t="inlineStr">
        <is>
          <t>retest (predicted)</t>
        </is>
      </c>
      <c r="D1241" s="256" t="inlineStr">
        <is>
          <t>#12</t>
        </is>
      </c>
      <c r="E1241" s="257" t="inlineStr">
        <is>
          <t>n/t (initial)</t>
        </is>
      </c>
    </row>
    <row r="1242">
      <c r="A1242" s="256" t="inlineStr">
        <is>
          <t>CoQ-PP_26-138</t>
        </is>
      </c>
      <c r="B1242" s="256" t="inlineStr">
        <is>
          <t>P050142 (BSS1024_01/2)</t>
        </is>
      </c>
      <c r="C1242" s="256" t="inlineStr">
        <is>
          <t>retest (predicted)</t>
        </is>
      </c>
      <c r="D1242" s="256" t="inlineStr">
        <is>
          <t>#8</t>
        </is>
      </c>
      <c r="E1242" s="257" t="inlineStr">
        <is>
          <t>n/t (initial)</t>
        </is>
      </c>
    </row>
    <row r="1243">
      <c r="A1243" s="256" t="inlineStr">
        <is>
          <t>CoQ-PP_26-138</t>
        </is>
      </c>
      <c r="B1243" s="256" t="inlineStr">
        <is>
          <t>P050142 (BSS1024_01/2)</t>
        </is>
      </c>
      <c r="C1243" s="256" t="inlineStr">
        <is>
          <t>retest (predicted)</t>
        </is>
      </c>
      <c r="D1243" s="256" t="inlineStr">
        <is>
          <t>#11</t>
        </is>
      </c>
      <c r="E1243" s="257" t="inlineStr">
        <is>
          <t>n/t (initial)</t>
        </is>
      </c>
    </row>
    <row r="1244">
      <c r="A1244" s="256" t="inlineStr">
        <is>
          <t>CoQ-PP_26-138</t>
        </is>
      </c>
      <c r="B1244" s="256" t="inlineStr">
        <is>
          <t>P050142 (BSS1024_01/2)</t>
        </is>
      </c>
      <c r="C1244" s="256" t="inlineStr">
        <is>
          <t>retest (predicted)</t>
        </is>
      </c>
      <c r="D1244" s="256" t="inlineStr">
        <is>
          <t>#12</t>
        </is>
      </c>
      <c r="E1244" s="257" t="inlineStr">
        <is>
          <t>n/t (initial)</t>
        </is>
      </c>
    </row>
    <row r="1245">
      <c r="A1245" s="256" t="inlineStr">
        <is>
          <t>CoQ-PP_26-152</t>
        </is>
      </c>
      <c r="B1245" s="256" t="inlineStr">
        <is>
          <t>P060142 (GRC102501/1)</t>
        </is>
      </c>
      <c r="C1245" s="256" t="inlineStr">
        <is>
          <t>retest (predicted)</t>
        </is>
      </c>
      <c r="D1245" s="256" t="inlineStr">
        <is>
          <t>#8</t>
        </is>
      </c>
      <c r="E1245" s="257" t="inlineStr">
        <is>
          <t>n/t (initial)</t>
        </is>
      </c>
    </row>
    <row r="1246">
      <c r="A1246" s="256" t="inlineStr">
        <is>
          <t>CoQ-PP_26-152</t>
        </is>
      </c>
      <c r="B1246" s="256" t="inlineStr">
        <is>
          <t>P060142 (GRC102501/1)</t>
        </is>
      </c>
      <c r="C1246" s="256" t="inlineStr">
        <is>
          <t>retest (predicted)</t>
        </is>
      </c>
      <c r="D1246" s="256" t="inlineStr">
        <is>
          <t>#11</t>
        </is>
      </c>
      <c r="E1246" s="257" t="inlineStr">
        <is>
          <t>n/t (initial)</t>
        </is>
      </c>
    </row>
    <row r="1247">
      <c r="A1247" s="256" t="inlineStr">
        <is>
          <t>CoQ-PP_26-152</t>
        </is>
      </c>
      <c r="B1247" s="256" t="inlineStr">
        <is>
          <t>P060142 (GRC102501/1)</t>
        </is>
      </c>
      <c r="C1247" s="256" t="inlineStr">
        <is>
          <t>retest (predicted)</t>
        </is>
      </c>
      <c r="D1247" s="256" t="inlineStr">
        <is>
          <t>#12</t>
        </is>
      </c>
      <c r="E1247" s="257" t="inlineStr">
        <is>
          <t>n/t (initial)</t>
        </is>
      </c>
    </row>
    <row r="1248">
      <c r="A1248" s="256" t="inlineStr">
        <is>
          <t>CoQ-PP_26-160</t>
        </is>
      </c>
      <c r="B1248" s="256" t="inlineStr">
        <is>
          <t>P060342 (SCR012601)</t>
        </is>
      </c>
      <c r="C1248" s="256" t="inlineStr">
        <is>
          <t>retest (predicted)</t>
        </is>
      </c>
      <c r="D1248" s="256" t="inlineStr">
        <is>
          <t>#8</t>
        </is>
      </c>
      <c r="E1248" s="257" t="inlineStr">
        <is>
          <t>n/t (initial)</t>
        </is>
      </c>
    </row>
    <row r="1249">
      <c r="A1249" s="256" t="inlineStr">
        <is>
          <t>CoQ-PP_26-160</t>
        </is>
      </c>
      <c r="B1249" s="256" t="inlineStr">
        <is>
          <t>P060342 (SCR012601)</t>
        </is>
      </c>
      <c r="C1249" s="256" t="inlineStr">
        <is>
          <t>retest (predicted)</t>
        </is>
      </c>
      <c r="D1249" s="256" t="inlineStr">
        <is>
          <t>#11</t>
        </is>
      </c>
      <c r="E1249" s="257" t="inlineStr">
        <is>
          <t>n/t (initial)</t>
        </is>
      </c>
    </row>
    <row r="1250">
      <c r="A1250" s="256" t="inlineStr">
        <is>
          <t>CoQ-PP_26-160</t>
        </is>
      </c>
      <c r="B1250" s="256" t="inlineStr">
        <is>
          <t>P060342 (SCR012601)</t>
        </is>
      </c>
      <c r="C1250" s="256" t="inlineStr">
        <is>
          <t>retest (predicted)</t>
        </is>
      </c>
      <c r="D1250" s="256" t="inlineStr">
        <is>
          <t>#12</t>
        </is>
      </c>
      <c r="E1250" s="257" t="inlineStr">
        <is>
          <t>n/t (initial)</t>
        </is>
      </c>
    </row>
    <row r="1251">
      <c r="A1251" s="256" t="inlineStr">
        <is>
          <t>CoQ-PP_26-162</t>
        </is>
      </c>
      <c r="B1251" s="256" t="inlineStr">
        <is>
          <t>SJ102501</t>
        </is>
      </c>
      <c r="C1251" s="256" t="inlineStr">
        <is>
          <t>retest (predicted)</t>
        </is>
      </c>
      <c r="D1251" s="256" t="inlineStr">
        <is>
          <t>#11</t>
        </is>
      </c>
      <c r="E1251" s="257" t="inlineStr">
        <is>
          <t>n/t (initial)</t>
        </is>
      </c>
    </row>
    <row r="1252">
      <c r="A1252" s="256" t="inlineStr">
        <is>
          <t>CoQ-PP_26-163</t>
        </is>
      </c>
      <c r="B1252" s="256" t="inlineStr">
        <is>
          <t>SJ112501</t>
        </is>
      </c>
      <c r="C1252" s="256" t="inlineStr">
        <is>
          <t>retest (predicted)</t>
        </is>
      </c>
      <c r="D1252" s="256" t="inlineStr">
        <is>
          <t>#9</t>
        </is>
      </c>
      <c r="E1252" s="257" t="inlineStr">
        <is>
          <t>n/t (initial)</t>
        </is>
      </c>
    </row>
    <row r="1253">
      <c r="A1253" s="256" t="inlineStr">
        <is>
          <t>CoQ-PP_26-166</t>
        </is>
      </c>
      <c r="B1253" s="256" t="inlineStr">
        <is>
          <t>CC042601</t>
        </is>
      </c>
      <c r="C1253" s="256" t="inlineStr">
        <is>
          <t>release (predicted)</t>
        </is>
      </c>
      <c r="D1253" s="256" t="inlineStr">
        <is>
          <t>#4</t>
        </is>
      </c>
      <c r="E1253" s="257" t="inlineStr">
        <is>
          <t>n/t</t>
        </is>
      </c>
    </row>
    <row r="1254">
      <c r="A1254" s="256" t="inlineStr">
        <is>
          <t>CoQ-PP_26-166</t>
        </is>
      </c>
      <c r="B1254" s="256" t="inlineStr">
        <is>
          <t>CC042601</t>
        </is>
      </c>
      <c r="C1254" s="256" t="inlineStr">
        <is>
          <t>release (predicted)</t>
        </is>
      </c>
      <c r="D1254" s="256" t="inlineStr">
        <is>
          <t>#5</t>
        </is>
      </c>
      <c r="E1254" s="257" t="inlineStr">
        <is>
          <t>n/t</t>
        </is>
      </c>
    </row>
    <row r="1255">
      <c r="A1255" s="256" t="inlineStr">
        <is>
          <t>CoQ-PP_26-166</t>
        </is>
      </c>
      <c r="B1255" s="256" t="inlineStr">
        <is>
          <t>CC042601</t>
        </is>
      </c>
      <c r="C1255" s="256" t="inlineStr">
        <is>
          <t>release (predicted)</t>
        </is>
      </c>
      <c r="D1255" s="256" t="inlineStr">
        <is>
          <t>#6</t>
        </is>
      </c>
      <c r="E1255" s="257" t="inlineStr">
        <is>
          <t>n/t</t>
        </is>
      </c>
    </row>
    <row r="1256">
      <c r="A1256" s="256" t="inlineStr">
        <is>
          <t>CoQ-PP_26-166</t>
        </is>
      </c>
      <c r="B1256" s="256" t="inlineStr">
        <is>
          <t>CC042601</t>
        </is>
      </c>
      <c r="C1256" s="256" t="inlineStr">
        <is>
          <t>release (predicted)</t>
        </is>
      </c>
      <c r="D1256" s="256" t="inlineStr">
        <is>
          <t>#8</t>
        </is>
      </c>
      <c r="E1256" s="257" t="inlineStr">
        <is>
          <t>n/t</t>
        </is>
      </c>
    </row>
    <row r="1257">
      <c r="A1257" s="256" t="inlineStr">
        <is>
          <t>CoQ-PP_26-166</t>
        </is>
      </c>
      <c r="B1257" s="256" t="inlineStr">
        <is>
          <t>CC042601</t>
        </is>
      </c>
      <c r="C1257" s="256" t="inlineStr">
        <is>
          <t>release (predicted)</t>
        </is>
      </c>
      <c r="D1257" s="256" t="inlineStr">
        <is>
          <t>#9</t>
        </is>
      </c>
      <c r="E1257" s="257" t="inlineStr">
        <is>
          <t>n/t</t>
        </is>
      </c>
    </row>
    <row r="1258">
      <c r="A1258" s="256" t="inlineStr">
        <is>
          <t>CoQ-PP_26-166</t>
        </is>
      </c>
      <c r="B1258" s="256" t="inlineStr">
        <is>
          <t>CC042601</t>
        </is>
      </c>
      <c r="C1258" s="256" t="inlineStr">
        <is>
          <t>release (predicted)</t>
        </is>
      </c>
      <c r="D1258" s="256" t="inlineStr">
        <is>
          <t>#10</t>
        </is>
      </c>
      <c r="E1258" s="257" t="inlineStr">
        <is>
          <t>n/t</t>
        </is>
      </c>
    </row>
    <row r="1259">
      <c r="A1259" s="256" t="inlineStr">
        <is>
          <t>CoQ-PP_26-166</t>
        </is>
      </c>
      <c r="B1259" s="256" t="inlineStr">
        <is>
          <t>CC042601</t>
        </is>
      </c>
      <c r="C1259" s="256" t="inlineStr">
        <is>
          <t>release (predicted)</t>
        </is>
      </c>
      <c r="D1259" s="256" t="inlineStr">
        <is>
          <t>#11</t>
        </is>
      </c>
      <c r="E1259" s="257" t="inlineStr">
        <is>
          <t>n/t</t>
        </is>
      </c>
    </row>
    <row r="1260">
      <c r="A1260" s="256" t="inlineStr">
        <is>
          <t>CoQ-PP_26-166</t>
        </is>
      </c>
      <c r="B1260" s="256" t="inlineStr">
        <is>
          <t>CC042601</t>
        </is>
      </c>
      <c r="C1260" s="256" t="inlineStr">
        <is>
          <t>release (predicted)</t>
        </is>
      </c>
      <c r="D1260" s="256" t="inlineStr">
        <is>
          <t>#12</t>
        </is>
      </c>
      <c r="E1260" s="257" t="inlineStr">
        <is>
          <t>n/t</t>
        </is>
      </c>
    </row>
    <row r="1261">
      <c r="A1261" s="256" t="inlineStr">
        <is>
          <t>CoQ-PP_26-167</t>
        </is>
      </c>
      <c r="B1261" s="256" t="inlineStr">
        <is>
          <t>FB042601</t>
        </is>
      </c>
      <c r="C1261" s="256" t="inlineStr">
        <is>
          <t>release (predicted)</t>
        </is>
      </c>
      <c r="D1261" s="256" t="inlineStr">
        <is>
          <t>#4</t>
        </is>
      </c>
      <c r="E1261" s="257" t="inlineStr">
        <is>
          <t>n/t</t>
        </is>
      </c>
    </row>
    <row r="1262">
      <c r="A1262" s="256" t="inlineStr">
        <is>
          <t>CoQ-PP_26-167</t>
        </is>
      </c>
      <c r="B1262" s="256" t="inlineStr">
        <is>
          <t>FB042601</t>
        </is>
      </c>
      <c r="C1262" s="256" t="inlineStr">
        <is>
          <t>release (predicted)</t>
        </is>
      </c>
      <c r="D1262" s="256" t="inlineStr">
        <is>
          <t>#5</t>
        </is>
      </c>
      <c r="E1262" s="257" t="inlineStr">
        <is>
          <t>n/t</t>
        </is>
      </c>
    </row>
    <row r="1263">
      <c r="A1263" s="256" t="inlineStr">
        <is>
          <t>CoQ-PP_26-167</t>
        </is>
      </c>
      <c r="B1263" s="256" t="inlineStr">
        <is>
          <t>FB042601</t>
        </is>
      </c>
      <c r="C1263" s="256" t="inlineStr">
        <is>
          <t>release (predicted)</t>
        </is>
      </c>
      <c r="D1263" s="256" t="inlineStr">
        <is>
          <t>#6</t>
        </is>
      </c>
      <c r="E1263" s="257" t="inlineStr">
        <is>
          <t>n/t</t>
        </is>
      </c>
    </row>
    <row r="1264">
      <c r="A1264" s="256" t="inlineStr">
        <is>
          <t>CoQ-PP_26-167</t>
        </is>
      </c>
      <c r="B1264" s="256" t="inlineStr">
        <is>
          <t>FB042601</t>
        </is>
      </c>
      <c r="C1264" s="256" t="inlineStr">
        <is>
          <t>release (predicted)</t>
        </is>
      </c>
      <c r="D1264" s="256" t="inlineStr">
        <is>
          <t>#8</t>
        </is>
      </c>
      <c r="E1264" s="257" t="inlineStr">
        <is>
          <t>n/t</t>
        </is>
      </c>
    </row>
    <row r="1265">
      <c r="A1265" s="256" t="inlineStr">
        <is>
          <t>CoQ-PP_26-167</t>
        </is>
      </c>
      <c r="B1265" s="256" t="inlineStr">
        <is>
          <t>FB042601</t>
        </is>
      </c>
      <c r="C1265" s="256" t="inlineStr">
        <is>
          <t>release (predicted)</t>
        </is>
      </c>
      <c r="D1265" s="256" t="inlineStr">
        <is>
          <t>#9</t>
        </is>
      </c>
      <c r="E1265" s="257" t="inlineStr">
        <is>
          <t>n/t</t>
        </is>
      </c>
    </row>
    <row r="1266">
      <c r="A1266" s="256" t="inlineStr">
        <is>
          <t>CoQ-PP_26-167</t>
        </is>
      </c>
      <c r="B1266" s="256" t="inlineStr">
        <is>
          <t>FB042601</t>
        </is>
      </c>
      <c r="C1266" s="256" t="inlineStr">
        <is>
          <t>release (predicted)</t>
        </is>
      </c>
      <c r="D1266" s="256" t="inlineStr">
        <is>
          <t>#10</t>
        </is>
      </c>
      <c r="E1266" s="257" t="inlineStr">
        <is>
          <t>n/t</t>
        </is>
      </c>
    </row>
    <row r="1267">
      <c r="A1267" s="256" t="inlineStr">
        <is>
          <t>CoQ-PP_26-167</t>
        </is>
      </c>
      <c r="B1267" s="256" t="inlineStr">
        <is>
          <t>FB042601</t>
        </is>
      </c>
      <c r="C1267" s="256" t="inlineStr">
        <is>
          <t>release (predicted)</t>
        </is>
      </c>
      <c r="D1267" s="256" t="inlineStr">
        <is>
          <t>#11</t>
        </is>
      </c>
      <c r="E1267" s="257" t="inlineStr">
        <is>
          <t>n/t</t>
        </is>
      </c>
    </row>
    <row r="1268">
      <c r="A1268" s="256" t="inlineStr">
        <is>
          <t>CoQ-PP_26-167</t>
        </is>
      </c>
      <c r="B1268" s="256" t="inlineStr">
        <is>
          <t>FB042601</t>
        </is>
      </c>
      <c r="C1268" s="256" t="inlineStr">
        <is>
          <t>release (predicted)</t>
        </is>
      </c>
      <c r="D1268" s="256" t="inlineStr">
        <is>
          <t>#12</t>
        </is>
      </c>
      <c r="E1268" s="257" t="inlineStr">
        <is>
          <t>n/t</t>
        </is>
      </c>
    </row>
    <row r="1269">
      <c r="A1269" s="256" t="inlineStr">
        <is>
          <t>CoQ-PP_26-168</t>
        </is>
      </c>
      <c r="B1269" s="256" t="inlineStr">
        <is>
          <t>P160012</t>
        </is>
      </c>
      <c r="C1269" s="256" t="inlineStr">
        <is>
          <t>release (predicted)</t>
        </is>
      </c>
      <c r="D1269" s="256" t="inlineStr">
        <is>
          <t>#9</t>
        </is>
      </c>
      <c r="E1269" s="257" t="inlineStr">
        <is>
          <t>n/t</t>
        </is>
      </c>
    </row>
    <row r="1270">
      <c r="A1270" s="256" t="inlineStr">
        <is>
          <t>CoQ-PP_26-168</t>
        </is>
      </c>
      <c r="B1270" s="256" t="inlineStr">
        <is>
          <t>P160012</t>
        </is>
      </c>
      <c r="C1270" s="256" t="inlineStr">
        <is>
          <t>release (predicted)</t>
        </is>
      </c>
      <c r="D1270" s="256" t="inlineStr">
        <is>
          <t>#10</t>
        </is>
      </c>
      <c r="E1270" s="257" t="inlineStr">
        <is>
          <t>3656/2026 22.06.26 IJZ; n/t 10.1,10.3</t>
        </is>
      </c>
    </row>
    <row r="1271">
      <c r="A1271" s="256" t="inlineStr">
        <is>
          <t>CoQ-PP_26-169</t>
        </is>
      </c>
      <c r="B1271" s="256" t="inlineStr">
        <is>
          <t>P160022</t>
        </is>
      </c>
      <c r="C1271" s="256" t="inlineStr">
        <is>
          <t>release (predicted)</t>
        </is>
      </c>
      <c r="D1271" s="256" t="inlineStr">
        <is>
          <t>#9</t>
        </is>
      </c>
      <c r="E1271" s="257" t="inlineStr">
        <is>
          <t>n/t</t>
        </is>
      </c>
    </row>
    <row r="1272">
      <c r="A1272" s="256" t="inlineStr">
        <is>
          <t>CoQ-PP_26-169</t>
        </is>
      </c>
      <c r="B1272" s="256" t="inlineStr">
        <is>
          <t>P160022</t>
        </is>
      </c>
      <c r="C1272" s="256" t="inlineStr">
        <is>
          <t>release (predicted)</t>
        </is>
      </c>
      <c r="D1272" s="256" t="inlineStr">
        <is>
          <t>#10</t>
        </is>
      </c>
      <c r="E1272" s="257" t="inlineStr">
        <is>
          <t>3655/2026 22.06.26 IJZ; n/t 10.1,10.3</t>
        </is>
      </c>
    </row>
    <row r="1273">
      <c r="A1273" s="256" t="inlineStr">
        <is>
          <t>CoQ-PP_26-170</t>
        </is>
      </c>
      <c r="B1273" s="256" t="inlineStr">
        <is>
          <t>P160032</t>
        </is>
      </c>
      <c r="C1273" s="256" t="inlineStr">
        <is>
          <t>release (predicted)</t>
        </is>
      </c>
      <c r="D1273" s="256" t="inlineStr">
        <is>
          <t>#9</t>
        </is>
      </c>
      <c r="E1273" s="257" t="inlineStr">
        <is>
          <t>n/t</t>
        </is>
      </c>
    </row>
    <row r="1274">
      <c r="A1274" s="256" t="inlineStr">
        <is>
          <t>CoQ-PP_26-170</t>
        </is>
      </c>
      <c r="B1274" s="256" t="inlineStr">
        <is>
          <t>P160032</t>
        </is>
      </c>
      <c r="C1274" s="256" t="inlineStr">
        <is>
          <t>release (predicted)</t>
        </is>
      </c>
      <c r="D1274" s="256" t="inlineStr">
        <is>
          <t>#10</t>
        </is>
      </c>
      <c r="E1274" s="257" t="inlineStr">
        <is>
          <t>3654/2026 22.06.26 IJZ; n/t 10.1,10.3</t>
        </is>
      </c>
    </row>
    <row r="1275">
      <c r="A1275" s="256" t="inlineStr">
        <is>
          <t>CoQ-PP_26-171</t>
        </is>
      </c>
      <c r="B1275" s="256" t="inlineStr">
        <is>
          <t>CC042601</t>
        </is>
      </c>
      <c r="C1275" s="256" t="inlineStr">
        <is>
          <t>retest (predicted)</t>
        </is>
      </c>
      <c r="D1275" s="256" t="inlineStr">
        <is>
          <t>#8</t>
        </is>
      </c>
      <c r="E1275" s="257" t="inlineStr">
        <is>
          <t>n/t (initial)</t>
        </is>
      </c>
    </row>
    <row r="1276">
      <c r="A1276" s="256" t="inlineStr">
        <is>
          <t>CoQ-PP_26-171</t>
        </is>
      </c>
      <c r="B1276" s="256" t="inlineStr">
        <is>
          <t>CC042601</t>
        </is>
      </c>
      <c r="C1276" s="256" t="inlineStr">
        <is>
          <t>retest (predicted)</t>
        </is>
      </c>
      <c r="D1276" s="256" t="inlineStr">
        <is>
          <t>#9</t>
        </is>
      </c>
      <c r="E1276" s="257" t="inlineStr">
        <is>
          <t>n/t (initial)</t>
        </is>
      </c>
    </row>
    <row r="1277">
      <c r="A1277" s="256" t="inlineStr">
        <is>
          <t>CoQ-PP_26-171</t>
        </is>
      </c>
      <c r="B1277" s="256" t="inlineStr">
        <is>
          <t>CC042601</t>
        </is>
      </c>
      <c r="C1277" s="256" t="inlineStr">
        <is>
          <t>retest (predicted)</t>
        </is>
      </c>
      <c r="D1277" s="256" t="inlineStr">
        <is>
          <t>#11</t>
        </is>
      </c>
      <c r="E1277" s="257" t="inlineStr">
        <is>
          <t>n/t (initial)</t>
        </is>
      </c>
    </row>
    <row r="1278">
      <c r="A1278" s="256" t="inlineStr">
        <is>
          <t>CoQ-PP_26-171</t>
        </is>
      </c>
      <c r="B1278" s="256" t="inlineStr">
        <is>
          <t>CC042601</t>
        </is>
      </c>
      <c r="C1278" s="256" t="inlineStr">
        <is>
          <t>retest (predicted)</t>
        </is>
      </c>
      <c r="D1278" s="256" t="inlineStr">
        <is>
          <t>#12</t>
        </is>
      </c>
      <c r="E1278" s="257" t="inlineStr">
        <is>
          <t>n/t (initial)</t>
        </is>
      </c>
    </row>
    <row r="1279">
      <c r="A1279" s="256" t="inlineStr">
        <is>
          <t>CoQ-PP_26-172</t>
        </is>
      </c>
      <c r="B1279" s="256" t="inlineStr">
        <is>
          <t>FB042601</t>
        </is>
      </c>
      <c r="C1279" s="256" t="inlineStr">
        <is>
          <t>retest (predicted)</t>
        </is>
      </c>
      <c r="D1279" s="256" t="inlineStr">
        <is>
          <t>#8</t>
        </is>
      </c>
      <c r="E1279" s="257" t="inlineStr">
        <is>
          <t>n/t (initial)</t>
        </is>
      </c>
    </row>
    <row r="1280">
      <c r="A1280" s="256" t="inlineStr">
        <is>
          <t>CoQ-PP_26-172</t>
        </is>
      </c>
      <c r="B1280" s="256" t="inlineStr">
        <is>
          <t>FB042601</t>
        </is>
      </c>
      <c r="C1280" s="256" t="inlineStr">
        <is>
          <t>retest (predicted)</t>
        </is>
      </c>
      <c r="D1280" s="256" t="inlineStr">
        <is>
          <t>#9</t>
        </is>
      </c>
      <c r="E1280" s="257" t="inlineStr">
        <is>
          <t>n/t (initial)</t>
        </is>
      </c>
    </row>
    <row r="1281">
      <c r="A1281" s="256" t="inlineStr">
        <is>
          <t>CoQ-PP_26-172</t>
        </is>
      </c>
      <c r="B1281" s="256" t="inlineStr">
        <is>
          <t>FB042601</t>
        </is>
      </c>
      <c r="C1281" s="256" t="inlineStr">
        <is>
          <t>retest (predicted)</t>
        </is>
      </c>
      <c r="D1281" s="256" t="inlineStr">
        <is>
          <t>#11</t>
        </is>
      </c>
      <c r="E1281" s="257" t="inlineStr">
        <is>
          <t>n/t (initial)</t>
        </is>
      </c>
    </row>
    <row r="1282">
      <c r="A1282" s="256" t="inlineStr">
        <is>
          <t>CoQ-PP_26-172</t>
        </is>
      </c>
      <c r="B1282" s="256" t="inlineStr">
        <is>
          <t>FB042601</t>
        </is>
      </c>
      <c r="C1282" s="256" t="inlineStr">
        <is>
          <t>retest (predicted)</t>
        </is>
      </c>
      <c r="D1282" s="256" t="inlineStr">
        <is>
          <t>#12</t>
        </is>
      </c>
      <c r="E1282" s="257" t="inlineStr">
        <is>
          <t>n/t (initial)</t>
        </is>
      </c>
    </row>
    <row r="1285" ht="20" customHeight="1" s="70">
      <c r="A1285" s="264" t="inlineStr">
        <is>
          <t>SUMMARY DASHBOARD</t>
        </is>
      </c>
    </row>
    <row r="1286" ht="36" customHeight="1" s="70">
      <c r="A1286" s="83" t="inlineStr">
        <is>
          <t>eCOA DATABASE — CoQ PARAMETER COVERAGE DASHBOARD</t>
        </is>
      </c>
    </row>
    <row r="1287" ht="24" customHeight="1" s="70">
      <c r="A1287" s="84" t="inlineStr">
        <is>
          <t>OVERVIEW</t>
        </is>
      </c>
      <c r="B1287" s="76" t="n"/>
      <c r="C1287" s="76" t="n"/>
      <c r="D1287" s="77" t="n"/>
    </row>
    <row r="1288" ht="21.75" customHeight="1" s="70">
      <c r="A1288" s="28" t="inlineStr">
        <is>
          <t>Total Batches</t>
        </is>
      </c>
      <c r="B1288" s="30" t="n">
        <v>86</v>
      </c>
      <c r="C1288" s="32" t="n"/>
    </row>
    <row r="1289" ht="21.75" customHeight="1" s="70">
      <c r="A1289" s="28" t="inlineStr">
        <is>
          <t>Total eCOA Documents</t>
        </is>
      </c>
      <c r="B1289" s="30" t="n">
        <v>380</v>
      </c>
      <c r="C1289" s="32" t="inlineStr">
        <is>
          <t>(QCCoA 001 files excluded)</t>
        </is>
      </c>
    </row>
    <row r="1290" ht="21.75" customHeight="1" s="70">
      <c r="A1290" s="34" t="inlineStr">
        <is>
          <t>✅  COMPLETE  (all 12 params)</t>
        </is>
      </c>
      <c r="B1290" s="35" t="n">
        <v>70</v>
      </c>
      <c r="C1290" s="38" t="inlineStr">
        <is>
          <t>81% of batches</t>
        </is>
      </c>
    </row>
    <row r="1291" ht="21.75" customHeight="1" s="70">
      <c r="A1291" s="39" t="inlineStr">
        <is>
          <t>⚠   PARTIAL  (1–3 missing)</t>
        </is>
      </c>
      <c r="B1291" s="42" t="n">
        <v>9</v>
      </c>
      <c r="C1291" s="44" t="inlineStr">
        <is>
          <t>10% of batches</t>
        </is>
      </c>
    </row>
    <row r="1292" ht="21.75" customHeight="1" s="70">
      <c r="A1292" s="46" t="inlineStr">
        <is>
          <t>❌  INCOMPLETE (4+ missing)</t>
        </is>
      </c>
      <c r="B1292" s="47" t="n">
        <v>7</v>
      </c>
      <c r="C1292" s="50" t="inlineStr">
        <is>
          <t>8% of batches</t>
        </is>
      </c>
    </row>
    <row r="1293" ht="7.5" customHeight="1" s="70"/>
    <row r="1294" ht="24" customHeight="1" s="70">
      <c r="A1294" s="84" t="inlineStr">
        <is>
          <t>MISSING PARAMETER FREQUENCY</t>
        </is>
      </c>
      <c r="B1294" s="76" t="n"/>
      <c r="C1294" s="76" t="n"/>
      <c r="D1294" s="77" t="n"/>
    </row>
    <row r="1295" ht="21.75" customHeight="1" s="70">
      <c r="A1295" s="46" t="inlineStr">
        <is>
          <t>#1  Identification A</t>
        </is>
      </c>
      <c r="B1295" s="47" t="n">
        <v>0</v>
      </c>
      <c r="C1295" s="50" t="inlineStr">
        <is>
          <t>(0% of batches missing this)</t>
        </is>
      </c>
    </row>
    <row r="1296" ht="21.75" customHeight="1" s="70">
      <c r="A1296" s="39" t="inlineStr">
        <is>
          <t>#2  Identification B</t>
        </is>
      </c>
      <c r="B1296" s="42" t="n">
        <v>0</v>
      </c>
      <c r="C1296" s="44" t="inlineStr">
        <is>
          <t>(0% of batches missing this)</t>
        </is>
      </c>
    </row>
    <row r="1297" ht="21.75" customHeight="1" s="70">
      <c r="A1297" s="34" t="inlineStr">
        <is>
          <t>#3  Identification C</t>
        </is>
      </c>
      <c r="B1297" s="35" t="n">
        <v>0</v>
      </c>
      <c r="C1297" s="38" t="inlineStr">
        <is>
          <t>(0% of batches missing this)</t>
        </is>
      </c>
    </row>
    <row r="1298" ht="21.75" customHeight="1" s="70">
      <c r="A1298" s="34" t="inlineStr">
        <is>
          <t>#4  Assay — Total Δ⁹-THC</t>
        </is>
      </c>
      <c r="B1298" s="35" t="n">
        <v>0</v>
      </c>
      <c r="C1298" s="38" t="inlineStr">
        <is>
          <t>(0% of batches missing this)</t>
        </is>
      </c>
    </row>
    <row r="1299" ht="21.75" customHeight="1" s="70">
      <c r="A1299" s="34" t="inlineStr">
        <is>
          <t>#5  Assay — Total CBD</t>
        </is>
      </c>
      <c r="B1299" s="35" t="n">
        <v>0</v>
      </c>
      <c r="C1299" s="38" t="inlineStr">
        <is>
          <t>(0% of batches missing this)</t>
        </is>
      </c>
    </row>
    <row r="1300" ht="21.75" customHeight="1" s="70">
      <c r="A1300" s="34" t="inlineStr">
        <is>
          <t>#6  Total CBN</t>
        </is>
      </c>
      <c r="B1300" s="35" t="n">
        <v>0</v>
      </c>
      <c r="C1300" s="38" t="inlineStr">
        <is>
          <t>(0% of batches missing this)</t>
        </is>
      </c>
    </row>
    <row r="1301" ht="21.75" customHeight="1" s="70">
      <c r="A1301" s="46" t="inlineStr">
        <is>
          <t>#7  Foreign Matter</t>
        </is>
      </c>
      <c r="B1301" s="47" t="n">
        <v>0</v>
      </c>
      <c r="C1301" s="50" t="inlineStr">
        <is>
          <t>(0% of batches missing this)</t>
        </is>
      </c>
    </row>
    <row r="1302" ht="21.75" customHeight="1" s="70">
      <c r="A1302" s="34" t="inlineStr">
        <is>
          <t>#8  Loss on Drying</t>
        </is>
      </c>
      <c r="B1302" s="35" t="n">
        <v>13</v>
      </c>
      <c r="C1302" s="38" t="inlineStr">
        <is>
          <t>(15% of batches missing this)</t>
        </is>
      </c>
    </row>
    <row r="1303" ht="21.75" customHeight="1" s="70">
      <c r="A1303" s="39" t="inlineStr">
        <is>
          <t>#9  Microbiological Purity</t>
        </is>
      </c>
      <c r="B1303" s="42" t="n">
        <v>6</v>
      </c>
      <c r="C1303" s="44" t="inlineStr">
        <is>
          <t>(7% of batches missing this)</t>
        </is>
      </c>
    </row>
    <row r="1304" ht="21.75" customHeight="1" s="70">
      <c r="A1304" s="39" t="inlineStr">
        <is>
          <t>#10  Mycotoxins</t>
        </is>
      </c>
      <c r="B1304" s="42" t="n">
        <v>4</v>
      </c>
      <c r="C1304" s="44" t="inlineStr">
        <is>
          <t>(5% of batches missing this)</t>
        </is>
      </c>
    </row>
    <row r="1305" ht="21.75" customHeight="1" s="70">
      <c r="A1305" s="39" t="inlineStr">
        <is>
          <t>#11  Heavy Metals</t>
        </is>
      </c>
      <c r="B1305" s="42" t="n">
        <v>13</v>
      </c>
      <c r="C1305" s="44" t="inlineStr">
        <is>
          <t>(15% of batches missing this)</t>
        </is>
      </c>
    </row>
    <row r="1306" ht="21.75" customHeight="1" s="70">
      <c r="A1306" s="39" t="inlineStr">
        <is>
          <t>#12  Pesticide Residues</t>
        </is>
      </c>
      <c r="B1306" s="42" t="n">
        <v>11</v>
      </c>
      <c r="C1306" s="44" t="inlineStr">
        <is>
          <t>(13% of batches missing this)</t>
        </is>
      </c>
    </row>
  </sheetData>
  <mergeCells count="674">
    <mergeCell ref="A335:I335"/>
    <mergeCell ref="Z415:Z416"/>
    <mergeCell ref="O459:O460"/>
    <mergeCell ref="S381:S382"/>
    <mergeCell ref="Z457:Z458"/>
    <mergeCell ref="Y347:Y348"/>
    <mergeCell ref="J382:N382"/>
    <mergeCell ref="D425:D426"/>
    <mergeCell ref="P440:R440"/>
    <mergeCell ref="I355:I356"/>
    <mergeCell ref="B353:B356"/>
    <mergeCell ref="O461:O462"/>
    <mergeCell ref="T360:W360"/>
    <mergeCell ref="T414:W414"/>
    <mergeCell ref="J348:N348"/>
    <mergeCell ref="E363:E364"/>
    <mergeCell ref="T352:W352"/>
    <mergeCell ref="A429:A432"/>
    <mergeCell ref="G363:G364"/>
    <mergeCell ref="J440:N440"/>
    <mergeCell ref="G357:G358"/>
    <mergeCell ref="D427:D428"/>
    <mergeCell ref="I357:I358"/>
    <mergeCell ref="A759:E762"/>
    <mergeCell ref="AA463:AA464"/>
    <mergeCell ref="E365:E366"/>
    <mergeCell ref="Y413:Y414"/>
    <mergeCell ref="G465:G466"/>
    <mergeCell ref="AA413:AA414"/>
    <mergeCell ref="I421:I422"/>
    <mergeCell ref="X343:X344"/>
    <mergeCell ref="D347:D348"/>
    <mergeCell ref="E457:E458"/>
    <mergeCell ref="F347:F348"/>
    <mergeCell ref="J458:N458"/>
    <mergeCell ref="AA465:AA466"/>
    <mergeCell ref="B381:B394"/>
    <mergeCell ref="Y415:Y416"/>
    <mergeCell ref="AA415:AA416"/>
    <mergeCell ref="G439:G440"/>
    <mergeCell ref="C479:C484"/>
    <mergeCell ref="AA473:AA474"/>
    <mergeCell ref="Z363:Z364"/>
    <mergeCell ref="E425:E426"/>
    <mergeCell ref="H415:H416"/>
    <mergeCell ref="E419:E420"/>
    <mergeCell ref="G441:G442"/>
    <mergeCell ref="G385:G386"/>
    <mergeCell ref="X463:X464"/>
    <mergeCell ref="AA347:AA348"/>
    <mergeCell ref="G449:G450"/>
    <mergeCell ref="I449:I450"/>
    <mergeCell ref="D375:D376"/>
    <mergeCell ref="AA397:AA398"/>
    <mergeCell ref="F375:F376"/>
    <mergeCell ref="I411:I412"/>
    <mergeCell ref="A351:A352"/>
    <mergeCell ref="D439:D440"/>
    <mergeCell ref="A469:A472"/>
    <mergeCell ref="F439:F440"/>
    <mergeCell ref="X425:X426"/>
    <mergeCell ref="F433:F434"/>
    <mergeCell ref="H433:H434"/>
    <mergeCell ref="B401:B410"/>
    <mergeCell ref="S401:S402"/>
    <mergeCell ref="X465:X466"/>
    <mergeCell ref="T358:W358"/>
    <mergeCell ref="I371:I372"/>
    <mergeCell ref="Y340:AA340"/>
    <mergeCell ref="H435:H436"/>
    <mergeCell ref="G365:G366"/>
    <mergeCell ref="G389:G390"/>
    <mergeCell ref="I383:I384"/>
    <mergeCell ref="T340:X340"/>
    <mergeCell ref="G429:G430"/>
    <mergeCell ref="I429:I430"/>
    <mergeCell ref="S415:S416"/>
    <mergeCell ref="F359:F360"/>
    <mergeCell ref="G391:G392"/>
    <mergeCell ref="I447:I448"/>
    <mergeCell ref="I385:I386"/>
    <mergeCell ref="O357:O358"/>
    <mergeCell ref="AA479:AA480"/>
    <mergeCell ref="A353:A356"/>
    <mergeCell ref="H413:H414"/>
    <mergeCell ref="E343:E344"/>
    <mergeCell ref="G473:G474"/>
    <mergeCell ref="F363:F364"/>
    <mergeCell ref="H363:H364"/>
    <mergeCell ref="E427:E428"/>
    <mergeCell ref="B357:B358"/>
    <mergeCell ref="Z463:Z464"/>
    <mergeCell ref="F365:F366"/>
    <mergeCell ref="B459:B460"/>
    <mergeCell ref="H365:H366"/>
    <mergeCell ref="H421:H422"/>
    <mergeCell ref="P396:R396"/>
    <mergeCell ref="J354:N354"/>
    <mergeCell ref="Z465:Z466"/>
    <mergeCell ref="AA359:AA360"/>
    <mergeCell ref="C381:C394"/>
    <mergeCell ref="B461:B462"/>
    <mergeCell ref="G457:G458"/>
    <mergeCell ref="J396:N396"/>
    <mergeCell ref="D461:D462"/>
    <mergeCell ref="P398:R398"/>
    <mergeCell ref="O419:O420"/>
    <mergeCell ref="P460:R460"/>
    <mergeCell ref="Y459:Y460"/>
    <mergeCell ref="Z479:Z480"/>
    <mergeCell ref="J398:N398"/>
    <mergeCell ref="P462:R462"/>
    <mergeCell ref="AA363:AA364"/>
    <mergeCell ref="S437:S438"/>
    <mergeCell ref="D343:D344"/>
    <mergeCell ref="S403:S404"/>
    <mergeCell ref="G379:G380"/>
    <mergeCell ref="I379:I380"/>
    <mergeCell ref="T372:W372"/>
    <mergeCell ref="A347:A350"/>
    <mergeCell ref="A459:A460"/>
    <mergeCell ref="AA429:AA430"/>
    <mergeCell ref="Z397:Z398"/>
    <mergeCell ref="Y461:Y462"/>
    <mergeCell ref="Z455:Z456"/>
    <mergeCell ref="J474:N474"/>
    <mergeCell ref="H411:H412"/>
    <mergeCell ref="A461:A462"/>
    <mergeCell ref="E347:E348"/>
    <mergeCell ref="C465:C468"/>
    <mergeCell ref="B351:B352"/>
    <mergeCell ref="O363:O364"/>
    <mergeCell ref="E439:E440"/>
    <mergeCell ref="O455:O456"/>
    <mergeCell ref="A401:A410"/>
    <mergeCell ref="G455:G456"/>
    <mergeCell ref="I455:I456"/>
    <mergeCell ref="D459:D460"/>
    <mergeCell ref="B479:B484"/>
    <mergeCell ref="B473:B478"/>
    <mergeCell ref="O463:O464"/>
    <mergeCell ref="T440:W440"/>
    <mergeCell ref="O457:O458"/>
    <mergeCell ref="G445:G446"/>
    <mergeCell ref="J344:N344"/>
    <mergeCell ref="G481:G482"/>
    <mergeCell ref="A425:A428"/>
    <mergeCell ref="D373:D374"/>
    <mergeCell ref="F373:F374"/>
    <mergeCell ref="F429:F430"/>
    <mergeCell ref="X461:X462"/>
    <mergeCell ref="H429:H430"/>
    <mergeCell ref="E359:E360"/>
    <mergeCell ref="J442:N442"/>
    <mergeCell ref="H447:H448"/>
    <mergeCell ref="S353:S354"/>
    <mergeCell ref="C459:C460"/>
    <mergeCell ref="T382:W382"/>
    <mergeCell ref="H449:H450"/>
    <mergeCell ref="B413:B418"/>
    <mergeCell ref="C473:C478"/>
    <mergeCell ref="P470:R470"/>
    <mergeCell ref="J462:N462"/>
    <mergeCell ref="J470:N470"/>
    <mergeCell ref="G387:G388"/>
    <mergeCell ref="G381:G382"/>
    <mergeCell ref="X439:X440"/>
    <mergeCell ref="I443:I444"/>
    <mergeCell ref="B429:B432"/>
    <mergeCell ref="I381:I382"/>
    <mergeCell ref="A359:A362"/>
    <mergeCell ref="A485:AA485"/>
    <mergeCell ref="Y437:Y438"/>
    <mergeCell ref="F457:F458"/>
    <mergeCell ref="D359:D360"/>
    <mergeCell ref="AA437:AA438"/>
    <mergeCell ref="C461:C462"/>
    <mergeCell ref="I445:I446"/>
    <mergeCell ref="S371:S372"/>
    <mergeCell ref="X459:X460"/>
    <mergeCell ref="I395:I396"/>
    <mergeCell ref="D465:D466"/>
    <mergeCell ref="G340:I340"/>
    <mergeCell ref="P430:R430"/>
    <mergeCell ref="J480:N480"/>
    <mergeCell ref="T464:W464"/>
    <mergeCell ref="O413:O414"/>
    <mergeCell ref="T402:W402"/>
    <mergeCell ref="E413:E414"/>
    <mergeCell ref="G413:G414"/>
    <mergeCell ref="H379:H380"/>
    <mergeCell ref="P354:R354"/>
    <mergeCell ref="T466:W466"/>
    <mergeCell ref="O415:O416"/>
    <mergeCell ref="F381:F382"/>
    <mergeCell ref="H443:H444"/>
    <mergeCell ref="G415:G416"/>
    <mergeCell ref="H381:H382"/>
    <mergeCell ref="P418:R418"/>
    <mergeCell ref="Y397:Y398"/>
    <mergeCell ref="Y463:Y464"/>
    <mergeCell ref="P412:R412"/>
    <mergeCell ref="O433:O434"/>
    <mergeCell ref="Y455:Y456"/>
    <mergeCell ref="O479:O480"/>
    <mergeCell ref="Y465:Y466"/>
    <mergeCell ref="O473:O474"/>
    <mergeCell ref="P420:R420"/>
    <mergeCell ref="I473:I474"/>
    <mergeCell ref="Y457:Y458"/>
    <mergeCell ref="X347:X348"/>
    <mergeCell ref="D463:D464"/>
    <mergeCell ref="J416:N416"/>
    <mergeCell ref="S453:S454"/>
    <mergeCell ref="F463:F464"/>
    <mergeCell ref="H457:H458"/>
    <mergeCell ref="S425:S426"/>
    <mergeCell ref="A286:O286"/>
    <mergeCell ref="AA381:AA382"/>
    <mergeCell ref="F465:F466"/>
    <mergeCell ref="E433:E434"/>
    <mergeCell ref="A473:A478"/>
    <mergeCell ref="X357:X358"/>
    <mergeCell ref="E373:E374"/>
    <mergeCell ref="Z357:Z358"/>
    <mergeCell ref="J340:O340"/>
    <mergeCell ref="T456:W456"/>
    <mergeCell ref="G401:G402"/>
    <mergeCell ref="G403:G404"/>
    <mergeCell ref="I403:I404"/>
    <mergeCell ref="P344:R344"/>
    <mergeCell ref="C347:C350"/>
    <mergeCell ref="A1286:D1286"/>
    <mergeCell ref="X433:X434"/>
    <mergeCell ref="Z433:Z434"/>
    <mergeCell ref="J414:N414"/>
    <mergeCell ref="I461:I462"/>
    <mergeCell ref="H351:H352"/>
    <mergeCell ref="O347:O348"/>
    <mergeCell ref="H387:H388"/>
    <mergeCell ref="O439:O440"/>
    <mergeCell ref="C429:C432"/>
    <mergeCell ref="T416:W416"/>
    <mergeCell ref="A479:A484"/>
    <mergeCell ref="B359:B362"/>
    <mergeCell ref="C357:C358"/>
    <mergeCell ref="T474:W474"/>
    <mergeCell ref="E357:E358"/>
    <mergeCell ref="Z437:Z438"/>
    <mergeCell ref="H445:H446"/>
    <mergeCell ref="O441:O442"/>
    <mergeCell ref="Z343:Z344"/>
    <mergeCell ref="H395:H396"/>
    <mergeCell ref="F453:F454"/>
    <mergeCell ref="D340:F340"/>
    <mergeCell ref="H453:H454"/>
    <mergeCell ref="G421:G422"/>
    <mergeCell ref="C457:C458"/>
    <mergeCell ref="J420:N420"/>
    <mergeCell ref="P434:R434"/>
    <mergeCell ref="F413:F414"/>
    <mergeCell ref="I401:I402"/>
    <mergeCell ref="P436:R436"/>
    <mergeCell ref="D339:I339"/>
    <mergeCell ref="I351:I352"/>
    <mergeCell ref="Y473:Y474"/>
    <mergeCell ref="X363:X364"/>
    <mergeCell ref="H371:H372"/>
    <mergeCell ref="X455:X456"/>
    <mergeCell ref="T396:W396"/>
    <mergeCell ref="D357:D358"/>
    <mergeCell ref="F479:F480"/>
    <mergeCell ref="S469:S470"/>
    <mergeCell ref="H479:H480"/>
    <mergeCell ref="AA453:AA454"/>
    <mergeCell ref="H473:H474"/>
    <mergeCell ref="X457:X458"/>
    <mergeCell ref="T460:W460"/>
    <mergeCell ref="T398:W398"/>
    <mergeCell ref="S433:S434"/>
    <mergeCell ref="H481:H482"/>
    <mergeCell ref="E463:E464"/>
    <mergeCell ref="H347:H348"/>
    <mergeCell ref="G463:G464"/>
    <mergeCell ref="T462:W462"/>
    <mergeCell ref="G411:G412"/>
    <mergeCell ref="O429:O430"/>
    <mergeCell ref="E465:E466"/>
    <mergeCell ref="D433:D434"/>
    <mergeCell ref="H397:H398"/>
    <mergeCell ref="AA371:AA372"/>
    <mergeCell ref="A1294:D1294"/>
    <mergeCell ref="I469:I470"/>
    <mergeCell ref="S395:S396"/>
    <mergeCell ref="Y357:Y358"/>
    <mergeCell ref="AA357:AA358"/>
    <mergeCell ref="G341:H341"/>
    <mergeCell ref="P360:R360"/>
    <mergeCell ref="J464:N464"/>
    <mergeCell ref="S459:S460"/>
    <mergeCell ref="I389:I390"/>
    <mergeCell ref="J430:N430"/>
    <mergeCell ref="S411:S412"/>
    <mergeCell ref="F403:F404"/>
    <mergeCell ref="Z411:Z412"/>
    <mergeCell ref="I391:I392"/>
    <mergeCell ref="B347:B350"/>
    <mergeCell ref="Y433:Y434"/>
    <mergeCell ref="G447:G448"/>
    <mergeCell ref="P376:R376"/>
    <mergeCell ref="G397:G398"/>
    <mergeCell ref="Y479:Y480"/>
    <mergeCell ref="Z371:Z372"/>
    <mergeCell ref="T348:W348"/>
    <mergeCell ref="Y435:Y436"/>
    <mergeCell ref="H469:H470"/>
    <mergeCell ref="E473:E474"/>
    <mergeCell ref="G353:G354"/>
    <mergeCell ref="D363:D364"/>
    <mergeCell ref="I353:I354"/>
    <mergeCell ref="F357:F358"/>
    <mergeCell ref="T412:W412"/>
    <mergeCell ref="E361:E362"/>
    <mergeCell ref="D365:D366"/>
    <mergeCell ref="I417:I418"/>
    <mergeCell ref="E453:E454"/>
    <mergeCell ref="S343:S344"/>
    <mergeCell ref="G453:G454"/>
    <mergeCell ref="Y401:Y402"/>
    <mergeCell ref="AA401:AA402"/>
    <mergeCell ref="Z429:Z430"/>
    <mergeCell ref="J339:O339"/>
    <mergeCell ref="Y411:Y412"/>
    <mergeCell ref="A381:A394"/>
    <mergeCell ref="AA411:AA412"/>
    <mergeCell ref="I419:I420"/>
    <mergeCell ref="X415:X416"/>
    <mergeCell ref="O381:O382"/>
    <mergeCell ref="H401:H402"/>
    <mergeCell ref="P454:R454"/>
    <mergeCell ref="T470:W470"/>
    <mergeCell ref="C419:C424"/>
    <mergeCell ref="X473:X474"/>
    <mergeCell ref="Z473:Z474"/>
    <mergeCell ref="E371:E372"/>
    <mergeCell ref="C353:C356"/>
    <mergeCell ref="J454:N454"/>
    <mergeCell ref="H403:H404"/>
    <mergeCell ref="G371:G372"/>
    <mergeCell ref="Y363:Y364"/>
    <mergeCell ref="H353:H354"/>
    <mergeCell ref="J426:N426"/>
    <mergeCell ref="E479:E480"/>
    <mergeCell ref="J364:N364"/>
    <mergeCell ref="G479:G480"/>
    <mergeCell ref="Z453:Z454"/>
    <mergeCell ref="Y429:Y430"/>
    <mergeCell ref="X397:X398"/>
    <mergeCell ref="A747:E753"/>
    <mergeCell ref="D411:D412"/>
    <mergeCell ref="F411:F412"/>
    <mergeCell ref="A465:A468"/>
    <mergeCell ref="Y341:Z341"/>
    <mergeCell ref="A371:A374"/>
    <mergeCell ref="C371:C374"/>
    <mergeCell ref="T354:W354"/>
    <mergeCell ref="S427:S428"/>
    <mergeCell ref="F371:F372"/>
    <mergeCell ref="J444:N444"/>
    <mergeCell ref="X381:X382"/>
    <mergeCell ref="Z381:Z382"/>
    <mergeCell ref="P404:R404"/>
    <mergeCell ref="T420:W420"/>
    <mergeCell ref="G425:G426"/>
    <mergeCell ref="I425:I426"/>
    <mergeCell ref="S351:S352"/>
    <mergeCell ref="T364:W364"/>
    <mergeCell ref="B395:B400"/>
    <mergeCell ref="E411:E412"/>
    <mergeCell ref="J352:N352"/>
    <mergeCell ref="B465:B468"/>
    <mergeCell ref="O353:O354"/>
    <mergeCell ref="AA353:AA354"/>
    <mergeCell ref="X479:X480"/>
    <mergeCell ref="B455:B456"/>
    <mergeCell ref="D455:D456"/>
    <mergeCell ref="J460:N460"/>
    <mergeCell ref="G469:G470"/>
    <mergeCell ref="I347:I348"/>
    <mergeCell ref="F361:F362"/>
    <mergeCell ref="S373:S374"/>
    <mergeCell ref="H417:H418"/>
    <mergeCell ref="A1287:D1287"/>
    <mergeCell ref="E381:E382"/>
    <mergeCell ref="G443:G444"/>
    <mergeCell ref="F425:F426"/>
    <mergeCell ref="H425:H426"/>
    <mergeCell ref="B457:B458"/>
    <mergeCell ref="E429:E430"/>
    <mergeCell ref="H419:H420"/>
    <mergeCell ref="O371:O372"/>
    <mergeCell ref="E395:E396"/>
    <mergeCell ref="P458:R458"/>
    <mergeCell ref="O375:O376"/>
    <mergeCell ref="F343:F344"/>
    <mergeCell ref="G375:G376"/>
    <mergeCell ref="H343:H344"/>
    <mergeCell ref="I375:I376"/>
    <mergeCell ref="G377:G378"/>
    <mergeCell ref="AA425:AA426"/>
    <mergeCell ref="C363:C370"/>
    <mergeCell ref="C375:C380"/>
    <mergeCell ref="X429:X430"/>
    <mergeCell ref="I377:I378"/>
    <mergeCell ref="D381:D382"/>
    <mergeCell ref="O397:O398"/>
    <mergeCell ref="A457:A458"/>
    <mergeCell ref="S405:S406"/>
    <mergeCell ref="Z395:Z396"/>
    <mergeCell ref="I435:I436"/>
    <mergeCell ref="J376:N376"/>
    <mergeCell ref="T434:W434"/>
    <mergeCell ref="J412:N412"/>
    <mergeCell ref="B371:B374"/>
    <mergeCell ref="Z459:Z460"/>
    <mergeCell ref="H463:H464"/>
    <mergeCell ref="AA343:AA344"/>
    <mergeCell ref="X413:X414"/>
    <mergeCell ref="O453:O454"/>
    <mergeCell ref="B463:B464"/>
    <mergeCell ref="S417:S418"/>
    <mergeCell ref="D457:D458"/>
    <mergeCell ref="P382:R382"/>
    <mergeCell ref="AA351:AA352"/>
    <mergeCell ref="S419:S420"/>
    <mergeCell ref="G395:G396"/>
    <mergeCell ref="Y381:Y382"/>
    <mergeCell ref="S461:S462"/>
    <mergeCell ref="A395:A400"/>
    <mergeCell ref="C395:C400"/>
    <mergeCell ref="I363:I364"/>
    <mergeCell ref="F427:F428"/>
    <mergeCell ref="Z375:Z376"/>
    <mergeCell ref="A455:A456"/>
    <mergeCell ref="C469:C472"/>
    <mergeCell ref="C455:C456"/>
    <mergeCell ref="E455:E456"/>
    <mergeCell ref="T454:W454"/>
    <mergeCell ref="I365:I366"/>
    <mergeCell ref="E403:E404"/>
    <mergeCell ref="E459:E460"/>
    <mergeCell ref="G459:G460"/>
    <mergeCell ref="Z439:Z440"/>
    <mergeCell ref="J358:N358"/>
    <mergeCell ref="X419:X420"/>
    <mergeCell ref="G461:G462"/>
    <mergeCell ref="P464:R464"/>
    <mergeCell ref="P402:R402"/>
    <mergeCell ref="I439:I440"/>
    <mergeCell ref="O401:O402"/>
    <mergeCell ref="B425:B428"/>
    <mergeCell ref="P474:R474"/>
    <mergeCell ref="X401:X402"/>
    <mergeCell ref="J402:N402"/>
    <mergeCell ref="P466:R466"/>
    <mergeCell ref="P339:AA339"/>
    <mergeCell ref="I441:I442"/>
    <mergeCell ref="D395:D396"/>
    <mergeCell ref="S413:S414"/>
    <mergeCell ref="B453:B454"/>
    <mergeCell ref="G383:G384"/>
    <mergeCell ref="P426:R426"/>
    <mergeCell ref="F459:F460"/>
    <mergeCell ref="AA433:AA434"/>
    <mergeCell ref="G343:G344"/>
    <mergeCell ref="Z461:Z462"/>
    <mergeCell ref="P428:R428"/>
    <mergeCell ref="H375:H376"/>
    <mergeCell ref="E401:E402"/>
    <mergeCell ref="P340:S340"/>
    <mergeCell ref="C351:C352"/>
    <mergeCell ref="E351:E352"/>
    <mergeCell ref="B363:B370"/>
    <mergeCell ref="H439:H440"/>
    <mergeCell ref="H377:H378"/>
    <mergeCell ref="B419:B424"/>
    <mergeCell ref="I459:I460"/>
    <mergeCell ref="O469:O470"/>
    <mergeCell ref="Y395:Y396"/>
    <mergeCell ref="H441:H442"/>
    <mergeCell ref="D479:D480"/>
    <mergeCell ref="D473:D474"/>
    <mergeCell ref="F473:F474"/>
    <mergeCell ref="Y453:Y454"/>
    <mergeCell ref="S347:S348"/>
    <mergeCell ref="P456:R456"/>
    <mergeCell ref="AA459:AA460"/>
    <mergeCell ref="P414:R414"/>
    <mergeCell ref="P352:R352"/>
    <mergeCell ref="A343:A346"/>
    <mergeCell ref="A463:A464"/>
    <mergeCell ref="C463:C464"/>
    <mergeCell ref="Z401:Z402"/>
    <mergeCell ref="J456:N456"/>
    <mergeCell ref="X351:X352"/>
    <mergeCell ref="AA461:AA462"/>
    <mergeCell ref="Z351:Z352"/>
    <mergeCell ref="T480:W480"/>
    <mergeCell ref="H359:H360"/>
    <mergeCell ref="F395:F396"/>
    <mergeCell ref="A363:A370"/>
    <mergeCell ref="J372:N372"/>
    <mergeCell ref="S357:S358"/>
    <mergeCell ref="X353:X354"/>
    <mergeCell ref="Z353:Z354"/>
    <mergeCell ref="C401:C410"/>
    <mergeCell ref="I343:I344"/>
    <mergeCell ref="P416:R416"/>
    <mergeCell ref="Y375:Y376"/>
    <mergeCell ref="J466:N466"/>
    <mergeCell ref="AA375:AA376"/>
    <mergeCell ref="D453:D454"/>
    <mergeCell ref="S375:S376"/>
    <mergeCell ref="O411:O412"/>
    <mergeCell ref="P480:R480"/>
    <mergeCell ref="D403:D404"/>
    <mergeCell ref="Y439:Y440"/>
    <mergeCell ref="AA439:AA440"/>
    <mergeCell ref="S439:S440"/>
    <mergeCell ref="AA395:AA396"/>
    <mergeCell ref="I397:I398"/>
    <mergeCell ref="I457:I458"/>
    <mergeCell ref="F461:F462"/>
    <mergeCell ref="H461:H462"/>
    <mergeCell ref="G351:G352"/>
    <mergeCell ref="AA435:AA436"/>
    <mergeCell ref="X371:X372"/>
    <mergeCell ref="O465:O466"/>
    <mergeCell ref="S435:S436"/>
    <mergeCell ref="C425:C428"/>
    <mergeCell ref="P406:R406"/>
    <mergeCell ref="C343:C346"/>
    <mergeCell ref="E353:E354"/>
    <mergeCell ref="J436:N436"/>
    <mergeCell ref="T376:W376"/>
    <mergeCell ref="A453:A454"/>
    <mergeCell ref="O343:O344"/>
    <mergeCell ref="G417:G418"/>
    <mergeCell ref="H383:H384"/>
    <mergeCell ref="C453:C454"/>
    <mergeCell ref="P358:R358"/>
    <mergeCell ref="G419:G420"/>
    <mergeCell ref="H385:H386"/>
    <mergeCell ref="G475:G476"/>
    <mergeCell ref="I475:I476"/>
    <mergeCell ref="D401:D402"/>
    <mergeCell ref="F401:F402"/>
    <mergeCell ref="E461:E462"/>
    <mergeCell ref="D351:D352"/>
    <mergeCell ref="T430:W430"/>
    <mergeCell ref="Y469:Y470"/>
    <mergeCell ref="S363:S364"/>
    <mergeCell ref="A419:A424"/>
    <mergeCell ref="AA469:AA470"/>
    <mergeCell ref="O399:O400"/>
    <mergeCell ref="A340:A342"/>
    <mergeCell ref="H459:H460"/>
    <mergeCell ref="C340:C342"/>
    <mergeCell ref="D353:D354"/>
    <mergeCell ref="F353:F354"/>
    <mergeCell ref="A357:A358"/>
    <mergeCell ref="S463:S464"/>
    <mergeCell ref="I463:I464"/>
    <mergeCell ref="S457:S458"/>
    <mergeCell ref="X453:X454"/>
    <mergeCell ref="J434:N434"/>
    <mergeCell ref="I481:I482"/>
    <mergeCell ref="S429:S430"/>
    <mergeCell ref="X359:X360"/>
    <mergeCell ref="Z359:Z360"/>
    <mergeCell ref="B375:B380"/>
    <mergeCell ref="Z419:Z420"/>
    <mergeCell ref="J400:N400"/>
    <mergeCell ref="T458:W458"/>
    <mergeCell ref="B411:B412"/>
    <mergeCell ref="O425:O426"/>
    <mergeCell ref="Y351:Y352"/>
    <mergeCell ref="B433:B438"/>
    <mergeCell ref="G359:G360"/>
    <mergeCell ref="D429:D430"/>
    <mergeCell ref="I359:I360"/>
    <mergeCell ref="D469:D470"/>
    <mergeCell ref="I465:I466"/>
    <mergeCell ref="Y353:Y354"/>
    <mergeCell ref="F469:F470"/>
    <mergeCell ref="D371:D372"/>
    <mergeCell ref="D341:E341"/>
    <mergeCell ref="P348:R348"/>
    <mergeCell ref="S455:S456"/>
    <mergeCell ref="H389:H390"/>
    <mergeCell ref="F351:F352"/>
    <mergeCell ref="AA457:AA458"/>
    <mergeCell ref="Z347:Z348"/>
    <mergeCell ref="B439:B452"/>
    <mergeCell ref="H355:H356"/>
    <mergeCell ref="I387:I388"/>
    <mergeCell ref="A916:I916"/>
    <mergeCell ref="O351:O352"/>
    <mergeCell ref="H391:H392"/>
    <mergeCell ref="O443:O444"/>
    <mergeCell ref="A411:A412"/>
    <mergeCell ref="C359:C362"/>
    <mergeCell ref="P372:R372"/>
    <mergeCell ref="H357:H358"/>
    <mergeCell ref="A433:A438"/>
    <mergeCell ref="F455:F456"/>
    <mergeCell ref="H455:H456"/>
    <mergeCell ref="Y371:Y372"/>
    <mergeCell ref="T344:W344"/>
    <mergeCell ref="H465:H466"/>
    <mergeCell ref="E469:E470"/>
    <mergeCell ref="P374:R374"/>
    <mergeCell ref="B343:B346"/>
    <mergeCell ref="G347:G348"/>
    <mergeCell ref="P438:R438"/>
    <mergeCell ref="D361:D362"/>
    <mergeCell ref="I413:I414"/>
    <mergeCell ref="Z425:Z426"/>
    <mergeCell ref="S465:S466"/>
    <mergeCell ref="I453:I454"/>
    <mergeCell ref="A439:A452"/>
    <mergeCell ref="G355:G356"/>
    <mergeCell ref="C439:C452"/>
    <mergeCell ref="D419:D420"/>
    <mergeCell ref="I415:I416"/>
    <mergeCell ref="F419:F420"/>
    <mergeCell ref="AA455:AA456"/>
    <mergeCell ref="H475:H476"/>
    <mergeCell ref="S479:S480"/>
    <mergeCell ref="I479:I480"/>
    <mergeCell ref="S473:S474"/>
    <mergeCell ref="X469:X470"/>
    <mergeCell ref="A413:A418"/>
    <mergeCell ref="Z469:Z470"/>
    <mergeCell ref="C413:C418"/>
    <mergeCell ref="B340:B342"/>
    <mergeCell ref="Z435:Z436"/>
    <mergeCell ref="T426:W426"/>
    <mergeCell ref="J360:N360"/>
    <mergeCell ref="E375:E376"/>
    <mergeCell ref="C411:C412"/>
    <mergeCell ref="B469:B472"/>
    <mergeCell ref="Y425:Y426"/>
    <mergeCell ref="S397:S398"/>
    <mergeCell ref="O359:O360"/>
    <mergeCell ref="G433:G434"/>
    <mergeCell ref="Y419:Y420"/>
    <mergeCell ref="Y359:Y360"/>
    <mergeCell ref="I433:I434"/>
    <mergeCell ref="O395:O396"/>
    <mergeCell ref="AA419:AA420"/>
    <mergeCell ref="A375:A380"/>
    <mergeCell ref="S359:S360"/>
    <mergeCell ref="X395:X396"/>
    <mergeCell ref="O435:O436"/>
    <mergeCell ref="G435:G436"/>
    <mergeCell ref="C433:C438"/>
    <mergeCell ref="P364:R364"/>
    <mergeCell ref="A339:C339"/>
    <mergeCell ref="Z413:Z414"/>
    <mergeCell ref="X375:X376"/>
    <mergeCell ref="Y343:Y344"/>
    <mergeCell ref="D413:D414"/>
    <mergeCell ref="X411:X412"/>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2026-09-20T16:53:07Z</dcterms:modified>
</cp:coreProperties>
</file>