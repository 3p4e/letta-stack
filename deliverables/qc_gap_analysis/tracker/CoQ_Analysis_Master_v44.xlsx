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4"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Reference!$A$220:$A$364</definedName>
    <definedName name="_fold_Reconciliation_09_09">Reference!$A$368:$A$638</definedName>
    <definedName name="_fold_Credit_Audit">Reference!$A$642:$A$655</definedName>
    <definedName name="_fold_Credit_Corrections">Reference!$A$659:$A$792</definedName>
    <definedName name="_fold_Work_Order">Reference!$A$796:$A$843</definedName>
    <definedName name="_fold_Open_Items">Reference!$A$847:$A$902</definedName>
    <definedName name="_fold_Not_Tested_Review">Reference!$A$906:$A$1218</definedName>
    <definedName name="_fold_Summary_Dashboard">Reference!$A$1222:$A$1242</definedName>
    <definedName name="_xlnm._FilterDatabase" localSheetId="0" hidden="1">'Batch Coverage'!$A$1:$V$87</definedName>
    <definedName name="_xlnm.Print_Titles" localSheetId="0">'Batch Coverage'!$1:$1</definedName>
    <definedName name="_xlnm.Print_Titles" localSheetId="1">'CoQ Parameter Tracker v44'!$1:$4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Supersession'!$A$1:$P$147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5"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6" pivotButton="0" quotePrefix="0" xfId="0"/>
    <xf numFmtId="0" fontId="0" fillId="0" borderId="71" pivotButton="0" quotePrefix="0" xfId="0"/>
    <xf numFmtId="0" fontId="0" fillId="0" borderId="70" pivotButton="0" quotePrefix="0" xfId="0"/>
    <xf numFmtId="0" fontId="0" fillId="0" borderId="74" pivotButton="0" quotePrefix="0" xfId="0"/>
    <xf numFmtId="0" fontId="0" fillId="0" borderId="72" pivotButton="0" quotePrefix="0" xfId="0"/>
    <xf numFmtId="0" fontId="0" fillId="0" borderId="73" pivotButton="0" quotePrefix="0" xfId="0"/>
    <xf numFmtId="0" fontId="0" fillId="0" borderId="78" pivotButton="0" quotePrefix="0" xfId="0"/>
    <xf numFmtId="0" fontId="0" fillId="0" borderId="79" pivotButton="0" quotePrefix="0" xfId="0"/>
    <xf numFmtId="0" fontId="0" fillId="0" borderId="80"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16" headerRowCount="1">
  <autoFilter ref="A1:AB216"/>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197-1-К-26, (07.08.2026) [FHM-K]</t>
        </is>
      </c>
      <c r="L7" s="149" t="inlineStr">
        <is>
          <t>✓</t>
        </is>
      </c>
      <c r="M7" s="150" t="inlineStr">
        <is>
          <t>26.14</t>
        </is>
      </c>
      <c r="N7" s="148" t="inlineStr">
        <is>
          <t>197-1-К-26, (07.08.2026) [FHM-K]</t>
        </is>
      </c>
      <c r="O7" s="149" t="inlineStr">
        <is>
          <t>✓</t>
        </is>
      </c>
      <c r="P7" s="151" t="inlineStr">
        <is>
          <t>&lt; LOQ</t>
        </is>
      </c>
      <c r="Q7" s="148" t="inlineStr">
        <is>
          <t>197-1-К-26, (07.08.2026) [FHM-K]</t>
        </is>
      </c>
      <c r="R7" s="149" t="inlineStr">
        <is>
          <t>✓</t>
        </is>
      </c>
      <c r="S7" s="151" t="inlineStr">
        <is>
          <t>0.28</t>
        </is>
      </c>
      <c r="T7" s="148" t="inlineStr">
        <is>
          <t>197-1-К-26, (07.08.2026) [FHM-K]</t>
        </is>
      </c>
      <c r="U7" s="149" t="inlineStr">
        <is>
          <t>✓</t>
        </is>
      </c>
      <c r="V7" s="145" t="n"/>
      <c r="W7" s="144" t="n"/>
      <c r="X7" s="146" t="n"/>
      <c r="Y7" s="152" t="inlineStr">
        <is>
          <t>not on this certificate</t>
        </is>
      </c>
      <c r="Z7" s="153" t="inlineStr">
        <is>
          <t>197-1-К-26,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197-1-М-26,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197-2-К-26, (07.08.2026) [FHM-K]</t>
        </is>
      </c>
      <c r="L11" s="149" t="inlineStr">
        <is>
          <t>✓</t>
        </is>
      </c>
      <c r="M11" s="150" t="inlineStr">
        <is>
          <t>25.01</t>
        </is>
      </c>
      <c r="N11" s="148" t="inlineStr">
        <is>
          <t>197-2-К-26, (07.08.2026) [FHM-K]</t>
        </is>
      </c>
      <c r="O11" s="149" t="inlineStr">
        <is>
          <t>✓</t>
        </is>
      </c>
      <c r="P11" s="151" t="inlineStr">
        <is>
          <t>&lt; LOQ</t>
        </is>
      </c>
      <c r="Q11" s="148" t="inlineStr">
        <is>
          <t>197-2-К-26, (07.08.2026) [FHM-K]</t>
        </is>
      </c>
      <c r="R11" s="149" t="inlineStr">
        <is>
          <t>✓</t>
        </is>
      </c>
      <c r="S11" s="151" t="inlineStr">
        <is>
          <t>&lt; LOQ</t>
        </is>
      </c>
      <c r="T11" s="148" t="inlineStr">
        <is>
          <t>197-2-К-26, (07.08.2026) [FHM-K]</t>
        </is>
      </c>
      <c r="U11" s="149" t="inlineStr">
        <is>
          <t>✓</t>
        </is>
      </c>
      <c r="V11" s="145" t="n"/>
      <c r="W11" s="144" t="n"/>
      <c r="X11" s="146" t="n"/>
      <c r="Y11" s="152" t="inlineStr">
        <is>
          <t>not on this certificate</t>
        </is>
      </c>
      <c r="Z11" s="153" t="inlineStr">
        <is>
          <t>197-2-К-26,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197-2-М-26,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227-25-К-26, (11.09.2026) [FHM-K]</t>
        </is>
      </c>
      <c r="L15" s="149" t="inlineStr">
        <is>
          <t>✓</t>
        </is>
      </c>
      <c r="M15" s="150" t="inlineStr">
        <is>
          <t>16.36</t>
        </is>
      </c>
      <c r="N15" s="148" t="inlineStr">
        <is>
          <t>227-25-К-26, (11.09.2026) [FHM-K]</t>
        </is>
      </c>
      <c r="O15" s="149" t="inlineStr">
        <is>
          <t>✓</t>
        </is>
      </c>
      <c r="P15" s="151" t="inlineStr">
        <is>
          <t>&lt; LOQ</t>
        </is>
      </c>
      <c r="Q15" s="148" t="inlineStr">
        <is>
          <t>227-25-К-26, (11.09.2026) [FHM-K]</t>
        </is>
      </c>
      <c r="R15" s="149" t="inlineStr">
        <is>
          <t>✓</t>
        </is>
      </c>
      <c r="S15" s="151" t="inlineStr">
        <is>
          <t>&lt; LOQ</t>
        </is>
      </c>
      <c r="T15" s="148" t="inlineStr">
        <is>
          <t>227-25-К-26,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227-26-К-26, (11.09.2026) [FHM-K]</t>
        </is>
      </c>
      <c r="L19" s="149" t="inlineStr">
        <is>
          <t>✓</t>
        </is>
      </c>
      <c r="M19" s="150" t="inlineStr">
        <is>
          <t>28.12</t>
        </is>
      </c>
      <c r="N19" s="148" t="inlineStr">
        <is>
          <t>227-26-К-26, (11.09.2026) [FHM-K]</t>
        </is>
      </c>
      <c r="O19" s="149" t="inlineStr">
        <is>
          <t>✓</t>
        </is>
      </c>
      <c r="P19" s="151" t="inlineStr">
        <is>
          <t>&lt; LOQ</t>
        </is>
      </c>
      <c r="Q19" s="148" t="inlineStr">
        <is>
          <t>227-26-К-26, (11.09.2026) [FHM-K]</t>
        </is>
      </c>
      <c r="R19" s="149" t="inlineStr">
        <is>
          <t>✓</t>
        </is>
      </c>
      <c r="S19" s="151" t="inlineStr">
        <is>
          <t>0.20</t>
        </is>
      </c>
      <c r="T19" s="148" t="inlineStr">
        <is>
          <t>227-26-К-26,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220-8-К-26, (25.08.2026) [FHM-K]</t>
        </is>
      </c>
      <c r="L23" s="149" t="inlineStr">
        <is>
          <t>✓</t>
        </is>
      </c>
      <c r="M23" s="150" t="inlineStr">
        <is>
          <t>17.99</t>
        </is>
      </c>
      <c r="N23" s="148" t="inlineStr">
        <is>
          <t>220-8-К-26, (25.08.2026) [FHM-K]</t>
        </is>
      </c>
      <c r="O23" s="149" t="inlineStr">
        <is>
          <t>✓</t>
        </is>
      </c>
      <c r="P23" s="151" t="inlineStr">
        <is>
          <t>&lt; LOQ</t>
        </is>
      </c>
      <c r="Q23" s="148" t="inlineStr">
        <is>
          <t>220-8-К-26, (25.08.2026) [FHM-K]</t>
        </is>
      </c>
      <c r="R23" s="149" t="inlineStr">
        <is>
          <t>✓</t>
        </is>
      </c>
      <c r="S23" s="151" t="inlineStr">
        <is>
          <t>&lt; LOQ</t>
        </is>
      </c>
      <c r="T23" s="148" t="inlineStr">
        <is>
          <t>220-8-К-26,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220-8-М-26,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227-24-К-26, (11.09.2026) [FHM-K]</t>
        </is>
      </c>
      <c r="L27" s="149" t="inlineStr">
        <is>
          <t>✓</t>
        </is>
      </c>
      <c r="M27" s="150" t="inlineStr">
        <is>
          <t>20.00</t>
        </is>
      </c>
      <c r="N27" s="148" t="inlineStr">
        <is>
          <t>227-24-К-26, (11.09.2026) [FHM-K]</t>
        </is>
      </c>
      <c r="O27" s="149" t="inlineStr">
        <is>
          <t>✓</t>
        </is>
      </c>
      <c r="P27" s="151" t="inlineStr">
        <is>
          <t>0.21</t>
        </is>
      </c>
      <c r="Q27" s="148" t="inlineStr">
        <is>
          <t>227-24-К-26, (11.09.2026) [FHM-K]</t>
        </is>
      </c>
      <c r="R27" s="149" t="inlineStr">
        <is>
          <t>✓</t>
        </is>
      </c>
      <c r="S27" s="151" t="inlineStr">
        <is>
          <t>&lt; LOQ</t>
        </is>
      </c>
      <c r="T27" s="148" t="inlineStr">
        <is>
          <t>227-24-К-26,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227-23-К-26, (11.09.2026) [FHM-K]</t>
        </is>
      </c>
      <c r="L31" s="149" t="inlineStr">
        <is>
          <t>✓</t>
        </is>
      </c>
      <c r="M31" s="150" t="inlineStr">
        <is>
          <t>19.31</t>
        </is>
      </c>
      <c r="N31" s="148" t="inlineStr">
        <is>
          <t>227-23-К-26, (11.09.2026) [FHM-K]</t>
        </is>
      </c>
      <c r="O31" s="149" t="inlineStr">
        <is>
          <t>✓</t>
        </is>
      </c>
      <c r="P31" s="151" t="inlineStr">
        <is>
          <t>&lt; LOQ</t>
        </is>
      </c>
      <c r="Q31" s="148" t="inlineStr">
        <is>
          <t>227-23-К-26, (11.09.2026) [FHM-K]</t>
        </is>
      </c>
      <c r="R31" s="149" t="inlineStr">
        <is>
          <t>✓</t>
        </is>
      </c>
      <c r="S31" s="151" t="inlineStr">
        <is>
          <t>&lt; LOQ</t>
        </is>
      </c>
      <c r="T31" s="148" t="inlineStr">
        <is>
          <t>227-23-К-26,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227-22-К-26, (11.09.2026) [FHM-K]</t>
        </is>
      </c>
      <c r="L37" s="149" t="inlineStr">
        <is>
          <t>✓</t>
        </is>
      </c>
      <c r="M37" s="150" t="inlineStr">
        <is>
          <t>18.75</t>
        </is>
      </c>
      <c r="N37" s="148" t="inlineStr">
        <is>
          <t>227-22-К-26, (11.09.2026) [FHM-K]</t>
        </is>
      </c>
      <c r="O37" s="149" t="inlineStr">
        <is>
          <t>✓</t>
        </is>
      </c>
      <c r="P37" s="151" t="inlineStr">
        <is>
          <t>&lt; LOQ</t>
        </is>
      </c>
      <c r="Q37" s="148" t="inlineStr">
        <is>
          <t>227-22-К-26, (11.09.2026) [FHM-K]</t>
        </is>
      </c>
      <c r="R37" s="149" t="inlineStr">
        <is>
          <t>✓</t>
        </is>
      </c>
      <c r="S37" s="151" t="inlineStr">
        <is>
          <t>&lt; LOQ</t>
        </is>
      </c>
      <c r="T37" s="148" t="inlineStr">
        <is>
          <t>227-22-К-26,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227-21-К-26, (11.09.2026) [FHM-K]</t>
        </is>
      </c>
      <c r="L41" s="149" t="inlineStr">
        <is>
          <t>✓</t>
        </is>
      </c>
      <c r="M41" s="150" t="inlineStr">
        <is>
          <t>19.16</t>
        </is>
      </c>
      <c r="N41" s="148" t="inlineStr">
        <is>
          <t>227-21-К-26, (11.09.2026) [FHM-K]</t>
        </is>
      </c>
      <c r="O41" s="149" t="inlineStr">
        <is>
          <t>✓</t>
        </is>
      </c>
      <c r="P41" s="151" t="inlineStr">
        <is>
          <t>&lt; LOQ</t>
        </is>
      </c>
      <c r="Q41" s="148" t="inlineStr">
        <is>
          <t>227-21-К-26, (11.09.2026) [FHM-K]</t>
        </is>
      </c>
      <c r="R41" s="149" t="inlineStr">
        <is>
          <t>✓</t>
        </is>
      </c>
      <c r="S41" s="151" t="inlineStr">
        <is>
          <t>&lt; LOQ</t>
        </is>
      </c>
      <c r="T41" s="148" t="inlineStr">
        <is>
          <t>227-21-К-26,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197-8-М-26,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197-8-К-26, (07.08.2026) [FHM-K]</t>
        </is>
      </c>
      <c r="L45" s="149" t="inlineStr">
        <is>
          <t>✓</t>
        </is>
      </c>
      <c r="M45" s="150" t="inlineStr">
        <is>
          <t>16.70</t>
        </is>
      </c>
      <c r="N45" s="148" t="inlineStr">
        <is>
          <t>197-8-К-26, (07.08.2026) [FHM-K]</t>
        </is>
      </c>
      <c r="O45" s="149" t="inlineStr">
        <is>
          <t>✓</t>
        </is>
      </c>
      <c r="P45" s="151" t="inlineStr">
        <is>
          <t>&lt; LOQ</t>
        </is>
      </c>
      <c r="Q45" s="148" t="inlineStr">
        <is>
          <t>197-8-К-26, (07.08.2026) [FHM-K]</t>
        </is>
      </c>
      <c r="R45" s="149" t="inlineStr">
        <is>
          <t>✓</t>
        </is>
      </c>
      <c r="S45" s="151" t="inlineStr">
        <is>
          <t>&lt; LOQ</t>
        </is>
      </c>
      <c r="T45" s="148" t="inlineStr">
        <is>
          <t>197-8-К-26, (07.08.2026) [FHM-K]</t>
        </is>
      </c>
      <c r="U45" s="149" t="inlineStr">
        <is>
          <t>✓</t>
        </is>
      </c>
      <c r="V45" s="145" t="n"/>
      <c r="W45" s="144" t="n"/>
      <c r="X45" s="146" t="n"/>
      <c r="Y45" s="152" t="inlineStr">
        <is>
          <t>not on this certificate</t>
        </is>
      </c>
      <c r="Z45" s="153" t="inlineStr">
        <is>
          <t>197-8-К-26,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220-9-К-26, (25.08.2026) [FHM-K]</t>
        </is>
      </c>
      <c r="L49" s="130" t="inlineStr">
        <is>
          <t>✓</t>
        </is>
      </c>
      <c r="M49" s="134" t="inlineStr">
        <is>
          <t>15.51</t>
        </is>
      </c>
      <c r="N49" s="129" t="inlineStr">
        <is>
          <t>220-9-К-26, (25.08.2026) [FHM-K]</t>
        </is>
      </c>
      <c r="O49" s="130" t="inlineStr">
        <is>
          <t>✓</t>
        </is>
      </c>
      <c r="P49" s="135" t="inlineStr">
        <is>
          <t>&lt; LOQ</t>
        </is>
      </c>
      <c r="Q49" s="129" t="inlineStr">
        <is>
          <t>220-9-К-26, (25.08.2026) [FHM-K]</t>
        </is>
      </c>
      <c r="R49" s="130" t="inlineStr">
        <is>
          <t>✓</t>
        </is>
      </c>
      <c r="S49" s="135" t="inlineStr">
        <is>
          <t>&lt; LOQ</t>
        </is>
      </c>
      <c r="T49" s="129" t="inlineStr">
        <is>
          <t>220-9-К-26,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220-9-М-26,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227-20-К-26, (11.09.2026) [FHM-K]</t>
        </is>
      </c>
      <c r="L55" s="149" t="inlineStr">
        <is>
          <t>✓</t>
        </is>
      </c>
      <c r="M55" s="150" t="inlineStr">
        <is>
          <t>18.64</t>
        </is>
      </c>
      <c r="N55" s="148" t="inlineStr">
        <is>
          <t>227-20-К-26, (11.09.2026) [FHM-K]</t>
        </is>
      </c>
      <c r="O55" s="149" t="inlineStr">
        <is>
          <t>✓</t>
        </is>
      </c>
      <c r="P55" s="151" t="inlineStr">
        <is>
          <t>&lt; LOQ</t>
        </is>
      </c>
      <c r="Q55" s="148" t="inlineStr">
        <is>
          <t>227-20-К-26, (11.09.2026) [FHM-K]</t>
        </is>
      </c>
      <c r="R55" s="149" t="inlineStr">
        <is>
          <t>✓</t>
        </is>
      </c>
      <c r="S55" s="151" t="inlineStr">
        <is>
          <t>&lt; LOQ</t>
        </is>
      </c>
      <c r="T55" s="148" t="inlineStr">
        <is>
          <t>227-20-К-26,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220-14-М-26,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051-6-К-26, (04.03.2026) [FHM-K]</t>
        </is>
      </c>
      <c r="L59" s="186" t="inlineStr">
        <is>
          <t>✓</t>
        </is>
      </c>
      <c r="M59" s="187" t="inlineStr">
        <is>
          <t>11.53</t>
        </is>
      </c>
      <c r="N59" s="185" t="inlineStr">
        <is>
          <t>051-6-К-26, (04.03.2026) [FHM-K]</t>
        </is>
      </c>
      <c r="O59" s="186" t="inlineStr">
        <is>
          <t>✓</t>
        </is>
      </c>
      <c r="P59" s="188" t="inlineStr">
        <is>
          <t>&lt; LOQ**</t>
        </is>
      </c>
      <c r="Q59" s="185" t="inlineStr">
        <is>
          <t>051-6-К-26, (04.03.2026) [FHM-K]</t>
        </is>
      </c>
      <c r="R59" s="186" t="inlineStr">
        <is>
          <t>✓</t>
        </is>
      </c>
      <c r="S59" s="188" t="inlineStr">
        <is>
          <t>&lt; LOQ**</t>
        </is>
      </c>
      <c r="T59" s="185" t="inlineStr">
        <is>
          <t>051-6-К-26,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051-6-К-26,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220-14-К-26, (25.08.2026) [FHM-K]</t>
        </is>
      </c>
      <c r="L61" s="186" t="inlineStr">
        <is>
          <t>✓</t>
        </is>
      </c>
      <c r="M61" s="187" t="inlineStr">
        <is>
          <t>9.80</t>
        </is>
      </c>
      <c r="N61" s="185" t="inlineStr">
        <is>
          <t>220-14-К-26, (25.08.2026) [FHM-K]</t>
        </is>
      </c>
      <c r="O61" s="186" t="inlineStr">
        <is>
          <t>✓</t>
        </is>
      </c>
      <c r="P61" s="188" t="inlineStr">
        <is>
          <t>&lt; LOQ</t>
        </is>
      </c>
      <c r="Q61" s="185" t="inlineStr">
        <is>
          <t>220-14-К-26, (25.08.2026) [FHM-K]</t>
        </is>
      </c>
      <c r="R61" s="186" t="inlineStr">
        <is>
          <t>✓</t>
        </is>
      </c>
      <c r="S61" s="188" t="inlineStr">
        <is>
          <t>&lt; LOQ</t>
        </is>
      </c>
      <c r="T61" s="185" t="inlineStr">
        <is>
          <t>220-14-К-26,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227-16-К-26, (11.09.2026) [FHM-K]</t>
        </is>
      </c>
      <c r="L63" s="149" t="inlineStr">
        <is>
          <t>✓</t>
        </is>
      </c>
      <c r="M63" s="150" t="inlineStr">
        <is>
          <t>7.50</t>
        </is>
      </c>
      <c r="N63" s="148" t="inlineStr">
        <is>
          <t>227-16-К-26, (11.09.2026) [FHM-K]</t>
        </is>
      </c>
      <c r="O63" s="149" t="inlineStr">
        <is>
          <t>✓</t>
        </is>
      </c>
      <c r="P63" s="151" t="inlineStr">
        <is>
          <t>&lt; LOQ</t>
        </is>
      </c>
      <c r="Q63" s="148" t="inlineStr">
        <is>
          <t>227-16-К-26, (11.09.2026) [FHM-K]</t>
        </is>
      </c>
      <c r="R63" s="149" t="inlineStr">
        <is>
          <t>✓</t>
        </is>
      </c>
      <c r="S63" s="151" t="inlineStr">
        <is>
          <t>&lt; LOQ</t>
        </is>
      </c>
      <c r="T63" s="148" t="inlineStr">
        <is>
          <t>227-16-К-26,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197-13-К-26,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197-13-К-26,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197-13-К-26,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197-13-К-26, (07.08.2026) [FHM-K]</t>
        </is>
      </c>
      <c r="O67" s="149" t="inlineStr">
        <is>
          <t>✓</t>
        </is>
      </c>
      <c r="P67" s="151" t="inlineStr">
        <is>
          <t>&lt; LOQ</t>
        </is>
      </c>
      <c r="Q67" s="148" t="inlineStr">
        <is>
          <t>197-13-К-26,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197-13-М-26,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197-16-М-26,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051-1-К-26, (04.03.2026) [FHM-K]</t>
        </is>
      </c>
      <c r="L71" s="186" t="inlineStr">
        <is>
          <t>✓</t>
        </is>
      </c>
      <c r="M71" s="187" t="inlineStr">
        <is>
          <t>19.14</t>
        </is>
      </c>
      <c r="N71" s="185" t="inlineStr">
        <is>
          <t>051-1-К-26, (04.03.2026) [FHM-K]</t>
        </is>
      </c>
      <c r="O71" s="186" t="inlineStr">
        <is>
          <t>✓</t>
        </is>
      </c>
      <c r="P71" s="188" t="inlineStr">
        <is>
          <t>&lt; LOQ**</t>
        </is>
      </c>
      <c r="Q71" s="185" t="inlineStr">
        <is>
          <t>051-1-К-26, (04.03.2026) [FHM-K]</t>
        </is>
      </c>
      <c r="R71" s="186" t="inlineStr">
        <is>
          <t>✓</t>
        </is>
      </c>
      <c r="S71" s="188" t="inlineStr">
        <is>
          <t>&lt; LOQ**</t>
        </is>
      </c>
      <c r="T71" s="185" t="inlineStr">
        <is>
          <t>051-1-К-26, (04.03.2026) [FHM-K]</t>
        </is>
      </c>
      <c r="U71" s="186" t="inlineStr">
        <is>
          <t>✓</t>
        </is>
      </c>
      <c r="V71" s="145" t="n"/>
      <c r="W71" s="144" t="n"/>
      <c r="X71" s="146" t="n"/>
      <c r="Y71" s="189" t="inlineStr">
        <is>
          <t>not on this certificate</t>
        </is>
      </c>
      <c r="Z71" s="190" t="inlineStr">
        <is>
          <t>051-1-К-26,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197-16-К-26, (07.08.2026) [FHM-K]</t>
        </is>
      </c>
      <c r="L73" s="149" t="inlineStr">
        <is>
          <t>✓</t>
        </is>
      </c>
      <c r="M73" s="150" t="inlineStr">
        <is>
          <t>17.32</t>
        </is>
      </c>
      <c r="N73" s="148" t="inlineStr">
        <is>
          <t>197-16-К-26, (07.08.2026) [FHM-K]</t>
        </is>
      </c>
      <c r="O73" s="149" t="inlineStr">
        <is>
          <t>✓</t>
        </is>
      </c>
      <c r="P73" s="151" t="inlineStr">
        <is>
          <t>&lt; LOQ</t>
        </is>
      </c>
      <c r="Q73" s="148" t="inlineStr">
        <is>
          <t>197-16-К-26, (07.08.2026) [FHM-K]</t>
        </is>
      </c>
      <c r="R73" s="149" t="inlineStr">
        <is>
          <t>✓</t>
        </is>
      </c>
      <c r="S73" s="151" t="inlineStr">
        <is>
          <t>&lt; LOQ</t>
        </is>
      </c>
      <c r="T73" s="148" t="inlineStr">
        <is>
          <t>197-16-К-26, (07.08.2026) [FHM-K]</t>
        </is>
      </c>
      <c r="U73" s="149" t="inlineStr">
        <is>
          <t>✓</t>
        </is>
      </c>
      <c r="V73" s="145" t="n"/>
      <c r="W73" s="144" t="n"/>
      <c r="X73" s="146" t="n"/>
      <c r="Y73" s="152" t="inlineStr">
        <is>
          <t>not on this certificate</t>
        </is>
      </c>
      <c r="Z73" s="153" t="inlineStr">
        <is>
          <t>197-16-К-26,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051-5-К-26, (04.03.2026) [FHM-K]</t>
        </is>
      </c>
      <c r="L77" s="186" t="inlineStr">
        <is>
          <t>✓</t>
        </is>
      </c>
      <c r="M77" s="187" t="inlineStr">
        <is>
          <t>25.27</t>
        </is>
      </c>
      <c r="N77" s="185" t="inlineStr">
        <is>
          <t>051-5-К-26, (04.03.2026) [FHM-K]</t>
        </is>
      </c>
      <c r="O77" s="186" t="inlineStr">
        <is>
          <t>✓</t>
        </is>
      </c>
      <c r="P77" s="188" t="inlineStr">
        <is>
          <t>&lt; LOQ**</t>
        </is>
      </c>
      <c r="Q77" s="185" t="inlineStr">
        <is>
          <t>051-5-К-26, (04.03.2026) [FHM-K]</t>
        </is>
      </c>
      <c r="R77" s="186" t="inlineStr">
        <is>
          <t>✓</t>
        </is>
      </c>
      <c r="S77" s="188" t="inlineStr">
        <is>
          <t>&lt; LOQ**</t>
        </is>
      </c>
      <c r="T77" s="185" t="inlineStr">
        <is>
          <t>051-5-К-26, (04.03.2026) [FHM-K]</t>
        </is>
      </c>
      <c r="U77" s="186" t="inlineStr">
        <is>
          <t>✓</t>
        </is>
      </c>
      <c r="V77" s="145" t="n"/>
      <c r="W77" s="144" t="n"/>
      <c r="X77" s="146" t="n"/>
      <c r="Y77" s="189" t="inlineStr">
        <is>
          <t>not on this certificate</t>
        </is>
      </c>
      <c r="Z77" s="190" t="inlineStr">
        <is>
          <t>051-5-К-26,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100-1-К-26, (09.04.2026) [FHM-K]</t>
        </is>
      </c>
      <c r="L79" s="202" t="inlineStr">
        <is>
          <t>✗</t>
        </is>
      </c>
      <c r="M79" s="187" t="inlineStr">
        <is>
          <t>20.21</t>
        </is>
      </c>
      <c r="N79" s="185" t="inlineStr">
        <is>
          <t>100-1-К-26, (09.04.2026) [FHM-K]</t>
        </is>
      </c>
      <c r="O79" s="186" t="inlineStr">
        <is>
          <t>✓</t>
        </is>
      </c>
      <c r="P79" s="188" t="inlineStr">
        <is>
          <t>&lt; LOQ</t>
        </is>
      </c>
      <c r="Q79" s="185" t="inlineStr">
        <is>
          <t>100-1-К-26, (09.04.2026) [FHM-K]</t>
        </is>
      </c>
      <c r="R79" s="186" t="inlineStr">
        <is>
          <t>✓</t>
        </is>
      </c>
      <c r="S79" s="188" t="inlineStr">
        <is>
          <t>&lt; LOQ</t>
        </is>
      </c>
      <c r="T79" s="185" t="inlineStr">
        <is>
          <t>100-1-К-26, (09.04.2026) [FHM-K]</t>
        </is>
      </c>
      <c r="U79" s="186" t="inlineStr">
        <is>
          <t>✓</t>
        </is>
      </c>
      <c r="V79" s="145" t="n"/>
      <c r="W79" s="144" t="n"/>
      <c r="X79" s="146" t="n"/>
      <c r="Y79" s="189" t="inlineStr">
        <is>
          <t>not on this certificate</t>
        </is>
      </c>
      <c r="Z79" s="190" t="inlineStr">
        <is>
          <t>100-1-К-26,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227-14-К-26, (11.09.2026) [FHM-K]</t>
        </is>
      </c>
      <c r="L87" s="149" t="inlineStr">
        <is>
          <t>✓</t>
        </is>
      </c>
      <c r="M87" s="150" t="inlineStr">
        <is>
          <t>23.85</t>
        </is>
      </c>
      <c r="N87" s="148" t="inlineStr">
        <is>
          <t>227-14-К-26, (11.09.2026) [FHM-K]</t>
        </is>
      </c>
      <c r="O87" s="149" t="inlineStr">
        <is>
          <t>✓</t>
        </is>
      </c>
      <c r="P87" s="151" t="inlineStr">
        <is>
          <t>&lt; LOQ</t>
        </is>
      </c>
      <c r="Q87" s="148" t="inlineStr">
        <is>
          <t>227-14-К-26, (11.09.2026) [FHM-K]</t>
        </is>
      </c>
      <c r="R87" s="149" t="inlineStr">
        <is>
          <t>✓</t>
        </is>
      </c>
      <c r="S87" s="151" t="inlineStr">
        <is>
          <t>&lt; LOQ</t>
        </is>
      </c>
      <c r="T87" s="148" t="inlineStr">
        <is>
          <t>227-14-К-26,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100-2-К-26, (09.04.2026) [FHM-K]</t>
        </is>
      </c>
      <c r="L89" s="130" t="inlineStr">
        <is>
          <t>✓</t>
        </is>
      </c>
      <c r="M89" s="134" t="inlineStr">
        <is>
          <t>19.84 ᴿ</t>
        </is>
      </c>
      <c r="N89" s="129" t="inlineStr">
        <is>
          <t>100-2-К-26, (09.04.2026) [FHM-K]</t>
        </is>
      </c>
      <c r="O89" s="130" t="inlineStr">
        <is>
          <t>✓</t>
        </is>
      </c>
      <c r="P89" s="135" t="inlineStr">
        <is>
          <t>&lt; LOQ (&lt;0.20) ᴿ</t>
        </is>
      </c>
      <c r="Q89" s="129" t="inlineStr">
        <is>
          <t>100-2-К-26, (09.04.2026) [FHM-K]</t>
        </is>
      </c>
      <c r="R89" s="130" t="inlineStr">
        <is>
          <t>✓</t>
        </is>
      </c>
      <c r="S89" s="135" t="inlineStr">
        <is>
          <t>&lt; LOQ ᴿ</t>
        </is>
      </c>
      <c r="T89" s="129" t="inlineStr">
        <is>
          <t>100-2-К-26,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100-2-К-26,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100-3-К-26, (09.04.2026) [FHM-K]</t>
        </is>
      </c>
      <c r="L91" s="202" t="inlineStr">
        <is>
          <t>✗</t>
        </is>
      </c>
      <c r="M91" s="187" t="inlineStr">
        <is>
          <t>21.84 ᴿ</t>
        </is>
      </c>
      <c r="N91" s="185" t="inlineStr">
        <is>
          <t>100-3-К-26, (09.04.2026) [FHM-K]</t>
        </is>
      </c>
      <c r="O91" s="186" t="inlineStr">
        <is>
          <t>✓</t>
        </is>
      </c>
      <c r="P91" s="188" t="inlineStr">
        <is>
          <t>&lt; LOQ (&lt;0.20) ᴿ</t>
        </is>
      </c>
      <c r="Q91" s="185" t="inlineStr">
        <is>
          <t>100-3-К-26, (09.04.2026) [FHM-K]</t>
        </is>
      </c>
      <c r="R91" s="186" t="inlineStr">
        <is>
          <t>✓</t>
        </is>
      </c>
      <c r="S91" s="188" t="inlineStr">
        <is>
          <t>&lt; LOQ ᴿ</t>
        </is>
      </c>
      <c r="T91" s="185" t="inlineStr">
        <is>
          <t>100-3-К-26, (09.04.2026) [FHM-K]</t>
        </is>
      </c>
      <c r="U91" s="186" t="inlineStr">
        <is>
          <t>✓</t>
        </is>
      </c>
      <c r="V91" s="145" t="n"/>
      <c r="W91" s="144" t="n"/>
      <c r="X91" s="146" t="n"/>
      <c r="Y91" s="189" t="inlineStr">
        <is>
          <t>not ingested</t>
        </is>
      </c>
      <c r="Z91" s="190" t="inlineStr">
        <is>
          <t>100-3-К-26,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227-13-К-26, (11.09.2026) [FHM-K]</t>
        </is>
      </c>
      <c r="L93" s="149" t="inlineStr">
        <is>
          <t>✓</t>
        </is>
      </c>
      <c r="M93" s="150" t="inlineStr">
        <is>
          <t>24.48</t>
        </is>
      </c>
      <c r="N93" s="148" t="inlineStr">
        <is>
          <t>227-13-К-26, (11.09.2026) [FHM-K]</t>
        </is>
      </c>
      <c r="O93" s="149" t="inlineStr">
        <is>
          <t>✓</t>
        </is>
      </c>
      <c r="P93" s="151" t="inlineStr">
        <is>
          <t>&lt; LOQ</t>
        </is>
      </c>
      <c r="Q93" s="148" t="inlineStr">
        <is>
          <t>227-13-К-26, (11.09.2026) [FHM-K]</t>
        </is>
      </c>
      <c r="R93" s="149" t="inlineStr">
        <is>
          <t>✓</t>
        </is>
      </c>
      <c r="S93" s="151" t="inlineStr">
        <is>
          <t>&lt; LOQ</t>
        </is>
      </c>
      <c r="T93" s="148" t="inlineStr">
        <is>
          <t>227-13-К-26,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227-15-К-26, (11.09.2026) [FHM-K]</t>
        </is>
      </c>
      <c r="L97" s="149" t="inlineStr">
        <is>
          <t>✓</t>
        </is>
      </c>
      <c r="M97" s="150" t="inlineStr">
        <is>
          <t>19.99</t>
        </is>
      </c>
      <c r="N97" s="148" t="inlineStr">
        <is>
          <t>227-15-К-26, (11.09.2026) [FHM-K]</t>
        </is>
      </c>
      <c r="O97" s="149" t="inlineStr">
        <is>
          <t>✓</t>
        </is>
      </c>
      <c r="P97" s="151" t="inlineStr">
        <is>
          <t>&lt; LOQ</t>
        </is>
      </c>
      <c r="Q97" s="148" t="inlineStr">
        <is>
          <t>227-15-К-26, (11.09.2026) [FHM-K]</t>
        </is>
      </c>
      <c r="R97" s="149" t="inlineStr">
        <is>
          <t>✓</t>
        </is>
      </c>
      <c r="S97" s="151" t="inlineStr">
        <is>
          <t>&lt; LOQ</t>
        </is>
      </c>
      <c r="T97" s="148" t="inlineStr">
        <is>
          <t>227-15-К-26,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220-16-М-26,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220-17-М-26,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220-16-К-26, (25.08.2026) [FHM-K]</t>
        </is>
      </c>
      <c r="L103" s="186" t="inlineStr">
        <is>
          <t>✓</t>
        </is>
      </c>
      <c r="M103" s="187" t="inlineStr">
        <is>
          <t>21.01</t>
        </is>
      </c>
      <c r="N103" s="185" t="inlineStr">
        <is>
          <t>220-16-К-26, (25.08.2026) [FHM-K]</t>
        </is>
      </c>
      <c r="O103" s="186" t="inlineStr">
        <is>
          <t>✓</t>
        </is>
      </c>
      <c r="P103" s="188" t="inlineStr">
        <is>
          <t>&lt; LOQ</t>
        </is>
      </c>
      <c r="Q103" s="185" t="inlineStr">
        <is>
          <t>220-16-К-26, (25.08.2026) [FHM-K]</t>
        </is>
      </c>
      <c r="R103" s="186" t="inlineStr">
        <is>
          <t>✓</t>
        </is>
      </c>
      <c r="S103" s="188" t="inlineStr">
        <is>
          <t>&lt; LOQ</t>
        </is>
      </c>
      <c r="T103" s="185" t="inlineStr">
        <is>
          <t>220-16-К-26,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220-18-М-26,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220-17-К-26, (26.08.2026) [FHM-K]</t>
        </is>
      </c>
      <c r="L105" s="186" t="inlineStr">
        <is>
          <t>✓</t>
        </is>
      </c>
      <c r="M105" s="187" t="inlineStr">
        <is>
          <t>14.43</t>
        </is>
      </c>
      <c r="N105" s="185" t="inlineStr">
        <is>
          <t>220-17-К-26, (26.08.2026) [FHM-K]</t>
        </is>
      </c>
      <c r="O105" s="186" t="inlineStr">
        <is>
          <t>✓</t>
        </is>
      </c>
      <c r="P105" s="188" t="inlineStr">
        <is>
          <t>&lt; LOQ</t>
        </is>
      </c>
      <c r="Q105" s="185" t="inlineStr">
        <is>
          <t>220-17-К-26, (26.08.2026) [FHM-K]</t>
        </is>
      </c>
      <c r="R105" s="186" t="inlineStr">
        <is>
          <t>✓</t>
        </is>
      </c>
      <c r="S105" s="188" t="inlineStr">
        <is>
          <t>&lt; LOQ</t>
        </is>
      </c>
      <c r="T105" s="185" t="inlineStr">
        <is>
          <t>220-17-К-26,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220-18-К-26, (26.08.2026) [FHM-K]</t>
        </is>
      </c>
      <c r="L107" s="149" t="inlineStr">
        <is>
          <t>✓</t>
        </is>
      </c>
      <c r="M107" s="150" t="inlineStr">
        <is>
          <t>17.09</t>
        </is>
      </c>
      <c r="N107" s="148" t="inlineStr">
        <is>
          <t>220-18-К-26, (26.08.2026) [FHM-K]</t>
        </is>
      </c>
      <c r="O107" s="149" t="inlineStr">
        <is>
          <t>✓</t>
        </is>
      </c>
      <c r="P107" s="151" t="inlineStr">
        <is>
          <t>&lt; LOQ</t>
        </is>
      </c>
      <c r="Q107" s="148" t="inlineStr">
        <is>
          <t>220-18-К-26, (26.08.2026) [FHM-K]</t>
        </is>
      </c>
      <c r="R107" s="149" t="inlineStr">
        <is>
          <t>✓</t>
        </is>
      </c>
      <c r="S107" s="151" t="inlineStr">
        <is>
          <t>&lt; LOQ</t>
        </is>
      </c>
      <c r="T107" s="148" t="inlineStr">
        <is>
          <t>220-18-К-26,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197-15-К-26, (07.08.2026) [FHM-K]</t>
        </is>
      </c>
      <c r="L115" s="149" t="inlineStr">
        <is>
          <t>✓</t>
        </is>
      </c>
      <c r="M115" s="150" t="inlineStr">
        <is>
          <t>20.32</t>
        </is>
      </c>
      <c r="N115" s="148" t="inlineStr">
        <is>
          <t>197-15-К-26, (07.08.2026) [FHM-K]</t>
        </is>
      </c>
      <c r="O115" s="149" t="inlineStr">
        <is>
          <t>✓</t>
        </is>
      </c>
      <c r="P115" s="151" t="inlineStr">
        <is>
          <t>&lt; LOQ</t>
        </is>
      </c>
      <c r="Q115" s="148" t="inlineStr">
        <is>
          <t>197-15-К-26, (07.08.2026) [FHM-K]</t>
        </is>
      </c>
      <c r="R115" s="149" t="inlineStr">
        <is>
          <t>✓</t>
        </is>
      </c>
      <c r="S115" s="151" t="inlineStr">
        <is>
          <t>&lt; LOQ</t>
        </is>
      </c>
      <c r="T115" s="148" t="inlineStr">
        <is>
          <t>197-15-К-26, (07.08.2026) [FHM-K]</t>
        </is>
      </c>
      <c r="U115" s="149" t="inlineStr">
        <is>
          <t>✓</t>
        </is>
      </c>
      <c r="V115" s="145" t="n"/>
      <c r="W115" s="144" t="n"/>
      <c r="X115" s="146" t="n"/>
      <c r="Y115" s="152" t="inlineStr">
        <is>
          <t>not on this certificate</t>
        </is>
      </c>
      <c r="Z115" s="153" t="inlineStr">
        <is>
          <t>197-15-К-26,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197-15-М-26,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220-19-М-26,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051-4-К-26, (04.03.2026) [FHM-K]</t>
        </is>
      </c>
      <c r="L119" s="186" t="inlineStr">
        <is>
          <t>✓</t>
        </is>
      </c>
      <c r="M119" s="187" t="inlineStr">
        <is>
          <t>17.04</t>
        </is>
      </c>
      <c r="N119" s="185" t="inlineStr">
        <is>
          <t>051-4-К-26, (04.03.2026) [FHM-K]</t>
        </is>
      </c>
      <c r="O119" s="186" t="inlineStr">
        <is>
          <t>✓</t>
        </is>
      </c>
      <c r="P119" s="188" t="inlineStr">
        <is>
          <t>&lt; LOQ**</t>
        </is>
      </c>
      <c r="Q119" s="185" t="inlineStr">
        <is>
          <t>051-4-К-26, (04.03.2026) [FHM-K]</t>
        </is>
      </c>
      <c r="R119" s="186" t="inlineStr">
        <is>
          <t>✓</t>
        </is>
      </c>
      <c r="S119" s="188" t="inlineStr">
        <is>
          <t>&lt; LOQ**</t>
        </is>
      </c>
      <c r="T119" s="185" t="inlineStr">
        <is>
          <t>051-4-К-26, (04.03.2026) [FHM-K]</t>
        </is>
      </c>
      <c r="U119" s="186" t="inlineStr">
        <is>
          <t>✓</t>
        </is>
      </c>
      <c r="V119" s="145" t="n"/>
      <c r="W119" s="144" t="n"/>
      <c r="X119" s="146" t="n"/>
      <c r="Y119" s="189" t="inlineStr">
        <is>
          <t>not on this certificate</t>
        </is>
      </c>
      <c r="Z119" s="190" t="inlineStr">
        <is>
          <t>051-4-К-26,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220-19-К-26, (26.08.2026) [FHM-K]</t>
        </is>
      </c>
      <c r="L121" s="149" t="inlineStr">
        <is>
          <t>✓</t>
        </is>
      </c>
      <c r="M121" s="150" t="inlineStr">
        <is>
          <t>17.06</t>
        </is>
      </c>
      <c r="N121" s="148" t="inlineStr">
        <is>
          <t>220-19-К-26, (26.08.2026) [FHM-K]</t>
        </is>
      </c>
      <c r="O121" s="149" t="inlineStr">
        <is>
          <t>✓</t>
        </is>
      </c>
      <c r="P121" s="151" t="inlineStr">
        <is>
          <t>&lt; LOQ</t>
        </is>
      </c>
      <c r="Q121" s="148" t="inlineStr">
        <is>
          <t>220-19-К-26, (26.08.2026) [FHM-K]</t>
        </is>
      </c>
      <c r="R121" s="149" t="inlineStr">
        <is>
          <t>✓</t>
        </is>
      </c>
      <c r="S121" s="151" t="inlineStr">
        <is>
          <t>&lt; LOQ</t>
        </is>
      </c>
      <c r="T121" s="148" t="inlineStr">
        <is>
          <t>220-19-К-26,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197-17-К-26,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197-17-К-26,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197-17-К-26,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197-17-К-26, (07.08.2026) [FHM-K]</t>
        </is>
      </c>
      <c r="O125" s="149" t="inlineStr">
        <is>
          <t>✓</t>
        </is>
      </c>
      <c r="P125" s="151" t="inlineStr">
        <is>
          <t>&lt; LOQ</t>
        </is>
      </c>
      <c r="Q125" s="148" t="inlineStr">
        <is>
          <t>197-17-К-26,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197-17-М-26,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227-10-К-26, (11.09.2026) [FHM-K]</t>
        </is>
      </c>
      <c r="L129" s="149" t="inlineStr">
        <is>
          <t>✓</t>
        </is>
      </c>
      <c r="M129" s="150" t="inlineStr">
        <is>
          <t>9.73</t>
        </is>
      </c>
      <c r="N129" s="148" t="inlineStr">
        <is>
          <t>227-10-К-26, (11.09.2026) [FHM-K]</t>
        </is>
      </c>
      <c r="O129" s="149" t="inlineStr">
        <is>
          <t>✓</t>
        </is>
      </c>
      <c r="P129" s="151" t="inlineStr">
        <is>
          <t>&lt; LOQ</t>
        </is>
      </c>
      <c r="Q129" s="148" t="inlineStr">
        <is>
          <t>227-10-К-26, (11.09.2026) [FHM-K]</t>
        </is>
      </c>
      <c r="R129" s="149" t="inlineStr">
        <is>
          <t>✓</t>
        </is>
      </c>
      <c r="S129" s="151" t="inlineStr">
        <is>
          <t>&lt; LOQ</t>
        </is>
      </c>
      <c r="T129" s="148" t="inlineStr">
        <is>
          <t>227-10-К-26,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100-4-К-26, (09.04.2026) [FHM-K]</t>
        </is>
      </c>
      <c r="L131" s="130" t="inlineStr">
        <is>
          <t>✓</t>
        </is>
      </c>
      <c r="M131" s="134" t="inlineStr">
        <is>
          <t>8.09</t>
        </is>
      </c>
      <c r="N131" s="129" t="inlineStr">
        <is>
          <t>100-4-К-26, (09.04.2026) [FHM-K]</t>
        </is>
      </c>
      <c r="O131" s="130" t="inlineStr">
        <is>
          <t>✓</t>
        </is>
      </c>
      <c r="P131" s="135" t="inlineStr">
        <is>
          <t>&lt; LOQ</t>
        </is>
      </c>
      <c r="Q131" s="129" t="inlineStr">
        <is>
          <t>100-4-К-26, (09.04.2026) [FHM-K]</t>
        </is>
      </c>
      <c r="R131" s="130" t="inlineStr">
        <is>
          <t>✓</t>
        </is>
      </c>
      <c r="S131" s="135" t="inlineStr">
        <is>
          <t>&lt; LOQ</t>
        </is>
      </c>
      <c r="T131" s="129" t="inlineStr">
        <is>
          <t>100-4-К-26,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100-4-К-26,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197-19-М-26,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197-19-К-26, (07.08.2026) [FHM-K]</t>
        </is>
      </c>
      <c r="L135" s="149" t="inlineStr">
        <is>
          <t>✓</t>
        </is>
      </c>
      <c r="M135" s="150" t="inlineStr">
        <is>
          <t>7.91</t>
        </is>
      </c>
      <c r="N135" s="148" t="inlineStr">
        <is>
          <t>197-19-К-26, (07.08.2026) [FHM-K]</t>
        </is>
      </c>
      <c r="O135" s="149" t="inlineStr">
        <is>
          <t>✓</t>
        </is>
      </c>
      <c r="P135" s="151" t="inlineStr">
        <is>
          <t>&lt; LOQ</t>
        </is>
      </c>
      <c r="Q135" s="148" t="inlineStr">
        <is>
          <t>197-19-К-26, (07.08.2026) [FHM-K]</t>
        </is>
      </c>
      <c r="R135" s="149" t="inlineStr">
        <is>
          <t>✓</t>
        </is>
      </c>
      <c r="S135" s="151" t="inlineStr">
        <is>
          <t>&lt; LOQ</t>
        </is>
      </c>
      <c r="T135" s="148" t="inlineStr">
        <is>
          <t>197-19-К-26, (07.08.2026) [FHM-K]</t>
        </is>
      </c>
      <c r="U135" s="149" t="inlineStr">
        <is>
          <t>✓</t>
        </is>
      </c>
      <c r="V135" s="145" t="n"/>
      <c r="W135" s="144" t="n"/>
      <c r="X135" s="146" t="n"/>
      <c r="Y135" s="152" t="inlineStr">
        <is>
          <t>not on this certificate</t>
        </is>
      </c>
      <c r="Z135" s="153" t="inlineStr">
        <is>
          <t>197-19-К-26,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227-19-К-26, (11.09.2026) [FHM-K]</t>
        </is>
      </c>
      <c r="L139" s="149" t="inlineStr">
        <is>
          <t>✓</t>
        </is>
      </c>
      <c r="M139" s="150" t="inlineStr">
        <is>
          <t>17.76</t>
        </is>
      </c>
      <c r="N139" s="148" t="inlineStr">
        <is>
          <t>227-19-К-26, (11.09.2026) [FHM-K]</t>
        </is>
      </c>
      <c r="O139" s="149" t="inlineStr">
        <is>
          <t>✓</t>
        </is>
      </c>
      <c r="P139" s="151" t="inlineStr">
        <is>
          <t>&lt; LOQ</t>
        </is>
      </c>
      <c r="Q139" s="148" t="inlineStr">
        <is>
          <t>227-19-К-26, (11.09.2026) [FHM-K]</t>
        </is>
      </c>
      <c r="R139" s="149" t="inlineStr">
        <is>
          <t>✓</t>
        </is>
      </c>
      <c r="S139" s="151" t="inlineStr">
        <is>
          <t>0.26</t>
        </is>
      </c>
      <c r="T139" s="148" t="inlineStr">
        <is>
          <t>227-19-К-26,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197-11-М-26,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197-11-К-26, (07.08.2026) [FHM-K]</t>
        </is>
      </c>
      <c r="L151" s="149" t="inlineStr">
        <is>
          <t>✓</t>
        </is>
      </c>
      <c r="M151" s="150" t="inlineStr">
        <is>
          <t>22.61</t>
        </is>
      </c>
      <c r="N151" s="148" t="inlineStr">
        <is>
          <t>197-11-К-26, (07.08.2026) [FHM-K]</t>
        </is>
      </c>
      <c r="O151" s="149" t="inlineStr">
        <is>
          <t>✓</t>
        </is>
      </c>
      <c r="P151" s="151" t="inlineStr">
        <is>
          <t>&lt; LOQ</t>
        </is>
      </c>
      <c r="Q151" s="148" t="inlineStr">
        <is>
          <t>197-11-К-26, (07.08.2026) [FHM-K]</t>
        </is>
      </c>
      <c r="R151" s="149" t="inlineStr">
        <is>
          <t>✓</t>
        </is>
      </c>
      <c r="S151" s="151" t="inlineStr">
        <is>
          <t>0.23</t>
        </is>
      </c>
      <c r="T151" s="148" t="inlineStr">
        <is>
          <t>197-11-К-26, (07.08.2026) [FHM-K]</t>
        </is>
      </c>
      <c r="U151" s="149" t="inlineStr">
        <is>
          <t>✓</t>
        </is>
      </c>
      <c r="V151" s="145" t="n"/>
      <c r="W151" s="144" t="n"/>
      <c r="X151" s="146" t="n"/>
      <c r="Y151" s="152" t="inlineStr">
        <is>
          <t>not on this certificate</t>
        </is>
      </c>
      <c r="Z151" s="153" t="inlineStr">
        <is>
          <t>197-11-К-26,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227-12-К-26, (11.09.2026) [FHM-K]</t>
        </is>
      </c>
      <c r="L155" s="149" t="inlineStr">
        <is>
          <t>✓</t>
        </is>
      </c>
      <c r="M155" s="150" t="inlineStr">
        <is>
          <t>17.57</t>
        </is>
      </c>
      <c r="N155" s="148" t="inlineStr">
        <is>
          <t>227-12-К-26, (11.09.2026) [FHM-K]</t>
        </is>
      </c>
      <c r="O155" s="149" t="inlineStr">
        <is>
          <t>✓</t>
        </is>
      </c>
      <c r="P155" s="151" t="inlineStr">
        <is>
          <t>&lt; LOQ</t>
        </is>
      </c>
      <c r="Q155" s="148" t="inlineStr">
        <is>
          <t>227-12-К-26, (11.09.2026) [FHM-K]</t>
        </is>
      </c>
      <c r="R155" s="149" t="inlineStr">
        <is>
          <t>✓</t>
        </is>
      </c>
      <c r="S155" s="151" t="inlineStr">
        <is>
          <t>&lt; LOQ</t>
        </is>
      </c>
      <c r="T155" s="148" t="inlineStr">
        <is>
          <t>227-12-К-26,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220-21-К-26, (26.08.2026) [FHM-K]</t>
        </is>
      </c>
      <c r="L159" s="149" t="inlineStr">
        <is>
          <t>✓</t>
        </is>
      </c>
      <c r="M159" s="150" t="inlineStr">
        <is>
          <t>18.14</t>
        </is>
      </c>
      <c r="N159" s="148" t="inlineStr">
        <is>
          <t>220-21-К-26, (26.08.2026) [FHM-K]</t>
        </is>
      </c>
      <c r="O159" s="149" t="inlineStr">
        <is>
          <t>✓</t>
        </is>
      </c>
      <c r="P159" s="151" t="inlineStr">
        <is>
          <t>&lt; LOQ</t>
        </is>
      </c>
      <c r="Q159" s="148" t="inlineStr">
        <is>
          <t>220-21-К-26, (26.08.2026) [FHM-K]</t>
        </is>
      </c>
      <c r="R159" s="149" t="inlineStr">
        <is>
          <t>✓</t>
        </is>
      </c>
      <c r="S159" s="151" t="inlineStr">
        <is>
          <t>&lt; LOQ</t>
        </is>
      </c>
      <c r="T159" s="148" t="inlineStr">
        <is>
          <t>220-21-К-26,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220-21-М-26,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197-14-К-26, (07.08.2026) [FHM-K]</t>
        </is>
      </c>
      <c r="L163" s="149" t="inlineStr">
        <is>
          <t>✓</t>
        </is>
      </c>
      <c r="M163" s="150" t="inlineStr">
        <is>
          <t>21.61</t>
        </is>
      </c>
      <c r="N163" s="148" t="inlineStr">
        <is>
          <t>197-14-К-26, (07.08.2026) [FHM-K]</t>
        </is>
      </c>
      <c r="O163" s="149" t="inlineStr">
        <is>
          <t>✓</t>
        </is>
      </c>
      <c r="P163" s="151" t="inlineStr">
        <is>
          <t>&lt; LOQ</t>
        </is>
      </c>
      <c r="Q163" s="148" t="inlineStr">
        <is>
          <t>197-14-К-26, (07.08.2026) [FHM-K]</t>
        </is>
      </c>
      <c r="R163" s="149" t="inlineStr">
        <is>
          <t>✓</t>
        </is>
      </c>
      <c r="S163" s="151" t="inlineStr">
        <is>
          <t>&lt; LOQ</t>
        </is>
      </c>
      <c r="T163" s="148" t="inlineStr">
        <is>
          <t>197-14-К-26, (07.08.2026) [FHM-K]</t>
        </is>
      </c>
      <c r="U163" s="149" t="inlineStr">
        <is>
          <t>✓</t>
        </is>
      </c>
      <c r="V163" s="145" t="n"/>
      <c r="W163" s="144" t="n"/>
      <c r="X163" s="146" t="n"/>
      <c r="Y163" s="152" t="inlineStr">
        <is>
          <t>not on this certificate</t>
        </is>
      </c>
      <c r="Z163" s="153" t="inlineStr">
        <is>
          <t>197-14-К-26,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197-14-М-26,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197-18-К-26, (07.08.2026) [FHM-K]</t>
        </is>
      </c>
      <c r="L167" s="149" t="inlineStr">
        <is>
          <t>✓</t>
        </is>
      </c>
      <c r="M167" s="150" t="inlineStr">
        <is>
          <t>18.04</t>
        </is>
      </c>
      <c r="N167" s="148" t="inlineStr">
        <is>
          <t>197-18-К-26, (07.08.2026) [FHM-K]</t>
        </is>
      </c>
      <c r="O167" s="149" t="inlineStr">
        <is>
          <t>✓</t>
        </is>
      </c>
      <c r="P167" s="151" t="inlineStr">
        <is>
          <t>&lt; LOQ</t>
        </is>
      </c>
      <c r="Q167" s="148" t="inlineStr">
        <is>
          <t>197-18-К-26, (07.08.2026) [FHM-K]</t>
        </is>
      </c>
      <c r="R167" s="149" t="inlineStr">
        <is>
          <t>✓</t>
        </is>
      </c>
      <c r="S167" s="151" t="inlineStr">
        <is>
          <t>&lt; LOQ</t>
        </is>
      </c>
      <c r="T167" s="148" t="inlineStr">
        <is>
          <t>197-18-К-26, (07.08.2026) [FHM-K]</t>
        </is>
      </c>
      <c r="U167" s="149" t="inlineStr">
        <is>
          <t>✓</t>
        </is>
      </c>
      <c r="V167" s="145" t="n"/>
      <c r="W167" s="144" t="n"/>
      <c r="X167" s="146" t="n"/>
      <c r="Y167" s="152" t="inlineStr">
        <is>
          <t>not on this certificate</t>
        </is>
      </c>
      <c r="Z167" s="153" t="inlineStr">
        <is>
          <t>197-18-К-26,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197-18-М-26,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220-11-М-26,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220-11-К-26, (25.08.2026) [FHM-K]</t>
        </is>
      </c>
      <c r="L177" s="149" t="inlineStr">
        <is>
          <t>✓</t>
        </is>
      </c>
      <c r="M177" s="150" t="inlineStr">
        <is>
          <t>28.30</t>
        </is>
      </c>
      <c r="N177" s="148" t="inlineStr">
        <is>
          <t>220-11-К-26, (25.08.2026) [FHM-K]</t>
        </is>
      </c>
      <c r="O177" s="149" t="inlineStr">
        <is>
          <t>✓</t>
        </is>
      </c>
      <c r="P177" s="151" t="inlineStr">
        <is>
          <t>&lt; LOQ</t>
        </is>
      </c>
      <c r="Q177" s="148" t="inlineStr">
        <is>
          <t>220-11-К-26, (25.08.2026) [FHM-K]</t>
        </is>
      </c>
      <c r="R177" s="149" t="inlineStr">
        <is>
          <t>✓</t>
        </is>
      </c>
      <c r="S177" s="151" t="inlineStr">
        <is>
          <t>&lt; LOQ</t>
        </is>
      </c>
      <c r="T177" s="148" t="inlineStr">
        <is>
          <t>220-11-К-26,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220-23-К-26, (26.08.2026) [FHM-K]</t>
        </is>
      </c>
      <c r="L181" s="149" t="inlineStr">
        <is>
          <t>✓</t>
        </is>
      </c>
      <c r="M181" s="150" t="inlineStr">
        <is>
          <t>19.30</t>
        </is>
      </c>
      <c r="N181" s="148" t="inlineStr">
        <is>
          <t>220-23-К-26, (26.08.2026) [FHM-K]</t>
        </is>
      </c>
      <c r="O181" s="149" t="inlineStr">
        <is>
          <t>✓</t>
        </is>
      </c>
      <c r="P181" s="151" t="inlineStr">
        <is>
          <t>&lt; LOQ</t>
        </is>
      </c>
      <c r="Q181" s="148" t="inlineStr">
        <is>
          <t>220-23-К-26, (26.08.2026) [FHM-K]</t>
        </is>
      </c>
      <c r="R181" s="149" t="inlineStr">
        <is>
          <t>✓</t>
        </is>
      </c>
      <c r="S181" s="151" t="inlineStr">
        <is>
          <t>&lt; LOQ</t>
        </is>
      </c>
      <c r="T181" s="148" t="inlineStr">
        <is>
          <t>220-23-К-26,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220-23-М-26,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197-9-К-26, (07.08.2026) [FHM-K]</t>
        </is>
      </c>
      <c r="L185" s="149" t="inlineStr">
        <is>
          <t>✓</t>
        </is>
      </c>
      <c r="M185" s="150" t="inlineStr">
        <is>
          <t>18.67</t>
        </is>
      </c>
      <c r="N185" s="148" t="inlineStr">
        <is>
          <t>197-9-К-26, (07.08.2026) [FHM-K]</t>
        </is>
      </c>
      <c r="O185" s="149" t="inlineStr">
        <is>
          <t>✓</t>
        </is>
      </c>
      <c r="P185" s="151" t="inlineStr">
        <is>
          <t>&lt; LOQ</t>
        </is>
      </c>
      <c r="Q185" s="148" t="inlineStr">
        <is>
          <t>197-9-К-26, (07.08.2026) [FHM-K]</t>
        </is>
      </c>
      <c r="R185" s="149" t="inlineStr">
        <is>
          <t>✓</t>
        </is>
      </c>
      <c r="S185" s="151" t="inlineStr">
        <is>
          <t>0.20</t>
        </is>
      </c>
      <c r="T185" s="148" t="inlineStr">
        <is>
          <t>197-9-К-26, (07.08.2026) [FHM-K]</t>
        </is>
      </c>
      <c r="U185" s="149" t="inlineStr">
        <is>
          <t>✓</t>
        </is>
      </c>
      <c r="V185" s="145" t="n"/>
      <c r="W185" s="144" t="n"/>
      <c r="X185" s="146" t="n"/>
      <c r="Y185" s="152" t="inlineStr">
        <is>
          <t>not on this certificate</t>
        </is>
      </c>
      <c r="Z185" s="153" t="inlineStr">
        <is>
          <t>197-9-К-26,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197-9-М-26,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227-2-К-26, (11.09.2026) [FHM-K]</t>
        </is>
      </c>
      <c r="L189" s="186" t="inlineStr">
        <is>
          <t>✓</t>
        </is>
      </c>
      <c r="M189" s="187" t="inlineStr">
        <is>
          <t>28.68</t>
        </is>
      </c>
      <c r="N189" s="185" t="inlineStr">
        <is>
          <t>227-2-К-26, (11.09.2026) [FHM-K]</t>
        </is>
      </c>
      <c r="O189" s="186" t="inlineStr">
        <is>
          <t>✓</t>
        </is>
      </c>
      <c r="P189" s="188" t="inlineStr">
        <is>
          <t>&lt; LOQ</t>
        </is>
      </c>
      <c r="Q189" s="185" t="inlineStr">
        <is>
          <t>227-2-К-26, (11.09.2026) [FHM-K]</t>
        </is>
      </c>
      <c r="R189" s="186" t="inlineStr">
        <is>
          <t>✓</t>
        </is>
      </c>
      <c r="S189" s="188" t="inlineStr">
        <is>
          <t>0.25</t>
        </is>
      </c>
      <c r="T189" s="185" t="inlineStr">
        <is>
          <t>227-2-К-26,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220-20-К-26, (26.08.2026) [FHM-K]</t>
        </is>
      </c>
      <c r="L195" s="149" t="inlineStr">
        <is>
          <t>✓</t>
        </is>
      </c>
      <c r="M195" s="150" t="inlineStr">
        <is>
          <t>17.93</t>
        </is>
      </c>
      <c r="N195" s="148" t="inlineStr">
        <is>
          <t>220-20-К-26, (26.08.2026) [FHM-K]</t>
        </is>
      </c>
      <c r="O195" s="149" t="inlineStr">
        <is>
          <t>✓</t>
        </is>
      </c>
      <c r="P195" s="151" t="inlineStr">
        <is>
          <t>&lt; LOQ</t>
        </is>
      </c>
      <c r="Q195" s="148" t="inlineStr">
        <is>
          <t>220-20-К-26, (26.08.2026) [FHM-K]</t>
        </is>
      </c>
      <c r="R195" s="149" t="inlineStr">
        <is>
          <t>✓</t>
        </is>
      </c>
      <c r="S195" s="151" t="inlineStr">
        <is>
          <t>&lt; LOQ</t>
        </is>
      </c>
      <c r="T195" s="148" t="inlineStr">
        <is>
          <t>220-20-К-26,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220-20-М-26,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227-29-К-26, (11.09.2026) [FHM-K]</t>
        </is>
      </c>
      <c r="L199" s="149" t="inlineStr">
        <is>
          <t>✓</t>
        </is>
      </c>
      <c r="M199" s="150" t="inlineStr">
        <is>
          <t>26.10</t>
        </is>
      </c>
      <c r="N199" s="148" t="inlineStr">
        <is>
          <t>227-29-К-26, (11.09.2026) [FHM-K]</t>
        </is>
      </c>
      <c r="O199" s="149" t="inlineStr">
        <is>
          <t>✓</t>
        </is>
      </c>
      <c r="P199" s="151" t="inlineStr">
        <is>
          <t>&lt; LOQ</t>
        </is>
      </c>
      <c r="Q199" s="148" t="inlineStr">
        <is>
          <t>227-29-К-26, (11.09.2026) [FHM-K]</t>
        </is>
      </c>
      <c r="R199" s="149" t="inlineStr">
        <is>
          <t>✓</t>
        </is>
      </c>
      <c r="S199" s="151" t="inlineStr">
        <is>
          <t>0.20</t>
        </is>
      </c>
      <c r="T199" s="148" t="inlineStr">
        <is>
          <t>227-29-К-26,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227-11-К-26, (11.09.2026) [FHM-K]</t>
        </is>
      </c>
      <c r="L203" s="149" t="inlineStr">
        <is>
          <t>✓</t>
        </is>
      </c>
      <c r="M203" s="150" t="inlineStr">
        <is>
          <t>17.83</t>
        </is>
      </c>
      <c r="N203" s="148" t="inlineStr">
        <is>
          <t>227-11-К-26, (11.09.2026) [FHM-K]</t>
        </is>
      </c>
      <c r="O203" s="149" t="inlineStr">
        <is>
          <t>✓</t>
        </is>
      </c>
      <c r="P203" s="151" t="inlineStr">
        <is>
          <t>&lt; LOQ</t>
        </is>
      </c>
      <c r="Q203" s="148" t="inlineStr">
        <is>
          <t>227-11-К-26, (11.09.2026) [FHM-K]</t>
        </is>
      </c>
      <c r="R203" s="149" t="inlineStr">
        <is>
          <t>✓</t>
        </is>
      </c>
      <c r="S203" s="151" t="inlineStr">
        <is>
          <t>&lt; LOQ</t>
        </is>
      </c>
      <c r="T203" s="148" t="inlineStr">
        <is>
          <t>227-11-К-26,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197-10-К-26, (07.08.2026) [FHM-K]</t>
        </is>
      </c>
      <c r="L207" s="149" t="inlineStr">
        <is>
          <t>✓</t>
        </is>
      </c>
      <c r="M207" s="150" t="inlineStr">
        <is>
          <t>18.52</t>
        </is>
      </c>
      <c r="N207" s="148" t="inlineStr">
        <is>
          <t>197-10-К-26, (07.08.2026) [FHM-K]</t>
        </is>
      </c>
      <c r="O207" s="149" t="inlineStr">
        <is>
          <t>✓</t>
        </is>
      </c>
      <c r="P207" s="151" t="inlineStr">
        <is>
          <t>&lt; LOQ</t>
        </is>
      </c>
      <c r="Q207" s="148" t="inlineStr">
        <is>
          <t>197-10-К-26, (07.08.2026) [FHM-K]</t>
        </is>
      </c>
      <c r="R207" s="149" t="inlineStr">
        <is>
          <t>✓</t>
        </is>
      </c>
      <c r="S207" s="151" t="inlineStr">
        <is>
          <t>&lt; LOQ</t>
        </is>
      </c>
      <c r="T207" s="148" t="inlineStr">
        <is>
          <t>197-10-К-26, (07.08.2026) [FHM-K]</t>
        </is>
      </c>
      <c r="U207" s="149" t="inlineStr">
        <is>
          <t>✓</t>
        </is>
      </c>
      <c r="V207" s="145" t="n"/>
      <c r="W207" s="144" t="n"/>
      <c r="X207" s="146" t="n"/>
      <c r="Y207" s="152" t="inlineStr">
        <is>
          <t>not on this certificate</t>
        </is>
      </c>
      <c r="Z207" s="153" t="inlineStr">
        <is>
          <t>197-10-К-26,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197-10-М-26,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197-3-К-26, (07.08.2026) [FHM-K]</t>
        </is>
      </c>
      <c r="L211" s="149" t="inlineStr">
        <is>
          <t>✓</t>
        </is>
      </c>
      <c r="M211" s="150" t="inlineStr">
        <is>
          <t>24.05</t>
        </is>
      </c>
      <c r="N211" s="148" t="inlineStr">
        <is>
          <t>197-3-К-26, (07.08.2026) [FHM-K]</t>
        </is>
      </c>
      <c r="O211" s="149" t="inlineStr">
        <is>
          <t>✓</t>
        </is>
      </c>
      <c r="P211" s="151" t="inlineStr">
        <is>
          <t>&lt; LOQ</t>
        </is>
      </c>
      <c r="Q211" s="148" t="inlineStr">
        <is>
          <t>197-3-К-26, (07.08.2026) [FHM-K]</t>
        </is>
      </c>
      <c r="R211" s="149" t="inlineStr">
        <is>
          <t>✓</t>
        </is>
      </c>
      <c r="S211" s="151" t="inlineStr">
        <is>
          <t>&lt; LOQ</t>
        </is>
      </c>
      <c r="T211" s="148" t="inlineStr">
        <is>
          <t>197-3-К-26, (07.08.2026) [FHM-K]</t>
        </is>
      </c>
      <c r="U211" s="149" t="inlineStr">
        <is>
          <t>✓</t>
        </is>
      </c>
      <c r="V211" s="145" t="n"/>
      <c r="W211" s="144" t="n"/>
      <c r="X211" s="146" t="n"/>
      <c r="Y211" s="152" t="inlineStr">
        <is>
          <t>not on this certificate</t>
        </is>
      </c>
      <c r="Z211" s="153" t="inlineStr">
        <is>
          <t>197-3-К-26,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197-3-М-26,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227-28-К-26, (11.09.2026) [FHM-K]</t>
        </is>
      </c>
      <c r="L215" s="149" t="inlineStr">
        <is>
          <t>✓</t>
        </is>
      </c>
      <c r="M215" s="150" t="inlineStr">
        <is>
          <t>21.30</t>
        </is>
      </c>
      <c r="N215" s="148" t="inlineStr">
        <is>
          <t>227-28-К-26, (11.09.2026) [FHM-K]</t>
        </is>
      </c>
      <c r="O215" s="149" t="inlineStr">
        <is>
          <t>✓</t>
        </is>
      </c>
      <c r="P215" s="151" t="inlineStr">
        <is>
          <t>&lt; LOQ</t>
        </is>
      </c>
      <c r="Q215" s="148" t="inlineStr">
        <is>
          <t>227-28-К-26, (11.09.2026) [FHM-K]</t>
        </is>
      </c>
      <c r="R215" s="149" t="inlineStr">
        <is>
          <t>✓</t>
        </is>
      </c>
      <c r="S215" s="151" t="inlineStr">
        <is>
          <t>&lt; LOQ</t>
        </is>
      </c>
      <c r="T215" s="148" t="inlineStr">
        <is>
          <t>227-28-К-26,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3 testing instances
• 2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55" t="inlineStr">
        <is>
          <t>Conforms</t>
        </is>
      </c>
      <c r="H219" s="185">
        <f>IFERROR(INDEX('iCoA Register'!$B:$B,MATCH("P050182|I",'iCoA Register'!$AA:$AA,0)),"iCoA — at issue")&amp;", (03.10.2025) [PP]"</f>
        <v/>
      </c>
      <c r="I219" s="186" t="inlineStr">
        <is>
          <t>✓</t>
        </is>
      </c>
      <c r="J219" s="155" t="inlineStr">
        <is>
          <t>Conforms (ImB spec.)</t>
        </is>
      </c>
      <c r="K219" s="185" t="inlineStr">
        <is>
          <t>220-15-К-26, (25.08.2026) [FHM-K]</t>
        </is>
      </c>
      <c r="L219" s="186" t="inlineStr">
        <is>
          <t>✓</t>
        </is>
      </c>
      <c r="M219" s="203" t="inlineStr">
        <is>
          <t>20.39 ᴿ</t>
        </is>
      </c>
      <c r="N219" s="190">
        <f>IFERROR(INDEX('iCoA Register'!$B:$B,MATCH("P050182|I",'iCoA Register'!$AA:$AA,0)),"iCoA — at issue")&amp;", (03.10.2025) [PP] · on file, not credited"</f>
        <v/>
      </c>
      <c r="O219" s="191" t="inlineStr">
        <is>
          <t>•</t>
        </is>
      </c>
      <c r="P219" s="204" t="inlineStr">
        <is>
          <t>0.11 ᴿ</t>
        </is>
      </c>
      <c r="Q219" s="190">
        <f>IFERROR(INDEX('iCoA Register'!$B:$B,MATCH("P050182|I",'iCoA Register'!$AA:$AA,0)),"iCoA — at issue")&amp;", (03.10.2025) [PP] · on file, not credited"</f>
        <v/>
      </c>
      <c r="R219" s="191" t="inlineStr">
        <is>
          <t>•</t>
        </is>
      </c>
      <c r="S219" s="188" t="inlineStr">
        <is>
          <t>&lt; LOQ</t>
        </is>
      </c>
      <c r="T219" s="185" t="inlineStr">
        <is>
          <t>220-15-К-26, (25.08.2026) [FHM-K]</t>
        </is>
      </c>
      <c r="U219" s="186" t="inlineStr">
        <is>
          <t>✓</t>
        </is>
      </c>
      <c r="V219" s="145" t="n"/>
      <c r="W219" s="144" t="n"/>
      <c r="X219" s="146" t="n"/>
      <c r="Y219" s="189" t="inlineStr">
        <is>
          <t>8.60 ᴿ</t>
        </is>
      </c>
      <c r="Z219" s="190">
        <f>IFERROR(INDEX('iCoA Register'!$B:$B,MATCH("P050182|I",'iCoA Register'!$AA:$AA,0)),"iCoA — at issue")&amp;", (03.10.2025) [PP] · on file, not credited"</f>
        <v/>
      </c>
      <c r="AA219" s="191" t="inlineStr">
        <is>
          <t>•</t>
        </is>
      </c>
      <c r="AB219" s="145" t="n"/>
      <c r="AC219" s="144" t="n"/>
      <c r="AD219" s="144" t="n"/>
      <c r="AE219" s="144" t="n"/>
      <c r="AF219" s="144" t="n"/>
      <c r="AG219" s="146" t="n"/>
      <c r="AH219" s="155" t="inlineStr">
        <is>
          <t>ND</t>
        </is>
      </c>
      <c r="AI219" s="156" t="inlineStr">
        <is>
          <t>ND</t>
        </is>
      </c>
      <c r="AJ219" s="156" t="inlineStr">
        <is>
          <t>ND</t>
        </is>
      </c>
      <c r="AK219" s="186" t="inlineStr">
        <is>
          <t>✓</t>
        </is>
      </c>
      <c r="AL219" s="145" t="n"/>
      <c r="AM219" s="144" t="n"/>
      <c r="AN219" s="144" t="n"/>
      <c r="AO219" s="144" t="n"/>
      <c r="AP219" s="146" t="n"/>
      <c r="AQ219" s="145" t="n"/>
      <c r="AR219" s="144" t="n"/>
      <c r="AS219" s="157" t="n"/>
    </row>
    <row r="220" ht="21" customHeight="1" s="70">
      <c r="A220" s="192" t="n"/>
      <c r="B220" s="193" t="n"/>
      <c r="D220" s="194" t="n"/>
      <c r="E220" s="193" t="n"/>
      <c r="F220" s="195" t="n"/>
      <c r="G220" s="194" t="n"/>
      <c r="H220" s="193" t="n"/>
      <c r="I220" s="195" t="n"/>
      <c r="J220" s="194" t="n"/>
      <c r="K220" s="193" t="n"/>
      <c r="L220" s="195" t="n"/>
      <c r="M220" s="194" t="n"/>
      <c r="N220" s="193" t="n"/>
      <c r="O220" s="195" t="n"/>
      <c r="P220" s="194" t="n"/>
      <c r="Q220" s="193" t="n"/>
      <c r="R220" s="195" t="n"/>
      <c r="S220" s="194" t="n"/>
      <c r="T220" s="193" t="n"/>
      <c r="U220" s="195" t="n"/>
      <c r="V220" s="194" t="n"/>
      <c r="W220" s="193" t="n"/>
      <c r="X220" s="195" t="n"/>
      <c r="Y220" s="194" t="n"/>
      <c r="Z220" s="193" t="n"/>
      <c r="AA220" s="195" t="n"/>
      <c r="AB220" s="194" t="n"/>
      <c r="AC220" s="193" t="n"/>
      <c r="AD220" s="193" t="n"/>
      <c r="AE220" s="193" t="n"/>
      <c r="AF220" s="193" t="n"/>
      <c r="AG220" s="195" t="n"/>
      <c r="AH220" s="210" t="inlineStr">
        <is>
          <t>220-15-М-26, (11.09.2026) [FHM-M]</t>
        </is>
      </c>
      <c r="AI220" s="193" t="n"/>
      <c r="AJ220" s="193" t="n"/>
      <c r="AK220" s="195" t="n"/>
      <c r="AL220" s="194" t="n"/>
      <c r="AM220" s="193" t="n"/>
      <c r="AN220" s="193" t="n"/>
      <c r="AO220" s="193" t="n"/>
      <c r="AP220" s="195" t="n"/>
      <c r="AQ220" s="194" t="n"/>
      <c r="AR220" s="193" t="n"/>
      <c r="AS220" s="196" t="n"/>
    </row>
    <row r="221" ht="17.625" customHeight="1" s="70">
      <c r="A221" s="143" t="n"/>
      <c r="B221" s="144" t="n"/>
      <c r="D221" s="145" t="n"/>
      <c r="E221" s="144" t="n"/>
      <c r="F221" s="146" t="n"/>
      <c r="G221" s="145" t="n"/>
      <c r="H221" s="144" t="n"/>
      <c r="I221" s="146" t="n"/>
      <c r="J221" s="145" t="n"/>
      <c r="K221" s="144" t="n"/>
      <c r="L221" s="146" t="n"/>
      <c r="M221" s="150" t="inlineStr">
        <is>
          <t>19.69</t>
        </is>
      </c>
      <c r="N221" s="148" t="inlineStr">
        <is>
          <t>220-15-К-26, (25.08.2026) [FHM-K]</t>
        </is>
      </c>
      <c r="O221" s="149" t="inlineStr">
        <is>
          <t>✓</t>
        </is>
      </c>
      <c r="P221" s="151" t="inlineStr">
        <is>
          <t>&lt; LOQ</t>
        </is>
      </c>
      <c r="Q221" s="148" t="inlineStr">
        <is>
          <t>220-15-К-26, (25.08.2026) [FHM-K]</t>
        </is>
      </c>
      <c r="R221" s="149" t="inlineStr">
        <is>
          <t>✓</t>
        </is>
      </c>
      <c r="S221" s="145" t="n"/>
      <c r="T221" s="144" t="n"/>
      <c r="U221" s="146" t="n"/>
      <c r="V221" s="145" t="n"/>
      <c r="W221" s="144" t="n"/>
      <c r="X221" s="146" t="n"/>
      <c r="Y221" s="145" t="n"/>
      <c r="Z221" s="144" t="n"/>
      <c r="AA221" s="146" t="n"/>
      <c r="AB221" s="145" t="n"/>
      <c r="AC221" s="144" t="n"/>
      <c r="AD221" s="144" t="n"/>
      <c r="AE221" s="144" t="n"/>
      <c r="AF221" s="144" t="n"/>
      <c r="AG221" s="146" t="n"/>
      <c r="AH221" s="145" t="n"/>
      <c r="AI221" s="144" t="n"/>
      <c r="AJ221" s="144" t="n"/>
      <c r="AK221" s="146" t="n"/>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0" t="n"/>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24.89 ᴿ</t>
        </is>
      </c>
      <c r="N223" s="132">
        <f>IFERROR(INDEX('iCoA Register'!$B:$B,MATCH("P050192|I",'iCoA Register'!$AA:$AA,0)),"iCoA — at issue")&amp;", (10.10.2025) [PP] · on file, not credited"</f>
        <v/>
      </c>
      <c r="O223" s="133" t="inlineStr">
        <is>
          <t>•</t>
        </is>
      </c>
      <c r="P223" s="184" t="inlineStr">
        <is>
          <t>0.17 ᴿ</t>
        </is>
      </c>
      <c r="Q223" s="132">
        <f>IFERROR(INDEX('iCoA Register'!$B:$B,MATCH("P050192|I",'iCoA Register'!$AA:$AA,0)),"iCoA — at issue")&amp;", (10.10.2025) [PP] · on file, not credited"</f>
        <v/>
      </c>
      <c r="R223" s="133" t="inlineStr">
        <is>
          <t>•</t>
        </is>
      </c>
      <c r="S223" s="214" t="inlineStr">
        <is>
          <t>held for review</t>
        </is>
      </c>
      <c r="T223" s="215"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8.19 (avg of 4 weighings 51-1,51-2,52-1,52-2)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4.375"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220-2-К-26,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220-2-К-26,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276-31-М-25,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220-2-К-26, (25.08.2026) [FHM-K]</t>
        </is>
      </c>
      <c r="O227" s="149" t="inlineStr">
        <is>
          <t>✓</t>
        </is>
      </c>
      <c r="P227" s="151" t="inlineStr">
        <is>
          <t>&lt; LOQ</t>
        </is>
      </c>
      <c r="Q227" s="148" t="inlineStr">
        <is>
          <t>220-2-К-26,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5" t="inlineStr">
        <is>
          <t>not on this certificate</t>
        </is>
      </c>
      <c r="AR227" s="226" t="inlineStr">
        <is>
          <t>5661-2025, (01.12.2025) [IJZ]</t>
        </is>
      </c>
      <c r="AS227" s="227"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220-2-М-26,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6 testing instances
• 4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34" t="inlineStr">
        <is>
          <t>24.89</t>
        </is>
      </c>
      <c r="N229" s="129" t="inlineStr">
        <is>
          <t>NGP-QCG-SOP-024 F3, (28.11.2025) [NGP]</t>
        </is>
      </c>
      <c r="O229" s="130" t="inlineStr">
        <is>
          <t>✓</t>
        </is>
      </c>
      <c r="P229" s="135" t="inlineStr">
        <is>
          <t>0.17</t>
        </is>
      </c>
      <c r="Q229" s="129" t="inlineStr">
        <is>
          <t>NGP-QCG-SOP-024 F3, (28.11.2025) [NGP]</t>
        </is>
      </c>
      <c r="R229" s="130" t="inlineStr">
        <is>
          <t>✓</t>
        </is>
      </c>
      <c r="S229" s="214" t="inlineStr">
        <is>
          <t>held for review</t>
        </is>
      </c>
      <c r="T229" s="215"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28" t="inlineStr">
        <is>
          <t>8.19</t>
        </is>
      </c>
      <c r="Z229" s="129" t="inlineStr">
        <is>
          <t>NGP-QCG-SOP-024 F3, (28.11.2025) [NGP]</t>
        </is>
      </c>
      <c r="AA229" s="130"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13"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7" t="inlineStr">
        <is>
          <t>Conforms (ImB spec.)</t>
        </is>
      </c>
      <c r="K231" s="218" t="inlineStr">
        <is>
          <t>ППК26036,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1" t="inlineStr">
        <is>
          <t>0.05 ᴰ</t>
        </is>
      </c>
      <c r="T231" s="218" t="inlineStr">
        <is>
          <t>ППК26036, (05.03.2026) [CNP]</t>
        </is>
      </c>
      <c r="U231" s="219" t="inlineStr">
        <is>
          <t>✓</t>
        </is>
      </c>
      <c r="V231" s="145" t="n"/>
      <c r="W231" s="144" t="n"/>
      <c r="X231" s="146" t="n"/>
      <c r="Y231" s="217" t="inlineStr">
        <is>
          <t>5.83</t>
        </is>
      </c>
      <c r="Z231" s="218" t="inlineStr">
        <is>
          <t>ППК26036, (05.03.2026) [CNP]</t>
        </is>
      </c>
      <c r="AA231" s="219"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7" t="inlineStr">
        <is>
          <t>Conforms (ImB spec.)</t>
        </is>
      </c>
      <c r="K233" s="218" t="inlineStr">
        <is>
          <t>ППК26037, (05.03.2026)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2" t="inlineStr">
        <is>
          <t>1.09 ᴿ</t>
        </is>
      </c>
      <c r="T233" s="218" t="inlineStr">
        <is>
          <t>ППК26037, (05.03.2026) [CNP]</t>
        </is>
      </c>
      <c r="U233" s="219" t="inlineStr">
        <is>
          <t>✓</t>
        </is>
      </c>
      <c r="V233" s="145" t="n"/>
      <c r="W233" s="144" t="n"/>
      <c r="X233" s="146" t="n"/>
      <c r="Y233" s="217" t="inlineStr">
        <is>
          <t>5.38</t>
        </is>
      </c>
      <c r="Z233" s="218" t="inlineStr">
        <is>
          <t>ППК26037, (05.03.2026) [CNP]</t>
        </is>
      </c>
      <c r="AA233" s="219"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7" t="inlineStr">
        <is>
          <t>Conforms (ImB spec.)</t>
        </is>
      </c>
      <c r="K235" s="218" t="inlineStr">
        <is>
          <t>ППК26057,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1" t="inlineStr">
        <is>
          <t>0.04 ᴰ</t>
        </is>
      </c>
      <c r="T235" s="218" t="inlineStr">
        <is>
          <t>ППК26057,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7" t="inlineStr">
        <is>
          <t>Conforms (ImB spec.)</t>
        </is>
      </c>
      <c r="K237" s="218" t="inlineStr">
        <is>
          <t>ППК26058, (11.05.2026) [CNP]</t>
        </is>
      </c>
      <c r="L237" s="219"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222" t="inlineStr">
        <is>
          <t>2.05 ᴰ</t>
        </is>
      </c>
      <c r="T237" s="218" t="inlineStr">
        <is>
          <t>ППК26058, (11.05.2026) [CNP]</t>
        </is>
      </c>
      <c r="U237" s="219"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7" t="inlineStr">
        <is>
          <t>Conforms (ImB spec.)</t>
        </is>
      </c>
      <c r="K239" s="148" t="inlineStr">
        <is>
          <t>227-18-К-26, (11.09.2026) [FHM-K]</t>
        </is>
      </c>
      <c r="L239" s="149" t="inlineStr">
        <is>
          <t>✓</t>
        </is>
      </c>
      <c r="M239" s="150" t="inlineStr">
        <is>
          <t>25.97</t>
        </is>
      </c>
      <c r="N239" s="148" t="inlineStr">
        <is>
          <t>227-18-К-26, (11.09.2026) [FHM-K]</t>
        </is>
      </c>
      <c r="O239" s="149" t="inlineStr">
        <is>
          <t>✓</t>
        </is>
      </c>
      <c r="P239" s="151" t="inlineStr">
        <is>
          <t>&lt; LOQ</t>
        </is>
      </c>
      <c r="Q239" s="148" t="inlineStr">
        <is>
          <t>227-18-К-26, (11.09.2026) [FHM-K]</t>
        </is>
      </c>
      <c r="R239" s="149" t="inlineStr">
        <is>
          <t>✓</t>
        </is>
      </c>
      <c r="S239" s="151" t="inlineStr">
        <is>
          <t>&lt; LOQ</t>
        </is>
      </c>
      <c r="T239" s="148" t="inlineStr">
        <is>
          <t>227-18-К-26, (11.09.2026) [FHM-K]</t>
        </is>
      </c>
      <c r="U239" s="149" t="inlineStr">
        <is>
          <t>✓</t>
        </is>
      </c>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21"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197-4-К-26, (07.08.2026) [FHM-K]</t>
        </is>
      </c>
      <c r="L243" s="149" t="inlineStr">
        <is>
          <t>✓</t>
        </is>
      </c>
      <c r="M243" s="150" t="inlineStr">
        <is>
          <t>18.91</t>
        </is>
      </c>
      <c r="N243" s="148" t="inlineStr">
        <is>
          <t>197-4-К-26, (07.08.2026) [FHM-K]</t>
        </is>
      </c>
      <c r="O243" s="149" t="inlineStr">
        <is>
          <t>✓</t>
        </is>
      </c>
      <c r="P243" s="151" t="inlineStr">
        <is>
          <t>&lt; LOQ</t>
        </is>
      </c>
      <c r="Q243" s="148" t="inlineStr">
        <is>
          <t>197-4-К-26, (07.08.2026) [FHM-K]</t>
        </is>
      </c>
      <c r="R243" s="149" t="inlineStr">
        <is>
          <t>✓</t>
        </is>
      </c>
      <c r="S243" s="151" t="inlineStr">
        <is>
          <t>&lt; LOQ</t>
        </is>
      </c>
      <c r="T243" s="148" t="inlineStr">
        <is>
          <t>197-4-К-26, (07.08.2026) [FHM-K]</t>
        </is>
      </c>
      <c r="U243" s="149" t="inlineStr">
        <is>
          <t>✓</t>
        </is>
      </c>
      <c r="V243" s="145" t="n"/>
      <c r="W243" s="144" t="n"/>
      <c r="X243" s="146" t="n"/>
      <c r="Y243" s="152" t="inlineStr">
        <is>
          <t>not on this certificate</t>
        </is>
      </c>
      <c r="Z243" s="153" t="inlineStr">
        <is>
          <t>197-4-К-26, (07.08.2026) [FHM-K] · on file, not credited</t>
        </is>
      </c>
      <c r="AA243" s="154" t="inlineStr">
        <is>
          <t>•</t>
        </is>
      </c>
      <c r="AB243" s="155" t="inlineStr">
        <is>
          <t>6.2 × 10³</t>
        </is>
      </c>
      <c r="AC243" s="156" t="inlineStr">
        <is>
          <t>2.3 × 10²</t>
        </is>
      </c>
      <c r="AD243" s="156" t="inlineStr">
        <is>
          <t>&lt; 10⁴ and &gt; 10³</t>
        </is>
      </c>
      <c r="AE243" s="156" t="inlineStr">
        <is>
          <t>Absent</t>
        </is>
      </c>
      <c r="AF243" s="156" t="inlineStr">
        <is>
          <t>Absent</t>
        </is>
      </c>
      <c r="AG243" s="149" t="inlineStr">
        <is>
          <t>✓</t>
        </is>
      </c>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2" t="inlineStr">
        <is>
          <t>534-1065-26, (31.08.2026) [IJZ-MB]</t>
        </is>
      </c>
      <c r="AC244" s="159" t="n"/>
      <c r="AD244" s="159" t="n"/>
      <c r="AE244" s="159" t="n"/>
      <c r="AF244" s="159" t="n"/>
      <c r="AG244" s="161" t="n"/>
      <c r="AH244" s="162" t="inlineStr">
        <is>
          <t>197-4-М-26,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21"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220-3-К-26, (25.08.2026) [FHM-K]</t>
        </is>
      </c>
      <c r="L247" s="149" t="inlineStr">
        <is>
          <t>✓</t>
        </is>
      </c>
      <c r="M247" s="150" t="inlineStr">
        <is>
          <t>24.80</t>
        </is>
      </c>
      <c r="N247" s="148" t="inlineStr">
        <is>
          <t>220-3-К-26, (25.08.2026) [FHM-K]</t>
        </is>
      </c>
      <c r="O247" s="149" t="inlineStr">
        <is>
          <t>✓</t>
        </is>
      </c>
      <c r="P247" s="151" t="inlineStr">
        <is>
          <t>&lt; LOQ</t>
        </is>
      </c>
      <c r="Q247" s="148" t="inlineStr">
        <is>
          <t>220-3-К-26, (25.08.2026) [FHM-K]</t>
        </is>
      </c>
      <c r="R247" s="149" t="inlineStr">
        <is>
          <t>✓</t>
        </is>
      </c>
      <c r="S247" s="151" t="inlineStr">
        <is>
          <t>&lt; LOQ</t>
        </is>
      </c>
      <c r="T247" s="148" t="inlineStr">
        <is>
          <t>220-3-К-26, (25.08.2026) [FHM-K]</t>
        </is>
      </c>
      <c r="U247" s="149" t="inlineStr">
        <is>
          <t>✓</t>
        </is>
      </c>
      <c r="V247" s="145" t="n"/>
      <c r="W247" s="144" t="n"/>
      <c r="X247" s="146" t="n"/>
      <c r="Y247" s="145" t="n"/>
      <c r="Z247" s="144" t="n"/>
      <c r="AA247" s="146" t="n"/>
      <c r="AB247" s="155" t="inlineStr">
        <is>
          <t>4.2 × 10³</t>
        </is>
      </c>
      <c r="AC247" s="156" t="inlineStr">
        <is>
          <t>&lt; 10</t>
        </is>
      </c>
      <c r="AD247" s="156" t="inlineStr">
        <is>
          <t>&lt; 10⁴ and &gt; 10³</t>
        </is>
      </c>
      <c r="AE247" s="156" t="inlineStr">
        <is>
          <t>Absent</t>
        </is>
      </c>
      <c r="AF247" s="156" t="inlineStr">
        <is>
          <t>Absent</t>
        </is>
      </c>
      <c r="AG247" s="149" t="inlineStr">
        <is>
          <t>✓</t>
        </is>
      </c>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2" t="inlineStr">
        <is>
          <t>535-1066-26, (31.08.2026) [IJZ-MB]</t>
        </is>
      </c>
      <c r="AC248" s="159" t="n"/>
      <c r="AD248" s="159" t="n"/>
      <c r="AE248" s="159" t="n"/>
      <c r="AF248" s="159" t="n"/>
      <c r="AG248" s="161" t="n"/>
      <c r="AH248" s="162" t="inlineStr">
        <is>
          <t>220-3-М-26,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227-27-К-26, (11.09.2026) [FHM-K]</t>
        </is>
      </c>
      <c r="L251" s="149" t="inlineStr">
        <is>
          <t>✓</t>
        </is>
      </c>
      <c r="M251" s="150" t="inlineStr">
        <is>
          <t>28.18</t>
        </is>
      </c>
      <c r="N251" s="148" t="inlineStr">
        <is>
          <t>227-27-К-26, (11.09.2026) [FHM-K]</t>
        </is>
      </c>
      <c r="O251" s="149" t="inlineStr">
        <is>
          <t>✓</t>
        </is>
      </c>
      <c r="P251" s="151" t="inlineStr">
        <is>
          <t>&lt; LOQ</t>
        </is>
      </c>
      <c r="Q251" s="148" t="inlineStr">
        <is>
          <t>227-27-К-26, (11.09.2026) [FHM-K]</t>
        </is>
      </c>
      <c r="R251" s="149" t="inlineStr">
        <is>
          <t>✓</t>
        </is>
      </c>
      <c r="S251" s="151" t="inlineStr">
        <is>
          <t>&lt; LOQ</t>
        </is>
      </c>
      <c r="T251" s="148" t="inlineStr">
        <is>
          <t>227-27-К-26,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227-3-К-26, (11.09.2026) [FHM-K]</t>
        </is>
      </c>
      <c r="L255" s="149" t="inlineStr">
        <is>
          <t>✓</t>
        </is>
      </c>
      <c r="M255" s="150" t="inlineStr">
        <is>
          <t>25.37</t>
        </is>
      </c>
      <c r="N255" s="148" t="inlineStr">
        <is>
          <t>227-3-К-26, (11.09.2026) [FHM-K]</t>
        </is>
      </c>
      <c r="O255" s="149" t="inlineStr">
        <is>
          <t>✓</t>
        </is>
      </c>
      <c r="P255" s="151" t="inlineStr">
        <is>
          <t>&lt; LOQ</t>
        </is>
      </c>
      <c r="Q255" s="148" t="inlineStr">
        <is>
          <t>227-3-К-26, (11.09.2026) [FHM-K]</t>
        </is>
      </c>
      <c r="R255" s="149" t="inlineStr">
        <is>
          <t>✓</t>
        </is>
      </c>
      <c r="S255" s="151" t="inlineStr">
        <is>
          <t>&lt; LOQ</t>
        </is>
      </c>
      <c r="T255" s="148" t="inlineStr">
        <is>
          <t>227-3-К-26,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227-9-К-26, (11.09.2026) [FHM-K]</t>
        </is>
      </c>
      <c r="L259" s="149" t="inlineStr">
        <is>
          <t>✓</t>
        </is>
      </c>
      <c r="M259" s="150" t="inlineStr">
        <is>
          <t>12.77</t>
        </is>
      </c>
      <c r="N259" s="148" t="inlineStr">
        <is>
          <t>227-9-К-26, (11.09.2026) [FHM-K]</t>
        </is>
      </c>
      <c r="O259" s="149" t="inlineStr">
        <is>
          <t>✓</t>
        </is>
      </c>
      <c r="P259" s="151" t="inlineStr">
        <is>
          <t>&lt; LOQ</t>
        </is>
      </c>
      <c r="Q259" s="148" t="inlineStr">
        <is>
          <t>227-9-К-26, (11.09.2026) [FHM-K]</t>
        </is>
      </c>
      <c r="R259" s="149" t="inlineStr">
        <is>
          <t>✓</t>
        </is>
      </c>
      <c r="S259" s="151" t="inlineStr">
        <is>
          <t>&lt; LOQ</t>
        </is>
      </c>
      <c r="T259" s="148" t="inlineStr">
        <is>
          <t>227-9-К-26,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220-7-К-26, (25.08.2026) [FHM-K]</t>
        </is>
      </c>
      <c r="L263" s="149" t="inlineStr">
        <is>
          <t>✓</t>
        </is>
      </c>
      <c r="M263" s="150" t="inlineStr">
        <is>
          <t>8.65</t>
        </is>
      </c>
      <c r="N263" s="148" t="inlineStr">
        <is>
          <t>220-7-К-26, (25.08.2026) [FHM-K]</t>
        </is>
      </c>
      <c r="O263" s="149" t="inlineStr">
        <is>
          <t>✓</t>
        </is>
      </c>
      <c r="P263" s="151" t="inlineStr">
        <is>
          <t>&lt; LOQ</t>
        </is>
      </c>
      <c r="Q263" s="148" t="inlineStr">
        <is>
          <t>220-7-К-26, (25.08.2026) [FHM-K]</t>
        </is>
      </c>
      <c r="R263" s="149" t="inlineStr">
        <is>
          <t>✓</t>
        </is>
      </c>
      <c r="S263" s="151" t="inlineStr">
        <is>
          <t>&lt; LOQ</t>
        </is>
      </c>
      <c r="T263" s="148" t="inlineStr">
        <is>
          <t>220-7-К-26,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220-7-М-26,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227-17-К-26, (11.09.2026) [FHM-K]</t>
        </is>
      </c>
      <c r="L267" s="149" t="inlineStr">
        <is>
          <t>✓</t>
        </is>
      </c>
      <c r="M267" s="150" t="inlineStr">
        <is>
          <t>26.54</t>
        </is>
      </c>
      <c r="N267" s="148" t="inlineStr">
        <is>
          <t>227-17-К-26, (11.09.2026) [FHM-K]</t>
        </is>
      </c>
      <c r="O267" s="149" t="inlineStr">
        <is>
          <t>✓</t>
        </is>
      </c>
      <c r="P267" s="151" t="inlineStr">
        <is>
          <t>&lt; LOQ</t>
        </is>
      </c>
      <c r="Q267" s="148" t="inlineStr">
        <is>
          <t>227-17-К-26, (11.09.2026) [FHM-K]</t>
        </is>
      </c>
      <c r="R267" s="149" t="inlineStr">
        <is>
          <t>✓</t>
        </is>
      </c>
      <c r="S267" s="151" t="inlineStr">
        <is>
          <t>&lt; LOQ</t>
        </is>
      </c>
      <c r="T267" s="148" t="inlineStr">
        <is>
          <t>227-17-К-26,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220-10-К-26, (25.08.2026) [FHM-K]</t>
        </is>
      </c>
      <c r="L271" s="149" t="inlineStr">
        <is>
          <t>✓</t>
        </is>
      </c>
      <c r="M271" s="150" t="inlineStr">
        <is>
          <t>18.29</t>
        </is>
      </c>
      <c r="N271" s="148" t="inlineStr">
        <is>
          <t>220-10-К-26, (25.08.2026) [FHM-K]</t>
        </is>
      </c>
      <c r="O271" s="149" t="inlineStr">
        <is>
          <t>✓</t>
        </is>
      </c>
      <c r="P271" s="151" t="inlineStr">
        <is>
          <t>&lt; LOQ</t>
        </is>
      </c>
      <c r="Q271" s="148" t="inlineStr">
        <is>
          <t>220-10-К-26, (25.08.2026) [FHM-K]</t>
        </is>
      </c>
      <c r="R271" s="149" t="inlineStr">
        <is>
          <t>✓</t>
        </is>
      </c>
      <c r="S271" s="151" t="inlineStr">
        <is>
          <t>&lt; LOQ</t>
        </is>
      </c>
      <c r="T271" s="148" t="inlineStr">
        <is>
          <t>220-10-К-26,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220-10-М-26,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220-12-К-26, (25.08.2026) [FHM-K]</t>
        </is>
      </c>
      <c r="L275" s="149" t="inlineStr">
        <is>
          <t>✓</t>
        </is>
      </c>
      <c r="M275" s="150" t="inlineStr">
        <is>
          <t>25.13</t>
        </is>
      </c>
      <c r="N275" s="148" t="inlineStr">
        <is>
          <t>220-12-К-26, (25.08.2026) [FHM-K]</t>
        </is>
      </c>
      <c r="O275" s="149" t="inlineStr">
        <is>
          <t>✓</t>
        </is>
      </c>
      <c r="P275" s="151" t="inlineStr">
        <is>
          <t>&lt; LOQ</t>
        </is>
      </c>
      <c r="Q275" s="148" t="inlineStr">
        <is>
          <t>220-12-К-26, (25.08.2026) [FHM-K]</t>
        </is>
      </c>
      <c r="R275" s="149" t="inlineStr">
        <is>
          <t>✓</t>
        </is>
      </c>
      <c r="S275" s="151" t="inlineStr">
        <is>
          <t>&lt; LOQ</t>
        </is>
      </c>
      <c r="T275" s="148" t="inlineStr">
        <is>
          <t>220-12-К-26,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220-12-М-26,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197-12-К-26, (07.08.2026) [FHM-K]</t>
        </is>
      </c>
      <c r="L279" s="149" t="inlineStr">
        <is>
          <t>✓</t>
        </is>
      </c>
      <c r="M279" s="150" t="inlineStr">
        <is>
          <t>15.70</t>
        </is>
      </c>
      <c r="N279" s="148" t="inlineStr">
        <is>
          <t>197-12-К-26, (07.08.2026) [FHM-K]</t>
        </is>
      </c>
      <c r="O279" s="149" t="inlineStr">
        <is>
          <t>✓</t>
        </is>
      </c>
      <c r="P279" s="151" t="inlineStr">
        <is>
          <t>&lt; LOQ</t>
        </is>
      </c>
      <c r="Q279" s="148" t="inlineStr">
        <is>
          <t>197-12-К-26, (07.08.2026) [FHM-K]</t>
        </is>
      </c>
      <c r="R279" s="149" t="inlineStr">
        <is>
          <t>✓</t>
        </is>
      </c>
      <c r="S279" s="151" t="inlineStr">
        <is>
          <t>&lt; LOQ</t>
        </is>
      </c>
      <c r="T279" s="148" t="inlineStr">
        <is>
          <t>197-12-К-26, (07.08.2026) [FHM-K]</t>
        </is>
      </c>
      <c r="U279" s="149" t="inlineStr">
        <is>
          <t>✓</t>
        </is>
      </c>
      <c r="V279" s="145" t="n"/>
      <c r="W279" s="144" t="n"/>
      <c r="X279" s="146" t="n"/>
      <c r="Y279" s="152" t="inlineStr">
        <is>
          <t>not on this certificate</t>
        </is>
      </c>
      <c r="Z279" s="153" t="inlineStr">
        <is>
          <t>197-12-К-26,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197-12-М-26,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220-28-К-26, (26.08.2026) [FHM-K]</t>
        </is>
      </c>
      <c r="L283" s="149" t="inlineStr">
        <is>
          <t>✓</t>
        </is>
      </c>
      <c r="M283" s="150" t="inlineStr">
        <is>
          <t>23.48</t>
        </is>
      </c>
      <c r="N283" s="148" t="inlineStr">
        <is>
          <t>220-28-К-26, (26.08.2026) [FHM-K]</t>
        </is>
      </c>
      <c r="O283" s="149" t="inlineStr">
        <is>
          <t>✓</t>
        </is>
      </c>
      <c r="P283" s="151" t="inlineStr">
        <is>
          <t>&lt; LOQ</t>
        </is>
      </c>
      <c r="Q283" s="148" t="inlineStr">
        <is>
          <t>220-28-К-26, (26.08.2026) [FHM-K]</t>
        </is>
      </c>
      <c r="R283" s="149" t="inlineStr">
        <is>
          <t>✓</t>
        </is>
      </c>
      <c r="S283" s="151" t="inlineStr">
        <is>
          <t>&lt; LOQ</t>
        </is>
      </c>
      <c r="T283" s="148" t="inlineStr">
        <is>
          <t>220-28-К-26,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220-28-М-26,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220-4-К-26, (25.08.2026) [FHM-K]</t>
        </is>
      </c>
      <c r="L287" s="149" t="inlineStr">
        <is>
          <t>✓</t>
        </is>
      </c>
      <c r="M287" s="150" t="inlineStr">
        <is>
          <t>28.34</t>
        </is>
      </c>
      <c r="N287" s="148" t="inlineStr">
        <is>
          <t>220-4-К-26, (25.08.2026) [FHM-K]</t>
        </is>
      </c>
      <c r="O287" s="149" t="inlineStr">
        <is>
          <t>✓</t>
        </is>
      </c>
      <c r="P287" s="151" t="inlineStr">
        <is>
          <t>&lt; LOQ</t>
        </is>
      </c>
      <c r="Q287" s="148" t="inlineStr">
        <is>
          <t>220-4-К-26, (25.08.2026) [FHM-K]</t>
        </is>
      </c>
      <c r="R287" s="149" t="inlineStr">
        <is>
          <t>✓</t>
        </is>
      </c>
      <c r="S287" s="151" t="inlineStr">
        <is>
          <t>&lt; LOQ</t>
        </is>
      </c>
      <c r="T287" s="148" t="inlineStr">
        <is>
          <t>220-4-К-26,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220-4-М-26,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197-5-К-26, (07.08.2026) [FHM-K]</t>
        </is>
      </c>
      <c r="L291" s="149" t="inlineStr">
        <is>
          <t>✓</t>
        </is>
      </c>
      <c r="M291" s="150" t="inlineStr">
        <is>
          <t>18.29</t>
        </is>
      </c>
      <c r="N291" s="148" t="inlineStr">
        <is>
          <t>197-5-К-26, (07.08.2026) [FHM-K]</t>
        </is>
      </c>
      <c r="O291" s="149" t="inlineStr">
        <is>
          <t>✓</t>
        </is>
      </c>
      <c r="P291" s="151" t="inlineStr">
        <is>
          <t>&lt; LOQ</t>
        </is>
      </c>
      <c r="Q291" s="148" t="inlineStr">
        <is>
          <t>197-5-К-26, (07.08.2026) [FHM-K]</t>
        </is>
      </c>
      <c r="R291" s="149" t="inlineStr">
        <is>
          <t>✓</t>
        </is>
      </c>
      <c r="S291" s="151" t="inlineStr">
        <is>
          <t>&lt; LOQ</t>
        </is>
      </c>
      <c r="T291" s="148" t="inlineStr">
        <is>
          <t>197-5-К-26, (07.08.2026) [FHM-K]</t>
        </is>
      </c>
      <c r="U291" s="149" t="inlineStr">
        <is>
          <t>✓</t>
        </is>
      </c>
      <c r="V291" s="145" t="n"/>
      <c r="W291" s="144" t="n"/>
      <c r="X291" s="146" t="n"/>
      <c r="Y291" s="152" t="inlineStr">
        <is>
          <t>not on this certificate</t>
        </is>
      </c>
      <c r="Z291" s="153" t="inlineStr">
        <is>
          <t>197-5-К-26,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197-5-М-26,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220-22-К-26, (26.08.2026) [FHM-K]</t>
        </is>
      </c>
      <c r="L295" s="149" t="inlineStr">
        <is>
          <t>✓</t>
        </is>
      </c>
      <c r="M295" s="150" t="inlineStr">
        <is>
          <t>10.18</t>
        </is>
      </c>
      <c r="N295" s="148" t="inlineStr">
        <is>
          <t>220-22-К-26, (26.08.2026) [FHM-K]</t>
        </is>
      </c>
      <c r="O295" s="149" t="inlineStr">
        <is>
          <t>✓</t>
        </is>
      </c>
      <c r="P295" s="151" t="inlineStr">
        <is>
          <t>&lt; LOQ</t>
        </is>
      </c>
      <c r="Q295" s="148" t="inlineStr">
        <is>
          <t>220-22-К-26, (26.08.2026) [FHM-K]</t>
        </is>
      </c>
      <c r="R295" s="149" t="inlineStr">
        <is>
          <t>✓</t>
        </is>
      </c>
      <c r="S295" s="151" t="inlineStr">
        <is>
          <t>&lt; LOQ</t>
        </is>
      </c>
      <c r="T295" s="148" t="inlineStr">
        <is>
          <t>220-22-К-26,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220-22-М-26,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227-30-К-26, (11.09.2026) [FHM-K]</t>
        </is>
      </c>
      <c r="L299" s="149" t="inlineStr">
        <is>
          <t>✓</t>
        </is>
      </c>
      <c r="M299" s="150" t="inlineStr">
        <is>
          <t>22.97</t>
        </is>
      </c>
      <c r="N299" s="148" t="inlineStr">
        <is>
          <t>227-30-К-26, (11.09.2026) [FHM-K]</t>
        </is>
      </c>
      <c r="O299" s="149" t="inlineStr">
        <is>
          <t>✓</t>
        </is>
      </c>
      <c r="P299" s="151" t="inlineStr">
        <is>
          <t>&lt; LOQ</t>
        </is>
      </c>
      <c r="Q299" s="148" t="inlineStr">
        <is>
          <t>227-30-К-26, (11.09.2026) [FHM-K]</t>
        </is>
      </c>
      <c r="R299" s="149" t="inlineStr">
        <is>
          <t>✓</t>
        </is>
      </c>
      <c r="S299" s="151" t="inlineStr">
        <is>
          <t>&lt; LOQ</t>
        </is>
      </c>
      <c r="T299" s="148" t="inlineStr">
        <is>
          <t>227-30-К-26,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197-20-К-26, (07.08.2026) [FHM-K]</t>
        </is>
      </c>
      <c r="L303" s="149" t="inlineStr">
        <is>
          <t>✓</t>
        </is>
      </c>
      <c r="M303" s="150" t="inlineStr">
        <is>
          <t>12.25</t>
        </is>
      </c>
      <c r="N303" s="148" t="inlineStr">
        <is>
          <t>197-20-К-26, (07.08.2026) [FHM-K]</t>
        </is>
      </c>
      <c r="O303" s="149" t="inlineStr">
        <is>
          <t>✓</t>
        </is>
      </c>
      <c r="P303" s="151" t="inlineStr">
        <is>
          <t>&lt; LOQ</t>
        </is>
      </c>
      <c r="Q303" s="148" t="inlineStr">
        <is>
          <t>197-20-К-26, (07.08.2026) [FHM-K]</t>
        </is>
      </c>
      <c r="R303" s="149" t="inlineStr">
        <is>
          <t>✓</t>
        </is>
      </c>
      <c r="S303" s="151" t="inlineStr">
        <is>
          <t>&lt; LOQ</t>
        </is>
      </c>
      <c r="T303" s="148" t="inlineStr">
        <is>
          <t>197-20-К-26, (07.08.2026) [FHM-K]</t>
        </is>
      </c>
      <c r="U303" s="149" t="inlineStr">
        <is>
          <t>✓</t>
        </is>
      </c>
      <c r="V303" s="145" t="n"/>
      <c r="W303" s="144" t="n"/>
      <c r="X303" s="146" t="n"/>
      <c r="Y303" s="152" t="inlineStr">
        <is>
          <t>not on this certificate</t>
        </is>
      </c>
      <c r="Z303" s="153" t="inlineStr">
        <is>
          <t>197-20-К-26,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197-20-М-26,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220-5-К-26, (25.08.2026) [FHM-K]</t>
        </is>
      </c>
      <c r="L307" s="149" t="inlineStr">
        <is>
          <t>✓</t>
        </is>
      </c>
      <c r="M307" s="150" t="inlineStr">
        <is>
          <t>25.65</t>
        </is>
      </c>
      <c r="N307" s="148" t="inlineStr">
        <is>
          <t>220-5-К-26, (25.08.2026) [FHM-K]</t>
        </is>
      </c>
      <c r="O307" s="149" t="inlineStr">
        <is>
          <t>✓</t>
        </is>
      </c>
      <c r="P307" s="151" t="inlineStr">
        <is>
          <t>&lt; LOQ</t>
        </is>
      </c>
      <c r="Q307" s="148" t="inlineStr">
        <is>
          <t>220-5-К-26, (25.08.2026) [FHM-K]</t>
        </is>
      </c>
      <c r="R307" s="149" t="inlineStr">
        <is>
          <t>✓</t>
        </is>
      </c>
      <c r="S307" s="151" t="inlineStr">
        <is>
          <t>&lt; LOQ</t>
        </is>
      </c>
      <c r="T307" s="148" t="inlineStr">
        <is>
          <t>220-5-К-26,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220-5-М-26,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220-27-К-26, (26.08.2026) [FHM-K]</t>
        </is>
      </c>
      <c r="L311" s="149" t="inlineStr">
        <is>
          <t>✓</t>
        </is>
      </c>
      <c r="M311" s="150" t="inlineStr">
        <is>
          <t>10.39</t>
        </is>
      </c>
      <c r="N311" s="148" t="inlineStr">
        <is>
          <t>220-27-К-26, (26.08.2026) [FHM-K]</t>
        </is>
      </c>
      <c r="O311" s="149" t="inlineStr">
        <is>
          <t>✓</t>
        </is>
      </c>
      <c r="P311" s="151" t="inlineStr">
        <is>
          <t>&lt; LOQ</t>
        </is>
      </c>
      <c r="Q311" s="148" t="inlineStr">
        <is>
          <t>220-27-К-26, (26.08.2026) [FHM-K]</t>
        </is>
      </c>
      <c r="R311" s="149" t="inlineStr">
        <is>
          <t>✓</t>
        </is>
      </c>
      <c r="S311" s="151" t="inlineStr">
        <is>
          <t>&lt; LOQ</t>
        </is>
      </c>
      <c r="T311" s="148" t="inlineStr">
        <is>
          <t>220-27-К-26,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220-27-М-26,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220-13-К-26, (25.08.2026) [FHM-K]</t>
        </is>
      </c>
      <c r="L315" s="149" t="inlineStr">
        <is>
          <t>✓</t>
        </is>
      </c>
      <c r="M315" s="150" t="inlineStr">
        <is>
          <t>25.24</t>
        </is>
      </c>
      <c r="N315" s="148" t="inlineStr">
        <is>
          <t>220-13-К-26, (25.08.2026) [FHM-K]</t>
        </is>
      </c>
      <c r="O315" s="149" t="inlineStr">
        <is>
          <t>✓</t>
        </is>
      </c>
      <c r="P315" s="151" t="inlineStr">
        <is>
          <t>&lt; LOQ</t>
        </is>
      </c>
      <c r="Q315" s="148" t="inlineStr">
        <is>
          <t>220-13-К-26, (25.08.2026) [FHM-K]</t>
        </is>
      </c>
      <c r="R315" s="149" t="inlineStr">
        <is>
          <t>✓</t>
        </is>
      </c>
      <c r="S315" s="151" t="inlineStr">
        <is>
          <t>&lt; LOQ</t>
        </is>
      </c>
      <c r="T315" s="148" t="inlineStr">
        <is>
          <t>220-13-К-26,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220-13-М-26,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197-6-К-26, (07.08.2026) [FHM-K]</t>
        </is>
      </c>
      <c r="L317" s="174" t="inlineStr">
        <is>
          <t>✓</t>
        </is>
      </c>
      <c r="M317" s="175" t="inlineStr">
        <is>
          <t>17.67</t>
        </is>
      </c>
      <c r="N317" s="173" t="inlineStr">
        <is>
          <t>197-6-К-26, (07.08.2026) [FHM-K]</t>
        </is>
      </c>
      <c r="O317" s="174" t="inlineStr">
        <is>
          <t>✓</t>
        </is>
      </c>
      <c r="P317" s="176" t="inlineStr">
        <is>
          <t>&lt; LOQ</t>
        </is>
      </c>
      <c r="Q317" s="173" t="inlineStr">
        <is>
          <t>197-6-К-26, (07.08.2026) [FHM-K]</t>
        </is>
      </c>
      <c r="R317" s="174" t="inlineStr">
        <is>
          <t>✓</t>
        </is>
      </c>
      <c r="S317" s="176" t="inlineStr">
        <is>
          <t>&lt; LOQ</t>
        </is>
      </c>
      <c r="T317" s="173" t="inlineStr">
        <is>
          <t>197-6-К-26,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197-6-К-26,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197-6-М-26,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197-7-К-26, (07.08.2026) [FHM-K]</t>
        </is>
      </c>
      <c r="L319" s="174" t="inlineStr">
        <is>
          <t>✓</t>
        </is>
      </c>
      <c r="M319" s="175" t="inlineStr">
        <is>
          <t>18.86</t>
        </is>
      </c>
      <c r="N319" s="173" t="inlineStr">
        <is>
          <t>197-7-К-26, (07.08.2026) [FHM-K]</t>
        </is>
      </c>
      <c r="O319" s="174" t="inlineStr">
        <is>
          <t>✓</t>
        </is>
      </c>
      <c r="P319" s="176" t="inlineStr">
        <is>
          <t>0.22</t>
        </is>
      </c>
      <c r="Q319" s="173" t="inlineStr">
        <is>
          <t>197-7-К-26, (07.08.2026) [FHM-K]</t>
        </is>
      </c>
      <c r="R319" s="174" t="inlineStr">
        <is>
          <t>✓</t>
        </is>
      </c>
      <c r="S319" s="176" t="inlineStr">
        <is>
          <t>&lt; LOQ</t>
        </is>
      </c>
      <c r="T319" s="173" t="inlineStr">
        <is>
          <t>197-7-К-26,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197-7-К-26,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197-7-М-26,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197-21-К-26, (07.08.2026) [FHM-K]</t>
        </is>
      </c>
      <c r="L321" s="174" t="inlineStr">
        <is>
          <t>✓</t>
        </is>
      </c>
      <c r="M321" s="175" t="inlineStr">
        <is>
          <t>17.84</t>
        </is>
      </c>
      <c r="N321" s="173" t="inlineStr">
        <is>
          <t>197-21-К-26, (07.08.2026) [FHM-K]</t>
        </is>
      </c>
      <c r="O321" s="174" t="inlineStr">
        <is>
          <t>✓</t>
        </is>
      </c>
      <c r="P321" s="176" t="inlineStr">
        <is>
          <t>&lt; LOQ</t>
        </is>
      </c>
      <c r="Q321" s="173" t="inlineStr">
        <is>
          <t>197-21-К-26, (07.08.2026) [FHM-K]</t>
        </is>
      </c>
      <c r="R321" s="174" t="inlineStr">
        <is>
          <t>✓</t>
        </is>
      </c>
      <c r="S321" s="176" t="inlineStr">
        <is>
          <t>&lt; LOQ</t>
        </is>
      </c>
      <c r="T321" s="173" t="inlineStr">
        <is>
          <t>197-21-К-26,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197-21-К-26,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197-21-М-26,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220-24-М-26,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220-24-К-26, (26.08.2026) [FHM-K]</t>
        </is>
      </c>
      <c r="L331" s="149" t="inlineStr">
        <is>
          <t>✓</t>
        </is>
      </c>
      <c r="M331" s="150" t="inlineStr">
        <is>
          <t>10.80</t>
        </is>
      </c>
      <c r="N331" s="148" t="inlineStr">
        <is>
          <t>220-24-К-26, (26.08.2026) [FHM-K]</t>
        </is>
      </c>
      <c r="O331" s="149" t="inlineStr">
        <is>
          <t>✓</t>
        </is>
      </c>
      <c r="P331" s="151" t="inlineStr">
        <is>
          <t>&lt; LOQ</t>
        </is>
      </c>
      <c r="Q331" s="148" t="inlineStr">
        <is>
          <t>220-24-К-26, (26.08.2026) [FHM-K]</t>
        </is>
      </c>
      <c r="R331" s="149" t="inlineStr">
        <is>
          <t>✓</t>
        </is>
      </c>
      <c r="S331" s="151" t="inlineStr">
        <is>
          <t>&lt; LOQ</t>
        </is>
      </c>
      <c r="T331" s="148" t="inlineStr">
        <is>
          <t>220-24-К-26,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227-7-К-26, (11.09.2026) [FHM-K]</t>
        </is>
      </c>
      <c r="L335" s="149" t="inlineStr">
        <is>
          <t>✓</t>
        </is>
      </c>
      <c r="M335" s="150" t="inlineStr">
        <is>
          <t>16.68</t>
        </is>
      </c>
      <c r="N335" s="148" t="inlineStr">
        <is>
          <t>227-7-К-26, (11.09.2026) [FHM-K]</t>
        </is>
      </c>
      <c r="O335" s="149" t="inlineStr">
        <is>
          <t>✓</t>
        </is>
      </c>
      <c r="P335" s="151" t="inlineStr">
        <is>
          <t>&lt; LOQ</t>
        </is>
      </c>
      <c r="Q335" s="148" t="inlineStr">
        <is>
          <t>227-7-К-26, (11.09.2026) [FHM-K]</t>
        </is>
      </c>
      <c r="R335" s="149" t="inlineStr">
        <is>
          <t>✓</t>
        </is>
      </c>
      <c r="S335" s="151" t="inlineStr">
        <is>
          <t>&lt; LOQ</t>
        </is>
      </c>
      <c r="T335" s="148" t="inlineStr">
        <is>
          <t>227-7-К-26,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220-26-К-26, (26.08.2026) [FHM-K]</t>
        </is>
      </c>
      <c r="L339" s="149" t="inlineStr">
        <is>
          <t>✓</t>
        </is>
      </c>
      <c r="M339" s="150" t="inlineStr">
        <is>
          <t>19.73</t>
        </is>
      </c>
      <c r="N339" s="148" t="inlineStr">
        <is>
          <t>220-26-К-26, (26.08.2026) [FHM-K]</t>
        </is>
      </c>
      <c r="O339" s="149" t="inlineStr">
        <is>
          <t>✓</t>
        </is>
      </c>
      <c r="P339" s="151" t="inlineStr">
        <is>
          <t>&lt; LOQ</t>
        </is>
      </c>
      <c r="Q339" s="148" t="inlineStr">
        <is>
          <t>220-26-К-26, (26.08.2026) [FHM-K]</t>
        </is>
      </c>
      <c r="R339" s="149" t="inlineStr">
        <is>
          <t>✓</t>
        </is>
      </c>
      <c r="S339" s="151" t="inlineStr">
        <is>
          <t>&lt; LOQ</t>
        </is>
      </c>
      <c r="T339" s="148" t="inlineStr">
        <is>
          <t>220-26-К-26,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220-26-М-26,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051-3-К-26, (04.03.2026) [FHM-K]</t>
        </is>
      </c>
      <c r="L343" s="186" t="inlineStr">
        <is>
          <t>✓</t>
        </is>
      </c>
      <c r="M343" s="187" t="inlineStr">
        <is>
          <t>11.20</t>
        </is>
      </c>
      <c r="N343" s="185" t="inlineStr">
        <is>
          <t>051-3-К-26, (04.03.2026) [FHM-K]</t>
        </is>
      </c>
      <c r="O343" s="186" t="inlineStr">
        <is>
          <t>✓</t>
        </is>
      </c>
      <c r="P343" s="188" t="inlineStr">
        <is>
          <t>&lt; LOQ**</t>
        </is>
      </c>
      <c r="Q343" s="185" t="inlineStr">
        <is>
          <t>051-3-К-26, (04.03.2026) [FHM-K]</t>
        </is>
      </c>
      <c r="R343" s="186" t="inlineStr">
        <is>
          <t>✓</t>
        </is>
      </c>
      <c r="S343" s="188" t="inlineStr">
        <is>
          <t>&lt; LOQ**</t>
        </is>
      </c>
      <c r="T343" s="185" t="inlineStr">
        <is>
          <t>051-3-К-26, (04.03.2026) [FHM-K]</t>
        </is>
      </c>
      <c r="U343" s="186" t="inlineStr">
        <is>
          <t>✓</t>
        </is>
      </c>
      <c r="V343" s="145" t="n"/>
      <c r="W343" s="144" t="n"/>
      <c r="X343" s="146" t="n"/>
      <c r="Y343" s="189" t="inlineStr">
        <is>
          <t>not on this certificate</t>
        </is>
      </c>
      <c r="Z343" s="190" t="inlineStr">
        <is>
          <t>051-3-К-26,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227-6-К-26, (11.09.2026) [FHM-K]</t>
        </is>
      </c>
      <c r="L345" s="149" t="inlineStr">
        <is>
          <t>✓</t>
        </is>
      </c>
      <c r="M345" s="150" t="inlineStr">
        <is>
          <t>10.61</t>
        </is>
      </c>
      <c r="N345" s="148" t="inlineStr">
        <is>
          <t>227-6-К-26, (11.09.2026) [FHM-K]</t>
        </is>
      </c>
      <c r="O345" s="149" t="inlineStr">
        <is>
          <t>✓</t>
        </is>
      </c>
      <c r="P345" s="151" t="inlineStr">
        <is>
          <t>&lt; LOQ</t>
        </is>
      </c>
      <c r="Q345" s="148" t="inlineStr">
        <is>
          <t>227-6-К-26, (11.09.2026) [FHM-K]</t>
        </is>
      </c>
      <c r="R345" s="149" t="inlineStr">
        <is>
          <t>✓</t>
        </is>
      </c>
      <c r="S345" s="151" t="inlineStr">
        <is>
          <t>&lt; LOQ</t>
        </is>
      </c>
      <c r="T345" s="148" t="inlineStr">
        <is>
          <t>227-6-К-26,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051-2-К-26, (04.03.2026) [FHM-K]</t>
        </is>
      </c>
      <c r="L349" s="186" t="inlineStr">
        <is>
          <t>✓</t>
        </is>
      </c>
      <c r="M349" s="187" t="inlineStr">
        <is>
          <t>9.20</t>
        </is>
      </c>
      <c r="N349" s="185" t="inlineStr">
        <is>
          <t>051-2-К-26, (04.03.2026) [FHM-K]</t>
        </is>
      </c>
      <c r="O349" s="186" t="inlineStr">
        <is>
          <t>✓</t>
        </is>
      </c>
      <c r="P349" s="188" t="inlineStr">
        <is>
          <t>&lt; LOQ**</t>
        </is>
      </c>
      <c r="Q349" s="185" t="inlineStr">
        <is>
          <t>051-2-К-26, (04.03.2026) [FHM-K]</t>
        </is>
      </c>
      <c r="R349" s="186" t="inlineStr">
        <is>
          <t>✓</t>
        </is>
      </c>
      <c r="S349" s="188" t="inlineStr">
        <is>
          <t>&lt; LOQ**</t>
        </is>
      </c>
      <c r="T349" s="185" t="inlineStr">
        <is>
          <t>051-2-К-26, (04.03.2026) [FHM-K]</t>
        </is>
      </c>
      <c r="U349" s="186" t="inlineStr">
        <is>
          <t>✓</t>
        </is>
      </c>
      <c r="V349" s="145" t="n"/>
      <c r="W349" s="144" t="n"/>
      <c r="X349" s="146" t="n"/>
      <c r="Y349" s="189" t="inlineStr">
        <is>
          <t>not on this certificate</t>
        </is>
      </c>
      <c r="Z349" s="190" t="inlineStr">
        <is>
          <t>051-2-К-26,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227-5-К-26, (11.09.2026) [FHM-K]</t>
        </is>
      </c>
      <c r="L351" s="149" t="inlineStr">
        <is>
          <t>✓</t>
        </is>
      </c>
      <c r="M351" s="150" t="inlineStr">
        <is>
          <t>11.27</t>
        </is>
      </c>
      <c r="N351" s="148" t="inlineStr">
        <is>
          <t>227-5-К-26, (11.09.2026) [FHM-K]</t>
        </is>
      </c>
      <c r="O351" s="149" t="inlineStr">
        <is>
          <t>✓</t>
        </is>
      </c>
      <c r="P351" s="151" t="inlineStr">
        <is>
          <t>&lt; LOQ</t>
        </is>
      </c>
      <c r="Q351" s="148" t="inlineStr">
        <is>
          <t>227-5-К-26, (11.09.2026) [FHM-K]</t>
        </is>
      </c>
      <c r="R351" s="149" t="inlineStr">
        <is>
          <t>✓</t>
        </is>
      </c>
      <c r="S351" s="151" t="inlineStr">
        <is>
          <t>&lt; LOQ</t>
        </is>
      </c>
      <c r="T351" s="148" t="inlineStr">
        <is>
          <t>227-5-К-26,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227-1-К-26, (11.09.2026) [FHM-K]</t>
        </is>
      </c>
      <c r="L353" s="174" t="inlineStr">
        <is>
          <t>✓</t>
        </is>
      </c>
      <c r="M353" s="175" t="inlineStr">
        <is>
          <t>26.69</t>
        </is>
      </c>
      <c r="N353" s="173" t="inlineStr">
        <is>
          <t>227-1-К-26, (11.09.2026) [FHM-K]</t>
        </is>
      </c>
      <c r="O353" s="174" t="inlineStr">
        <is>
          <t>✓</t>
        </is>
      </c>
      <c r="P353" s="176" t="inlineStr">
        <is>
          <t>&lt; LOQ</t>
        </is>
      </c>
      <c r="Q353" s="173" t="inlineStr">
        <is>
          <t>227-1-К-26, (11.09.2026) [FHM-K]</t>
        </is>
      </c>
      <c r="R353" s="174" t="inlineStr">
        <is>
          <t>✓</t>
        </is>
      </c>
      <c r="S353" s="176" t="inlineStr">
        <is>
          <t>&lt; LOQ</t>
        </is>
      </c>
      <c r="T353" s="173" t="inlineStr">
        <is>
          <t>227-1-К-26,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64" t="inlineStr">
        <is>
          <t>⚠ 3 NO RESULT
(3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227-4-К-26, (11.09.2026) [FHM-K]</t>
        </is>
      </c>
      <c r="L355" s="174" t="inlineStr">
        <is>
          <t>✓</t>
        </is>
      </c>
      <c r="M355" s="175" t="inlineStr">
        <is>
          <t>25.15</t>
        </is>
      </c>
      <c r="N355" s="173" t="inlineStr">
        <is>
          <t>227-4-К-26, (11.09.2026) [FHM-K]</t>
        </is>
      </c>
      <c r="O355" s="174" t="inlineStr">
        <is>
          <t>✓</t>
        </is>
      </c>
      <c r="P355" s="176" t="inlineStr">
        <is>
          <t>&lt; LOQ</t>
        </is>
      </c>
      <c r="Q355" s="173" t="inlineStr">
        <is>
          <t>227-4-К-26, (11.09.2026) [FHM-K]</t>
        </is>
      </c>
      <c r="R355" s="174" t="inlineStr">
        <is>
          <t>✓</t>
        </is>
      </c>
      <c r="S355" s="176" t="inlineStr">
        <is>
          <t>&lt; LOQ</t>
        </is>
      </c>
      <c r="T355" s="173" t="inlineStr">
        <is>
          <t>227-4-К-26, (11.09.2026) [FHM-K]</t>
        </is>
      </c>
      <c r="U355" s="174" t="inlineStr">
        <is>
          <t>✓</t>
        </is>
      </c>
      <c r="V355" s="172" t="inlineStr">
        <is>
          <t>Conforms</t>
        </is>
      </c>
      <c r="W355" s="173">
        <f>IFERROR(INDEX('iCoA Register'!$B:$B,MATCH("P060102|I",'iCoA Register'!$AA:$AA,0)),"iCoA — at issue")&amp;", (16.02.2026) [PP]"</f>
        <v/>
      </c>
      <c r="X355" s="174" t="inlineStr">
        <is>
          <t>✓</t>
        </is>
      </c>
      <c r="Y355" s="172" t="inlineStr">
        <is>
          <t>6,8 %</t>
        </is>
      </c>
      <c r="Z355" s="173" t="inlineStr">
        <is>
          <t>031-3-ГС-26, (12.02.2026) [FHM]</t>
        </is>
      </c>
      <c r="AA355" s="174"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227-8-К-26, (11.09.2026) [FHM-K]</t>
        </is>
      </c>
      <c r="L357" s="174" t="inlineStr">
        <is>
          <t>✓</t>
        </is>
      </c>
      <c r="M357" s="175" t="inlineStr">
        <is>
          <t>22.40</t>
        </is>
      </c>
      <c r="N357" s="173" t="inlineStr">
        <is>
          <t>227-8-К-26, (11.09.2026) [FHM-K]</t>
        </is>
      </c>
      <c r="O357" s="174" t="inlineStr">
        <is>
          <t>✓</t>
        </is>
      </c>
      <c r="P357" s="176" t="inlineStr">
        <is>
          <t>&lt; LOQ</t>
        </is>
      </c>
      <c r="Q357" s="173" t="inlineStr">
        <is>
          <t>227-8-К-26, (11.09.2026) [FHM-K]</t>
        </is>
      </c>
      <c r="R357" s="174" t="inlineStr">
        <is>
          <t>✓</t>
        </is>
      </c>
      <c r="S357" s="176" t="inlineStr">
        <is>
          <t>&lt; LOQ</t>
        </is>
      </c>
      <c r="T357" s="173" t="inlineStr">
        <is>
          <t>227-8-К-26,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220-1-К-26, (25.08.2026) [FHM-K]</t>
        </is>
      </c>
      <c r="L359" s="174" t="inlineStr">
        <is>
          <t>✓</t>
        </is>
      </c>
      <c r="M359" s="175" t="inlineStr">
        <is>
          <t>12.09</t>
        </is>
      </c>
      <c r="N359" s="173" t="inlineStr">
        <is>
          <t>220-1-К-26, (25.08.2026) [FHM-K]</t>
        </is>
      </c>
      <c r="O359" s="174" t="inlineStr">
        <is>
          <t>✓</t>
        </is>
      </c>
      <c r="P359" s="176" t="inlineStr">
        <is>
          <t>&lt; LOQ</t>
        </is>
      </c>
      <c r="Q359" s="173" t="inlineStr">
        <is>
          <t>220-1-К-26, (25.08.2026) [FHM-K]</t>
        </is>
      </c>
      <c r="R359" s="174" t="inlineStr">
        <is>
          <t>✓</t>
        </is>
      </c>
      <c r="S359" s="176" t="inlineStr">
        <is>
          <t>&lt; LOQ</t>
        </is>
      </c>
      <c r="T359" s="173" t="inlineStr">
        <is>
          <t>220-1-К-26,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220-1-М-26,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220-6-К-26, (25.08.2026) [FHM-K]</t>
        </is>
      </c>
      <c r="L361" s="174" t="inlineStr">
        <is>
          <t>✓</t>
        </is>
      </c>
      <c r="M361" s="175" t="inlineStr">
        <is>
          <t>9.55</t>
        </is>
      </c>
      <c r="N361" s="173" t="inlineStr">
        <is>
          <t>220-6-К-26, (25.08.2026) [FHM-K]</t>
        </is>
      </c>
      <c r="O361" s="174" t="inlineStr">
        <is>
          <t>✓</t>
        </is>
      </c>
      <c r="P361" s="176" t="inlineStr">
        <is>
          <t>&lt; LOQ</t>
        </is>
      </c>
      <c r="Q361" s="173" t="inlineStr">
        <is>
          <t>220-6-К-26, (25.08.2026) [FHM-K]</t>
        </is>
      </c>
      <c r="R361" s="174" t="inlineStr">
        <is>
          <t>✓</t>
        </is>
      </c>
      <c r="S361" s="176" t="inlineStr">
        <is>
          <t>&lt; LOQ</t>
        </is>
      </c>
      <c r="T361" s="173" t="inlineStr">
        <is>
          <t>220-6-К-26,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220-6-М-26,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220-25-К-26, (26.08.2026) [FHM-K]</t>
        </is>
      </c>
      <c r="L363" s="174" t="inlineStr">
        <is>
          <t>✓</t>
        </is>
      </c>
      <c r="M363" s="175" t="inlineStr">
        <is>
          <t>13.95</t>
        </is>
      </c>
      <c r="N363" s="173" t="inlineStr">
        <is>
          <t>220-25-К-26, (26.08.2026) [FHM-K]</t>
        </is>
      </c>
      <c r="O363" s="174" t="inlineStr">
        <is>
          <t>✓</t>
        </is>
      </c>
      <c r="P363" s="176" t="inlineStr">
        <is>
          <t>&lt; LOQ</t>
        </is>
      </c>
      <c r="Q363" s="173" t="inlineStr">
        <is>
          <t>220-25-К-26, (26.08.2026) [FHM-K]</t>
        </is>
      </c>
      <c r="R363" s="174" t="inlineStr">
        <is>
          <t>✓</t>
        </is>
      </c>
      <c r="S363" s="176" t="inlineStr">
        <is>
          <t>&lt; LOQ</t>
        </is>
      </c>
      <c r="T363" s="173" t="inlineStr">
        <is>
          <t>220-25-К-26,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220-25-М-26,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220-29-К-26, (26.08.2026) [FHM-K]</t>
        </is>
      </c>
      <c r="L365" s="174" t="inlineStr">
        <is>
          <t>✓</t>
        </is>
      </c>
      <c r="M365" s="175" t="inlineStr">
        <is>
          <t>14.76</t>
        </is>
      </c>
      <c r="N365" s="173" t="inlineStr">
        <is>
          <t>220-29-К-26, (26.08.2026) [FHM-K]</t>
        </is>
      </c>
      <c r="O365" s="174" t="inlineStr">
        <is>
          <t>✓</t>
        </is>
      </c>
      <c r="P365" s="176" t="inlineStr">
        <is>
          <t>&lt; LOQ</t>
        </is>
      </c>
      <c r="Q365" s="173" t="inlineStr">
        <is>
          <t>220-29-К-26, (26.08.2026) [FHM-K]</t>
        </is>
      </c>
      <c r="R365" s="174" t="inlineStr">
        <is>
          <t>✓</t>
        </is>
      </c>
      <c r="S365" s="176" t="inlineStr">
        <is>
          <t>&lt; LOQ</t>
        </is>
      </c>
      <c r="T365" s="173" t="inlineStr">
        <is>
          <t>220-29-К-26,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220-29-М-26,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220-30-К-26, (26.08.2026) [FHM-K]</t>
        </is>
      </c>
      <c r="L367" s="174" t="inlineStr">
        <is>
          <t>✓</t>
        </is>
      </c>
      <c r="M367" s="175" t="inlineStr">
        <is>
          <t>14.89</t>
        </is>
      </c>
      <c r="N367" s="173" t="inlineStr">
        <is>
          <t>220-30-К-26, (26.08.2026) [FHM-K]</t>
        </is>
      </c>
      <c r="O367" s="174" t="inlineStr">
        <is>
          <t>✓</t>
        </is>
      </c>
      <c r="P367" s="176" t="inlineStr">
        <is>
          <t>&lt; LOQ</t>
        </is>
      </c>
      <c r="Q367" s="173" t="inlineStr">
        <is>
          <t>220-30-К-26, (26.08.2026) [FHM-K]</t>
        </is>
      </c>
      <c r="R367" s="174" t="inlineStr">
        <is>
          <t>✓</t>
        </is>
      </c>
      <c r="S367" s="176" t="inlineStr">
        <is>
          <t>&lt; LOQ</t>
        </is>
      </c>
      <c r="T367" s="173" t="inlineStr">
        <is>
          <t>220-30-К-26,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220-30-М-26,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220-31-К-26, (26.08.2026) [FHM-K]</t>
        </is>
      </c>
      <c r="L369" s="174" t="inlineStr">
        <is>
          <t>✓</t>
        </is>
      </c>
      <c r="M369" s="175" t="inlineStr">
        <is>
          <t>14.99</t>
        </is>
      </c>
      <c r="N369" s="173" t="inlineStr">
        <is>
          <t>220-31-К-26, (26.08.2026) [FHM-K]</t>
        </is>
      </c>
      <c r="O369" s="174" t="inlineStr">
        <is>
          <t>✓</t>
        </is>
      </c>
      <c r="P369" s="176" t="inlineStr">
        <is>
          <t>&lt; LOQ</t>
        </is>
      </c>
      <c r="Q369" s="173" t="inlineStr">
        <is>
          <t>220-31-К-26, (26.08.2026) [FHM-K]</t>
        </is>
      </c>
      <c r="R369" s="174" t="inlineStr">
        <is>
          <t>✓</t>
        </is>
      </c>
      <c r="S369" s="176" t="inlineStr">
        <is>
          <t>&lt; LOQ</t>
        </is>
      </c>
      <c r="T369" s="173" t="inlineStr">
        <is>
          <t>220-31-К-26,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220-31-М-26,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220-32-К-26, (26.08.2026) [FHM-K]</t>
        </is>
      </c>
      <c r="L371" s="174" t="inlineStr">
        <is>
          <t>✓</t>
        </is>
      </c>
      <c r="M371" s="175" t="inlineStr">
        <is>
          <t>14.90</t>
        </is>
      </c>
      <c r="N371" s="173" t="inlineStr">
        <is>
          <t>220-32-К-26, (26.08.2026) [FHM-K]</t>
        </is>
      </c>
      <c r="O371" s="174" t="inlineStr">
        <is>
          <t>✓</t>
        </is>
      </c>
      <c r="P371" s="176" t="inlineStr">
        <is>
          <t>&lt; LOQ</t>
        </is>
      </c>
      <c r="Q371" s="173" t="inlineStr">
        <is>
          <t>220-32-К-26, (26.08.2026) [FHM-K]</t>
        </is>
      </c>
      <c r="R371" s="174" t="inlineStr">
        <is>
          <t>✓</t>
        </is>
      </c>
      <c r="S371" s="176" t="inlineStr">
        <is>
          <t>&lt; LOQ</t>
        </is>
      </c>
      <c r="T371" s="173" t="inlineStr">
        <is>
          <t>220-32-К-26,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220-32-М-26,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60">
    <mergeCell ref="M167:M168"/>
    <mergeCell ref="M161:M162"/>
    <mergeCell ref="K63:K64"/>
    <mergeCell ref="G297:G298"/>
    <mergeCell ref="AK307:AK308"/>
    <mergeCell ref="Z135:Z136"/>
    <mergeCell ref="J127:J128"/>
    <mergeCell ref="T271:T272"/>
    <mergeCell ref="B301:B304"/>
    <mergeCell ref="M169:M170"/>
    <mergeCell ref="S331:S332"/>
    <mergeCell ref="O225:O226"/>
    <mergeCell ref="AR269:AR270"/>
    <mergeCell ref="I57:I58"/>
    <mergeCell ref="G299:G300"/>
    <mergeCell ref="AL10:AO10"/>
    <mergeCell ref="D229:D23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AP229:AP230"/>
    <mergeCell ref="M179:M180"/>
    <mergeCell ref="D285:D286"/>
    <mergeCell ref="C297:C300"/>
    <mergeCell ref="A17:A20"/>
    <mergeCell ref="U263:U264"/>
    <mergeCell ref="AH22:AJ22"/>
    <mergeCell ref="AQ317:AQ318"/>
    <mergeCell ref="M337:M338"/>
    <mergeCell ref="C341:C346"/>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G237:G238"/>
    <mergeCell ref="AL92:AO92"/>
    <mergeCell ref="F265:F266"/>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H365:H366"/>
    <mergeCell ref="J123:J124"/>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AB248:AF248"/>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O331:O332"/>
    <mergeCell ref="Q89:Q90"/>
    <mergeCell ref="K225:K226"/>
    <mergeCell ref="AA113:AA114"/>
    <mergeCell ref="E57:E58"/>
    <mergeCell ref="S187:S188"/>
    <mergeCell ref="C95:C98"/>
    <mergeCell ref="R215:R216"/>
    <mergeCell ref="U285:U286"/>
    <mergeCell ref="E355:E356"/>
    <mergeCell ref="V223:V224"/>
    <mergeCell ref="H95:H96"/>
    <mergeCell ref="S153:S154"/>
    <mergeCell ref="N79:N80"/>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G355:G356"/>
    <mergeCell ref="AK315:AK316"/>
    <mergeCell ref="U87:U88"/>
    <mergeCell ref="S329:S330"/>
    <mergeCell ref="C273:C276"/>
    <mergeCell ref="X123:X12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P95:P96"/>
    <mergeCell ref="H169:H170"/>
    <mergeCell ref="AL354:AO354"/>
    <mergeCell ref="J225:J226"/>
    <mergeCell ref="C117:C122"/>
    <mergeCell ref="O273:O274"/>
    <mergeCell ref="P97:P98"/>
    <mergeCell ref="AH128:AJ128"/>
    <mergeCell ref="V51:V52"/>
    <mergeCell ref="D363:D364"/>
    <mergeCell ref="S279:S280"/>
    <mergeCell ref="Q337:Q338"/>
    <mergeCell ref="AR217:AR218"/>
    <mergeCell ref="Y45:Y46"/>
    <mergeCell ref="G59:G60"/>
    <mergeCell ref="T217:T218"/>
    <mergeCell ref="L291:L292"/>
    <mergeCell ref="N49:N50"/>
    <mergeCell ref="D365:D366"/>
    <mergeCell ref="F123:F124"/>
    <mergeCell ref="G211:G212"/>
    <mergeCell ref="AK229:AK230"/>
    <mergeCell ref="N207:N208"/>
    <mergeCell ref="Q91:Q92"/>
    <mergeCell ref="S281:S28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AB226:AF226"/>
    <mergeCell ref="P273:P274"/>
    <mergeCell ref="R31:R32"/>
    <mergeCell ref="H311:H31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W223:W224"/>
    <mergeCell ref="R27:R28"/>
    <mergeCell ref="J363:J364"/>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G243:AG244"/>
    <mergeCell ref="AQ265:AQ266"/>
    <mergeCell ref="O167:O168"/>
    <mergeCell ref="AB70:AF70"/>
    <mergeCell ref="I297:I298"/>
    <mergeCell ref="N231:N232"/>
    <mergeCell ref="D165:D166"/>
    <mergeCell ref="T355:T356"/>
    <mergeCell ref="N187:N188"/>
    <mergeCell ref="AS337:AS338"/>
    <mergeCell ref="O11:O12"/>
    <mergeCell ref="X205:X206"/>
    <mergeCell ref="O169:O170"/>
    <mergeCell ref="A265:A268"/>
    <mergeCell ref="I299:I300"/>
    <mergeCell ref="R53:R54"/>
    <mergeCell ref="F229:F230"/>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AR229:AR230"/>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E229:E230"/>
    <mergeCell ref="M189:M190"/>
    <mergeCell ref="O251:O252"/>
    <mergeCell ref="AK305:AK306"/>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AQ229:AQ230"/>
    <mergeCell ref="Q317:Q318"/>
    <mergeCell ref="S75:S76"/>
    <mergeCell ref="L95:L96"/>
    <mergeCell ref="AP293:AP294"/>
    <mergeCell ref="D169:D170"/>
    <mergeCell ref="AR355:AR356"/>
    <mergeCell ref="T343:T344"/>
    <mergeCell ref="S85:S86"/>
    <mergeCell ref="R293:R294"/>
    <mergeCell ref="AK367:AK368"/>
    <mergeCell ref="Y2:AA2"/>
    <mergeCell ref="N153:N154"/>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AB244:AF244"/>
    <mergeCell ref="L265:L266"/>
    <mergeCell ref="M89:M90"/>
    <mergeCell ref="AQ371:AQ372"/>
    <mergeCell ref="Q65:Q66"/>
    <mergeCell ref="AB210:AF210"/>
    <mergeCell ref="AP223:AP224"/>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N331:N332"/>
    <mergeCell ref="AQ285:AQ286"/>
    <mergeCell ref="AS347:AS348"/>
    <mergeCell ref="U231:U232"/>
    <mergeCell ref="AB234:AF234"/>
    <mergeCell ref="U187:U188"/>
    <mergeCell ref="E301:E302"/>
    <mergeCell ref="AK75:AK76"/>
    <mergeCell ref="M261:M262"/>
    <mergeCell ref="AH92:AJ92"/>
    <mergeCell ref="AL286:AO286"/>
    <mergeCell ref="U223:U224"/>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B217:B222"/>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K239:K240"/>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217:A222"/>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AH230:AJ230"/>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U353:U354"/>
    <mergeCell ref="W111:W112"/>
    <mergeCell ref="E125:E126"/>
    <mergeCell ref="O185:O186"/>
    <mergeCell ref="Q247:Q248"/>
    <mergeCell ref="M87:M88"/>
    <mergeCell ref="AB216:AF216"/>
    <mergeCell ref="AH258:AJ258"/>
    <mergeCell ref="T283:T284"/>
    <mergeCell ref="P123:P124"/>
    <mergeCell ref="H197:H198"/>
    <mergeCell ref="J259:J260"/>
    <mergeCell ref="L17:L18"/>
    <mergeCell ref="R179:R180"/>
    <mergeCell ref="E127:E128"/>
    <mergeCell ref="Y175:Y176"/>
    <mergeCell ref="J253:J254"/>
    <mergeCell ref="AK297:AK298"/>
    <mergeCell ref="R337:R338"/>
    <mergeCell ref="K235:K236"/>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H223:H224"/>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AA219:AA220"/>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G223:G224"/>
    <mergeCell ref="N175:N176"/>
    <mergeCell ref="C197:C200"/>
    <mergeCell ref="AP39:AP40"/>
    <mergeCell ref="K231:K232"/>
    <mergeCell ref="O263:O264"/>
    <mergeCell ref="X47:X48"/>
    <mergeCell ref="H161:H162"/>
    <mergeCell ref="G337:G338"/>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C229:C240"/>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Z219:Z220"/>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T367:T368"/>
    <mergeCell ref="J167:J168"/>
    <mergeCell ref="P329:P330"/>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P289:P290"/>
    <mergeCell ref="R47:R48"/>
    <mergeCell ref="T109:T110"/>
    <mergeCell ref="E187:E188"/>
    <mergeCell ref="R345:R346"/>
    <mergeCell ref="B187:B192"/>
    <mergeCell ref="AB278:AF278"/>
    <mergeCell ref="H319:H320"/>
    <mergeCell ref="O219:O220"/>
    <mergeCell ref="L149:L150"/>
    <mergeCell ref="M115:M116"/>
    <mergeCell ref="D223:D224"/>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I223:I224"/>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N139:N140"/>
    <mergeCell ref="I65:I66"/>
    <mergeCell ref="A329:A332"/>
    <mergeCell ref="J33:J34"/>
    <mergeCell ref="K121:K122"/>
    <mergeCell ref="H269:H270"/>
    <mergeCell ref="P55:P56"/>
    <mergeCell ref="R117:R118"/>
    <mergeCell ref="Z77:Z78"/>
    <mergeCell ref="P353:P354"/>
    <mergeCell ref="I363:I364"/>
    <mergeCell ref="C217:C222"/>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W229:W230"/>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X229:X23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C153:C156"/>
    <mergeCell ref="X9:X10"/>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B223:B228"/>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U239:U240"/>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Y257:Y258"/>
    <mergeCell ref="AS183:AS184"/>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281:R28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Y225:Y226"/>
    <mergeCell ref="H205:H206"/>
    <mergeCell ref="AK293:AK294"/>
    <mergeCell ref="K285:K286"/>
    <mergeCell ref="O105:O106"/>
    <mergeCell ref="X101:X102"/>
    <mergeCell ref="Z163:Z164"/>
    <mergeCell ref="H215:H216"/>
    <mergeCell ref="R237:R238"/>
    <mergeCell ref="B47:B48"/>
    <mergeCell ref="D109:D110"/>
    <mergeCell ref="AG153:AG154"/>
    <mergeCell ref="Z321:Z322"/>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C223:C228"/>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F223:F224"/>
    <mergeCell ref="AK365:AK366"/>
    <mergeCell ref="S283:S284"/>
    <mergeCell ref="U41:U42"/>
    <mergeCell ref="N151:N152"/>
    <mergeCell ref="P213:P214"/>
    <mergeCell ref="Z273:Z274"/>
    <mergeCell ref="J45:J46"/>
    <mergeCell ref="I253:I254"/>
    <mergeCell ref="H281:H282"/>
    <mergeCell ref="H287:H288"/>
    <mergeCell ref="A327:A328"/>
    <mergeCell ref="J343:J344"/>
    <mergeCell ref="P243:P2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E223:E224"/>
    <mergeCell ref="S11:S12"/>
    <mergeCell ref="K85:K86"/>
    <mergeCell ref="AH318:AJ318"/>
    <mergeCell ref="L175:L176"/>
    <mergeCell ref="A197:A200"/>
    <mergeCell ref="D249:D250"/>
    <mergeCell ref="T137:T138"/>
    <mergeCell ref="AH348:AJ348"/>
    <mergeCell ref="N267:N268"/>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AG225:AG22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A229:A240"/>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U225:U226"/>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B229:B2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L239:L240"/>
    <mergeCell ref="N301:N302"/>
    <mergeCell ref="T323:T324"/>
    <mergeCell ref="U291:U292"/>
    <mergeCell ref="AS261:AS262"/>
    <mergeCell ref="Z91:Z92"/>
    <mergeCell ref="C137:C140"/>
    <mergeCell ref="N5:N6"/>
    <mergeCell ref="P67:P68"/>
    <mergeCell ref="Q155:Q156"/>
    <mergeCell ref="AH166:AJ166"/>
    <mergeCell ref="P61:P62"/>
    <mergeCell ref="V229:V230"/>
    <mergeCell ref="D281:D282"/>
    <mergeCell ref="N303:N304"/>
    <mergeCell ref="M335:M336"/>
    <mergeCell ref="U293:U294"/>
    <mergeCell ref="P219:P220"/>
    <mergeCell ref="Y113:Y114"/>
    <mergeCell ref="W355:W356"/>
    <mergeCell ref="P359:P360"/>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V39:V40"/>
    <mergeCell ref="D53:D54"/>
    <mergeCell ref="AG97:AG98"/>
    <mergeCell ref="D9:D10"/>
    <mergeCell ref="F109:F110"/>
    <mergeCell ref="AA233:AA234"/>
    <mergeCell ref="T237:T238"/>
    <mergeCell ref="I241:I242"/>
    <mergeCell ref="U363:U364"/>
    <mergeCell ref="Q203:Q204"/>
    <mergeCell ref="C371:C372"/>
    <mergeCell ref="C209:C212"/>
    <mergeCell ref="F117:F118"/>
    <mergeCell ref="T239:T240"/>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T365:T366"/>
    <mergeCell ref="AG91:AG92"/>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I237:I238"/>
    <mergeCell ref="Y3:Z3"/>
    <mergeCell ref="AA337:AA338"/>
    <mergeCell ref="I203:I204"/>
    <mergeCell ref="AA5:AA6"/>
    <mergeCell ref="K119:K120"/>
    <mergeCell ref="AB188:AF188"/>
    <mergeCell ref="AA309:AA310"/>
    <mergeCell ref="L87:L88"/>
    <mergeCell ref="AK29:AK30"/>
    <mergeCell ref="I361:I362"/>
    <mergeCell ref="B141:B152"/>
    <mergeCell ref="L245:L246"/>
    <mergeCell ref="AB218:AF218"/>
    <mergeCell ref="AP261:AP262"/>
    <mergeCell ref="M25:M26"/>
    <mergeCell ref="E99:E100"/>
    <mergeCell ref="M183:M184"/>
    <mergeCell ref="U143:U144"/>
    <mergeCell ref="L89:L90"/>
    <mergeCell ref="G15:G16"/>
    <mergeCell ref="AB190:AF190"/>
    <mergeCell ref="E257:E258"/>
    <mergeCell ref="G313:G314"/>
    <mergeCell ref="J331:J332"/>
    <mergeCell ref="N309:N310"/>
    <mergeCell ref="AR319:AR320"/>
    <mergeCell ref="AG75:AG76"/>
    <mergeCell ref="Y149:Y150"/>
    <mergeCell ref="U255:U256"/>
    <mergeCell ref="M185:M186"/>
    <mergeCell ref="AA205:AA206"/>
    <mergeCell ref="AG233:AG234"/>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P331:P332"/>
    <mergeCell ref="C13:C16"/>
    <mergeCell ref="AA365:AA36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O15:O16"/>
    <mergeCell ref="T141:T142"/>
    <mergeCell ref="AG299:AG300"/>
    <mergeCell ref="Q71:Q72"/>
    <mergeCell ref="O313:O314"/>
    <mergeCell ref="A141:A152"/>
    <mergeCell ref="I145:I14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G247:AG2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X223:X224"/>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J239:J240"/>
    <mergeCell ref="L301:L302"/>
    <mergeCell ref="N59:N60"/>
    <mergeCell ref="E305:E306"/>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B317:B318"/>
    <mergeCell ref="G213:G214"/>
    <mergeCell ref="K101:K102"/>
    <mergeCell ref="T153:T154"/>
    <mergeCell ref="O79:O80"/>
    <mergeCell ref="AQ35:AQ36"/>
    <mergeCell ref="AR123:AR124"/>
    <mergeCell ref="M321:M322"/>
    <mergeCell ref="AQ333:AQ334"/>
    <mergeCell ref="L349:L350"/>
    <mergeCell ref="AH364:AJ364"/>
    <mergeCell ref="F357:F358"/>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T225:T226"/>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S225:S226"/>
    <mergeCell ref="K299:K300"/>
    <mergeCell ref="Y209:Y210"/>
    <mergeCell ref="H229:H230"/>
    <mergeCell ref="AH76:AJ76"/>
    <mergeCell ref="X273:X274"/>
    <mergeCell ref="B359:B360"/>
    <mergeCell ref="M29:M30"/>
    <mergeCell ref="K265:K266"/>
    <mergeCell ref="AA153:AA154"/>
    <mergeCell ref="G159:G160"/>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AA225:AA226"/>
    <mergeCell ref="AK285:AK286"/>
    <mergeCell ref="U57:U58"/>
    <mergeCell ref="S299:S300"/>
    <mergeCell ref="S293:S294"/>
    <mergeCell ref="L303:L304"/>
    <mergeCell ref="U355:U356"/>
    <mergeCell ref="Z289:Z290"/>
    <mergeCell ref="AS325:AS326"/>
    <mergeCell ref="J359:J360"/>
    <mergeCell ref="D47:D48"/>
    <mergeCell ref="C201:C204"/>
    <mergeCell ref="AL270:AO270"/>
    <mergeCell ref="P125:P126"/>
    <mergeCell ref="Y219:Y220"/>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AS229:AS230"/>
    <mergeCell ref="G99:G100"/>
    <mergeCell ref="V21:V22"/>
    <mergeCell ref="A165:A168"/>
    <mergeCell ref="N95:N96"/>
    <mergeCell ref="L331:L332"/>
    <mergeCell ref="N89:N90"/>
    <mergeCell ref="I15:I16"/>
    <mergeCell ref="G257:G258"/>
    <mergeCell ref="AH290:AJ290"/>
    <mergeCell ref="F347:F348"/>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Z225:Z226"/>
    <mergeCell ref="K309:K310"/>
    <mergeCell ref="R299:R300"/>
    <mergeCell ref="T57:T58"/>
    <mergeCell ref="J337:J33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301:AS30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C301:C304"/>
    <mergeCell ref="K31:K32"/>
    <mergeCell ref="AL370:AO370"/>
    <mergeCell ref="V89:V90"/>
    <mergeCell ref="Q15:Q16"/>
    <mergeCell ref="AP137:AP138"/>
    <mergeCell ref="P225:P226"/>
    <mergeCell ref="Z285:Z286"/>
    <mergeCell ref="K145:K146"/>
    <mergeCell ref="S239:S240"/>
    <mergeCell ref="H293:H294"/>
    <mergeCell ref="R141:R142"/>
    <mergeCell ref="J355:J356"/>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t="n">
        <v>46176</v>
      </c>
      <c r="E8" s="234" t="n">
        <v>45784</v>
      </c>
      <c r="F8" s="234">
        <f>IFERROR(INDEX('Batch Dates'!$G:$G,MATCH(J8,'Batch Dates'!$C:$C,0)),IFERROR(INDEX('Batch Dates'!$G:$G,MATCH(I8,'Batch Dates'!$B:$B,0)),""))</f>
        <v/>
      </c>
      <c r="G8" s="232" t="inlineStr">
        <is>
          <t>legacy</t>
        </is>
      </c>
      <c r="H8" s="232" t="inlineStr">
        <is>
          <t>retest 1</t>
        </is>
      </c>
      <c r="I8" s="233" t="inlineStr">
        <is>
          <t>OMP1024_01</t>
        </is>
      </c>
      <c r="J8" s="232" t="inlineStr">
        <is>
          <t>P050042</t>
        </is>
      </c>
      <c r="K8" s="232" t="inlineStr">
        <is>
          <t>Orange Punch Mimosa</t>
        </is>
      </c>
      <c r="L8" s="232" t="inlineStr">
        <is>
          <t>Ident A + Ident B + Foreign matter</t>
        </is>
      </c>
      <c r="M8" s="237" t="inlineStr">
        <is>
          <t>—</t>
        </is>
      </c>
      <c r="N8" s="232">
        <f>IFERROR(INDEX('CoQ Register'!$B:$B,MATCH("P050042|R",'CoQ Register'!$S:$S,0)),"—")</f>
        <v/>
      </c>
      <c r="O8" s="237" t="inlineStr">
        <is>
          <t>—</t>
        </is>
      </c>
      <c r="P8" s="232" t="inlineStr">
        <is>
          <t>20.06.2026</t>
        </is>
      </c>
      <c r="Q8" s="232" t="inlineStr">
        <is>
          <t>26.03.2025 – 27.03.2025</t>
        </is>
      </c>
      <c r="R8" s="232" t="inlineStr">
        <is>
          <t>20.06.2025</t>
        </is>
      </c>
      <c r="S8" s="234">
        <f>IFERROR(INDEX('CoQ Register'!$D:$D,MATCH("P050042|R",'CoQ Register'!$S:$S,0)),"")</f>
        <v/>
      </c>
      <c r="T8" s="232" t="inlineStr">
        <is>
          <t>Conforms</t>
        </is>
      </c>
      <c r="U8" s="232" t="inlineStr">
        <is>
          <t>Conforms</t>
        </is>
      </c>
      <c r="V8" s="232" t="inlineStr">
        <is>
          <t>Conforms</t>
        </is>
      </c>
      <c r="W8" s="232" t="inlineStr">
        <is>
          <t>220-21-K-26, (26.08.2026) [FHM-K]</t>
        </is>
      </c>
      <c r="X8" s="232" t="inlineStr">
        <is>
          <t>220-21-K-26, (26.08.2026) [FHM-K]</t>
        </is>
      </c>
      <c r="Y8" s="232" t="inlineStr">
        <is>
          <t>220-21-M-26, (11.09.2026) [FHM-M]</t>
        </is>
      </c>
      <c r="Z8" s="232" t="inlineStr">
        <is>
          <t>#8, #9, #11, #12 from the initial testing</t>
        </is>
      </c>
      <c r="AA8" s="232" t="inlineStr">
        <is>
          <t>P050042|R</t>
        </is>
      </c>
      <c r="AB8" s="239" t="inlineStr">
        <is>
          <t>registered — retest 1,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GP0824_02</t>
        </is>
      </c>
      <c r="J9" s="232" t="inlineStr">
        <is>
          <t>P050022</t>
        </is>
      </c>
      <c r="K9" s="232" t="inlineStr">
        <is>
          <t>Grape Pie</t>
        </is>
      </c>
      <c r="L9" s="232" t="inlineStr">
        <is>
          <t>Ident A + Ident B + Foreign matter</t>
        </is>
      </c>
      <c r="M9" s="237" t="inlineStr">
        <is>
          <t>—</t>
        </is>
      </c>
      <c r="N9" s="232">
        <f>IFERROR(INDEX('CoQ Register'!$B:$B,MATCH("P050022|I",'CoQ Register'!$S:$S,0)),"—")</f>
        <v/>
      </c>
      <c r="O9" s="232" t="inlineStr">
        <is>
          <t>iCoA-PP-2025-0006</t>
        </is>
      </c>
      <c r="P9" s="232" t="inlineStr">
        <is>
          <t>03.06.2025</t>
        </is>
      </c>
      <c r="Q9" s="232" t="inlineStr">
        <is>
          <t>22.04.2025 – 23.04.2025</t>
        </is>
      </c>
      <c r="R9" s="232" t="inlineStr">
        <is>
          <t>03.06.2025 – 11.06.2025</t>
        </is>
      </c>
      <c r="S9" s="234">
        <f>IFERROR(INDEX('CoQ Register'!$D:$D,MATCH("P050022|I",'CoQ Register'!$S:$S,0)),"")</f>
        <v/>
      </c>
      <c r="T9" s="232" t="inlineStr">
        <is>
          <t>Conforms</t>
        </is>
      </c>
      <c r="U9" s="232" t="inlineStr">
        <is>
          <t>Conforms</t>
        </is>
      </c>
      <c r="V9" s="232" t="inlineStr">
        <is>
          <t>Conforms</t>
        </is>
      </c>
      <c r="W9" s="232" t="inlineStr">
        <is>
          <t>ППК25139, (22.05.2025) [CNP]</t>
        </is>
      </c>
      <c r="X9" s="232" t="inlineStr">
        <is>
          <t>—</t>
        </is>
      </c>
      <c r="Y9" s="232" t="inlineStr">
        <is>
          <t>—</t>
        </is>
      </c>
      <c r="Z9" s="232" t="inlineStr">
        <is>
          <t>—</t>
        </is>
      </c>
      <c r="AA9" s="232" t="inlineStr">
        <is>
          <t>P050022|I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GG1024_02</t>
        </is>
      </c>
      <c r="J10" s="232" t="inlineStr">
        <is>
          <t>P050012</t>
        </is>
      </c>
      <c r="K10" s="232" t="inlineStr">
        <is>
          <t>Gorilla Glue</t>
        </is>
      </c>
      <c r="L10" s="232" t="inlineStr">
        <is>
          <t>Ident A + Ident B + Foreign matter</t>
        </is>
      </c>
      <c r="M10" s="237" t="inlineStr">
        <is>
          <t>—</t>
        </is>
      </c>
      <c r="N10" s="232">
        <f>IFERROR(INDEX('CoQ Register'!$B:$B,MATCH("P050012|I",'CoQ Register'!$S:$S,0)),"—")</f>
        <v/>
      </c>
      <c r="O10" s="237" t="inlineStr">
        <is>
          <t>—</t>
        </is>
      </c>
      <c r="P10" s="232" t="inlineStr">
        <is>
          <t>30.05.2025</t>
        </is>
      </c>
      <c r="Q10" s="232" t="inlineStr">
        <is>
          <t>14.04.2025 – 15.04.2025</t>
        </is>
      </c>
      <c r="R10" s="232" t="inlineStr">
        <is>
          <t>11.06.2025 – 16.06.2025 (the issuance plan's basis: 30.05.2025)</t>
        </is>
      </c>
      <c r="S10" s="234">
        <f>IFERROR(INDEX('CoQ Register'!$D:$D,MATCH("P050012|I",'CoQ Register'!$S:$S,0)),"")</f>
        <v/>
      </c>
      <c r="T10" s="232" t="inlineStr">
        <is>
          <t>Conforms</t>
        </is>
      </c>
      <c r="U10" s="232" t="inlineStr">
        <is>
          <t>Conforms</t>
        </is>
      </c>
      <c r="V10" s="232" t="inlineStr">
        <is>
          <t>Conforms</t>
        </is>
      </c>
      <c r="W10" s="232" t="inlineStr">
        <is>
          <t>ППК25140, (22.05.2025) [CNP]</t>
        </is>
      </c>
      <c r="X10" s="232" t="inlineStr">
        <is>
          <t>—</t>
        </is>
      </c>
      <c r="Y10" s="232" t="inlineStr">
        <is>
          <t>—</t>
        </is>
      </c>
      <c r="Z10" s="232" t="inlineStr">
        <is>
          <t>—</t>
        </is>
      </c>
      <c r="AA10" s="232" t="inlineStr">
        <is>
          <t>P050012|I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MB0824_04</t>
        </is>
      </c>
      <c r="J11" s="232" t="inlineStr">
        <is>
          <t>P050032</t>
        </is>
      </c>
      <c r="K11" s="232" t="inlineStr">
        <is>
          <t>Motor Breath</t>
        </is>
      </c>
      <c r="L11" s="232" t="inlineStr">
        <is>
          <t>Ident A + Ident B + Foreign matter</t>
        </is>
      </c>
      <c r="M11" s="237" t="inlineStr">
        <is>
          <t>—</t>
        </is>
      </c>
      <c r="N11" s="232">
        <f>IFERROR(INDEX('CoQ Register'!$B:$B,MATCH("P050032|I",'CoQ Register'!$S:$S,0)),"—")</f>
        <v/>
      </c>
      <c r="O11" s="237" t="inlineStr">
        <is>
          <t>—</t>
        </is>
      </c>
      <c r="P11" s="232" t="inlineStr">
        <is>
          <t>07.05.2025</t>
        </is>
      </c>
      <c r="Q11" s="232" t="inlineStr">
        <is>
          <t>02.04.2025 – 03.04.2025</t>
        </is>
      </c>
      <c r="R11" s="232" t="inlineStr">
        <is>
          <t>16.06.2025 – 19.06.2025 (the issuance plan's basis: 07.05.2025)</t>
        </is>
      </c>
      <c r="S11" s="234">
        <f>IFERROR(INDEX('CoQ Register'!$D:$D,MATCH("P050032|I",'CoQ Register'!$S:$S,0)),"")</f>
        <v/>
      </c>
      <c r="T11" s="232" t="inlineStr">
        <is>
          <t>Conforms</t>
        </is>
      </c>
      <c r="U11" s="232" t="inlineStr">
        <is>
          <t>Conforms</t>
        </is>
      </c>
      <c r="V11" s="232" t="inlineStr">
        <is>
          <t>Conforms</t>
        </is>
      </c>
      <c r="W11" s="232" t="inlineStr">
        <is>
          <t>ППК25118, (06.05.2025) [CNP]</t>
        </is>
      </c>
      <c r="X11" s="232" t="inlineStr">
        <is>
          <t>—</t>
        </is>
      </c>
      <c r="Y11" s="232" t="inlineStr">
        <is>
          <t>—</t>
        </is>
      </c>
      <c r="Z11" s="232" t="inlineStr">
        <is>
          <t>—</t>
        </is>
      </c>
      <c r="AA11" s="232" t="inlineStr">
        <is>
          <t>P050032|I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HPA1024_01</t>
        </is>
      </c>
      <c r="J12" s="232" t="inlineStr">
        <is>
          <t>P050052</t>
        </is>
      </c>
      <c r="K12" s="232" t="inlineStr">
        <is>
          <t>High Pro Amnesia</t>
        </is>
      </c>
      <c r="L12" s="232" t="inlineStr">
        <is>
          <t>Ident A + Ident B + Foreign matter</t>
        </is>
      </c>
      <c r="M12" s="237" t="inlineStr">
        <is>
          <t>—</t>
        </is>
      </c>
      <c r="N12" s="232">
        <f>IFERROR(INDEX('CoQ Register'!$B:$B,MATCH("P050052|I",'CoQ Register'!$S:$S,0)),"—")</f>
        <v/>
      </c>
      <c r="O12" s="232" t="inlineStr">
        <is>
          <t>iCoA-PP-2025-0008</t>
        </is>
      </c>
      <c r="P12" s="232" t="inlineStr">
        <is>
          <t>27.06.2025</t>
        </is>
      </c>
      <c r="Q12" s="232" t="inlineStr">
        <is>
          <t>27.05.2025 – 28.05.2025</t>
        </is>
      </c>
      <c r="R12" s="232" t="inlineStr">
        <is>
          <t>27.06.2025 – 04.07.2025</t>
        </is>
      </c>
      <c r="S12" s="234">
        <f>IFERROR(INDEX('CoQ Register'!$D:$D,MATCH("P050052|I",'CoQ Register'!$S:$S,0)),"")</f>
        <v/>
      </c>
      <c r="T12" s="232" t="inlineStr">
        <is>
          <t>Conforms</t>
        </is>
      </c>
      <c r="U12" s="232" t="inlineStr">
        <is>
          <t>Conforms</t>
        </is>
      </c>
      <c r="V12" s="232" t="inlineStr">
        <is>
          <t>Conforms</t>
        </is>
      </c>
      <c r="W12" s="232" t="inlineStr">
        <is>
          <t>ППК25155, (24.06.2025) [CNP]</t>
        </is>
      </c>
      <c r="X12" s="232" t="inlineStr">
        <is>
          <t>—</t>
        </is>
      </c>
      <c r="Y12" s="232" t="inlineStr">
        <is>
          <t>—</t>
        </is>
      </c>
      <c r="Z12" s="232" t="inlineStr">
        <is>
          <t>—</t>
        </is>
      </c>
      <c r="AA12" s="232" t="inlineStr">
        <is>
          <t>P050052|I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OPM1024_02</t>
        </is>
      </c>
      <c r="J13" s="232" t="inlineStr">
        <is>
          <t>P050062</t>
        </is>
      </c>
      <c r="K13" s="232" t="inlineStr">
        <is>
          <t>Orange Punch Mimosa</t>
        </is>
      </c>
      <c r="L13" s="232" t="inlineStr">
        <is>
          <t>Ident A + Ident B + Foreign matter</t>
        </is>
      </c>
      <c r="M13" s="237" t="inlineStr">
        <is>
          <t>—</t>
        </is>
      </c>
      <c r="N13" s="232">
        <f>IFERROR(INDEX('CoQ Register'!$B:$B,MATCH("P050062|I",'CoQ Register'!$S:$S,0)),"—")</f>
        <v/>
      </c>
      <c r="O13" s="232" t="inlineStr">
        <is>
          <t>iCoA-PP-2025-0009</t>
        </is>
      </c>
      <c r="P13" s="232" t="inlineStr">
        <is>
          <t>04.07.2025</t>
        </is>
      </c>
      <c r="Q13" s="232" t="inlineStr">
        <is>
          <t>29.05.2025 – 30.05.2025</t>
        </is>
      </c>
      <c r="R13" s="232" t="inlineStr">
        <is>
          <t>04.07.2025 – 10.07.2025</t>
        </is>
      </c>
      <c r="S13" s="234">
        <f>IFERROR(INDEX('CoQ Register'!$D:$D,MATCH("P050062|I",'CoQ Register'!$S:$S,0)),"")</f>
        <v/>
      </c>
      <c r="T13" s="232" t="inlineStr">
        <is>
          <t>Conforms</t>
        </is>
      </c>
      <c r="U13" s="232" t="inlineStr">
        <is>
          <t>Conforms</t>
        </is>
      </c>
      <c r="V13" s="232" t="inlineStr">
        <is>
          <t>Conforms</t>
        </is>
      </c>
      <c r="W13" s="232" t="inlineStr">
        <is>
          <t>ППК25154, (24.06.2025) [CNP]</t>
        </is>
      </c>
      <c r="X13" s="232" t="inlineStr">
        <is>
          <t>—</t>
        </is>
      </c>
      <c r="Y13" s="232" t="inlineStr">
        <is>
          <t>—</t>
        </is>
      </c>
      <c r="Z13" s="232" t="inlineStr">
        <is>
          <t>—</t>
        </is>
      </c>
      <c r="AA13" s="232" t="inlineStr">
        <is>
          <t>P050062|I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GP0824_03</t>
        </is>
      </c>
      <c r="J14" s="232" t="inlineStr">
        <is>
          <t>P050072</t>
        </is>
      </c>
      <c r="K14" s="232" t="inlineStr">
        <is>
          <t>Grape Pie</t>
        </is>
      </c>
      <c r="L14" s="232" t="inlineStr">
        <is>
          <t>Ident A + Ident B + Foreign matter</t>
        </is>
      </c>
      <c r="M14" s="237" t="inlineStr">
        <is>
          <t>—</t>
        </is>
      </c>
      <c r="N14" s="232">
        <f>IFERROR(INDEX('CoQ Register'!$B:$B,MATCH("P050072|I",'CoQ Register'!$S:$S,0)),"—")</f>
        <v/>
      </c>
      <c r="O14" s="232" t="inlineStr">
        <is>
          <t>iCoA-PP-2025-0010</t>
        </is>
      </c>
      <c r="P14" s="232" t="inlineStr">
        <is>
          <t>14.07.2025</t>
        </is>
      </c>
      <c r="Q14" s="232" t="inlineStr">
        <is>
          <t>09.06.2025 – 10.06.2025</t>
        </is>
      </c>
      <c r="R14" s="232" t="inlineStr">
        <is>
          <t>14.07.2025 – 17.07.2025</t>
        </is>
      </c>
      <c r="S14" s="234">
        <f>IFERROR(INDEX('CoQ Register'!$D:$D,MATCH("P050072|I",'CoQ Register'!$S:$S,0)),"")</f>
        <v/>
      </c>
      <c r="T14" s="232" t="inlineStr">
        <is>
          <t>Conforms</t>
        </is>
      </c>
      <c r="U14" s="232" t="inlineStr">
        <is>
          <t>Conforms</t>
        </is>
      </c>
      <c r="V14" s="232" t="inlineStr">
        <is>
          <t>Conforms</t>
        </is>
      </c>
      <c r="W14" s="232" t="inlineStr">
        <is>
          <t>ППК25175, (10.07.2025) [CNP]</t>
        </is>
      </c>
      <c r="X14" s="232" t="inlineStr">
        <is>
          <t>—</t>
        </is>
      </c>
      <c r="Y14" s="232" t="inlineStr">
        <is>
          <t>—</t>
        </is>
      </c>
      <c r="Z14" s="232" t="inlineStr">
        <is>
          <t>—</t>
        </is>
      </c>
      <c r="AA14" s="232" t="inlineStr">
        <is>
          <t>P050072|I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OPM1024_03</t>
        </is>
      </c>
      <c r="J15" s="232" t="inlineStr">
        <is>
          <t>P050082</t>
        </is>
      </c>
      <c r="K15" s="232" t="inlineStr">
        <is>
          <t>Orange Punch Mimosa</t>
        </is>
      </c>
      <c r="L15" s="232" t="inlineStr">
        <is>
          <t>Ident A + Ident B + Foreign matter</t>
        </is>
      </c>
      <c r="M15" s="237" t="inlineStr">
        <is>
          <t>—</t>
        </is>
      </c>
      <c r="N15" s="232">
        <f>IFERROR(INDEX('CoQ Register'!$B:$B,MATCH("P050082|I",'CoQ Register'!$S:$S,0)),"—")</f>
        <v/>
      </c>
      <c r="O15" s="232" t="inlineStr">
        <is>
          <t>iCoA-PP-2025-0011</t>
        </is>
      </c>
      <c r="P15" s="232" t="inlineStr">
        <is>
          <t>22.07.2025</t>
        </is>
      </c>
      <c r="Q15" s="232" t="inlineStr">
        <is>
          <t>01.07.2025 – 02.07.2025</t>
        </is>
      </c>
      <c r="R15" s="232" t="inlineStr">
        <is>
          <t>22.07.2025 – 30.07.2025</t>
        </is>
      </c>
      <c r="S15" s="234">
        <f>IFERROR(INDEX('CoQ Register'!$D:$D,MATCH("P050082|I",'CoQ Register'!$S:$S,0)),"")</f>
        <v/>
      </c>
      <c r="T15" s="232" t="inlineStr">
        <is>
          <t>Conforms</t>
        </is>
      </c>
      <c r="U15" s="232" t="inlineStr">
        <is>
          <t>Conforms</t>
        </is>
      </c>
      <c r="V15" s="232" t="inlineStr">
        <is>
          <t>Conforms</t>
        </is>
      </c>
      <c r="W15" s="232" t="inlineStr">
        <is>
          <t>ППК25210, (28.07.2025) [CNP]</t>
        </is>
      </c>
      <c r="X15" s="232" t="inlineStr">
        <is>
          <t>—</t>
        </is>
      </c>
      <c r="Y15" s="232" t="inlineStr">
        <is>
          <t>—</t>
        </is>
      </c>
      <c r="Z15" s="232" t="inlineStr">
        <is>
          <t>—</t>
        </is>
      </c>
      <c r="AA15" s="232" t="inlineStr">
        <is>
          <t>P050082|I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GG1024_01</t>
        </is>
      </c>
      <c r="J16" s="232" t="inlineStr">
        <is>
          <t>P050092</t>
        </is>
      </c>
      <c r="K16" s="232" t="inlineStr">
        <is>
          <t>Gorilla Glue</t>
        </is>
      </c>
      <c r="L16" s="232" t="inlineStr">
        <is>
          <t>Ident A + Ident B + Foreign matter</t>
        </is>
      </c>
      <c r="M16" s="237" t="inlineStr">
        <is>
          <t>—</t>
        </is>
      </c>
      <c r="N16" s="232">
        <f>IFERROR(INDEX('CoQ Register'!$B:$B,MATCH("P050092|I",'CoQ Register'!$S:$S,0)),"—")</f>
        <v/>
      </c>
      <c r="O16" s="232" t="inlineStr">
        <is>
          <t>iCoA-PP-2025-0012</t>
        </is>
      </c>
      <c r="P16" s="232" t="inlineStr">
        <is>
          <t>31.07.2025</t>
        </is>
      </c>
      <c r="Q16" s="232" t="inlineStr">
        <is>
          <t>17.03.2025 – 18.03.2025</t>
        </is>
      </c>
      <c r="R16" s="232" t="inlineStr">
        <is>
          <t>31.07.2025 – 05.08.2025</t>
        </is>
      </c>
      <c r="S16" s="234">
        <f>IFERROR(INDEX('CoQ Register'!$D:$D,MATCH("P050092|I",'CoQ Register'!$S:$S,0)),"")</f>
        <v/>
      </c>
      <c r="T16" s="232" t="inlineStr">
        <is>
          <t>Conforms</t>
        </is>
      </c>
      <c r="U16" s="232" t="inlineStr">
        <is>
          <t>Conforms</t>
        </is>
      </c>
      <c r="V16" s="232" t="inlineStr">
        <is>
          <t>Conforms</t>
        </is>
      </c>
      <c r="W16" s="232" t="inlineStr">
        <is>
          <t>ППК25104, (17.04.2025) [CNP]</t>
        </is>
      </c>
      <c r="X16" s="232" t="inlineStr">
        <is>
          <t>—</t>
        </is>
      </c>
      <c r="Y16" s="232" t="inlineStr">
        <is>
          <t>—</t>
        </is>
      </c>
      <c r="Z16" s="232" t="inlineStr">
        <is>
          <t>—</t>
        </is>
      </c>
      <c r="AA16" s="232" t="inlineStr">
        <is>
          <t>P050092|I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GP0824_01</t>
        </is>
      </c>
      <c r="J17" s="232" t="inlineStr">
        <is>
          <t>P050102</t>
        </is>
      </c>
      <c r="K17" s="232" t="inlineStr">
        <is>
          <t>Grape Pie</t>
        </is>
      </c>
      <c r="L17" s="232" t="inlineStr">
        <is>
          <t>Ident A + Ident B + Foreign matter</t>
        </is>
      </c>
      <c r="M17" s="237" t="inlineStr">
        <is>
          <t>—</t>
        </is>
      </c>
      <c r="N17" s="232">
        <f>IFERROR(INDEX('CoQ Register'!$B:$B,MATCH("P050102|I",'CoQ Register'!$S:$S,0)),"—")</f>
        <v/>
      </c>
      <c r="O17" s="237" t="inlineStr">
        <is>
          <t>—</t>
        </is>
      </c>
      <c r="P17" s="232" t="inlineStr">
        <is>
          <t>17.04.2025</t>
        </is>
      </c>
      <c r="Q17" s="232" t="inlineStr">
        <is>
          <t>20.03.2025 – 21.03.2025</t>
        </is>
      </c>
      <c r="R17" s="232" t="inlineStr">
        <is>
          <t>05.08.2025 – 07.08.2025 (the issuance plan's basis: 17.04.2025)</t>
        </is>
      </c>
      <c r="S17" s="234">
        <f>IFERROR(INDEX('CoQ Register'!$D:$D,MATCH("P050102|I",'CoQ Register'!$S:$S,0)),"")</f>
        <v/>
      </c>
      <c r="T17" s="232" t="inlineStr">
        <is>
          <t>Conforms</t>
        </is>
      </c>
      <c r="U17" s="232" t="inlineStr">
        <is>
          <t>Conforms</t>
        </is>
      </c>
      <c r="V17" s="232" t="inlineStr">
        <is>
          <t>Conforms</t>
        </is>
      </c>
      <c r="W17" s="232" t="inlineStr">
        <is>
          <t>ППК25105, (17.04.2025) [CNP]</t>
        </is>
      </c>
      <c r="X17" s="232" t="inlineStr">
        <is>
          <t>—</t>
        </is>
      </c>
      <c r="Y17" s="232" t="inlineStr">
        <is>
          <t>—</t>
        </is>
      </c>
      <c r="Z17" s="232" t="inlineStr">
        <is>
          <t>—</t>
        </is>
      </c>
      <c r="AA17" s="232" t="inlineStr">
        <is>
          <t>P050102|I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MB0824_05</t>
        </is>
      </c>
      <c r="J18" s="232" t="inlineStr">
        <is>
          <t>P050112</t>
        </is>
      </c>
      <c r="K18" s="232" t="inlineStr">
        <is>
          <t>Motor Breath</t>
        </is>
      </c>
      <c r="L18" s="232" t="inlineStr">
        <is>
          <t>Ident A + Ident B + Foreign matter</t>
        </is>
      </c>
      <c r="M18" s="237" t="inlineStr">
        <is>
          <t>—</t>
        </is>
      </c>
      <c r="N18" s="232">
        <f>IFERROR(INDEX('CoQ Register'!$B:$B,MATCH("P050112|I",'CoQ Register'!$S:$S,0)),"—")</f>
        <v/>
      </c>
      <c r="O18" s="232" t="inlineStr">
        <is>
          <t>iCoA-PP-2025-0013</t>
        </is>
      </c>
      <c r="P18" s="232" t="inlineStr">
        <is>
          <t>25.08.2025</t>
        </is>
      </c>
      <c r="Q18" s="232" t="inlineStr">
        <is>
          <t>08.07.2025 – 09.07.2025</t>
        </is>
      </c>
      <c r="R18" s="232" t="inlineStr">
        <is>
          <t>25.08.2025 – 31.08.2025</t>
        </is>
      </c>
      <c r="S18" s="234">
        <f>IFERROR(INDEX('CoQ Register'!$D:$D,MATCH("P050112|I",'CoQ Register'!$S:$S,0)),"")</f>
        <v/>
      </c>
      <c r="T18" s="232" t="inlineStr">
        <is>
          <t>Conforms</t>
        </is>
      </c>
      <c r="U18" s="232" t="inlineStr">
        <is>
          <t>Conforms</t>
        </is>
      </c>
      <c r="V18" s="232" t="inlineStr">
        <is>
          <t>Conforms</t>
        </is>
      </c>
      <c r="W18" s="232" t="inlineStr">
        <is>
          <t>ППК25211, (28.07.2025) [CNP]</t>
        </is>
      </c>
      <c r="X18" s="232" t="inlineStr">
        <is>
          <t>—</t>
        </is>
      </c>
      <c r="Y18" s="232" t="inlineStr">
        <is>
          <t>—</t>
        </is>
      </c>
      <c r="Z18" s="232" t="inlineStr">
        <is>
          <t>—</t>
        </is>
      </c>
      <c r="AA18" s="232" t="inlineStr">
        <is>
          <t>P050112|I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OPM052501</t>
        </is>
      </c>
      <c r="J19" s="232" t="inlineStr">
        <is>
          <t>P050132</t>
        </is>
      </c>
      <c r="K19" s="232" t="inlineStr">
        <is>
          <t>Orange Punch Mimosa</t>
        </is>
      </c>
      <c r="L19" s="232" t="inlineStr">
        <is>
          <t>Ident A + Ident B + Foreign matter</t>
        </is>
      </c>
      <c r="M19" s="237" t="inlineStr">
        <is>
          <t>—</t>
        </is>
      </c>
      <c r="N19" s="232">
        <f>IFERROR(INDEX('CoQ Register'!$B:$B,MATCH("P050132|I",'CoQ Register'!$S:$S,0)),"—")</f>
        <v/>
      </c>
      <c r="O19" s="237" t="inlineStr">
        <is>
          <t>—</t>
        </is>
      </c>
      <c r="P19" s="232" t="inlineStr">
        <is>
          <t>05.09.2025</t>
        </is>
      </c>
      <c r="Q19" s="232" t="inlineStr">
        <is>
          <t>11.08.2025 – 13.08.2025</t>
        </is>
      </c>
      <c r="R19" s="232" t="inlineStr">
        <is>
          <t>09.09.2025 – 15.09.2025 (the issuance plan's basis: 05.09.2025)</t>
        </is>
      </c>
      <c r="S19" s="234">
        <f>IFERROR(INDEX('CoQ Register'!$D:$D,MATCH("P050132|I",'CoQ Register'!$S:$S,0)),"")</f>
        <v/>
      </c>
      <c r="T19" s="232" t="inlineStr">
        <is>
          <t>Conforms</t>
        </is>
      </c>
      <c r="U19" s="232" t="inlineStr">
        <is>
          <t>Conforms</t>
        </is>
      </c>
      <c r="V19" s="232" t="inlineStr">
        <is>
          <t>Conforms</t>
        </is>
      </c>
      <c r="W19" s="232" t="inlineStr">
        <is>
          <t>ППК25257, (05.09.2025) [CNP]</t>
        </is>
      </c>
      <c r="X19" s="232" t="inlineStr">
        <is>
          <t>—</t>
        </is>
      </c>
      <c r="Y19" s="232" t="inlineStr">
        <is>
          <t>—</t>
        </is>
      </c>
      <c r="Z19" s="232" t="inlineStr">
        <is>
          <t>—</t>
        </is>
      </c>
      <c r="AA19" s="232" t="inlineStr">
        <is>
          <t>P050132|I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GP052501</t>
        </is>
      </c>
      <c r="J20" s="232" t="inlineStr">
        <is>
          <t>P050152</t>
        </is>
      </c>
      <c r="K20" s="232" t="inlineStr">
        <is>
          <t>Grape Pie</t>
        </is>
      </c>
      <c r="L20" s="232" t="inlineStr">
        <is>
          <t>Ident A + Ident B + Foreign matter</t>
        </is>
      </c>
      <c r="M20" s="237" t="inlineStr">
        <is>
          <t>—</t>
        </is>
      </c>
      <c r="N20" s="232">
        <f>IFERROR(INDEX('CoQ Register'!$B:$B,MATCH("P050152|I",'CoQ Register'!$S:$S,0)),"—")</f>
        <v/>
      </c>
      <c r="O20" s="232" t="inlineStr">
        <is>
          <t>iCoA-PP-2025-0014</t>
        </is>
      </c>
      <c r="P20" s="232" t="inlineStr">
        <is>
          <t>25.09.2025</t>
        </is>
      </c>
      <c r="Q20" s="232" t="inlineStr">
        <is>
          <t>— not given —</t>
        </is>
      </c>
      <c r="R20" s="232" t="inlineStr">
        <is>
          <t>25.09.2025</t>
        </is>
      </c>
      <c r="S20" s="234">
        <f>IFERROR(INDEX('CoQ Register'!$D:$D,MATCH("P050152|I",'CoQ Register'!$S:$S,0)),"")</f>
        <v/>
      </c>
      <c r="T20" s="232" t="inlineStr">
        <is>
          <t>Conforms</t>
        </is>
      </c>
      <c r="U20" s="232" t="inlineStr">
        <is>
          <t>Conforms</t>
        </is>
      </c>
      <c r="V20" s="232" t="inlineStr">
        <is>
          <t>Conforms</t>
        </is>
      </c>
      <c r="W20" s="232" t="inlineStr">
        <is>
          <t>ППК25279, (19.09.2025) [CNP]</t>
        </is>
      </c>
      <c r="X20" s="232" t="inlineStr">
        <is>
          <t>—</t>
        </is>
      </c>
      <c r="Y20" s="232" t="inlineStr">
        <is>
          <t>—</t>
        </is>
      </c>
      <c r="Z20" s="232" t="inlineStr">
        <is>
          <t>—</t>
        </is>
      </c>
      <c r="AA20" s="232" t="inlineStr">
        <is>
          <t>P050152|I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BSS1024_01/2</t>
        </is>
      </c>
      <c r="J21" s="232" t="inlineStr">
        <is>
          <t>P050142</t>
        </is>
      </c>
      <c r="K21" s="232" t="inlineStr">
        <is>
          <t>Blue Sunset Sherbet</t>
        </is>
      </c>
      <c r="L21" s="232" t="inlineStr">
        <is>
          <t>Ident A + Ident B + Foreign matter</t>
        </is>
      </c>
      <c r="M21" s="237" t="inlineStr">
        <is>
          <t>—</t>
        </is>
      </c>
      <c r="N21" s="232">
        <f>IFERROR(INDEX('CoQ Register'!$B:$B,MATCH("P050142|I",'CoQ Register'!$S:$S,0)),"—")</f>
        <v/>
      </c>
      <c r="O21" s="237" t="inlineStr">
        <is>
          <t>—</t>
        </is>
      </c>
      <c r="P21" s="232" t="inlineStr">
        <is>
          <t>30.09.2025</t>
        </is>
      </c>
      <c r="Q21" s="232" t="inlineStr">
        <is>
          <t>— not given —</t>
        </is>
      </c>
      <c r="R21" s="232" t="inlineStr">
        <is>
          <t>30.09.2025</t>
        </is>
      </c>
      <c r="S21" s="234">
        <f>IFERROR(INDEX('CoQ Register'!$D:$D,MATCH("P050142|I",'CoQ Register'!$S:$S,0)),"")</f>
        <v/>
      </c>
      <c r="T21" s="232" t="inlineStr">
        <is>
          <t>Conforms</t>
        </is>
      </c>
      <c r="U21" s="232" t="inlineStr">
        <is>
          <t>Conforms</t>
        </is>
      </c>
      <c r="V21" s="232" t="inlineStr">
        <is>
          <t>Conforms</t>
        </is>
      </c>
      <c r="W21" s="232" t="inlineStr">
        <is>
          <t>— no cannabinoid certificate from the initial testing —</t>
        </is>
      </c>
      <c r="X21" s="232" t="inlineStr">
        <is>
          <t>—</t>
        </is>
      </c>
      <c r="Y21" s="232" t="inlineStr">
        <is>
          <t>—</t>
        </is>
      </c>
      <c r="Z21" s="232" t="inlineStr">
        <is>
          <t>—</t>
        </is>
      </c>
      <c r="AA21" s="232" t="inlineStr">
        <is>
          <t>P050142|I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CJ052501/01</t>
        </is>
      </c>
      <c r="J22" s="232" t="inlineStr">
        <is>
          <t>P050162</t>
        </is>
      </c>
      <c r="K22" s="232" t="inlineStr">
        <is>
          <t>Cap Junky</t>
        </is>
      </c>
      <c r="L22" s="232" t="inlineStr">
        <is>
          <t>Ident A + Ident B + Foreign matter</t>
        </is>
      </c>
      <c r="M22" s="237" t="inlineStr">
        <is>
          <t>—</t>
        </is>
      </c>
      <c r="N22" s="232">
        <f>IFERROR(INDEX('CoQ Register'!$B:$B,MATCH("P050162|I",'CoQ Register'!$S:$S,0)),"—")</f>
        <v/>
      </c>
      <c r="O22" s="232" t="inlineStr">
        <is>
          <t>iCoA-PP-2025-0015</t>
        </is>
      </c>
      <c r="P22" s="232" t="inlineStr">
        <is>
          <t>30.09.2025</t>
        </is>
      </c>
      <c r="Q22" s="232" t="inlineStr">
        <is>
          <t>20.08.2025</t>
        </is>
      </c>
      <c r="R22" s="232" t="inlineStr">
        <is>
          <t>30.09.2025 – 01.10.2025</t>
        </is>
      </c>
      <c r="S22" s="234">
        <f>IFERROR(INDEX('CoQ Register'!$D:$D,MATCH("P050162|I",'CoQ Register'!$S:$S,0)),"")</f>
        <v/>
      </c>
      <c r="T22" s="232" t="inlineStr">
        <is>
          <t>Conforms</t>
        </is>
      </c>
      <c r="U22" s="232" t="inlineStr">
        <is>
          <t>Conforms</t>
        </is>
      </c>
      <c r="V22" s="232" t="inlineStr">
        <is>
          <t>Conforms</t>
        </is>
      </c>
      <c r="W22" s="232" t="inlineStr">
        <is>
          <t>ППК25280, (17.09.2025) [CNP]</t>
        </is>
      </c>
      <c r="X22" s="232" t="inlineStr">
        <is>
          <t>—</t>
        </is>
      </c>
      <c r="Y22" s="232" t="inlineStr">
        <is>
          <t>—</t>
        </is>
      </c>
      <c r="Z22" s="232" t="inlineStr">
        <is>
          <t>—</t>
        </is>
      </c>
      <c r="AA22" s="232" t="inlineStr">
        <is>
          <t>P050162|I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CJ052501/02</t>
        </is>
      </c>
      <c r="J23" s="232" t="inlineStr">
        <is>
          <t>P050172</t>
        </is>
      </c>
      <c r="K23" s="232" t="inlineStr">
        <is>
          <t>Cap Junky</t>
        </is>
      </c>
      <c r="L23" s="232" t="inlineStr">
        <is>
          <t>Ident A + Ident B + Foreign matter</t>
        </is>
      </c>
      <c r="M23" s="237" t="inlineStr">
        <is>
          <t>—</t>
        </is>
      </c>
      <c r="N23" s="232">
        <f>IFERROR(INDEX('CoQ Register'!$B:$B,MATCH("P050172|I",'CoQ Register'!$S:$S,0)),"—")</f>
        <v/>
      </c>
      <c r="O23" s="237" t="inlineStr">
        <is>
          <t>—</t>
        </is>
      </c>
      <c r="P23" s="232" t="inlineStr">
        <is>
          <t>17.09.2025</t>
        </is>
      </c>
      <c r="Q23" s="232" t="inlineStr">
        <is>
          <t>20.08.2025</t>
        </is>
      </c>
      <c r="R23" s="232" t="inlineStr">
        <is>
          <t>01.10.2025 – 02.10.2025 (the issuance plan's basis: 17.09.2025)</t>
        </is>
      </c>
      <c r="S23" s="234">
        <f>IFERROR(INDEX('CoQ Register'!$D:$D,MATCH("P050172|I",'CoQ Register'!$S:$S,0)),"")</f>
        <v/>
      </c>
      <c r="T23" s="232" t="inlineStr">
        <is>
          <t>Conforms</t>
        </is>
      </c>
      <c r="U23" s="232" t="inlineStr">
        <is>
          <t>Conforms</t>
        </is>
      </c>
      <c r="V23" s="232" t="inlineStr">
        <is>
          <t>Conforms</t>
        </is>
      </c>
      <c r="W23" s="232" t="inlineStr">
        <is>
          <t>ППК25281, (17.09.2025) [CNP]</t>
        </is>
      </c>
      <c r="X23" s="232" t="inlineStr">
        <is>
          <t>—</t>
        </is>
      </c>
      <c r="Y23" s="232" t="inlineStr">
        <is>
          <t>—</t>
        </is>
      </c>
      <c r="Z23" s="232" t="inlineStr">
        <is>
          <t>—</t>
        </is>
      </c>
      <c r="AA23" s="232" t="inlineStr">
        <is>
          <t>P050172|I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HPA052501</t>
        </is>
      </c>
      <c r="J24" s="232" t="inlineStr">
        <is>
          <t>P050182</t>
        </is>
      </c>
      <c r="K24" s="232" t="inlineStr">
        <is>
          <t>High Pro Amnesia</t>
        </is>
      </c>
      <c r="L24" s="232" t="inlineStr">
        <is>
          <t>Ident A + Ident B + Foreign matter</t>
        </is>
      </c>
      <c r="M24" s="237" t="inlineStr">
        <is>
          <t>—</t>
        </is>
      </c>
      <c r="N24" s="232">
        <f>IFERROR(INDEX('CoQ Register'!$B:$B,MATCH("P050182|I",'CoQ Register'!$S:$S,0)),"—")</f>
        <v/>
      </c>
      <c r="O24" s="232" t="inlineStr">
        <is>
          <t>iCoA-PP-2025-0016</t>
        </is>
      </c>
      <c r="P24" s="232" t="inlineStr">
        <is>
          <t>03.10.2025</t>
        </is>
      </c>
      <c r="Q24" s="232" t="inlineStr">
        <is>
          <t>21.08.2025 – 23.08.2025</t>
        </is>
      </c>
      <c r="R24" s="232" t="inlineStr">
        <is>
          <t>03.10.2025 – 09.10.2025</t>
        </is>
      </c>
      <c r="S24" s="234">
        <f>IFERROR(INDEX('CoQ Register'!$D:$D,MATCH("P050182|I",'CoQ Register'!$S:$S,0)),"")</f>
        <v/>
      </c>
      <c r="T24" s="232" t="inlineStr">
        <is>
          <t>Conforms</t>
        </is>
      </c>
      <c r="U24" s="232" t="inlineStr">
        <is>
          <t>Conforms</t>
        </is>
      </c>
      <c r="V24" s="232" t="inlineStr">
        <is>
          <t>Conforms</t>
        </is>
      </c>
      <c r="W24" s="232" t="inlineStr">
        <is>
          <t>ППК25278, (19.09.2025) [CNP]</t>
        </is>
      </c>
      <c r="X24" s="232" t="inlineStr">
        <is>
          <t>—</t>
        </is>
      </c>
      <c r="Y24" s="232" t="inlineStr">
        <is>
          <t>—</t>
        </is>
      </c>
      <c r="Z24" s="232" t="inlineStr">
        <is>
          <t>—</t>
        </is>
      </c>
      <c r="AA24" s="232" t="inlineStr">
        <is>
          <t>P050182|I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BSS052501</t>
        </is>
      </c>
      <c r="J25" s="232" t="inlineStr">
        <is>
          <t>P050192</t>
        </is>
      </c>
      <c r="K25" s="232" t="inlineStr">
        <is>
          <t>Blue Sunset Sherbet</t>
        </is>
      </c>
      <c r="L25" s="232" t="inlineStr">
        <is>
          <t>Ident A + Ident B + #4 + #5 + Foreign matter + #8</t>
        </is>
      </c>
      <c r="M25" s="237" t="inlineStr">
        <is>
          <t>—</t>
        </is>
      </c>
      <c r="N25" s="232">
        <f>IFERROR(INDEX('CoQ Register'!$B:$B,MATCH("P050192|I",'CoQ Register'!$S:$S,0)),"—")</f>
        <v/>
      </c>
      <c r="O25" s="232" t="inlineStr">
        <is>
          <t>iCoA-PP-2025-0017</t>
        </is>
      </c>
      <c r="P25" s="232" t="inlineStr">
        <is>
          <t>10.10.2025</t>
        </is>
      </c>
      <c r="Q25" s="232" t="inlineStr">
        <is>
          <t>01.09.2025 – 03.09.2025</t>
        </is>
      </c>
      <c r="R25" s="232" t="inlineStr">
        <is>
          <t>10.10.2025 – 21.10.2025</t>
        </is>
      </c>
      <c r="S25" s="234">
        <f>IFERROR(INDEX('CoQ Register'!$D:$D,MATCH("P050192|I",'CoQ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P050192|I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GP062501</t>
        </is>
      </c>
      <c r="J26" s="232" t="inlineStr">
        <is>
          <t>P050202</t>
        </is>
      </c>
      <c r="K26" s="232" t="inlineStr">
        <is>
          <t>Grape Pie</t>
        </is>
      </c>
      <c r="L26" s="232" t="inlineStr">
        <is>
          <t>Ident A + Ident B + #4 + #5 + Foreign matter + #8</t>
        </is>
      </c>
      <c r="M26" s="237" t="inlineStr">
        <is>
          <t>—</t>
        </is>
      </c>
      <c r="N26" s="232">
        <f>IFERROR(INDEX('CoQ Register'!$B:$B,MATCH("P050202|I",'CoQ Register'!$S:$S,0)),"—")</f>
        <v/>
      </c>
      <c r="O26" s="237" t="inlineStr">
        <is>
          <t>—</t>
        </is>
      </c>
      <c r="P26" s="232" t="inlineStr">
        <is>
          <t>11.05.2026</t>
        </is>
      </c>
      <c r="Q26" s="232" t="inlineStr">
        <is>
          <t>15.09.2025 – 17.09.2025</t>
        </is>
      </c>
      <c r="R26" s="232" t="inlineStr">
        <is>
          <t>30.10.2025 – 07.11.2025 (the issuance plan's basis: 11.05.2026)</t>
        </is>
      </c>
      <c r="S26" s="234">
        <f>IFERROR(INDEX('CoQ Register'!$D:$D,MATCH("P050202|I",'CoQ Register'!$S:$S,0)),"")</f>
        <v/>
      </c>
      <c r="T26" s="232" t="inlineStr">
        <is>
          <t>Conforms</t>
        </is>
      </c>
      <c r="U26" s="232" t="inlineStr">
        <is>
          <t>Conforms</t>
        </is>
      </c>
      <c r="V26" s="232" t="inlineStr">
        <is>
          <t>Conforms</t>
        </is>
      </c>
      <c r="W26" s="232" t="inlineStr">
        <is>
          <t>NGP-QCG-SOP-024 F3, (28.11.2025) [NGP]</t>
        </is>
      </c>
      <c r="X26" s="232" t="inlineStr">
        <is>
          <t>—</t>
        </is>
      </c>
      <c r="Y26" s="232" t="inlineStr">
        <is>
          <t>—</t>
        </is>
      </c>
      <c r="Z26" s="232" t="inlineStr">
        <is>
          <t>—</t>
        </is>
      </c>
      <c r="AA26" s="232" t="inlineStr">
        <is>
          <t>P050202|I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CJ062501/2</t>
        </is>
      </c>
      <c r="J27" s="232" t="inlineStr">
        <is>
          <t>P050212</t>
        </is>
      </c>
      <c r="K27" s="232" t="inlineStr">
        <is>
          <t>Cap Junky</t>
        </is>
      </c>
      <c r="L27" s="232" t="inlineStr">
        <is>
          <t>Ident A + Ident B + Foreign matter</t>
        </is>
      </c>
      <c r="M27" s="237" t="inlineStr">
        <is>
          <t>—</t>
        </is>
      </c>
      <c r="N27" s="232">
        <f>IFERROR(INDEX('CoQ Register'!$B:$B,MATCH("P050212|I",'CoQ Register'!$S:$S,0)),"—")</f>
        <v/>
      </c>
      <c r="O27" s="237" t="inlineStr">
        <is>
          <t>—</t>
        </is>
      </c>
      <c r="P27" s="232" t="inlineStr">
        <is>
          <t>24.01.2026</t>
        </is>
      </c>
      <c r="Q27" s="232" t="inlineStr">
        <is>
          <t>23.09.2025 – 24.09.2025</t>
        </is>
      </c>
      <c r="R27" s="232" t="inlineStr">
        <is>
          <t>18.11.2025 – 24.11.2025 (the issuance plan's basis: 24.01.2026)</t>
        </is>
      </c>
      <c r="S27" s="234">
        <f>IFERROR(INDEX('CoQ Register'!$D:$D,MATCH("P050212|I",'CoQ Register'!$S:$S,0)),"")</f>
        <v/>
      </c>
      <c r="T27" s="232" t="inlineStr">
        <is>
          <t>Conforms</t>
        </is>
      </c>
      <c r="U27" s="232" t="inlineStr">
        <is>
          <t>Conforms</t>
        </is>
      </c>
      <c r="V27" s="232" t="inlineStr">
        <is>
          <t>Conforms</t>
        </is>
      </c>
      <c r="W27" s="232" t="inlineStr">
        <is>
          <t>ППК25322, (23.10.2025) [CNP]</t>
        </is>
      </c>
      <c r="X27" s="232" t="inlineStr">
        <is>
          <t>—</t>
        </is>
      </c>
      <c r="Y27" s="232" t="inlineStr">
        <is>
          <t>—</t>
        </is>
      </c>
      <c r="Z27" s="232" t="inlineStr">
        <is>
          <t>—</t>
        </is>
      </c>
      <c r="AA27" s="232" t="inlineStr">
        <is>
          <t>P050212|I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CJ062501/1</t>
        </is>
      </c>
      <c r="J28" s="232" t="inlineStr">
        <is>
          <t>P050222</t>
        </is>
      </c>
      <c r="K28" s="232" t="inlineStr">
        <is>
          <t>Cap Junky</t>
        </is>
      </c>
      <c r="L28" s="232" t="inlineStr">
        <is>
          <t>Ident A + Ident B + Foreign matter</t>
        </is>
      </c>
      <c r="M28" s="237" t="inlineStr">
        <is>
          <t>—</t>
        </is>
      </c>
      <c r="N28" s="232">
        <f>IFERROR(INDEX('CoQ Register'!$B:$B,MATCH("P050222|I",'CoQ Register'!$S:$S,0)),"—")</f>
        <v/>
      </c>
      <c r="O28" s="232" t="inlineStr">
        <is>
          <t>iCoA-PP-2025-0018</t>
        </is>
      </c>
      <c r="P28" s="232" t="inlineStr">
        <is>
          <t>24.11.2025</t>
        </is>
      </c>
      <c r="Q28" s="232" t="inlineStr">
        <is>
          <t>23.09.2025</t>
        </is>
      </c>
      <c r="R28" s="232" t="inlineStr">
        <is>
          <t>24.11.2025 – 25.11.2025</t>
        </is>
      </c>
      <c r="S28" s="234">
        <f>IFERROR(INDEX('CoQ Register'!$D:$D,MATCH("P050222|I",'CoQ Register'!$S:$S,0)),"")</f>
        <v/>
      </c>
      <c r="T28" s="232" t="inlineStr">
        <is>
          <t>Conforms</t>
        </is>
      </c>
      <c r="U28" s="232" t="inlineStr">
        <is>
          <t>Conforms</t>
        </is>
      </c>
      <c r="V28" s="232" t="inlineStr">
        <is>
          <t>Conforms</t>
        </is>
      </c>
      <c r="W28" s="232" t="inlineStr">
        <is>
          <t>ППК25321, (23.10.2025) [CNP]</t>
        </is>
      </c>
      <c r="X28" s="232" t="inlineStr">
        <is>
          <t>—</t>
        </is>
      </c>
      <c r="Y28" s="232" t="inlineStr">
        <is>
          <t>—</t>
        </is>
      </c>
      <c r="Z28" s="232" t="inlineStr">
        <is>
          <t>—</t>
        </is>
      </c>
      <c r="AA28" s="232" t="inlineStr">
        <is>
          <t>P050222|I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CJ072501</t>
        </is>
      </c>
      <c r="J29" s="232" t="inlineStr">
        <is>
          <t>P050252</t>
        </is>
      </c>
      <c r="K29" s="232" t="inlineStr">
        <is>
          <t>Cap Junky</t>
        </is>
      </c>
      <c r="L29" s="232" t="inlineStr">
        <is>
          <t>Ident A + Ident B + Foreign matter</t>
        </is>
      </c>
      <c r="M29" s="237" t="inlineStr">
        <is>
          <t>—</t>
        </is>
      </c>
      <c r="N29" s="232">
        <f>IFERROR(INDEX('CoQ Register'!$B:$B,MATCH("P050252|I",'CoQ Register'!$S:$S,0)),"—")</f>
        <v/>
      </c>
      <c r="O29" s="237" t="inlineStr">
        <is>
          <t>—</t>
        </is>
      </c>
      <c r="P29" s="232" t="inlineStr">
        <is>
          <t>02.12.2025</t>
        </is>
      </c>
      <c r="Q29" s="232" t="inlineStr">
        <is>
          <t>27.10.2025</t>
        </is>
      </c>
      <c r="R29" s="232" t="inlineStr">
        <is>
          <t>27.11.2025 – 28.11.2025 (the issuance plan's basis: 02.12.2025)</t>
        </is>
      </c>
      <c r="S29" s="234">
        <f>IFERROR(INDEX('CoQ Register'!$D:$D,MATCH("P050252|I",'CoQ Register'!$S:$S,0)),"")</f>
        <v/>
      </c>
      <c r="T29" s="232" t="inlineStr">
        <is>
          <t>Conforms</t>
        </is>
      </c>
      <c r="U29" s="232" t="inlineStr">
        <is>
          <t>Conforms</t>
        </is>
      </c>
      <c r="V29" s="232" t="inlineStr">
        <is>
          <t>Conforms</t>
        </is>
      </c>
      <c r="W29" s="232" t="inlineStr">
        <is>
          <t>ППК25367, (28.11.2025) [CNP]</t>
        </is>
      </c>
      <c r="X29" s="232" t="inlineStr">
        <is>
          <t>—</t>
        </is>
      </c>
      <c r="Y29" s="232" t="inlineStr">
        <is>
          <t>—</t>
        </is>
      </c>
      <c r="Z29" s="232" t="inlineStr">
        <is>
          <t>—</t>
        </is>
      </c>
      <c r="AA29" s="232" t="inlineStr">
        <is>
          <t>P050252|I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WC072501</t>
        </is>
      </c>
      <c r="J30" s="232" t="inlineStr">
        <is>
          <t>P050262</t>
        </is>
      </c>
      <c r="K30" s="232" t="inlineStr">
        <is>
          <t>Wedding Crasher</t>
        </is>
      </c>
      <c r="L30" s="232" t="inlineStr">
        <is>
          <t>Ident A + Ident B + Foreign matter</t>
        </is>
      </c>
      <c r="M30" s="237" t="inlineStr">
        <is>
          <t>—</t>
        </is>
      </c>
      <c r="N30" s="232">
        <f>IFERROR(INDEX('CoQ Register'!$B:$B,MATCH("P050262|I",'CoQ Register'!$S:$S,0)),"—")</f>
        <v/>
      </c>
      <c r="O30" s="237" t="inlineStr">
        <is>
          <t>—</t>
        </is>
      </c>
      <c r="P30" s="232" t="inlineStr">
        <is>
          <t>02.12.2025</t>
        </is>
      </c>
      <c r="Q30" s="232" t="inlineStr">
        <is>
          <t>27.10.2025 – 28.10.2025</t>
        </is>
      </c>
      <c r="R30" s="232" t="inlineStr">
        <is>
          <t>01.12.2025 (the issuance plan's basis: 02.12.2025)</t>
        </is>
      </c>
      <c r="S30" s="234">
        <f>IFERROR(INDEX('CoQ Register'!$D:$D,MATCH("P050262|I",'CoQ Register'!$S:$S,0)),"")</f>
        <v/>
      </c>
      <c r="T30" s="232" t="inlineStr">
        <is>
          <t>Conforms</t>
        </is>
      </c>
      <c r="U30" s="232" t="inlineStr">
        <is>
          <t>Conforms</t>
        </is>
      </c>
      <c r="V30" s="232" t="inlineStr">
        <is>
          <t>Conforms</t>
        </is>
      </c>
      <c r="W30" s="232" t="inlineStr">
        <is>
          <t>ППК25369, (28.11.2025) [CNP]</t>
        </is>
      </c>
      <c r="X30" s="232" t="inlineStr">
        <is>
          <t>—</t>
        </is>
      </c>
      <c r="Y30" s="232" t="inlineStr">
        <is>
          <t>—</t>
        </is>
      </c>
      <c r="Z30" s="232" t="inlineStr">
        <is>
          <t>—</t>
        </is>
      </c>
      <c r="AA30" s="232" t="inlineStr">
        <is>
          <t>P050262|I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PM072501</t>
        </is>
      </c>
      <c r="J31" s="232" t="inlineStr">
        <is>
          <t>P050272</t>
        </is>
      </c>
      <c r="K31" s="232" t="inlineStr">
        <is>
          <t>Permanent Market</t>
        </is>
      </c>
      <c r="L31" s="232" t="inlineStr">
        <is>
          <t>Ident A + Ident B + Foreign matter</t>
        </is>
      </c>
      <c r="M31" s="237" t="inlineStr">
        <is>
          <t>—</t>
        </is>
      </c>
      <c r="N31" s="232">
        <f>IFERROR(INDEX('CoQ Register'!$B:$B,MATCH("P050272|I",'CoQ Register'!$S:$S,0)),"—")</f>
        <v/>
      </c>
      <c r="O31" s="237" t="inlineStr">
        <is>
          <t>—</t>
        </is>
      </c>
      <c r="P31" s="232" t="inlineStr">
        <is>
          <t>21.01.2026</t>
        </is>
      </c>
      <c r="Q31" s="232" t="inlineStr">
        <is>
          <t>27.10.2025</t>
        </is>
      </c>
      <c r="R31" s="232" t="inlineStr">
        <is>
          <t>02.12.2025 – 03.12.2025 (the issuance plan's basis: 21.01.2026)</t>
        </is>
      </c>
      <c r="S31" s="234">
        <f>IFERROR(INDEX('CoQ Register'!$D:$D,MATCH("P050272|I",'CoQ Register'!$S:$S,0)),"")</f>
        <v/>
      </c>
      <c r="T31" s="232" t="inlineStr">
        <is>
          <t>Conforms</t>
        </is>
      </c>
      <c r="U31" s="232" t="inlineStr">
        <is>
          <t>Conforms</t>
        </is>
      </c>
      <c r="V31" s="232" t="inlineStr">
        <is>
          <t>Conforms</t>
        </is>
      </c>
      <c r="W31" s="232" t="inlineStr">
        <is>
          <t>ППК25368, (28.11.2025) [CNP]</t>
        </is>
      </c>
      <c r="X31" s="232" t="inlineStr">
        <is>
          <t>—</t>
        </is>
      </c>
      <c r="Y31" s="232" t="inlineStr">
        <is>
          <t>—</t>
        </is>
      </c>
      <c r="Z31" s="232" t="inlineStr">
        <is>
          <t>—</t>
        </is>
      </c>
      <c r="AA31" s="232" t="inlineStr">
        <is>
          <t>P050272|I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CLE072501</t>
        </is>
      </c>
      <c r="J32" s="232" t="inlineStr">
        <is>
          <t>P050282</t>
        </is>
      </c>
      <c r="K32" s="232" t="inlineStr">
        <is>
          <t>Clemosa a bud</t>
        </is>
      </c>
      <c r="L32" s="232" t="inlineStr">
        <is>
          <t>Ident A + Ident B + Foreign matter</t>
        </is>
      </c>
      <c r="M32" s="237" t="inlineStr">
        <is>
          <t>—</t>
        </is>
      </c>
      <c r="N32" s="232">
        <f>IFERROR(INDEX('CoQ Register'!$B:$B,MATCH("P050282|I",'CoQ Register'!$S:$S,0)),"—")</f>
        <v/>
      </c>
      <c r="O32" s="232" t="inlineStr">
        <is>
          <t>iCoA-PP-2025-0019</t>
        </is>
      </c>
      <c r="P32" s="232" t="inlineStr">
        <is>
          <t>03.12.2025</t>
        </is>
      </c>
      <c r="Q32" s="232" t="inlineStr">
        <is>
          <t>28.10.2025</t>
        </is>
      </c>
      <c r="R32" s="232" t="inlineStr">
        <is>
          <t>03.12.2025 – 04.12.2025</t>
        </is>
      </c>
      <c r="S32" s="234">
        <f>IFERROR(INDEX('CoQ Register'!$D:$D,MATCH("P050282|I",'CoQ Register'!$S:$S,0)),"")</f>
        <v/>
      </c>
      <c r="T32" s="232" t="inlineStr">
        <is>
          <t>Conforms</t>
        </is>
      </c>
      <c r="U32" s="232" t="inlineStr">
        <is>
          <t>Conforms</t>
        </is>
      </c>
      <c r="V32" s="232" t="inlineStr">
        <is>
          <t>Conforms</t>
        </is>
      </c>
      <c r="W32" s="232" t="inlineStr">
        <is>
          <t>ППК25370, (28.11.2025) [CNP]</t>
        </is>
      </c>
      <c r="X32" s="232" t="inlineStr">
        <is>
          <t>—</t>
        </is>
      </c>
      <c r="Y32" s="232" t="inlineStr">
        <is>
          <t>—</t>
        </is>
      </c>
      <c r="Z32" s="232" t="inlineStr">
        <is>
          <t>—</t>
        </is>
      </c>
      <c r="AA32" s="232" t="inlineStr">
        <is>
          <t>P050282|I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GP072501/1</t>
        </is>
      </c>
      <c r="J33" s="232" t="inlineStr">
        <is>
          <t>P050292</t>
        </is>
      </c>
      <c r="K33" s="232" t="inlineStr">
        <is>
          <t>Grape Pie</t>
        </is>
      </c>
      <c r="L33" s="232" t="inlineStr">
        <is>
          <t>Ident A + Ident B + Foreign matter</t>
        </is>
      </c>
      <c r="M33" s="237" t="inlineStr">
        <is>
          <t>—</t>
        </is>
      </c>
      <c r="N33" s="232">
        <f>IFERROR(INDEX('CoQ Register'!$B:$B,MATCH("P050292|I",'CoQ Register'!$S:$S,0)),"—")</f>
        <v/>
      </c>
      <c r="O33" s="237" t="inlineStr">
        <is>
          <t>—</t>
        </is>
      </c>
      <c r="P33" s="232" t="inlineStr">
        <is>
          <t>21.01.2026</t>
        </is>
      </c>
      <c r="Q33" s="232" t="inlineStr">
        <is>
          <t>11.11.2025 – 13.11.2025</t>
        </is>
      </c>
      <c r="R33" s="232" t="inlineStr">
        <is>
          <t>15.12.2025 – 21.12.2025 (the issuance plan's basis: 21.01.2026)</t>
        </is>
      </c>
      <c r="S33" s="234">
        <f>IFERROR(INDEX('CoQ Register'!$D:$D,MATCH("P050292|I",'CoQ Register'!$S:$S,0)),"")</f>
        <v/>
      </c>
      <c r="T33" s="232" t="inlineStr">
        <is>
          <t>Conforms</t>
        </is>
      </c>
      <c r="U33" s="232" t="inlineStr">
        <is>
          <t>Conforms</t>
        </is>
      </c>
      <c r="V33" s="232" t="inlineStr">
        <is>
          <t>Conforms</t>
        </is>
      </c>
      <c r="W33" s="232" t="inlineStr">
        <is>
          <t>ППК25378, (12.12.2025) [CNP]</t>
        </is>
      </c>
      <c r="X33" s="232" t="inlineStr">
        <is>
          <t>—</t>
        </is>
      </c>
      <c r="Y33" s="232" t="inlineStr">
        <is>
          <t>—</t>
        </is>
      </c>
      <c r="Z33" s="232" t="inlineStr">
        <is>
          <t>—</t>
        </is>
      </c>
      <c r="AA33" s="232" t="inlineStr">
        <is>
          <t>P050292|I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GP072501/2</t>
        </is>
      </c>
      <c r="J34" s="232" t="inlineStr">
        <is>
          <t>P050302</t>
        </is>
      </c>
      <c r="K34" s="232" t="inlineStr">
        <is>
          <t>Grape Pie</t>
        </is>
      </c>
      <c r="L34" s="232" t="inlineStr">
        <is>
          <t>Ident A + Ident B + Foreign matter</t>
        </is>
      </c>
      <c r="M34" s="237" t="inlineStr">
        <is>
          <t>—</t>
        </is>
      </c>
      <c r="N34" s="232">
        <f>IFERROR(INDEX('CoQ Register'!$B:$B,MATCH("P050302|I",'CoQ Register'!$S:$S,0)),"—")</f>
        <v/>
      </c>
      <c r="O34" s="232" t="inlineStr">
        <is>
          <t>iCoA-PP-2025-0020</t>
        </is>
      </c>
      <c r="P34" s="232" t="inlineStr">
        <is>
          <t>22.12.2025</t>
        </is>
      </c>
      <c r="Q34" s="232" t="inlineStr">
        <is>
          <t>13.11.2025</t>
        </is>
      </c>
      <c r="R34" s="232" t="inlineStr">
        <is>
          <t>22.12.2025</t>
        </is>
      </c>
      <c r="S34" s="234">
        <f>IFERROR(INDEX('CoQ Register'!$D:$D,MATCH("P050302|I",'CoQ Register'!$S:$S,0)),"")</f>
        <v/>
      </c>
      <c r="T34" s="232" t="inlineStr">
        <is>
          <t>Conforms</t>
        </is>
      </c>
      <c r="U34" s="232" t="inlineStr">
        <is>
          <t>Conforms</t>
        </is>
      </c>
      <c r="V34" s="232" t="inlineStr">
        <is>
          <t>Conforms</t>
        </is>
      </c>
      <c r="W34" s="232" t="inlineStr">
        <is>
          <t>ППК25379, (12.12.2025) [CNP]</t>
        </is>
      </c>
      <c r="X34" s="232" t="inlineStr">
        <is>
          <t>—</t>
        </is>
      </c>
      <c r="Y34" s="232" t="inlineStr">
        <is>
          <t>—</t>
        </is>
      </c>
      <c r="Z34" s="232" t="inlineStr">
        <is>
          <t>—</t>
        </is>
      </c>
      <c r="AA34" s="232" t="inlineStr">
        <is>
          <t>P050302|I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GP082501/1</t>
        </is>
      </c>
      <c r="J35" s="232" t="inlineStr">
        <is>
          <t>P050312</t>
        </is>
      </c>
      <c r="K35" s="232" t="inlineStr">
        <is>
          <t>Grape Pie</t>
        </is>
      </c>
      <c r="L35" s="232" t="inlineStr">
        <is>
          <t>Ident A + Ident B + Foreign matter</t>
        </is>
      </c>
      <c r="M35" s="237" t="inlineStr">
        <is>
          <t>—</t>
        </is>
      </c>
      <c r="N35" s="232">
        <f>IFERROR(INDEX('CoQ Register'!$B:$B,MATCH("P050312|I",'CoQ Register'!$S:$S,0)),"—")</f>
        <v/>
      </c>
      <c r="O35" s="232" t="inlineStr">
        <is>
          <t>iCoA-PP-2025-0021</t>
        </is>
      </c>
      <c r="P35" s="232" t="inlineStr">
        <is>
          <t>23.12.2025</t>
        </is>
      </c>
      <c r="Q35" s="232" t="inlineStr">
        <is>
          <t>19.11.2025 – 20.11.2025</t>
        </is>
      </c>
      <c r="R35" s="232" t="inlineStr">
        <is>
          <t>23.12.2025 – 26.12.2025</t>
        </is>
      </c>
      <c r="S35" s="234">
        <f>IFERROR(INDEX('CoQ Register'!$D:$D,MATCH("P050312|I",'CoQ Register'!$S:$S,0)),"")</f>
        <v/>
      </c>
      <c r="T35" s="232" t="inlineStr">
        <is>
          <t>Conforms</t>
        </is>
      </c>
      <c r="U35" s="232" t="inlineStr">
        <is>
          <t>Conforms</t>
        </is>
      </c>
      <c r="V35" s="232" t="inlineStr">
        <is>
          <t>Conforms</t>
        </is>
      </c>
      <c r="W35" s="232" t="inlineStr">
        <is>
          <t>ППК25380, (12.12.2025) [CNP]</t>
        </is>
      </c>
      <c r="X35" s="232" t="inlineStr">
        <is>
          <t>—</t>
        </is>
      </c>
      <c r="Y35" s="232" t="inlineStr">
        <is>
          <t>—</t>
        </is>
      </c>
      <c r="Z35" s="232" t="inlineStr">
        <is>
          <t>—</t>
        </is>
      </c>
      <c r="AA35" s="232" t="inlineStr">
        <is>
          <t>P050312|I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GP082501/2</t>
        </is>
      </c>
      <c r="J36" s="232" t="inlineStr">
        <is>
          <t>P050322</t>
        </is>
      </c>
      <c r="K36" s="232" t="inlineStr">
        <is>
          <t>Grape Pie</t>
        </is>
      </c>
      <c r="L36" s="232" t="inlineStr">
        <is>
          <t>Ident A + Ident B + Foreign matter</t>
        </is>
      </c>
      <c r="M36" s="237" t="inlineStr">
        <is>
          <t>—</t>
        </is>
      </c>
      <c r="N36" s="232">
        <f>IFERROR(INDEX('CoQ Register'!$B:$B,MATCH("P050322|I",'CoQ Register'!$S:$S,0)),"—")</f>
        <v/>
      </c>
      <c r="O36" s="232" t="inlineStr">
        <is>
          <t>iCoA-PP-2025-0022</t>
        </is>
      </c>
      <c r="P36" s="232" t="inlineStr">
        <is>
          <t>26.12.2025</t>
        </is>
      </c>
      <c r="Q36" s="232" t="inlineStr">
        <is>
          <t>20.11.2025</t>
        </is>
      </c>
      <c r="R36" s="232" t="inlineStr">
        <is>
          <t>26.12.2025</t>
        </is>
      </c>
      <c r="S36" s="234">
        <f>IFERROR(INDEX('CoQ Register'!$D:$D,MATCH("P050322|I",'CoQ Register'!$S:$S,0)),"")</f>
        <v/>
      </c>
      <c r="T36" s="232" t="inlineStr">
        <is>
          <t>Conforms</t>
        </is>
      </c>
      <c r="U36" s="232" t="inlineStr">
        <is>
          <t>Conforms</t>
        </is>
      </c>
      <c r="V36" s="232" t="inlineStr">
        <is>
          <t>Conforms</t>
        </is>
      </c>
      <c r="W36" s="232" t="inlineStr">
        <is>
          <t>ППК25381, (12.12.2025) [CNP]</t>
        </is>
      </c>
      <c r="X36" s="232" t="inlineStr">
        <is>
          <t>—</t>
        </is>
      </c>
      <c r="Y36" s="232" t="inlineStr">
        <is>
          <t>—</t>
        </is>
      </c>
      <c r="Z36" s="232" t="inlineStr">
        <is>
          <t>—</t>
        </is>
      </c>
      <c r="AA36" s="232" t="inlineStr">
        <is>
          <t>P050322|I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WC082501</t>
        </is>
      </c>
      <c r="J37" s="232" t="inlineStr">
        <is>
          <t>P060012</t>
        </is>
      </c>
      <c r="K37" s="232" t="inlineStr">
        <is>
          <t>Wedding Crasher</t>
        </is>
      </c>
      <c r="L37" s="232" t="inlineStr">
        <is>
          <t>Ident A + Ident B + Foreign matter</t>
        </is>
      </c>
      <c r="M37" s="237" t="inlineStr">
        <is>
          <t>—</t>
        </is>
      </c>
      <c r="N37" s="232">
        <f>IFERROR(INDEX('CoQ Register'!$B:$B,MATCH("P060012|I",'CoQ Register'!$S:$S,0)),"—")</f>
        <v/>
      </c>
      <c r="O37" s="232" t="inlineStr">
        <is>
          <t>iCoA-PP-2026-0001</t>
        </is>
      </c>
      <c r="P37" s="232" t="inlineStr">
        <is>
          <t>13.01.2026</t>
        </is>
      </c>
      <c r="Q37" s="232" t="inlineStr">
        <is>
          <t>09.12.2025</t>
        </is>
      </c>
      <c r="R37" s="232" t="inlineStr">
        <is>
          <t>13.01.2026 – 14.01.2026</t>
        </is>
      </c>
      <c r="S37" s="234">
        <f>IFERROR(INDEX('CoQ Register'!$D:$D,MATCH("P060012|I",'CoQ Register'!$S:$S,0)),"")</f>
        <v/>
      </c>
      <c r="T37" s="232" t="inlineStr">
        <is>
          <t>Conforms</t>
        </is>
      </c>
      <c r="U37" s="232" t="inlineStr">
        <is>
          <t>Conforms</t>
        </is>
      </c>
      <c r="V37" s="232" t="inlineStr">
        <is>
          <t>Conforms</t>
        </is>
      </c>
      <c r="W37" s="232" t="inlineStr">
        <is>
          <t>ППК26001, (21.01.2026) [CNP]</t>
        </is>
      </c>
      <c r="X37" s="232" t="inlineStr">
        <is>
          <t>—</t>
        </is>
      </c>
      <c r="Y37" s="232" t="inlineStr">
        <is>
          <t>—</t>
        </is>
      </c>
      <c r="Z37" s="232" t="inlineStr">
        <is>
          <t>—</t>
        </is>
      </c>
      <c r="AA37" s="232" t="inlineStr">
        <is>
          <t>P060012|I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CJ082501/1</t>
        </is>
      </c>
      <c r="J38" s="232" t="inlineStr">
        <is>
          <t>P060022</t>
        </is>
      </c>
      <c r="K38" s="232" t="inlineStr">
        <is>
          <t>Cap Junky</t>
        </is>
      </c>
      <c r="L38" s="232" t="inlineStr">
        <is>
          <t>Ident A + Ident B + Foreign matter</t>
        </is>
      </c>
      <c r="M38" s="237" t="inlineStr">
        <is>
          <t>—</t>
        </is>
      </c>
      <c r="N38" s="232">
        <f>IFERROR(INDEX('CoQ Register'!$B:$B,MATCH("P060022|I",'CoQ Register'!$S:$S,0)),"—")</f>
        <v/>
      </c>
      <c r="O38" s="232" t="inlineStr">
        <is>
          <t>iCoA-PP-2026-0002</t>
        </is>
      </c>
      <c r="P38" s="232" t="inlineStr">
        <is>
          <t>16.01.2026</t>
        </is>
      </c>
      <c r="Q38" s="232" t="inlineStr">
        <is>
          <t>09.12.2025 – 10.12.2025</t>
        </is>
      </c>
      <c r="R38" s="232" t="inlineStr">
        <is>
          <t>16.01.2026</t>
        </is>
      </c>
      <c r="S38" s="234">
        <f>IFERROR(INDEX('CoQ Register'!$D:$D,MATCH("P060022|I",'CoQ Register'!$S:$S,0)),"")</f>
        <v/>
      </c>
      <c r="T38" s="232" t="inlineStr">
        <is>
          <t>Conforms</t>
        </is>
      </c>
      <c r="U38" s="232" t="inlineStr">
        <is>
          <t>Conforms</t>
        </is>
      </c>
      <c r="V38" s="232" t="inlineStr">
        <is>
          <t>Conforms</t>
        </is>
      </c>
      <c r="W38" s="232" t="inlineStr">
        <is>
          <t>ППК26002, (21.01.2026) [CNP]</t>
        </is>
      </c>
      <c r="X38" s="232" t="inlineStr">
        <is>
          <t>—</t>
        </is>
      </c>
      <c r="Y38" s="232" t="inlineStr">
        <is>
          <t>—</t>
        </is>
      </c>
      <c r="Z38" s="232" t="inlineStr">
        <is>
          <t>—</t>
        </is>
      </c>
      <c r="AA38" s="232" t="inlineStr">
        <is>
          <t>P060022|I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CJ082501/2</t>
        </is>
      </c>
      <c r="J39" s="232" t="inlineStr">
        <is>
          <t>P060032</t>
        </is>
      </c>
      <c r="K39" s="232" t="inlineStr">
        <is>
          <t>Cap Junky</t>
        </is>
      </c>
      <c r="L39" s="232" t="inlineStr">
        <is>
          <t>Ident A + Ident B + Foreign matter</t>
        </is>
      </c>
      <c r="M39" s="237" t="inlineStr">
        <is>
          <t>—</t>
        </is>
      </c>
      <c r="N39" s="232">
        <f>IFERROR(INDEX('CoQ Register'!$B:$B,MATCH("P060032|I",'CoQ Register'!$S:$S,0)),"—")</f>
        <v/>
      </c>
      <c r="O39" s="232" t="inlineStr">
        <is>
          <t>iCoA-PP-2026-0003</t>
        </is>
      </c>
      <c r="P39" s="232" t="inlineStr">
        <is>
          <t>29.01.2026</t>
        </is>
      </c>
      <c r="Q39" s="232" t="inlineStr">
        <is>
          <t>10.12.2025</t>
        </is>
      </c>
      <c r="R39" s="232" t="inlineStr">
        <is>
          <t>29.01.2026</t>
        </is>
      </c>
      <c r="S39" s="234">
        <f>IFERROR(INDEX('CoQ Register'!$D:$D,MATCH("P060032|I",'CoQ Register'!$S:$S,0)),"")</f>
        <v/>
      </c>
      <c r="T39" s="232" t="inlineStr">
        <is>
          <t>Conforms</t>
        </is>
      </c>
      <c r="U39" s="232" t="inlineStr">
        <is>
          <t>Conforms</t>
        </is>
      </c>
      <c r="V39" s="232" t="inlineStr">
        <is>
          <t>Conforms</t>
        </is>
      </c>
      <c r="W39" s="232" t="inlineStr">
        <is>
          <t>ППК26003, (21.01.2026) [CNP]</t>
        </is>
      </c>
      <c r="X39" s="232" t="inlineStr">
        <is>
          <t>—</t>
        </is>
      </c>
      <c r="Y39" s="232" t="inlineStr">
        <is>
          <t>—</t>
        </is>
      </c>
      <c r="Z39" s="232" t="inlineStr">
        <is>
          <t>—</t>
        </is>
      </c>
      <c r="AA39" s="232" t="inlineStr">
        <is>
          <t>P060032|I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OPM092501</t>
        </is>
      </c>
      <c r="J40" s="232" t="inlineStr">
        <is>
          <t>P060042</t>
        </is>
      </c>
      <c r="K40" s="232" t="inlineStr">
        <is>
          <t>Orange Punch Mimosa</t>
        </is>
      </c>
      <c r="L40" s="232" t="inlineStr">
        <is>
          <t>Ident A + Ident B + Foreign matter</t>
        </is>
      </c>
      <c r="M40" s="237" t="inlineStr">
        <is>
          <t>—</t>
        </is>
      </c>
      <c r="N40" s="232">
        <f>IFERROR(INDEX('CoQ Register'!$B:$B,MATCH("P060042|I",'CoQ Register'!$S:$S,0)),"—")</f>
        <v/>
      </c>
      <c r="O40" s="232" t="inlineStr">
        <is>
          <t>iCoA-PP-2026-0004</t>
        </is>
      </c>
      <c r="P40" s="232" t="inlineStr">
        <is>
          <t>29.01.2026</t>
        </is>
      </c>
      <c r="Q40" s="232" t="inlineStr">
        <is>
          <t>12.12.2025</t>
        </is>
      </c>
      <c r="R40" s="232" t="inlineStr">
        <is>
          <t>29.01.2026</t>
        </is>
      </c>
      <c r="S40" s="234">
        <f>IFERROR(INDEX('CoQ Register'!$D:$D,MATCH("P060042|I",'CoQ Register'!$S:$S,0)),"")</f>
        <v/>
      </c>
      <c r="T40" s="232" t="inlineStr">
        <is>
          <t>Conforms</t>
        </is>
      </c>
      <c r="U40" s="232" t="inlineStr">
        <is>
          <t>Conforms</t>
        </is>
      </c>
      <c r="V40" s="232" t="inlineStr">
        <is>
          <t>Conforms</t>
        </is>
      </c>
      <c r="W40" s="232" t="inlineStr">
        <is>
          <t>ППК26008, (21.01.2026) [CNP]</t>
        </is>
      </c>
      <c r="X40" s="232" t="inlineStr">
        <is>
          <t>—</t>
        </is>
      </c>
      <c r="Y40" s="232" t="inlineStr">
        <is>
          <t>—</t>
        </is>
      </c>
      <c r="Z40" s="232" t="inlineStr">
        <is>
          <t>—</t>
        </is>
      </c>
      <c r="AA40" s="232" t="inlineStr">
        <is>
          <t>P060042|I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AB092501</t>
        </is>
      </c>
      <c r="J41" s="232" t="inlineStr">
        <is>
          <t>P060052</t>
        </is>
      </c>
      <c r="K41" s="232" t="inlineStr">
        <is>
          <t>Apple and Banana</t>
        </is>
      </c>
      <c r="L41" s="232" t="inlineStr">
        <is>
          <t>Ident A + Ident B + Foreign matter</t>
        </is>
      </c>
      <c r="M41" s="237" t="inlineStr">
        <is>
          <t>—</t>
        </is>
      </c>
      <c r="N41" s="232">
        <f>IFERROR(INDEX('CoQ Register'!$B:$B,MATCH("P060052|I",'CoQ Register'!$S:$S,0)),"—")</f>
        <v/>
      </c>
      <c r="O41" s="237" t="inlineStr">
        <is>
          <t>—</t>
        </is>
      </c>
      <c r="P41" s="232" t="inlineStr">
        <is>
          <t>20.02.2026</t>
        </is>
      </c>
      <c r="Q41" s="232" t="inlineStr">
        <is>
          <t>11.12.2025</t>
        </is>
      </c>
      <c r="R41" s="232" t="inlineStr">
        <is>
          <t>30.01.2026 (the issuance plan's basis: 20.02.2026)</t>
        </is>
      </c>
      <c r="S41" s="234">
        <f>IFERROR(INDEX('CoQ Register'!$D:$D,MATCH("P060052|I",'CoQ Register'!$S:$S,0)),"")</f>
        <v/>
      </c>
      <c r="T41" s="232" t="inlineStr">
        <is>
          <t>Conforms</t>
        </is>
      </c>
      <c r="U41" s="232" t="inlineStr">
        <is>
          <t>Conforms</t>
        </is>
      </c>
      <c r="V41" s="232" t="inlineStr">
        <is>
          <t>Conforms</t>
        </is>
      </c>
      <c r="W41" s="232" t="inlineStr">
        <is>
          <t>ППК26005, (21.01.2026) [CNP]</t>
        </is>
      </c>
      <c r="X41" s="232" t="inlineStr">
        <is>
          <t>—</t>
        </is>
      </c>
      <c r="Y41" s="232" t="inlineStr">
        <is>
          <t>—</t>
        </is>
      </c>
      <c r="Z41" s="232" t="inlineStr">
        <is>
          <t>—</t>
        </is>
      </c>
      <c r="AA41" s="232" t="inlineStr">
        <is>
          <t>P060052|I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PM092501</t>
        </is>
      </c>
      <c r="J42" s="232" t="inlineStr">
        <is>
          <t>P060062</t>
        </is>
      </c>
      <c r="K42" s="232" t="inlineStr">
        <is>
          <t>Permanent Market</t>
        </is>
      </c>
      <c r="L42" s="232" t="inlineStr">
        <is>
          <t>Ident A + Ident B + Foreign matter</t>
        </is>
      </c>
      <c r="M42" s="237" t="inlineStr">
        <is>
          <t>—</t>
        </is>
      </c>
      <c r="N42" s="232">
        <f>IFERROR(INDEX('CoQ Register'!$B:$B,MATCH("P060062|I",'CoQ Register'!$S:$S,0)),"—")</f>
        <v/>
      </c>
      <c r="O42" s="232" t="inlineStr">
        <is>
          <t>iCoA-PP-2026-0005</t>
        </is>
      </c>
      <c r="P42" s="232" t="inlineStr">
        <is>
          <t>30.01.2026</t>
        </is>
      </c>
      <c r="Q42" s="232" t="inlineStr">
        <is>
          <t>11.12.2025</t>
        </is>
      </c>
      <c r="R42" s="232" t="inlineStr">
        <is>
          <t>30.01.2026</t>
        </is>
      </c>
      <c r="S42" s="234">
        <f>IFERROR(INDEX('CoQ Register'!$D:$D,MATCH("P060062|I",'CoQ Register'!$S:$S,0)),"")</f>
        <v/>
      </c>
      <c r="T42" s="232" t="inlineStr">
        <is>
          <t>Conforms</t>
        </is>
      </c>
      <c r="U42" s="232" t="inlineStr">
        <is>
          <t>Conforms</t>
        </is>
      </c>
      <c r="V42" s="232" t="inlineStr">
        <is>
          <t>Conforms</t>
        </is>
      </c>
      <c r="W42" s="232" t="inlineStr">
        <is>
          <t>ППК26004, (21.01.2026) [CNP]</t>
        </is>
      </c>
      <c r="X42" s="232" t="inlineStr">
        <is>
          <t>—</t>
        </is>
      </c>
      <c r="Y42" s="232" t="inlineStr">
        <is>
          <t>—</t>
        </is>
      </c>
      <c r="Z42" s="232" t="inlineStr">
        <is>
          <t>—</t>
        </is>
      </c>
      <c r="AA42" s="232" t="inlineStr">
        <is>
          <t>P060062|I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CJ092501</t>
        </is>
      </c>
      <c r="J43" s="232" t="inlineStr">
        <is>
          <t>P060072</t>
        </is>
      </c>
      <c r="K43" s="232" t="inlineStr">
        <is>
          <t>Cap Junky</t>
        </is>
      </c>
      <c r="L43" s="232" t="inlineStr">
        <is>
          <t>Ident A + Ident B + Foreign matter</t>
        </is>
      </c>
      <c r="M43" s="237" t="inlineStr">
        <is>
          <t>—</t>
        </is>
      </c>
      <c r="N43" s="232">
        <f>IFERROR(INDEX('CoQ Register'!$B:$B,MATCH("P060072|I",'CoQ Register'!$S:$S,0)),"—")</f>
        <v/>
      </c>
      <c r="O43" s="232" t="inlineStr">
        <is>
          <t>iCoA-PP-2026-0006</t>
        </is>
      </c>
      <c r="P43" s="232" t="inlineStr">
        <is>
          <t>02.02.2026</t>
        </is>
      </c>
      <c r="Q43" s="232" t="inlineStr">
        <is>
          <t>12.12.2025</t>
        </is>
      </c>
      <c r="R43" s="232" t="inlineStr">
        <is>
          <t>02.02.2026</t>
        </is>
      </c>
      <c r="S43" s="234">
        <f>IFERROR(INDEX('CoQ Register'!$D:$D,MATCH("P060072|I",'CoQ Register'!$S:$S,0)),"")</f>
        <v/>
      </c>
      <c r="T43" s="232" t="inlineStr">
        <is>
          <t>Conforms</t>
        </is>
      </c>
      <c r="U43" s="232" t="inlineStr">
        <is>
          <t>Conforms</t>
        </is>
      </c>
      <c r="V43" s="232" t="inlineStr">
        <is>
          <t>Conforms</t>
        </is>
      </c>
      <c r="W43" s="232" t="inlineStr">
        <is>
          <t>ППК26007, (21.01.2026) [CNP]</t>
        </is>
      </c>
      <c r="X43" s="232" t="inlineStr">
        <is>
          <t>—</t>
        </is>
      </c>
      <c r="Y43" s="232" t="inlineStr">
        <is>
          <t>—</t>
        </is>
      </c>
      <c r="Z43" s="232" t="inlineStr">
        <is>
          <t>—</t>
        </is>
      </c>
      <c r="AA43" s="232" t="inlineStr">
        <is>
          <t>P060072|I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SJ0925021</t>
        </is>
      </c>
      <c r="J44" s="232" t="inlineStr">
        <is>
          <t>P060082</t>
        </is>
      </c>
      <c r="K44" s="232" t="inlineStr">
        <is>
          <t>Sleepy Joy</t>
        </is>
      </c>
      <c r="L44" s="232" t="inlineStr">
        <is>
          <t>Ident A + Ident B + Foreign matter</t>
        </is>
      </c>
      <c r="M44" s="237" t="inlineStr">
        <is>
          <t>—</t>
        </is>
      </c>
      <c r="N44" s="232">
        <f>IFERROR(INDEX('CoQ Register'!$B:$B,MATCH("P060082|I",'CoQ Register'!$S:$S,0)),"—")</f>
        <v/>
      </c>
      <c r="O44" s="232" t="inlineStr">
        <is>
          <t>iCoA-PP-2026-0007</t>
        </is>
      </c>
      <c r="P44" s="232" t="inlineStr">
        <is>
          <t>02.02.2026</t>
        </is>
      </c>
      <c r="Q44" s="232" t="inlineStr">
        <is>
          <t>11.12.2025 – 12.12.2025</t>
        </is>
      </c>
      <c r="R44" s="232" t="inlineStr">
        <is>
          <t>02.02.2026</t>
        </is>
      </c>
      <c r="S44" s="234">
        <f>IFERROR(INDEX('CoQ Register'!$D:$D,MATCH("P060082|I",'CoQ Register'!$S:$S,0)),"")</f>
        <v/>
      </c>
      <c r="T44" s="232" t="inlineStr">
        <is>
          <t>Conforms</t>
        </is>
      </c>
      <c r="U44" s="232" t="inlineStr">
        <is>
          <t>Conforms</t>
        </is>
      </c>
      <c r="V44" s="232" t="inlineStr">
        <is>
          <t>Conforms</t>
        </is>
      </c>
      <c r="W44" s="232" t="inlineStr">
        <is>
          <t>ППК26006, (21.01.2026) [CNP]</t>
        </is>
      </c>
      <c r="X44" s="232" t="inlineStr">
        <is>
          <t>—</t>
        </is>
      </c>
      <c r="Y44" s="232" t="inlineStr">
        <is>
          <t>—</t>
        </is>
      </c>
      <c r="Z44" s="232" t="inlineStr">
        <is>
          <t>—</t>
        </is>
      </c>
      <c r="AA44" s="232" t="inlineStr">
        <is>
          <t>P060082|I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GP092501</t>
        </is>
      </c>
      <c r="J45" s="232" t="inlineStr">
        <is>
          <t>P060092</t>
        </is>
      </c>
      <c r="K45" s="232" t="inlineStr">
        <is>
          <t>Grape Pie</t>
        </is>
      </c>
      <c r="L45" s="232" t="inlineStr">
        <is>
          <t>Ident A + Ident B + Foreign matter</t>
        </is>
      </c>
      <c r="M45" s="237" t="inlineStr">
        <is>
          <t>—</t>
        </is>
      </c>
      <c r="N45" s="232">
        <f>IFERROR(INDEX('CoQ Register'!$B:$B,MATCH("P060092|I",'CoQ Register'!$S:$S,0)),"—")</f>
        <v/>
      </c>
      <c r="O45" s="232" t="inlineStr">
        <is>
          <t>iCoA-PP-2026-0008</t>
        </is>
      </c>
      <c r="P45" s="232" t="inlineStr">
        <is>
          <t>03.02.2026</t>
        </is>
      </c>
      <c r="Q45" s="232" t="inlineStr">
        <is>
          <t>16.12.2025 – 17.12.2025</t>
        </is>
      </c>
      <c r="R45" s="232" t="inlineStr">
        <is>
          <t>03.02.2026 – 09.02.2026</t>
        </is>
      </c>
      <c r="S45" s="234">
        <f>IFERROR(INDEX('CoQ Register'!$D:$D,MATCH("P060092|I",'CoQ Register'!$S:$S,0)),"")</f>
        <v/>
      </c>
      <c r="T45" s="232" t="inlineStr">
        <is>
          <t>Conforms</t>
        </is>
      </c>
      <c r="U45" s="232" t="inlineStr">
        <is>
          <t>Conforms</t>
        </is>
      </c>
      <c r="V45" s="232" t="inlineStr">
        <is>
          <t>Conforms</t>
        </is>
      </c>
      <c r="W45" s="232" t="inlineStr">
        <is>
          <t>ППК26009, (21.01.2026) [CNP]</t>
        </is>
      </c>
      <c r="X45" s="232" t="inlineStr">
        <is>
          <t>—</t>
        </is>
      </c>
      <c r="Y45" s="232" t="inlineStr">
        <is>
          <t>—</t>
        </is>
      </c>
      <c r="Z45" s="232" t="inlineStr">
        <is>
          <t>—</t>
        </is>
      </c>
      <c r="AA45" s="232" t="inlineStr">
        <is>
          <t>P060092|I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WED102501</t>
        </is>
      </c>
      <c r="J46" s="232" t="inlineStr">
        <is>
          <t>P060102</t>
        </is>
      </c>
      <c r="K46" s="232" t="inlineStr">
        <is>
          <t>Wedding Cake</t>
        </is>
      </c>
      <c r="L46" s="232" t="inlineStr">
        <is>
          <t>Ident A + Ident B + Foreign matter</t>
        </is>
      </c>
      <c r="M46" s="237" t="inlineStr">
        <is>
          <t>—</t>
        </is>
      </c>
      <c r="N46" s="232">
        <f>IFERROR(INDEX('CoQ Register'!$B:$B,MATCH("P060102|I",'CoQ Register'!$S:$S,0)),"—")</f>
        <v/>
      </c>
      <c r="O46" s="237" t="inlineStr">
        <is>
          <t>—</t>
        </is>
      </c>
      <c r="P46" s="232" t="inlineStr">
        <is>
          <t>16.02.2026</t>
        </is>
      </c>
      <c r="Q46" s="232" t="inlineStr">
        <is>
          <t>08.01.2026</t>
        </is>
      </c>
      <c r="R46" s="232" t="inlineStr">
        <is>
          <t>16.02.2026</t>
        </is>
      </c>
      <c r="S46" s="234">
        <f>IFERROR(INDEX('CoQ Register'!$D:$D,MATCH("P060102|I",'CoQ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P060102|I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PUM102501</t>
        </is>
      </c>
      <c r="J47" s="232" t="inlineStr">
        <is>
          <t>P060112</t>
        </is>
      </c>
      <c r="K47" s="232" t="inlineStr">
        <is>
          <t>Pure Michigen</t>
        </is>
      </c>
      <c r="L47" s="232" t="inlineStr">
        <is>
          <t>Ident A + Ident B + Foreign matter</t>
        </is>
      </c>
      <c r="M47" s="237" t="inlineStr">
        <is>
          <t>—</t>
        </is>
      </c>
      <c r="N47" s="232">
        <f>IFERROR(INDEX('CoQ Register'!$B:$B,MATCH("P060112|I",'CoQ Register'!$S:$S,0)),"—")</f>
        <v/>
      </c>
      <c r="O47" s="232" t="inlineStr">
        <is>
          <t>iCoA-PP-2026-0009</t>
        </is>
      </c>
      <c r="P47" s="232" t="inlineStr">
        <is>
          <t>17.02.2026</t>
        </is>
      </c>
      <c r="Q47" s="232" t="inlineStr">
        <is>
          <t>08.01.2026 – 09.01.2026</t>
        </is>
      </c>
      <c r="R47" s="232" t="inlineStr">
        <is>
          <t>17.02.2026</t>
        </is>
      </c>
      <c r="S47" s="234">
        <f>IFERROR(INDEX('CoQ Register'!$D:$D,MATCH("P060112|I",'CoQ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P060112|I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ACC102501</t>
        </is>
      </c>
      <c r="J48" s="232" t="inlineStr">
        <is>
          <t>P060122</t>
        </is>
      </c>
      <c r="K48" s="232" t="inlineStr">
        <is>
          <t>Amnesia Core Cut</t>
        </is>
      </c>
      <c r="L48" s="232" t="inlineStr">
        <is>
          <t>Ident A + Ident B + Foreign matter</t>
        </is>
      </c>
      <c r="M48" s="237" t="inlineStr">
        <is>
          <t>—</t>
        </is>
      </c>
      <c r="N48" s="232">
        <f>IFERROR(INDEX('CoQ Register'!$B:$B,MATCH("P060122|I",'CoQ Register'!$S:$S,0)),"—")</f>
        <v/>
      </c>
      <c r="O48" s="232" t="inlineStr">
        <is>
          <t>iCoA-PP-2026-0010</t>
        </is>
      </c>
      <c r="P48" s="232" t="inlineStr">
        <is>
          <t>18.02.2026</t>
        </is>
      </c>
      <c r="Q48" s="232" t="inlineStr">
        <is>
          <t>09.01.2026</t>
        </is>
      </c>
      <c r="R48" s="232" t="inlineStr">
        <is>
          <t>18.02.2026 – 19.02.2026</t>
        </is>
      </c>
      <c r="S48" s="234">
        <f>IFERROR(INDEX('CoQ Register'!$D:$D,MATCH("P060122|I",'CoQ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P060122|I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CF102501</t>
        </is>
      </c>
      <c r="J49" s="232" t="inlineStr">
        <is>
          <t>P060132</t>
        </is>
      </c>
      <c r="K49" s="232" t="inlineStr">
        <is>
          <t>Chem Flyer</t>
        </is>
      </c>
      <c r="L49" s="232" t="inlineStr">
        <is>
          <t>Ident A + Ident B + Foreign matter</t>
        </is>
      </c>
      <c r="M49" s="237" t="inlineStr">
        <is>
          <t>—</t>
        </is>
      </c>
      <c r="N49" s="232">
        <f>IFERROR(INDEX('CoQ Register'!$B:$B,MATCH("P060132|I",'CoQ Register'!$S:$S,0)),"—")</f>
        <v/>
      </c>
      <c r="O49" s="232" t="inlineStr">
        <is>
          <t>iCoA-PP-2026-0011</t>
        </is>
      </c>
      <c r="P49" s="232" t="inlineStr">
        <is>
          <t>19.02.2026</t>
        </is>
      </c>
      <c r="Q49" s="232" t="inlineStr">
        <is>
          <t>09.01.2026</t>
        </is>
      </c>
      <c r="R49" s="232" t="inlineStr">
        <is>
          <t>19.02.2026 – 20.02.2026</t>
        </is>
      </c>
      <c r="S49" s="234">
        <f>IFERROR(INDEX('CoQ Register'!$D:$D,MATCH("P060132|I",'CoQ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P060132|I</t>
        </is>
      </c>
      <c r="AB49" s="239" t="inlineStr">
        <is>
          <t>registered — initial release, issued 03.06.2026</t>
        </is>
      </c>
    </row>
    <row r="50">
      <c r="A50" s="232" t="n">
        <v>49</v>
      </c>
      <c r="B50" s="233" t="inlineStr">
        <is>
          <t>iCoA-PP_26-049</t>
        </is>
      </c>
      <c r="C50" s="238" t="inlineStr">
        <is>
          <t>yes</t>
        </is>
      </c>
      <c r="D50" s="234">
        <f>IF(A50="","",IF(ISNUMBER(E50),MAX(DATE(2026,6,3),E50),DATE(2026,6,3)))</f>
        <v/>
      </c>
      <c r="E50" s="234">
        <f>IFERROR(INDEX('Batch Dates'!$F:$F,MATCH(J50,'Batch Dates'!$C:$C,0)),IFERROR(INDEX('Batch Dates'!$F:$F,MATCH(I50,'Batch Dates'!$B:$B,0)),""))</f>
        <v/>
      </c>
      <c r="F50" s="234">
        <f>IFERROR(INDEX('Batch Dates'!$G:$G,MATCH(J50,'Batch Dates'!$C:$C,0)),IFERROR(INDEX('Batch Dates'!$G:$G,MATCH(I50,'Batch Dates'!$B:$B,0)),""))</f>
        <v/>
      </c>
      <c r="G50" s="232" t="inlineStr">
        <is>
          <t>legacy</t>
        </is>
      </c>
      <c r="H50" s="232" t="inlineStr">
        <is>
          <t>initial release</t>
        </is>
      </c>
      <c r="I50" s="233" t="inlineStr">
        <is>
          <t>GRC102501</t>
        </is>
      </c>
      <c r="J50" s="232" t="inlineStr">
        <is>
          <t>P060142</t>
        </is>
      </c>
      <c r="K50" s="232" t="inlineStr">
        <is>
          <t>Graps &amp; Creme</t>
        </is>
      </c>
      <c r="L50" s="232" t="inlineStr">
        <is>
          <t>Ident A + Ident B + Foreign matter</t>
        </is>
      </c>
      <c r="M50" s="237" t="inlineStr">
        <is>
          <t>—</t>
        </is>
      </c>
      <c r="N50" s="232">
        <f>IFERROR(INDEX('CoQ Register'!$B:$B,MATCH("P060142|I",'CoQ Register'!$S:$S,0)),"—")</f>
        <v/>
      </c>
      <c r="O50" s="237" t="inlineStr">
        <is>
          <t>—</t>
        </is>
      </c>
      <c r="P50" s="232" t="inlineStr">
        <is>
          <t>23.02.2026</t>
        </is>
      </c>
      <c r="Q50" s="232" t="inlineStr">
        <is>
          <t>09.01.2026</t>
        </is>
      </c>
      <c r="R50" s="232" t="inlineStr">
        <is>
          <t>23.02.2026</t>
        </is>
      </c>
      <c r="S50" s="234">
        <f>IFERROR(INDEX('CoQ Register'!$D:$D,MATCH("P060142|I",'CoQ Register'!$S:$S,0)),"")</f>
        <v/>
      </c>
      <c r="T50" s="232" t="inlineStr">
        <is>
          <t>Conforms</t>
        </is>
      </c>
      <c r="U50" s="232" t="inlineStr">
        <is>
          <t>Conforms</t>
        </is>
      </c>
      <c r="V50" s="232" t="inlineStr">
        <is>
          <t>Conforms</t>
        </is>
      </c>
      <c r="W50" s="232" t="inlineStr">
        <is>
          <t>— no cannabinoid certificate from the initial testing —</t>
        </is>
      </c>
      <c r="X50" s="232" t="inlineStr">
        <is>
          <t>—</t>
        </is>
      </c>
      <c r="Y50" s="232" t="inlineStr">
        <is>
          <t>—</t>
        </is>
      </c>
      <c r="Z50" s="232" t="inlineStr">
        <is>
          <t>—</t>
        </is>
      </c>
      <c r="AA50" s="232" t="inlineStr">
        <is>
          <t>P060142|I</t>
        </is>
      </c>
      <c r="AB50" s="239" t="inlineStr">
        <is>
          <t>registered — initial release,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1</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Register'!$B:$B,MATCH("P050022|R",'CoQ Register'!$S:$S,0)),"—")</f>
        <v/>
      </c>
      <c r="O51" s="237" t="inlineStr">
        <is>
          <t>—</t>
        </is>
      </c>
      <c r="P51" s="232" t="inlineStr">
        <is>
          <t>03.06.2026</t>
        </is>
      </c>
      <c r="Q51" s="232" t="inlineStr">
        <is>
          <t>22.04.2025 – 23.04.2025</t>
        </is>
      </c>
      <c r="R51" s="232" t="inlineStr">
        <is>
          <t>03.06.2025 – 11.06.2025</t>
        </is>
      </c>
      <c r="S51" s="234">
        <f>IFERROR(INDEX('CoQ Register'!$D:$D,MATCH("P050022|R",'CoQ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t>
        </is>
      </c>
      <c r="AB51" s="239" t="inlineStr">
        <is>
          <t>registered — retest 1,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GP0824_02</t>
        </is>
      </c>
      <c r="J52" s="232" t="inlineStr">
        <is>
          <t>P050022</t>
        </is>
      </c>
      <c r="K52" s="232" t="inlineStr">
        <is>
          <t>Grape Pie</t>
        </is>
      </c>
      <c r="L52" s="232" t="inlineStr">
        <is>
          <t>Ident A + Ident B + Foreign matter</t>
        </is>
      </c>
      <c r="M52" s="237" t="inlineStr">
        <is>
          <t>—</t>
        </is>
      </c>
      <c r="N52" s="232">
        <f>IFERROR(INDEX('CoQ Register'!$B:$B,MATCH("P050022|R2",'CoQ Register'!$S:$S,0)),"—")</f>
        <v/>
      </c>
      <c r="O52" s="237" t="inlineStr">
        <is>
          <t>—</t>
        </is>
      </c>
      <c r="P52" s="232" t="inlineStr">
        <is>
          <t>03.06.2026</t>
        </is>
      </c>
      <c r="Q52" s="232" t="inlineStr">
        <is>
          <t>22.04.2025 – 23.04.2025</t>
        </is>
      </c>
      <c r="R52" s="232" t="inlineStr">
        <is>
          <t>03.06.2025 – 11.06.2025</t>
        </is>
      </c>
      <c r="S52" s="234">
        <f>IFERROR(INDEX('CoQ Register'!$D:$D,MATCH("P050022|R2",'CoQ Register'!$S:$S,0)),"")</f>
        <v/>
      </c>
      <c r="T52" s="232" t="inlineStr">
        <is>
          <t>Conforms</t>
        </is>
      </c>
      <c r="U52" s="232" t="inlineStr">
        <is>
          <t>Conforms</t>
        </is>
      </c>
      <c r="V52" s="232" t="inlineStr">
        <is>
          <t>Conforms</t>
        </is>
      </c>
      <c r="W52" s="232" t="inlineStr">
        <is>
          <t>197-11-K-26, (07.08.2026) [FHM-K]</t>
        </is>
      </c>
      <c r="X52" s="232" t="inlineStr">
        <is>
          <t>197-11-K-26, (07.08.2026) [FHM-K]</t>
        </is>
      </c>
      <c r="Y52" s="232" t="inlineStr">
        <is>
          <t>197-11-M-26, (10.08.2026) [FHM-M]</t>
        </is>
      </c>
      <c r="Z52" s="232" t="inlineStr">
        <is>
          <t>#8, #9, #11, #12 from the initial testing</t>
        </is>
      </c>
      <c r="AA52" s="232" t="inlineStr">
        <is>
          <t>P050022|R2</t>
        </is>
      </c>
      <c r="AB52" s="239" t="inlineStr">
        <is>
          <t>registered — retest 2, issued 03.06.2026</t>
        </is>
      </c>
    </row>
    <row r="53">
      <c r="A53" s="232" t="n">
        <v>52</v>
      </c>
      <c r="B53" s="233" t="inlineStr">
        <is>
          <t>iCoA-PP_26-052</t>
        </is>
      </c>
      <c r="C53" s="238" t="inlineStr">
        <is>
          <t>yes</t>
        </is>
      </c>
      <c r="D53" s="234" t="n">
        <v>46176</v>
      </c>
      <c r="E53" s="234" t="n">
        <v>46086</v>
      </c>
      <c r="F53" s="234">
        <f>IFERROR(INDEX('Batch Dates'!$G:$G,MATCH(J53,'Batch Dates'!$C:$C,0)),IFERROR(INDEX('Batch Dates'!$G:$G,MATCH(I53,'Batch Dates'!$B:$B,0)),""))</f>
        <v/>
      </c>
      <c r="G53" s="232" t="inlineStr">
        <is>
          <t>legacy</t>
        </is>
      </c>
      <c r="H53" s="232" t="inlineStr">
        <is>
          <t>retest 2</t>
        </is>
      </c>
      <c r="I53" s="233" t="inlineStr">
        <is>
          <t>GP0824_03</t>
        </is>
      </c>
      <c r="J53" s="232" t="inlineStr">
        <is>
          <t>P050072</t>
        </is>
      </c>
      <c r="K53" s="232" t="inlineStr">
        <is>
          <t>Grape Pie</t>
        </is>
      </c>
      <c r="L53" s="232" t="inlineStr">
        <is>
          <t>Ident A + Ident B + Foreign matter</t>
        </is>
      </c>
      <c r="M53" s="237" t="inlineStr">
        <is>
          <t>—</t>
        </is>
      </c>
      <c r="N53" s="232">
        <f>IFERROR(INDEX('CoQ Register'!$B:$B,MATCH("P050072|R2",'CoQ Register'!$S:$S,0)),"—")</f>
        <v/>
      </c>
      <c r="O53" s="237" t="inlineStr">
        <is>
          <t>—</t>
        </is>
      </c>
      <c r="P53" s="232" t="inlineStr">
        <is>
          <t>14.07.2026</t>
        </is>
      </c>
      <c r="Q53" s="232" t="inlineStr">
        <is>
          <t>09.06.2025 – 10.06.2025</t>
        </is>
      </c>
      <c r="R53" s="232" t="inlineStr">
        <is>
          <t>14.07.2025 – 17.07.2025</t>
        </is>
      </c>
      <c r="S53" s="234">
        <f>IFERROR(INDEX('CoQ Register'!$D:$D,MATCH("P050072|R2",'CoQ Register'!$S:$S,0)),"")</f>
        <v/>
      </c>
      <c r="T53" s="232" t="inlineStr">
        <is>
          <t>Conforms</t>
        </is>
      </c>
      <c r="U53" s="232" t="inlineStr">
        <is>
          <t>Conforms</t>
        </is>
      </c>
      <c r="V53" s="232" t="inlineStr">
        <is>
          <t>Conforms</t>
        </is>
      </c>
      <c r="W53" s="232" t="inlineStr">
        <is>
          <t>220-11-K-26, (25.08.2026) [FHM-K]</t>
        </is>
      </c>
      <c r="X53" s="232" t="inlineStr">
        <is>
          <t>220-11-K-26, (25.08.2026) [FHM-K]</t>
        </is>
      </c>
      <c r="Y53" s="232" t="inlineStr">
        <is>
          <t>220-11-M-26, (11.09.2026) [FHM-M]</t>
        </is>
      </c>
      <c r="Z53" s="232" t="inlineStr">
        <is>
          <t>#8, #9, #11, #12 from the initial testing</t>
        </is>
      </c>
      <c r="AA53" s="232" t="inlineStr">
        <is>
          <t>P050072|R2</t>
        </is>
      </c>
      <c r="AB53" s="239" t="inlineStr">
        <is>
          <t>registered — retest 2,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J31102501</t>
        </is>
      </c>
      <c r="J54" s="232" t="inlineStr">
        <is>
          <t>P060152</t>
        </is>
      </c>
      <c r="K54" s="232" t="inlineStr">
        <is>
          <t>Jokerz 31</t>
        </is>
      </c>
      <c r="L54" s="232" t="inlineStr">
        <is>
          <t>Ident A + Ident B + Foreign matter</t>
        </is>
      </c>
      <c r="M54" s="237" t="inlineStr">
        <is>
          <t>—</t>
        </is>
      </c>
      <c r="N54" s="232">
        <f>IFERROR(INDEX('CoQ Register'!$B:$B,MATCH("P060152|I",'CoQ Register'!$S:$S,0)),"—")</f>
        <v/>
      </c>
      <c r="O54" s="232" t="inlineStr">
        <is>
          <t>iCoA-PP-2026-0012</t>
        </is>
      </c>
      <c r="P54" s="232" t="inlineStr">
        <is>
          <t>05.03.2026</t>
        </is>
      </c>
      <c r="Q54" s="232" t="inlineStr">
        <is>
          <t>21.01.2026</t>
        </is>
      </c>
      <c r="R54" s="232" t="inlineStr">
        <is>
          <t>05.03.2026</t>
        </is>
      </c>
      <c r="S54" s="234">
        <f>IFERROR(INDEX('CoQ Register'!$D:$D,MATCH("P060152|I",'CoQ Register'!$S:$S,0)),"")</f>
        <v/>
      </c>
      <c r="T54" s="232" t="inlineStr">
        <is>
          <t>Conforms</t>
        </is>
      </c>
      <c r="U54" s="232" t="inlineStr">
        <is>
          <t>Conforms</t>
        </is>
      </c>
      <c r="V54" s="232" t="inlineStr">
        <is>
          <t>Conforms</t>
        </is>
      </c>
      <c r="W54" s="232" t="inlineStr">
        <is>
          <t>051-1-K-26, (04.03.2026) [FHM-K]</t>
        </is>
      </c>
      <c r="X54" s="232" t="inlineStr">
        <is>
          <t>—</t>
        </is>
      </c>
      <c r="Y54" s="232" t="inlineStr">
        <is>
          <t>—</t>
        </is>
      </c>
      <c r="Z54" s="232" t="inlineStr">
        <is>
          <t>—</t>
        </is>
      </c>
      <c r="AA54" s="232" t="inlineStr">
        <is>
          <t>P060152|I</t>
        </is>
      </c>
      <c r="AB54" s="239" t="inlineStr">
        <is>
          <t>registered — initial release, issued 03.06.2026</t>
        </is>
      </c>
    </row>
    <row r="55">
      <c r="A55" s="232" t="n">
        <v>54</v>
      </c>
      <c r="B55" s="233" t="inlineStr">
        <is>
          <t>iCoA-PP_26-054</t>
        </is>
      </c>
      <c r="C55" s="238" t="inlineStr">
        <is>
          <t>yes</t>
        </is>
      </c>
      <c r="D55" s="234" t="n">
        <v>46176</v>
      </c>
      <c r="E55" s="234" t="n">
        <v>46087</v>
      </c>
      <c r="F55" s="234">
        <f>IFERROR(INDEX('Batch Dates'!$G:$G,MATCH(J55,'Batch Dates'!$C:$C,0)),IFERROR(INDEX('Batch Dates'!$G:$G,MATCH(I55,'Batch Dates'!$B:$B,0)),""))</f>
        <v/>
      </c>
      <c r="G55" s="232" t="inlineStr">
        <is>
          <t>legacy</t>
        </is>
      </c>
      <c r="H55" s="232" t="inlineStr">
        <is>
          <t>retest 1</t>
        </is>
      </c>
      <c r="I55" s="233" t="inlineStr">
        <is>
          <t>GRC102501</t>
        </is>
      </c>
      <c r="J55" s="232" t="inlineStr">
        <is>
          <t>P060182</t>
        </is>
      </c>
      <c r="K55" s="232" t="inlineStr">
        <is>
          <t>Graps &amp; Creme</t>
        </is>
      </c>
      <c r="L55" s="232" t="inlineStr">
        <is>
          <t>Ident A + Ident B + Foreign matter</t>
        </is>
      </c>
      <c r="M55" s="237" t="inlineStr">
        <is>
          <t>—</t>
        </is>
      </c>
      <c r="N55" s="232">
        <f>IFERROR(INDEX('CoQ Register'!$B:$B,MATCH("P060182|R",'CoQ Register'!$S:$S,0)),"—")</f>
        <v/>
      </c>
      <c r="O55" s="237" t="inlineStr">
        <is>
          <t>—</t>
        </is>
      </c>
      <c r="P55" s="232" t="inlineStr">
        <is>
          <t>14.03.2027</t>
        </is>
      </c>
      <c r="Q55" s="232" t="inlineStr">
        <is>
          <t>20.01.2026</t>
        </is>
      </c>
      <c r="R55" s="232" t="inlineStr">
        <is>
          <t>14.03.2026</t>
        </is>
      </c>
      <c r="S55" s="234">
        <f>IFERROR(INDEX('CoQ Register'!$D:$D,MATCH("P060182|R",'CoQ Register'!$S:$S,0)),"")</f>
        <v/>
      </c>
      <c r="T55" s="232" t="inlineStr">
        <is>
          <t>Conforms</t>
        </is>
      </c>
      <c r="U55" s="232" t="inlineStr">
        <is>
          <t>Conforms</t>
        </is>
      </c>
      <c r="V55" s="232" t="inlineStr">
        <is>
          <t>Conforms</t>
        </is>
      </c>
      <c r="W55" s="232" t="inlineStr">
        <is>
          <t>220-14-K-26, (25.08.2026) [FHM-K]</t>
        </is>
      </c>
      <c r="X55" s="232" t="inlineStr">
        <is>
          <t>220-14-K-26, (25.08.2026) [FHM-K]</t>
        </is>
      </c>
      <c r="Y55" s="232" t="inlineStr">
        <is>
          <t>220-14-M-26, (11.09.2026) [FHM-M]</t>
        </is>
      </c>
      <c r="Z55" s="232" t="inlineStr">
        <is>
          <t>#8, #9, #11, #12 from the initial testing</t>
        </is>
      </c>
      <c r="AA55" s="232" t="inlineStr">
        <is>
          <t>P060182|R</t>
        </is>
      </c>
      <c r="AB55" s="239" t="inlineStr">
        <is>
          <t>registered — retest 1,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SJ102501</t>
        </is>
      </c>
      <c r="J56" s="232" t="inlineStr">
        <is>
          <t>P060162</t>
        </is>
      </c>
      <c r="K56" s="232" t="inlineStr">
        <is>
          <t>Sleepy Joy</t>
        </is>
      </c>
      <c r="L56" s="232" t="inlineStr">
        <is>
          <t>Ident A + Ident B + Foreign matter</t>
        </is>
      </c>
      <c r="M56" s="237" t="inlineStr">
        <is>
          <t>—</t>
        </is>
      </c>
      <c r="N56" s="232">
        <f>IFERROR(INDEX('CoQ Register'!$B:$B,MATCH("P060162|I",'CoQ Register'!$S:$S,0)),"—")</f>
        <v/>
      </c>
      <c r="O56" s="237" t="inlineStr">
        <is>
          <t>—</t>
        </is>
      </c>
      <c r="P56" s="232" t="inlineStr">
        <is>
          <t>04.03.2026</t>
        </is>
      </c>
      <c r="Q56" s="232" t="inlineStr">
        <is>
          <t>20.01.2026</t>
        </is>
      </c>
      <c r="R56" s="232" t="inlineStr">
        <is>
          <t>09.03.2026 (the issuance plan's basis: 04.03.2026)</t>
        </is>
      </c>
      <c r="S56" s="234">
        <f>IFERROR(INDEX('CoQ Register'!$D:$D,MATCH("P060162|I",'CoQ Register'!$S:$S,0)),"")</f>
        <v/>
      </c>
      <c r="T56" s="232" t="inlineStr">
        <is>
          <t>Conforms</t>
        </is>
      </c>
      <c r="U56" s="232" t="inlineStr">
        <is>
          <t>Conforms</t>
        </is>
      </c>
      <c r="V56" s="232" t="inlineStr">
        <is>
          <t>Conforms</t>
        </is>
      </c>
      <c r="W56" s="232" t="inlineStr">
        <is>
          <t>051-3-K-26, (04.03.2026) [FHM-K]</t>
        </is>
      </c>
      <c r="X56" s="232" t="inlineStr">
        <is>
          <t>—</t>
        </is>
      </c>
      <c r="Y56" s="232" t="inlineStr">
        <is>
          <t>—</t>
        </is>
      </c>
      <c r="Z56" s="232" t="inlineStr">
        <is>
          <t>—</t>
        </is>
      </c>
      <c r="AA56" s="232" t="inlineStr">
        <is>
          <t>P060162|I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KC102501</t>
        </is>
      </c>
      <c r="J57" s="232" t="inlineStr">
        <is>
          <t>P060172</t>
        </is>
      </c>
      <c r="K57" s="232" t="inlineStr">
        <is>
          <t>Kush Crasher</t>
        </is>
      </c>
      <c r="L57" s="232" t="inlineStr">
        <is>
          <t>Ident A + Ident B + Foreign matter</t>
        </is>
      </c>
      <c r="M57" s="237" t="inlineStr">
        <is>
          <t>—</t>
        </is>
      </c>
      <c r="N57" s="232">
        <f>IFERROR(INDEX('CoQ Register'!$B:$B,MATCH("P060172|I",'CoQ Register'!$S:$S,0)),"—")</f>
        <v/>
      </c>
      <c r="O57" s="232" t="inlineStr">
        <is>
          <t>iCoA-PP-2026-0013</t>
        </is>
      </c>
      <c r="P57" s="232" t="inlineStr">
        <is>
          <t>12.03.2026</t>
        </is>
      </c>
      <c r="Q57" s="232" t="inlineStr">
        <is>
          <t>20.01.2026 – 21.01.2026</t>
        </is>
      </c>
      <c r="R57" s="232" t="inlineStr">
        <is>
          <t>12.03.2026</t>
        </is>
      </c>
      <c r="S57" s="234">
        <f>IFERROR(INDEX('CoQ Register'!$D:$D,MATCH("P060172|I",'CoQ Register'!$S:$S,0)),"")</f>
        <v/>
      </c>
      <c r="T57" s="232" t="inlineStr">
        <is>
          <t>Conforms</t>
        </is>
      </c>
      <c r="U57" s="232" t="inlineStr">
        <is>
          <t>Conforms</t>
        </is>
      </c>
      <c r="V57" s="232" t="inlineStr">
        <is>
          <t>Conforms</t>
        </is>
      </c>
      <c r="W57" s="232" t="inlineStr">
        <is>
          <t>051-4-K-26, (04.03.2026) [FHM-K]</t>
        </is>
      </c>
      <c r="X57" s="232" t="inlineStr">
        <is>
          <t>—</t>
        </is>
      </c>
      <c r="Y57" s="232" t="inlineStr">
        <is>
          <t>—</t>
        </is>
      </c>
      <c r="Z57" s="232" t="inlineStr">
        <is>
          <t>—</t>
        </is>
      </c>
      <c r="AA57" s="232" t="inlineStr">
        <is>
          <t>P060172|I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GRC102501</t>
        </is>
      </c>
      <c r="J58" s="232" t="inlineStr">
        <is>
          <t>P060182</t>
        </is>
      </c>
      <c r="K58" s="232" t="inlineStr">
        <is>
          <t>Graps &amp; Creme</t>
        </is>
      </c>
      <c r="L58" s="232" t="inlineStr">
        <is>
          <t>Ident A + Ident B + Foreign matter</t>
        </is>
      </c>
      <c r="M58" s="237" t="inlineStr">
        <is>
          <t>—</t>
        </is>
      </c>
      <c r="N58" s="232">
        <f>IFERROR(INDEX('CoQ Register'!$B:$B,MATCH("P060182|I",'CoQ Register'!$S:$S,0)),"—")</f>
        <v/>
      </c>
      <c r="O58" s="232" t="inlineStr">
        <is>
          <t>iCoA-PP-2026-0014</t>
        </is>
      </c>
      <c r="P58" s="232" t="inlineStr">
        <is>
          <t>14.03.2026</t>
        </is>
      </c>
      <c r="Q58" s="232" t="inlineStr">
        <is>
          <t>20.01.2026</t>
        </is>
      </c>
      <c r="R58" s="232" t="inlineStr">
        <is>
          <t>14.03.2026</t>
        </is>
      </c>
      <c r="S58" s="234">
        <f>IFERROR(INDEX('CoQ Register'!$D:$D,MATCH("P060182|I",'CoQ Register'!$S:$S,0)),"")</f>
        <v/>
      </c>
      <c r="T58" s="232" t="inlineStr">
        <is>
          <t>Conforms</t>
        </is>
      </c>
      <c r="U58" s="232" t="inlineStr">
        <is>
          <t>Conforms</t>
        </is>
      </c>
      <c r="V58" s="232" t="inlineStr">
        <is>
          <t>Conforms</t>
        </is>
      </c>
      <c r="W58" s="232" t="inlineStr">
        <is>
          <t>051-6-K-26, (04.03.2026) [FHM-K]</t>
        </is>
      </c>
      <c r="X58" s="232" t="inlineStr">
        <is>
          <t>—</t>
        </is>
      </c>
      <c r="Y58" s="232" t="inlineStr">
        <is>
          <t>—</t>
        </is>
      </c>
      <c r="Z58" s="232" t="inlineStr">
        <is>
          <t>—</t>
        </is>
      </c>
      <c r="AA58" s="232" t="inlineStr">
        <is>
          <t>P060182|I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SJ112501</t>
        </is>
      </c>
      <c r="J59" s="232" t="inlineStr">
        <is>
          <t>P060192</t>
        </is>
      </c>
      <c r="K59" s="232" t="inlineStr">
        <is>
          <t>Sleepy Joy</t>
        </is>
      </c>
      <c r="L59" s="232" t="inlineStr">
        <is>
          <t>Ident A + Ident B + Foreign matter</t>
        </is>
      </c>
      <c r="M59" s="237" t="inlineStr">
        <is>
          <t>—</t>
        </is>
      </c>
      <c r="N59" s="232">
        <f>IFERROR(INDEX('CoQ Register'!$B:$B,MATCH("P060192|I",'CoQ Register'!$S:$S,0)),"—")</f>
        <v/>
      </c>
      <c r="O59" s="237" t="inlineStr">
        <is>
          <t>—</t>
        </is>
      </c>
      <c r="P59" s="232" t="inlineStr">
        <is>
          <t>04.03.2026</t>
        </is>
      </c>
      <c r="Q59" s="232" t="inlineStr">
        <is>
          <t>26.01.2026 – 27.01.2026</t>
        </is>
      </c>
      <c r="R59" s="232" t="inlineStr">
        <is>
          <t>31.03.2026 (the issuance plan's basis: 04.03.2026)</t>
        </is>
      </c>
      <c r="S59" s="234">
        <f>IFERROR(INDEX('CoQ Register'!$D:$D,MATCH("P060192|I",'CoQ Register'!$S:$S,0)),"")</f>
        <v/>
      </c>
      <c r="T59" s="232" t="inlineStr">
        <is>
          <t>Conforms</t>
        </is>
      </c>
      <c r="U59" s="232" t="inlineStr">
        <is>
          <t>Conforms</t>
        </is>
      </c>
      <c r="V59" s="232" t="inlineStr">
        <is>
          <t>Conforms</t>
        </is>
      </c>
      <c r="W59" s="232" t="inlineStr">
        <is>
          <t>051-2-K-26, (04.03.2026) [FHM-K]</t>
        </is>
      </c>
      <c r="X59" s="232" t="inlineStr">
        <is>
          <t>—</t>
        </is>
      </c>
      <c r="Y59" s="232" t="inlineStr">
        <is>
          <t>—</t>
        </is>
      </c>
      <c r="Z59" s="232" t="inlineStr">
        <is>
          <t>—</t>
        </is>
      </c>
      <c r="AA59" s="232" t="inlineStr">
        <is>
          <t>P060192|I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J31112501</t>
        </is>
      </c>
      <c r="J60" s="232" t="inlineStr">
        <is>
          <t>P060202</t>
        </is>
      </c>
      <c r="K60" s="232" t="inlineStr">
        <is>
          <t>Jokerz 31</t>
        </is>
      </c>
      <c r="L60" s="232" t="inlineStr">
        <is>
          <t>Ident A + Ident B + Foreign matter</t>
        </is>
      </c>
      <c r="M60" s="237" t="inlineStr">
        <is>
          <t>—</t>
        </is>
      </c>
      <c r="N60" s="232">
        <f>IFERROR(INDEX('CoQ Register'!$B:$B,MATCH("P060202|I",'CoQ Register'!$S:$S,0)),"—")</f>
        <v/>
      </c>
      <c r="O60" s="237" t="inlineStr">
        <is>
          <t>—</t>
        </is>
      </c>
      <c r="P60" s="232" t="inlineStr">
        <is>
          <t>09.04.2026</t>
        </is>
      </c>
      <c r="Q60" s="232" t="inlineStr">
        <is>
          <t>26.01.2026</t>
        </is>
      </c>
      <c r="R60" s="232" t="inlineStr">
        <is>
          <t>17.04.2026 (the issuance plan's basis: 09.04.2026)</t>
        </is>
      </c>
      <c r="S60" s="234">
        <f>IFERROR(INDEX('CoQ Register'!$D:$D,MATCH("P060202|I",'CoQ Register'!$S:$S,0)),"")</f>
        <v/>
      </c>
      <c r="T60" s="232" t="inlineStr">
        <is>
          <t>Conforms</t>
        </is>
      </c>
      <c r="U60" s="232" t="inlineStr">
        <is>
          <t>Conforms</t>
        </is>
      </c>
      <c r="V60" s="232" t="inlineStr">
        <is>
          <t>Conforms</t>
        </is>
      </c>
      <c r="W60" s="232" t="inlineStr">
        <is>
          <t>051-5-K-26, (04.03.2026) [FHM-K]</t>
        </is>
      </c>
      <c r="X60" s="232" t="inlineStr">
        <is>
          <t>—</t>
        </is>
      </c>
      <c r="Y60" s="232" t="inlineStr">
        <is>
          <t>—</t>
        </is>
      </c>
      <c r="Z60" s="232" t="inlineStr">
        <is>
          <t>—</t>
        </is>
      </c>
      <c r="AA60" s="232" t="inlineStr">
        <is>
          <t>P060202|I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JD112501</t>
        </is>
      </c>
      <c r="J61" s="232" t="inlineStr">
        <is>
          <t>P060212</t>
        </is>
      </c>
      <c r="K61" s="232" t="inlineStr">
        <is>
          <t>Jelly Donutz</t>
        </is>
      </c>
      <c r="L61" s="232" t="inlineStr">
        <is>
          <t>Ident A + Ident B + Foreign matter</t>
        </is>
      </c>
      <c r="M61" s="237" t="inlineStr">
        <is>
          <t>—</t>
        </is>
      </c>
      <c r="N61" s="232">
        <f>IFERROR(INDEX('CoQ Register'!$B:$B,MATCH("P060212|I",'CoQ Register'!$S:$S,0)),"—")</f>
        <v/>
      </c>
      <c r="O61" s="232" t="inlineStr">
        <is>
          <t>iCoA-PP-2026-0015</t>
        </is>
      </c>
      <c r="P61" s="232" t="inlineStr">
        <is>
          <t>21.04.2026</t>
        </is>
      </c>
      <c r="Q61" s="232" t="inlineStr">
        <is>
          <t>25.03.2026</t>
        </is>
      </c>
      <c r="R61" s="232" t="inlineStr">
        <is>
          <t>21.04.2026</t>
        </is>
      </c>
      <c r="S61" s="234">
        <f>IFERROR(INDEX('CoQ Register'!$D:$D,MATCH("P060212|I",'CoQ Register'!$S:$S,0)),"")</f>
        <v/>
      </c>
      <c r="T61" s="232" t="inlineStr">
        <is>
          <t>Conforms</t>
        </is>
      </c>
      <c r="U61" s="232" t="inlineStr">
        <is>
          <t>Conforms</t>
        </is>
      </c>
      <c r="V61" s="232" t="inlineStr">
        <is>
          <t>Conforms</t>
        </is>
      </c>
      <c r="W61" s="232" t="inlineStr">
        <is>
          <t>ППК26063, (11.05.2026) [CNP]</t>
        </is>
      </c>
      <c r="X61" s="232" t="inlineStr">
        <is>
          <t>—</t>
        </is>
      </c>
      <c r="Y61" s="232" t="inlineStr">
        <is>
          <t>—</t>
        </is>
      </c>
      <c r="Z61" s="232" t="inlineStr">
        <is>
          <t>—</t>
        </is>
      </c>
      <c r="AA61" s="232" t="inlineStr">
        <is>
          <t>P060212|I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OPM112501</t>
        </is>
      </c>
      <c r="J62" s="232" t="inlineStr">
        <is>
          <t>P060222</t>
        </is>
      </c>
      <c r="K62" s="232" t="inlineStr">
        <is>
          <t>Orange Punch Mimosa</t>
        </is>
      </c>
      <c r="L62" s="232" t="inlineStr">
        <is>
          <t>Ident A + Ident B + Foreign matter</t>
        </is>
      </c>
      <c r="M62" s="237" t="inlineStr">
        <is>
          <t>—</t>
        </is>
      </c>
      <c r="N62" s="232">
        <f>IFERROR(INDEX('CoQ Register'!$B:$B,MATCH("P060222|I",'CoQ Register'!$S:$S,0)),"—")</f>
        <v/>
      </c>
      <c r="O62" s="237" t="inlineStr">
        <is>
          <t>—</t>
        </is>
      </c>
      <c r="P62" s="232" t="inlineStr">
        <is>
          <t>05.03.2026</t>
        </is>
      </c>
      <c r="Q62" s="232" t="inlineStr">
        <is>
          <t>05.02.2026</t>
        </is>
      </c>
      <c r="R62" s="232" t="inlineStr">
        <is>
          <t>24.04.2026 (the issuance plan's basis: 05.03.2026)</t>
        </is>
      </c>
      <c r="S62" s="234">
        <f>IFERROR(INDEX('CoQ Register'!$D:$D,MATCH("P060222|I",'CoQ Register'!$S:$S,0)),"")</f>
        <v/>
      </c>
      <c r="T62" s="232" t="inlineStr">
        <is>
          <t>Conforms</t>
        </is>
      </c>
      <c r="U62" s="232" t="inlineStr">
        <is>
          <t>Conforms</t>
        </is>
      </c>
      <c r="V62" s="232" t="inlineStr">
        <is>
          <t>Conforms</t>
        </is>
      </c>
      <c r="W62" s="232" t="inlineStr">
        <is>
          <t>ППК26031, (05.03.2026) [CNP]</t>
        </is>
      </c>
      <c r="X62" s="232" t="inlineStr">
        <is>
          <t>—</t>
        </is>
      </c>
      <c r="Y62" s="232" t="inlineStr">
        <is>
          <t>—</t>
        </is>
      </c>
      <c r="Z62" s="232" t="inlineStr">
        <is>
          <t>—</t>
        </is>
      </c>
      <c r="AA62" s="232" t="inlineStr">
        <is>
          <t>P060222|I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PM112501</t>
        </is>
      </c>
      <c r="J63" s="232" t="inlineStr">
        <is>
          <t>P060232</t>
        </is>
      </c>
      <c r="K63" s="232" t="inlineStr">
        <is>
          <t>Permanent Market</t>
        </is>
      </c>
      <c r="L63" s="232" t="inlineStr">
        <is>
          <t>Ident A + Ident B + Foreign matter</t>
        </is>
      </c>
      <c r="M63" s="237" t="inlineStr">
        <is>
          <t>—</t>
        </is>
      </c>
      <c r="N63" s="232">
        <f>IFERROR(INDEX('CoQ Register'!$B:$B,MATCH("P060232|I",'CoQ Register'!$S:$S,0)),"—")</f>
        <v/>
      </c>
      <c r="O63" s="232" t="inlineStr">
        <is>
          <t>iCoA-PP-2026-0016</t>
        </is>
      </c>
      <c r="P63" s="232" t="inlineStr">
        <is>
          <t>27.04.2026</t>
        </is>
      </c>
      <c r="Q63" s="232" t="inlineStr">
        <is>
          <t>05.02.2026</t>
        </is>
      </c>
      <c r="R63" s="232" t="inlineStr">
        <is>
          <t>27.04.2026</t>
        </is>
      </c>
      <c r="S63" s="234">
        <f>IFERROR(INDEX('CoQ Register'!$D:$D,MATCH("P060232|I",'CoQ Register'!$S:$S,0)),"")</f>
        <v/>
      </c>
      <c r="T63" s="232" t="inlineStr">
        <is>
          <t>Conforms</t>
        </is>
      </c>
      <c r="U63" s="232" t="inlineStr">
        <is>
          <t>Conforms</t>
        </is>
      </c>
      <c r="V63" s="232" t="inlineStr">
        <is>
          <t>Conforms</t>
        </is>
      </c>
      <c r="W63" s="232" t="inlineStr">
        <is>
          <t>ППК26030, (05.03.2026) [CNP]</t>
        </is>
      </c>
      <c r="X63" s="232" t="inlineStr">
        <is>
          <t>—</t>
        </is>
      </c>
      <c r="Y63" s="232" t="inlineStr">
        <is>
          <t>—</t>
        </is>
      </c>
      <c r="Z63" s="232" t="inlineStr">
        <is>
          <t>—</t>
        </is>
      </c>
      <c r="AA63" s="232" t="inlineStr">
        <is>
          <t>P060232|I</t>
        </is>
      </c>
      <c r="AB63" s="239" t="inlineStr">
        <is>
          <t>registered — initial release, issued 03.06.2026</t>
        </is>
      </c>
    </row>
    <row r="64">
      <c r="A64" s="232" t="n">
        <v>63</v>
      </c>
      <c r="B64" s="233" t="inlineStr">
        <is>
          <t>iCoA-PP_26-063</t>
        </is>
      </c>
      <c r="C64" s="238" t="inlineStr">
        <is>
          <t>yes</t>
        </is>
      </c>
      <c r="D64" s="234">
        <f>IF(A64="","",IF(ISNUMBER(E64),MAX(DATE(2026,6,3),E64),DATE(2026,6,3)))</f>
        <v/>
      </c>
      <c r="E64" s="234">
        <f>IFERROR(INDEX('Batch Dates'!$F:$F,MATCH(J64,'Batch Dates'!$C:$C,0)),IFERROR(INDEX('Batch Dates'!$F:$F,MATCH(I64,'Batch Dates'!$B:$B,0)),""))</f>
        <v/>
      </c>
      <c r="F64" s="234">
        <f>IFERROR(INDEX('Batch Dates'!$G:$G,MATCH(J64,'Batch Dates'!$C:$C,0)),IFERROR(INDEX('Batch Dates'!$G:$G,MATCH(I64,'Batch Dates'!$B:$B,0)),""))</f>
        <v/>
      </c>
      <c r="G64" s="232" t="inlineStr">
        <is>
          <t>legacy</t>
        </is>
      </c>
      <c r="H64" s="232" t="inlineStr">
        <is>
          <t>initial release</t>
        </is>
      </c>
      <c r="I64" s="233" t="inlineStr">
        <is>
          <t>OPM122501</t>
        </is>
      </c>
      <c r="J64" s="232" t="inlineStr">
        <is>
          <t>P060242</t>
        </is>
      </c>
      <c r="K64" s="232" t="inlineStr">
        <is>
          <t>Orange Punch Mimosa</t>
        </is>
      </c>
      <c r="L64" s="232" t="inlineStr">
        <is>
          <t>Ident A + Ident B + Foreign matter</t>
        </is>
      </c>
      <c r="M64" s="237" t="inlineStr">
        <is>
          <t>—</t>
        </is>
      </c>
      <c r="N64" s="232">
        <f>IFERROR(INDEX('CoQ Register'!$B:$B,MATCH("P060242|I",'CoQ Register'!$S:$S,0)),"—")</f>
        <v/>
      </c>
      <c r="O64" s="232" t="inlineStr">
        <is>
          <t>iCoA-PP-2026-0017</t>
        </is>
      </c>
      <c r="P64" s="232" t="inlineStr">
        <is>
          <t>28.04.2026</t>
        </is>
      </c>
      <c r="Q64" s="232" t="inlineStr">
        <is>
          <t>11.03.2026</t>
        </is>
      </c>
      <c r="R64" s="232" t="inlineStr">
        <is>
          <t>28.04.2026</t>
        </is>
      </c>
      <c r="S64" s="234">
        <f>IFERROR(INDEX('CoQ Register'!$D:$D,MATCH("P060242|I",'CoQ Register'!$S:$S,0)),"")</f>
        <v/>
      </c>
      <c r="T64" s="232" t="inlineStr">
        <is>
          <t>Conforms</t>
        </is>
      </c>
      <c r="U64" s="232" t="inlineStr">
        <is>
          <t>Conforms</t>
        </is>
      </c>
      <c r="V64" s="232" t="inlineStr">
        <is>
          <t>Conforms</t>
        </is>
      </c>
      <c r="W64" s="232" t="inlineStr">
        <is>
          <t>100-4-K-26, (09.04.2026) [FHM-K]</t>
        </is>
      </c>
      <c r="X64" s="232" t="inlineStr">
        <is>
          <t>—</t>
        </is>
      </c>
      <c r="Y64" s="232" t="inlineStr">
        <is>
          <t>—</t>
        </is>
      </c>
      <c r="Z64" s="232" t="inlineStr">
        <is>
          <t>—</t>
        </is>
      </c>
      <c r="AA64" s="232" t="inlineStr">
        <is>
          <t>P060242|I</t>
        </is>
      </c>
      <c r="AB64" s="239" t="inlineStr">
        <is>
          <t>registered — initial release, issued 03.06.2026</t>
        </is>
      </c>
    </row>
    <row r="65">
      <c r="A65" s="232" t="n">
        <v>64</v>
      </c>
      <c r="B65" s="233" t="inlineStr">
        <is>
          <t>iCoA-PP_26-064</t>
        </is>
      </c>
      <c r="C65" s="238" t="inlineStr">
        <is>
          <t>yes</t>
        </is>
      </c>
      <c r="D65" s="234">
        <f>IF(A65="","",IF(ISNUMBER(E65),MAX(DATE(2026,6,3),E65),DATE(2026,6,3)))</f>
        <v/>
      </c>
      <c r="E65" s="234">
        <f>IFERROR(INDEX('Batch Dates'!$F:$F,MATCH(J65,'Batch Dates'!$C:$C,0)),IFERROR(INDEX('Batch Dates'!$F:$F,MATCH(I65,'Batch Dates'!$B:$B,0)),""))</f>
        <v/>
      </c>
      <c r="F65" s="234">
        <f>IFERROR(INDEX('Batch Dates'!$G:$G,MATCH(J65,'Batch Dates'!$C:$C,0)),IFERROR(INDEX('Batch Dates'!$G:$G,MATCH(I65,'Batch Dates'!$B:$B,0)),""))</f>
        <v/>
      </c>
      <c r="G65" s="232" t="inlineStr">
        <is>
          <t>legacy</t>
        </is>
      </c>
      <c r="H65" s="232" t="inlineStr">
        <is>
          <t>initial release</t>
        </is>
      </c>
      <c r="I65" s="233" t="inlineStr">
        <is>
          <t>GG112501</t>
        </is>
      </c>
      <c r="J65" s="232" t="inlineStr">
        <is>
          <t>P060252</t>
        </is>
      </c>
      <c r="K65" s="232" t="inlineStr">
        <is>
          <t>Gorilla Glue</t>
        </is>
      </c>
      <c r="L65" s="232" t="inlineStr">
        <is>
          <t>Ident A + Ident B + Foreign matter</t>
        </is>
      </c>
      <c r="M65" s="237" t="inlineStr">
        <is>
          <t>—</t>
        </is>
      </c>
      <c r="N65" s="232">
        <f>IFERROR(INDEX('CoQ Register'!$B:$B,MATCH("P060252|I",'CoQ Register'!$S:$S,0)),"—")</f>
        <v/>
      </c>
      <c r="O65" s="237" t="inlineStr">
        <is>
          <t>—</t>
        </is>
      </c>
      <c r="P65" s="232" t="inlineStr">
        <is>
          <t>11.05.2026</t>
        </is>
      </c>
      <c r="Q65" s="232" t="inlineStr">
        <is>
          <t>25.03.2026</t>
        </is>
      </c>
      <c r="R65" s="232" t="inlineStr">
        <is>
          <t>05.05.2026 (the issuance plan's basis: 11.05.2026)</t>
        </is>
      </c>
      <c r="S65" s="234">
        <f>IFERROR(INDEX('CoQ Register'!$D:$D,MATCH("P060252|I",'CoQ Register'!$S:$S,0)),"")</f>
        <v/>
      </c>
      <c r="T65" s="232" t="inlineStr">
        <is>
          <t>Conforms</t>
        </is>
      </c>
      <c r="U65" s="232" t="inlineStr">
        <is>
          <t>Conforms</t>
        </is>
      </c>
      <c r="V65" s="232" t="inlineStr">
        <is>
          <t>Conforms</t>
        </is>
      </c>
      <c r="W65" s="232" t="inlineStr">
        <is>
          <t>ППК26061, (11.05.2026) [CNP]</t>
        </is>
      </c>
      <c r="X65" s="232" t="inlineStr">
        <is>
          <t>—</t>
        </is>
      </c>
      <c r="Y65" s="232" t="inlineStr">
        <is>
          <t>—</t>
        </is>
      </c>
      <c r="Z65" s="232" t="inlineStr">
        <is>
          <t>—</t>
        </is>
      </c>
      <c r="AA65" s="232" t="inlineStr">
        <is>
          <t>P060252|I</t>
        </is>
      </c>
      <c r="AB65" s="239" t="inlineStr">
        <is>
          <t>registered — initial release,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1</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t>
        </is>
      </c>
      <c r="AB66" s="239" t="inlineStr">
        <is>
          <t>registered — retest 1,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GP062501</t>
        </is>
      </c>
      <c r="J67" s="232" t="inlineStr">
        <is>
          <t>P050202</t>
        </is>
      </c>
      <c r="K67" s="232" t="inlineStr">
        <is>
          <t>Grape Pie</t>
        </is>
      </c>
      <c r="L67" s="232" t="inlineStr">
        <is>
          <t>Ident A + Ident B + Foreign matter</t>
        </is>
      </c>
      <c r="M67" s="237" t="inlineStr">
        <is>
          <t>—</t>
        </is>
      </c>
      <c r="N67" s="232">
        <f>IFERROR(INDEX('CoQ Register'!$B:$B,MATCH("P050202|R3",'CoQ Register'!$S:$S,0)),"—")</f>
        <v/>
      </c>
      <c r="O67" s="237" t="inlineStr">
        <is>
          <t>—</t>
        </is>
      </c>
      <c r="P67" s="232" t="inlineStr">
        <is>
          <t>11.05.2027</t>
        </is>
      </c>
      <c r="Q67" s="232" t="inlineStr">
        <is>
          <t>15.09.2025 – 17.09.2025</t>
        </is>
      </c>
      <c r="R67" s="232" t="inlineStr">
        <is>
          <t>30.10.2025 – 07.11.2025 (the issuance plan's basis: 11.05.2026)</t>
        </is>
      </c>
      <c r="S67" s="234">
        <f>IFERROR(INDEX('CoQ Register'!$D:$D,MATCH("P050202|R3",'CoQ Register'!$S:$S,0)),"")</f>
        <v/>
      </c>
      <c r="T67" s="232" t="inlineStr">
        <is>
          <t>Conforms</t>
        </is>
      </c>
      <c r="U67" s="232" t="inlineStr">
        <is>
          <t>Conforms</t>
        </is>
      </c>
      <c r="V67" s="232" t="inlineStr">
        <is>
          <t>Conforms</t>
        </is>
      </c>
      <c r="W67" s="232" t="inlineStr">
        <is>
          <t>227-18-K-26, (11.09.2026) [FHM-K]</t>
        </is>
      </c>
      <c r="X67" s="232" t="inlineStr">
        <is>
          <t>227-18-K-26, (11.09.2026) [FHM-K]</t>
        </is>
      </c>
      <c r="Y67" s="232" t="inlineStr">
        <is>
          <t>— pending —</t>
        </is>
      </c>
      <c r="Z67" s="232" t="inlineStr">
        <is>
          <t>#8, #9, #11, #12 from the initial testing</t>
        </is>
      </c>
      <c r="AA67" s="232" t="inlineStr">
        <is>
          <t>P050202|R3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GP062501</t>
        </is>
      </c>
      <c r="J68" s="232" t="inlineStr">
        <is>
          <t>P050202</t>
        </is>
      </c>
      <c r="K68" s="232" t="inlineStr">
        <is>
          <t>Grape Pie</t>
        </is>
      </c>
      <c r="L68" s="232" t="inlineStr">
        <is>
          <t>Ident A + Ident B + Foreign matter</t>
        </is>
      </c>
      <c r="M68" s="237" t="inlineStr">
        <is>
          <t>—</t>
        </is>
      </c>
      <c r="N68" s="232">
        <f>IFERROR(INDEX('CoQ Register'!$B:$B,MATCH("P050202|R4",'CoQ Register'!$S:$S,0)),"—")</f>
        <v/>
      </c>
      <c r="O68" s="237" t="inlineStr">
        <is>
          <t>—</t>
        </is>
      </c>
      <c r="P68" s="232" t="inlineStr">
        <is>
          <t>11.05.2027</t>
        </is>
      </c>
      <c r="Q68" s="232" t="inlineStr">
        <is>
          <t>15.09.2025 – 17.09.2025</t>
        </is>
      </c>
      <c r="R68" s="232" t="inlineStr">
        <is>
          <t>30.10.2025 – 07.11.2025 (the issuance plan's basis: 11.05.2026)</t>
        </is>
      </c>
      <c r="S68" s="234">
        <f>IFERROR(INDEX('CoQ Register'!$D:$D,MATCH("P050202|R4",'CoQ Register'!$S:$S,0)),"")</f>
        <v/>
      </c>
      <c r="T68" s="232" t="inlineStr">
        <is>
          <t>Conforms</t>
        </is>
      </c>
      <c r="U68" s="232" t="inlineStr">
        <is>
          <t>Conforms</t>
        </is>
      </c>
      <c r="V68" s="232" t="inlineStr">
        <is>
          <t>Conforms</t>
        </is>
      </c>
      <c r="W68" s="232" t="inlineStr">
        <is>
          <t>227-18-K-26, (11.09.2026) [FHM-K]</t>
        </is>
      </c>
      <c r="X68" s="232" t="inlineStr">
        <is>
          <t>227-18-K-26, (11.09.2026) [FHM-K]</t>
        </is>
      </c>
      <c r="Y68" s="232" t="inlineStr">
        <is>
          <t>— pending —</t>
        </is>
      </c>
      <c r="Z68" s="232" t="inlineStr">
        <is>
          <t>#8, #9, #11, #12 from the initial testing</t>
        </is>
      </c>
      <c r="AA68" s="232" t="inlineStr">
        <is>
          <t>P050202|R4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3</t>
        </is>
      </c>
      <c r="I69" s="233" t="inlineStr">
        <is>
          <t>GP0824_02</t>
        </is>
      </c>
      <c r="J69" s="232" t="inlineStr">
        <is>
          <t>P050022</t>
        </is>
      </c>
      <c r="K69" s="232" t="inlineStr">
        <is>
          <t>Grape Pie</t>
        </is>
      </c>
      <c r="L69" s="232" t="inlineStr">
        <is>
          <t>Ident A + Ident B + Foreign matter</t>
        </is>
      </c>
      <c r="M69" s="237" t="inlineStr">
        <is>
          <t>—</t>
        </is>
      </c>
      <c r="N69" s="232">
        <f>IFERROR(INDEX('CoQ Register'!$B:$B,MATCH("P050022|R3",'CoQ Register'!$S:$S,0)),"—")</f>
        <v/>
      </c>
      <c r="O69" s="237" t="inlineStr">
        <is>
          <t>—</t>
        </is>
      </c>
      <c r="P69" s="232" t="inlineStr">
        <is>
          <t>03.06.2026</t>
        </is>
      </c>
      <c r="Q69" s="232" t="inlineStr">
        <is>
          <t>22.04.2025 – 23.04.2025</t>
        </is>
      </c>
      <c r="R69" s="232" t="inlineStr">
        <is>
          <t>03.06.2025 – 11.06.2025</t>
        </is>
      </c>
      <c r="S69" s="234">
        <f>IFERROR(INDEX('CoQ Register'!$D:$D,MATCH("P050022|R3",'CoQ Register'!$S:$S,0)),"")</f>
        <v/>
      </c>
      <c r="T69" s="232" t="inlineStr">
        <is>
          <t>Conforms</t>
        </is>
      </c>
      <c r="U69" s="232" t="inlineStr">
        <is>
          <t>Conforms</t>
        </is>
      </c>
      <c r="V69" s="232" t="inlineStr">
        <is>
          <t>Conforms</t>
        </is>
      </c>
      <c r="W69" s="232" t="inlineStr">
        <is>
          <t>197-11-K-26, (07.08.2026) [FHM-K]</t>
        </is>
      </c>
      <c r="X69" s="232" t="inlineStr">
        <is>
          <t>197-11-K-26, (07.08.2026) [FHM-K]</t>
        </is>
      </c>
      <c r="Y69" s="232" t="inlineStr">
        <is>
          <t>197-11-M-26, (10.08.2026) [FHM-M]</t>
        </is>
      </c>
      <c r="Z69" s="232" t="inlineStr">
        <is>
          <t>#8, #9, #11, #12 from the initial testing</t>
        </is>
      </c>
      <c r="AA69" s="232" t="inlineStr">
        <is>
          <t>P050022|R3</t>
        </is>
      </c>
      <c r="AB69" s="239" t="inlineStr">
        <is>
          <t>registered — retest 3,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4</t>
        </is>
      </c>
      <c r="I70" s="233" t="inlineStr">
        <is>
          <t>GP0824_02</t>
        </is>
      </c>
      <c r="J70" s="232" t="inlineStr">
        <is>
          <t>P050022</t>
        </is>
      </c>
      <c r="K70" s="232" t="inlineStr">
        <is>
          <t>Grape Pie</t>
        </is>
      </c>
      <c r="L70" s="232" t="inlineStr">
        <is>
          <t>Ident A + Ident B + Foreign matter</t>
        </is>
      </c>
      <c r="M70" s="237" t="inlineStr">
        <is>
          <t>—</t>
        </is>
      </c>
      <c r="N70" s="232">
        <f>IFERROR(INDEX('CoQ Register'!$B:$B,MATCH("P050022|R4",'CoQ Register'!$S:$S,0)),"—")</f>
        <v/>
      </c>
      <c r="O70" s="237" t="inlineStr">
        <is>
          <t>—</t>
        </is>
      </c>
      <c r="P70" s="232" t="inlineStr">
        <is>
          <t>03.06.2026</t>
        </is>
      </c>
      <c r="Q70" s="232" t="inlineStr">
        <is>
          <t>22.04.2025 – 23.04.2025</t>
        </is>
      </c>
      <c r="R70" s="232" t="inlineStr">
        <is>
          <t>03.06.2025 – 11.06.2025</t>
        </is>
      </c>
      <c r="S70" s="234">
        <f>IFERROR(INDEX('CoQ Register'!$D:$D,MATCH("P050022|R4",'CoQ Register'!$S:$S,0)),"")</f>
        <v/>
      </c>
      <c r="T70" s="232" t="inlineStr">
        <is>
          <t>Conforms</t>
        </is>
      </c>
      <c r="U70" s="232" t="inlineStr">
        <is>
          <t>Conforms</t>
        </is>
      </c>
      <c r="V70" s="232" t="inlineStr">
        <is>
          <t>Conforms</t>
        </is>
      </c>
      <c r="W70" s="232" t="inlineStr">
        <is>
          <t>197-11-K-26, (07.08.2026) [FHM-K]</t>
        </is>
      </c>
      <c r="X70" s="232" t="inlineStr">
        <is>
          <t>197-11-K-26, (07.08.2026) [FHM-K]</t>
        </is>
      </c>
      <c r="Y70" s="232" t="inlineStr">
        <is>
          <t>197-11-M-26, (10.08.2026) [FHM-M]</t>
        </is>
      </c>
      <c r="Z70" s="232" t="inlineStr">
        <is>
          <t>#8, #9, #11, #12 from the initial testing</t>
        </is>
      </c>
      <c r="AA70" s="232" t="inlineStr">
        <is>
          <t>P050022|R4</t>
        </is>
      </c>
      <c r="AB70" s="239" t="inlineStr">
        <is>
          <t>registered — retest 4, issued 03.06.2026</t>
        </is>
      </c>
    </row>
    <row r="71">
      <c r="A71" s="232" t="n">
        <v>70</v>
      </c>
      <c r="B71" s="233" t="inlineStr">
        <is>
          <t>iCoA-PP_26-070</t>
        </is>
      </c>
      <c r="C71" s="238" t="inlineStr">
        <is>
          <t>yes</t>
        </is>
      </c>
      <c r="D71" s="234" t="n">
        <v>46176</v>
      </c>
      <c r="E71" s="234" t="n">
        <v>46153</v>
      </c>
      <c r="F71" s="234">
        <f>IFERROR(INDEX('Batch Dates'!$G:$G,MATCH(J71,'Batch Dates'!$C:$C,0)),IFERROR(INDEX('Batch Dates'!$G:$G,MATCH(I71,'Batch Dates'!$B:$B,0)),""))</f>
        <v/>
      </c>
      <c r="G71" s="232" t="inlineStr">
        <is>
          <t>legacy</t>
        </is>
      </c>
      <c r="H71" s="232" t="inlineStr">
        <is>
          <t>retest 1</t>
        </is>
      </c>
      <c r="I71" s="233" t="inlineStr">
        <is>
          <t>GP0824_03</t>
        </is>
      </c>
      <c r="J71" s="232" t="inlineStr">
        <is>
          <t>P050072</t>
        </is>
      </c>
      <c r="K71" s="232" t="inlineStr">
        <is>
          <t>Grape Pie</t>
        </is>
      </c>
      <c r="L71" s="232" t="inlineStr">
        <is>
          <t>Ident A + Ident B + Foreign matter</t>
        </is>
      </c>
      <c r="M71" s="237" t="inlineStr">
        <is>
          <t>—</t>
        </is>
      </c>
      <c r="N71" s="232">
        <f>IFERROR(INDEX('CoQ Register'!$B:$B,MATCH("P050072|R",'CoQ Register'!$S:$S,0)),"—")</f>
        <v/>
      </c>
      <c r="O71" s="237" t="inlineStr">
        <is>
          <t>—</t>
        </is>
      </c>
      <c r="P71" s="232" t="inlineStr">
        <is>
          <t>14.07.2026</t>
        </is>
      </c>
      <c r="Q71" s="232" t="inlineStr">
        <is>
          <t>09.06.2025 – 10.06.2025</t>
        </is>
      </c>
      <c r="R71" s="232" t="inlineStr">
        <is>
          <t>14.07.2025 – 17.07.2025</t>
        </is>
      </c>
      <c r="S71" s="234">
        <f>IFERROR(INDEX('CoQ Register'!$D:$D,MATCH("P050072|R",'CoQ Register'!$S:$S,0)),"")</f>
        <v/>
      </c>
      <c r="T71" s="232" t="inlineStr">
        <is>
          <t>Conforms</t>
        </is>
      </c>
      <c r="U71" s="232" t="inlineStr">
        <is>
          <t>Conforms</t>
        </is>
      </c>
      <c r="V71" s="232" t="inlineStr">
        <is>
          <t>Conforms</t>
        </is>
      </c>
      <c r="W71" s="232" t="inlineStr">
        <is>
          <t>220-11-K-26, (25.08.2026) [FHM-K]</t>
        </is>
      </c>
      <c r="X71" s="232" t="inlineStr">
        <is>
          <t>220-11-K-26, (25.08.2026) [FHM-K]</t>
        </is>
      </c>
      <c r="Y71" s="232" t="inlineStr">
        <is>
          <t>220-11-M-26, (11.09.2026) [FHM-M]</t>
        </is>
      </c>
      <c r="Z71" s="232" t="inlineStr">
        <is>
          <t>#8, #9, #11, #12 from the initial testing</t>
        </is>
      </c>
      <c r="AA71" s="232" t="inlineStr">
        <is>
          <t>P050072|R</t>
        </is>
      </c>
      <c r="AB71" s="239" t="inlineStr">
        <is>
          <t>registered — retest 1, issued 03.06.2026</t>
        </is>
      </c>
    </row>
    <row r="72">
      <c r="A72" s="232" t="n">
        <v>71</v>
      </c>
      <c r="B72" s="233" t="inlineStr">
        <is>
          <t>iCoA-PP_26-071</t>
        </is>
      </c>
      <c r="C72" s="238" t="inlineStr">
        <is>
          <t>yes</t>
        </is>
      </c>
      <c r="D72" s="234" t="n">
        <v>46176</v>
      </c>
      <c r="E72" s="234" t="n">
        <v>46153</v>
      </c>
      <c r="F72" s="234">
        <f>IFERROR(INDEX('Batch Dates'!$G:$G,MATCH(J72,'Batch Dates'!$C:$C,0)),IFERROR(INDEX('Batch Dates'!$G:$G,MATCH(I72,'Batch Dates'!$B:$B,0)),""))</f>
        <v/>
      </c>
      <c r="G72" s="232" t="inlineStr">
        <is>
          <t>legacy</t>
        </is>
      </c>
      <c r="H72" s="232" t="inlineStr">
        <is>
          <t>retest 3</t>
        </is>
      </c>
      <c r="I72" s="233" t="inlineStr">
        <is>
          <t>GP0824_03</t>
        </is>
      </c>
      <c r="J72" s="232" t="inlineStr">
        <is>
          <t>P050072</t>
        </is>
      </c>
      <c r="K72" s="232" t="inlineStr">
        <is>
          <t>Grape Pie</t>
        </is>
      </c>
      <c r="L72" s="232" t="inlineStr">
        <is>
          <t>Ident A + Ident B + Foreign matter</t>
        </is>
      </c>
      <c r="M72" s="237" t="inlineStr">
        <is>
          <t>—</t>
        </is>
      </c>
      <c r="N72" s="232">
        <f>IFERROR(INDEX('CoQ Register'!$B:$B,MATCH("P050072|R3",'CoQ Register'!$S:$S,0)),"—")</f>
        <v/>
      </c>
      <c r="O72" s="237" t="inlineStr">
        <is>
          <t>—</t>
        </is>
      </c>
      <c r="P72" s="232" t="inlineStr">
        <is>
          <t>14.07.2026</t>
        </is>
      </c>
      <c r="Q72" s="232" t="inlineStr">
        <is>
          <t>09.06.2025 – 10.06.2025</t>
        </is>
      </c>
      <c r="R72" s="232" t="inlineStr">
        <is>
          <t>14.07.2025 – 17.07.2025</t>
        </is>
      </c>
      <c r="S72" s="234">
        <f>IFERROR(INDEX('CoQ Register'!$D:$D,MATCH("P050072|R3",'CoQ Register'!$S:$S,0)),"")</f>
        <v/>
      </c>
      <c r="T72" s="232" t="inlineStr">
        <is>
          <t>Conforms</t>
        </is>
      </c>
      <c r="U72" s="232" t="inlineStr">
        <is>
          <t>Conforms</t>
        </is>
      </c>
      <c r="V72" s="232" t="inlineStr">
        <is>
          <t>Conforms</t>
        </is>
      </c>
      <c r="W72" s="232" t="inlineStr">
        <is>
          <t>220-11-K-26, (25.08.2026) [FHM-K]</t>
        </is>
      </c>
      <c r="X72" s="232" t="inlineStr">
        <is>
          <t>220-11-K-26, (25.08.2026) [FHM-K]</t>
        </is>
      </c>
      <c r="Y72" s="232" t="inlineStr">
        <is>
          <t>220-11-M-26, (11.09.2026) [FHM-M]</t>
        </is>
      </c>
      <c r="Z72" s="232" t="inlineStr">
        <is>
          <t>#8, #9, #11, #12 from the initial testing</t>
        </is>
      </c>
      <c r="AA72" s="232" t="inlineStr">
        <is>
          <t>P050072|R3</t>
        </is>
      </c>
      <c r="AB72" s="239" t="inlineStr">
        <is>
          <t>registered — retest 3,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J31122501</t>
        </is>
      </c>
      <c r="J73" s="232" t="inlineStr">
        <is>
          <t>P060262</t>
        </is>
      </c>
      <c r="K73" s="232" t="inlineStr">
        <is>
          <t>Jokerz 31</t>
        </is>
      </c>
      <c r="L73" s="232" t="inlineStr">
        <is>
          <t>Ident A + Ident B + Foreign matter</t>
        </is>
      </c>
      <c r="M73" s="237" t="inlineStr">
        <is>
          <t>—</t>
        </is>
      </c>
      <c r="N73" s="232">
        <f>IFERROR(INDEX('CoQ Register'!$B:$B,MATCH("P060262|I",'CoQ Register'!$S:$S,0)),"—")</f>
        <v/>
      </c>
      <c r="O73" s="237" t="inlineStr">
        <is>
          <t>—</t>
        </is>
      </c>
      <c r="P73" s="232" t="inlineStr">
        <is>
          <t>23.04.2026</t>
        </is>
      </c>
      <c r="Q73" s="232" t="inlineStr">
        <is>
          <t>04.03.2026</t>
        </is>
      </c>
      <c r="R73" s="232" t="inlineStr">
        <is>
          <t>14.05.2026 (the issuance plan's basis: 23.04.2026)</t>
        </is>
      </c>
      <c r="S73" s="234">
        <f>IFERROR(INDEX('CoQ Register'!$D:$D,MATCH("P060262|I",'CoQ Register'!$S:$S,0)),"")</f>
        <v/>
      </c>
      <c r="T73" s="232" t="inlineStr">
        <is>
          <t>Conforms</t>
        </is>
      </c>
      <c r="U73" s="232" t="inlineStr">
        <is>
          <t>Conforms</t>
        </is>
      </c>
      <c r="V73" s="232" t="inlineStr">
        <is>
          <t>Conforms</t>
        </is>
      </c>
      <c r="W73" s="232" t="inlineStr">
        <is>
          <t>100-2-K-26, (09.04.2026) [FHM-K]</t>
        </is>
      </c>
      <c r="X73" s="232" t="inlineStr">
        <is>
          <t>—</t>
        </is>
      </c>
      <c r="Y73" s="232" t="inlineStr">
        <is>
          <t>—</t>
        </is>
      </c>
      <c r="Z73" s="232" t="inlineStr">
        <is>
          <t>—</t>
        </is>
      </c>
      <c r="AA73" s="232" t="inlineStr">
        <is>
          <t>P060262|I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CC112501</t>
        </is>
      </c>
      <c r="J74" s="232" t="inlineStr">
        <is>
          <t>P060272</t>
        </is>
      </c>
      <c r="K74" s="232" t="inlineStr">
        <is>
          <t>Cash Cow</t>
        </is>
      </c>
      <c r="L74" s="232" t="inlineStr">
        <is>
          <t>Ident A + Ident B + Foreign matter</t>
        </is>
      </c>
      <c r="M74" s="237" t="inlineStr">
        <is>
          <t>—</t>
        </is>
      </c>
      <c r="N74" s="232">
        <f>IFERROR(INDEX('CoQ Register'!$B:$B,MATCH("P060272|I",'CoQ Register'!$S:$S,0)),"—")</f>
        <v/>
      </c>
      <c r="O74" s="237" t="inlineStr">
        <is>
          <t>—</t>
        </is>
      </c>
      <c r="P74" s="232" t="inlineStr">
        <is>
          <t>11.05.2026</t>
        </is>
      </c>
      <c r="Q74" s="232" t="inlineStr">
        <is>
          <t>25.03.2026</t>
        </is>
      </c>
      <c r="R74" s="232" t="inlineStr">
        <is>
          <t>18.05.2026 (the issuance plan's basis: 11.05.2026)</t>
        </is>
      </c>
      <c r="S74" s="234">
        <f>IFERROR(INDEX('CoQ Register'!$D:$D,MATCH("P060272|I",'CoQ Register'!$S:$S,0)),"")</f>
        <v/>
      </c>
      <c r="T74" s="232" t="inlineStr">
        <is>
          <t>Conforms</t>
        </is>
      </c>
      <c r="U74" s="232" t="inlineStr">
        <is>
          <t>Conforms</t>
        </is>
      </c>
      <c r="V74" s="232" t="inlineStr">
        <is>
          <t>Conforms</t>
        </is>
      </c>
      <c r="W74" s="232" t="inlineStr">
        <is>
          <t>ППК26068, (11.05.2026) [CNP]</t>
        </is>
      </c>
      <c r="X74" s="232" t="inlineStr">
        <is>
          <t>—</t>
        </is>
      </c>
      <c r="Y74" s="232" t="inlineStr">
        <is>
          <t>—</t>
        </is>
      </c>
      <c r="Z74" s="232" t="inlineStr">
        <is>
          <t>—</t>
        </is>
      </c>
      <c r="AA74" s="232" t="inlineStr">
        <is>
          <t>P060272|I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SCR112501</t>
        </is>
      </c>
      <c r="J75" s="232" t="inlineStr">
        <is>
          <t>P060282</t>
        </is>
      </c>
      <c r="K75" s="232" t="inlineStr">
        <is>
          <t>Scrambler</t>
        </is>
      </c>
      <c r="L75" s="232" t="inlineStr">
        <is>
          <t>Ident A + Ident B + Foreign matter</t>
        </is>
      </c>
      <c r="M75" s="237" t="inlineStr">
        <is>
          <t>—</t>
        </is>
      </c>
      <c r="N75" s="232">
        <f>IFERROR(INDEX('CoQ Register'!$B:$B,MATCH("P060282|I",'CoQ Register'!$S:$S,0)),"—")</f>
        <v/>
      </c>
      <c r="O75" s="232" t="inlineStr">
        <is>
          <t>iCoA-PP-2026-0018</t>
        </is>
      </c>
      <c r="P75" s="232" t="inlineStr">
        <is>
          <t>18.05.2026</t>
        </is>
      </c>
      <c r="Q75" s="232" t="inlineStr">
        <is>
          <t>25.03.2026</t>
        </is>
      </c>
      <c r="R75" s="232" t="inlineStr">
        <is>
          <t>18.05.2026</t>
        </is>
      </c>
      <c r="S75" s="234">
        <f>IFERROR(INDEX('CoQ Register'!$D:$D,MATCH("P060282|I",'CoQ Register'!$S:$S,0)),"")</f>
        <v/>
      </c>
      <c r="T75" s="232" t="inlineStr">
        <is>
          <t>Conforms</t>
        </is>
      </c>
      <c r="U75" s="232" t="inlineStr">
        <is>
          <t>Conforms</t>
        </is>
      </c>
      <c r="V75" s="232" t="inlineStr">
        <is>
          <t>Conforms</t>
        </is>
      </c>
      <c r="W75" s="232" t="inlineStr">
        <is>
          <t>ППК26069, (11.05.2026) [CNP]</t>
        </is>
      </c>
      <c r="X75" s="232" t="inlineStr">
        <is>
          <t>—</t>
        </is>
      </c>
      <c r="Y75" s="232" t="inlineStr">
        <is>
          <t>—</t>
        </is>
      </c>
      <c r="Z75" s="232" t="inlineStr">
        <is>
          <t>—</t>
        </is>
      </c>
      <c r="AA75" s="232" t="inlineStr">
        <is>
          <t>P060282|I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FB112501</t>
        </is>
      </c>
      <c r="J76" s="232" t="inlineStr">
        <is>
          <t>P060292</t>
        </is>
      </c>
      <c r="K76" s="232" t="inlineStr">
        <is>
          <t>Fat Bastard</t>
        </is>
      </c>
      <c r="L76" s="232" t="inlineStr">
        <is>
          <t>Ident A + Ident B + Foreign matter</t>
        </is>
      </c>
      <c r="M76" s="237" t="inlineStr">
        <is>
          <t>—</t>
        </is>
      </c>
      <c r="N76" s="232">
        <f>IFERROR(INDEX('CoQ Register'!$B:$B,MATCH("P060292|I",'CoQ Register'!$S:$S,0)),"—")</f>
        <v/>
      </c>
      <c r="O76" s="237" t="inlineStr">
        <is>
          <t>—</t>
        </is>
      </c>
      <c r="P76" s="232" t="inlineStr">
        <is>
          <t>11.05.2026</t>
        </is>
      </c>
      <c r="Q76" s="232" t="inlineStr">
        <is>
          <t>25.03.2026</t>
        </is>
      </c>
      <c r="R76" s="232" t="inlineStr">
        <is>
          <t>19.05.2026 (the issuance plan's basis: 11.05.2026)</t>
        </is>
      </c>
      <c r="S76" s="234">
        <f>IFERROR(INDEX('CoQ Register'!$D:$D,MATCH("P060292|I",'CoQ Register'!$S:$S,0)),"")</f>
        <v/>
      </c>
      <c r="T76" s="232" t="inlineStr">
        <is>
          <t>Conforms</t>
        </is>
      </c>
      <c r="U76" s="232" t="inlineStr">
        <is>
          <t>Conforms</t>
        </is>
      </c>
      <c r="V76" s="232" t="inlineStr">
        <is>
          <t>Conforms</t>
        </is>
      </c>
      <c r="W76" s="232" t="inlineStr">
        <is>
          <t>ППК26066, (11.05.2026) [CNP]</t>
        </is>
      </c>
      <c r="X76" s="232" t="inlineStr">
        <is>
          <t>—</t>
        </is>
      </c>
      <c r="Y76" s="232" t="inlineStr">
        <is>
          <t>—</t>
        </is>
      </c>
      <c r="Z76" s="232" t="inlineStr">
        <is>
          <t>—</t>
        </is>
      </c>
      <c r="AA76" s="232" t="inlineStr">
        <is>
          <t>P060292|I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GG012601＊</t>
        </is>
      </c>
      <c r="J77" s="232" t="inlineStr">
        <is>
          <t>P060302</t>
        </is>
      </c>
      <c r="K77" s="232" t="inlineStr">
        <is>
          <t>Gorilla Glue</t>
        </is>
      </c>
      <c r="L77" s="232" t="inlineStr">
        <is>
          <t>Ident A + Ident B + Foreign matter</t>
        </is>
      </c>
      <c r="M77" s="237" t="inlineStr">
        <is>
          <t>—</t>
        </is>
      </c>
      <c r="N77" s="232">
        <f>IFERROR(INDEX('CoQ Register'!$B:$B,MATCH("P060302|I",'CoQ Register'!$S:$S,0)),"—")</f>
        <v/>
      </c>
      <c r="O77" s="237" t="inlineStr">
        <is>
          <t>—</t>
        </is>
      </c>
      <c r="P77" s="232" t="inlineStr">
        <is>
          <t>11.05.2026</t>
        </is>
      </c>
      <c r="Q77" s="232" t="inlineStr">
        <is>
          <t>27.03.2026</t>
        </is>
      </c>
      <c r="R77" s="232" t="inlineStr">
        <is>
          <t>20.05.2026 (the issuance plan's basis: 11.05.2026)</t>
        </is>
      </c>
      <c r="S77" s="234">
        <f>IFERROR(INDEX('CoQ Register'!$D:$D,MATCH("P060302|I",'CoQ Register'!$S:$S,0)),"")</f>
        <v/>
      </c>
      <c r="T77" s="232" t="inlineStr">
        <is>
          <t>Conforms</t>
        </is>
      </c>
      <c r="U77" s="232" t="inlineStr">
        <is>
          <t>Conforms</t>
        </is>
      </c>
      <c r="V77" s="232" t="inlineStr">
        <is>
          <t>Conforms</t>
        </is>
      </c>
      <c r="W77" s="232" t="inlineStr">
        <is>
          <t>ППК26062, (11.05.2026) [CNP]</t>
        </is>
      </c>
      <c r="X77" s="232" t="inlineStr">
        <is>
          <t>—</t>
        </is>
      </c>
      <c r="Y77" s="232" t="inlineStr">
        <is>
          <t>—</t>
        </is>
      </c>
      <c r="Z77" s="232" t="inlineStr">
        <is>
          <t>—</t>
        </is>
      </c>
      <c r="AA77" s="232" t="inlineStr">
        <is>
          <t>P060302|I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JD012601＊</t>
        </is>
      </c>
      <c r="J78" s="232" t="inlineStr">
        <is>
          <t>P060312</t>
        </is>
      </c>
      <c r="K78" s="232" t="inlineStr">
        <is>
          <t>Jelly Donutz</t>
        </is>
      </c>
      <c r="L78" s="232" t="inlineStr">
        <is>
          <t>Ident A + Ident B + Foreign matter</t>
        </is>
      </c>
      <c r="M78" s="237" t="inlineStr">
        <is>
          <t>—</t>
        </is>
      </c>
      <c r="N78" s="232">
        <f>IFERROR(INDEX('CoQ Register'!$B:$B,MATCH("P060312|I",'CoQ Register'!$S:$S,0)),"—")</f>
        <v/>
      </c>
      <c r="O78" s="237" t="inlineStr">
        <is>
          <t>—</t>
        </is>
      </c>
      <c r="P78" s="232" t="inlineStr">
        <is>
          <t>11.05.2026</t>
        </is>
      </c>
      <c r="Q78" s="232" t="inlineStr">
        <is>
          <t>27.03.2026</t>
        </is>
      </c>
      <c r="R78" s="232" t="inlineStr">
        <is>
          <t>21.05.2026 (the issuance plan's basis: 11.05.2026)</t>
        </is>
      </c>
      <c r="S78" s="234">
        <f>IFERROR(INDEX('CoQ Register'!$D:$D,MATCH("P060312|I",'CoQ Register'!$S:$S,0)),"")</f>
        <v/>
      </c>
      <c r="T78" s="232" t="inlineStr">
        <is>
          <t>Conforms</t>
        </is>
      </c>
      <c r="U78" s="232" t="inlineStr">
        <is>
          <t>Conforms</t>
        </is>
      </c>
      <c r="V78" s="232" t="inlineStr">
        <is>
          <t>Conforms</t>
        </is>
      </c>
      <c r="W78" s="232" t="inlineStr">
        <is>
          <t>ППК26064, (11.05.2026) [CNP]</t>
        </is>
      </c>
      <c r="X78" s="232" t="inlineStr">
        <is>
          <t>—</t>
        </is>
      </c>
      <c r="Y78" s="232" t="inlineStr">
        <is>
          <t>—</t>
        </is>
      </c>
      <c r="Z78" s="232" t="inlineStr">
        <is>
          <t>—</t>
        </is>
      </c>
      <c r="AA78" s="232" t="inlineStr">
        <is>
          <t>P060312|I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FB012601_1</t>
        </is>
      </c>
      <c r="J79" s="232" t="inlineStr">
        <is>
          <t>P060322</t>
        </is>
      </c>
      <c r="K79" s="232" t="inlineStr">
        <is>
          <t>Fat Bastard</t>
        </is>
      </c>
      <c r="L79" s="232" t="inlineStr">
        <is>
          <t>Ident A + Ident B + Foreign matter</t>
        </is>
      </c>
      <c r="M79" s="237" t="inlineStr">
        <is>
          <t>—</t>
        </is>
      </c>
      <c r="N79" s="232">
        <f>IFERROR(INDEX('CoQ Register'!$B:$B,MATCH("P060322|I",'CoQ Register'!$S:$S,0)),"—")</f>
        <v/>
      </c>
      <c r="O79" s="232" t="inlineStr">
        <is>
          <t>iCoA-PP-2026-0019</t>
        </is>
      </c>
      <c r="P79" s="232" t="inlineStr">
        <is>
          <t>22.05.2026</t>
        </is>
      </c>
      <c r="Q79" s="232" t="inlineStr">
        <is>
          <t>27.03.2026</t>
        </is>
      </c>
      <c r="R79" s="232" t="inlineStr">
        <is>
          <t>22.05.2026</t>
        </is>
      </c>
      <c r="S79" s="234">
        <f>IFERROR(INDEX('CoQ Register'!$D:$D,MATCH("P060322|I",'CoQ Register'!$S:$S,0)),"")</f>
        <v/>
      </c>
      <c r="T79" s="232" t="inlineStr">
        <is>
          <t>Conforms</t>
        </is>
      </c>
      <c r="U79" s="232" t="inlineStr">
        <is>
          <t>Conforms</t>
        </is>
      </c>
      <c r="V79" s="232" t="inlineStr">
        <is>
          <t>Conforms</t>
        </is>
      </c>
      <c r="W79" s="232" t="inlineStr">
        <is>
          <t>ППК26067, (11.05.2026) [CNP]</t>
        </is>
      </c>
      <c r="X79" s="232" t="inlineStr">
        <is>
          <t>—</t>
        </is>
      </c>
      <c r="Y79" s="232" t="inlineStr">
        <is>
          <t>—</t>
        </is>
      </c>
      <c r="Z79" s="232" t="inlineStr">
        <is>
          <t>—</t>
        </is>
      </c>
      <c r="AA79" s="232" t="inlineStr">
        <is>
          <t>P060322|I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CC012601/1</t>
        </is>
      </c>
      <c r="J80" s="232" t="inlineStr">
        <is>
          <t>P060332</t>
        </is>
      </c>
      <c r="K80" s="232" t="inlineStr">
        <is>
          <t>Cash Cow</t>
        </is>
      </c>
      <c r="L80" s="232" t="inlineStr">
        <is>
          <t>Ident A + Ident B + Foreign matter</t>
        </is>
      </c>
      <c r="M80" s="237" t="inlineStr">
        <is>
          <t>—</t>
        </is>
      </c>
      <c r="N80" s="232">
        <f>IFERROR(INDEX('CoQ Register'!$B:$B,MATCH("P060332|I",'CoQ Register'!$S:$S,0)),"—")</f>
        <v/>
      </c>
      <c r="O80" s="237" t="inlineStr">
        <is>
          <t>—</t>
        </is>
      </c>
      <c r="P80" s="232" t="inlineStr">
        <is>
          <t>10.08.2026</t>
        </is>
      </c>
      <c r="Q80" s="232" t="inlineStr">
        <is>
          <t>16.04.2026</t>
        </is>
      </c>
      <c r="R80" s="232" t="inlineStr">
        <is>
          <t>22.05.2026 (the issuance plan's basis: 10.08.2026)</t>
        </is>
      </c>
      <c r="S80" s="234">
        <f>IFERROR(INDEX('CoQ Register'!$D:$D,MATCH("P060332|I",'CoQ Register'!$S:$S,0)),"")</f>
        <v/>
      </c>
      <c r="T80" s="232" t="inlineStr">
        <is>
          <t>Conforms</t>
        </is>
      </c>
      <c r="U80" s="232" t="inlineStr">
        <is>
          <t>Conforms</t>
        </is>
      </c>
      <c r="V80" s="232" t="inlineStr">
        <is>
          <t>Conforms</t>
        </is>
      </c>
      <c r="W80" s="232" t="inlineStr">
        <is>
          <t>— no cannabinoid certificate from the initial testing —</t>
        </is>
      </c>
      <c r="X80" s="232" t="inlineStr">
        <is>
          <t>—</t>
        </is>
      </c>
      <c r="Y80" s="232" t="inlineStr">
        <is>
          <t>—</t>
        </is>
      </c>
      <c r="Z80" s="232" t="inlineStr">
        <is>
          <t>—</t>
        </is>
      </c>
      <c r="AA80" s="232" t="inlineStr">
        <is>
          <t>P060332|I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FB012603V</t>
        </is>
      </c>
      <c r="J81" s="232" t="inlineStr">
        <is>
          <t>P060392</t>
        </is>
      </c>
      <c r="K81" s="232" t="inlineStr">
        <is>
          <t>Fat Bastard</t>
        </is>
      </c>
      <c r="L81" s="232" t="inlineStr">
        <is>
          <t>Ident A + Ident B + Foreign matter</t>
        </is>
      </c>
      <c r="M81" s="232" t="inlineStr">
        <is>
          <t>A: ППК26110 / B: ППК26110 / FM: ППК26110</t>
        </is>
      </c>
      <c r="N81" s="232">
        <f>IFERROR(INDEX('CoQ Register'!$B:$B,MATCH("P060392|I",'CoQ Register'!$S:$S,0)),"—")</f>
        <v/>
      </c>
      <c r="O81" s="237" t="inlineStr">
        <is>
          <t>—</t>
        </is>
      </c>
      <c r="P81" s="232" t="inlineStr">
        <is>
          <t>30.06.2026</t>
        </is>
      </c>
      <c r="Q81" s="232" t="inlineStr">
        <is>
          <t>29.04.2026</t>
        </is>
      </c>
      <c r="R81" s="232" t="inlineStr">
        <is>
          <t>23.05.2026 (the issuance plan's basis: 30.06.2026)</t>
        </is>
      </c>
      <c r="S81" s="234">
        <f>IFERROR(INDEX('CoQ Register'!$D:$D,MATCH("P060392|I",'CoQ Register'!$S:$S,0)),"")</f>
        <v/>
      </c>
      <c r="T81" s="232" t="inlineStr">
        <is>
          <t>CNP ППК26110</t>
        </is>
      </c>
      <c r="U81" s="232" t="inlineStr">
        <is>
          <t>CNP ППК26110</t>
        </is>
      </c>
      <c r="V81" s="232" t="inlineStr">
        <is>
          <t>CNP ППК26110</t>
        </is>
      </c>
      <c r="W81" s="232" t="inlineStr">
        <is>
          <t>ППК26110, (30.06.2026) [CNP]</t>
        </is>
      </c>
      <c r="X81" s="232" t="inlineStr">
        <is>
          <t>—</t>
        </is>
      </c>
      <c r="Y81" s="232" t="inlineStr">
        <is>
          <t>—</t>
        </is>
      </c>
      <c r="Z81" s="232" t="inlineStr">
        <is>
          <t>—</t>
        </is>
      </c>
      <c r="AA81" s="232" t="inlineStr">
        <is>
          <t>P060392|I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JD012603</t>
        </is>
      </c>
      <c r="J82" s="232" t="inlineStr">
        <is>
          <t>P060422</t>
        </is>
      </c>
      <c r="K82" s="232" t="inlineStr">
        <is>
          <t>Jelly Donutz</t>
        </is>
      </c>
      <c r="L82" s="232" t="inlineStr">
        <is>
          <t>Ident A + Ident B + Foreign matter</t>
        </is>
      </c>
      <c r="M82" s="232" t="inlineStr">
        <is>
          <t>A: ППК26111 / B: ППК26111 / FM: ППК26111</t>
        </is>
      </c>
      <c r="N82" s="232">
        <f>IFERROR(INDEX('CoQ Register'!$B:$B,MATCH("P060422|I",'CoQ Register'!$S:$S,0)),"—")</f>
        <v/>
      </c>
      <c r="O82" s="232" t="inlineStr">
        <is>
          <t>iCoA-PP-2026-0022</t>
        </is>
      </c>
      <c r="P82" s="232" t="inlineStr">
        <is>
          <t>23.05.2026</t>
        </is>
      </c>
      <c r="Q82" s="232" t="inlineStr">
        <is>
          <t>29.04.2026</t>
        </is>
      </c>
      <c r="R82" s="232" t="inlineStr">
        <is>
          <t>23.05.2026</t>
        </is>
      </c>
      <c r="S82" s="234">
        <f>IFERROR(INDEX('CoQ Register'!$D:$D,MATCH("P060422|I",'CoQ Register'!$S:$S,0)),"")</f>
        <v/>
      </c>
      <c r="T82" s="232" t="inlineStr">
        <is>
          <t>CNP ППК26111</t>
        </is>
      </c>
      <c r="U82" s="232" t="inlineStr">
        <is>
          <t>CNP ППК26111</t>
        </is>
      </c>
      <c r="V82" s="232" t="inlineStr">
        <is>
          <t>CNP ППК26111</t>
        </is>
      </c>
      <c r="W82" s="232" t="inlineStr">
        <is>
          <t>ППК26111, (30.06.2026) [CNP]</t>
        </is>
      </c>
      <c r="X82" s="232" t="inlineStr">
        <is>
          <t>—</t>
        </is>
      </c>
      <c r="Y82" s="232" t="inlineStr">
        <is>
          <t>—</t>
        </is>
      </c>
      <c r="Z82" s="232" t="inlineStr">
        <is>
          <t>—</t>
        </is>
      </c>
      <c r="AA82" s="232" t="inlineStr">
        <is>
          <t>P060422|I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JD012603</t>
        </is>
      </c>
      <c r="J83" s="232" t="inlineStr">
        <is>
          <t>P060362</t>
        </is>
      </c>
      <c r="K83" s="232" t="inlineStr">
        <is>
          <t>Jelly Donutz</t>
        </is>
      </c>
      <c r="L83" s="232" t="inlineStr">
        <is>
          <t>Ident A + Ident B + Foreign matter</t>
        </is>
      </c>
      <c r="M83" s="232" t="inlineStr">
        <is>
          <t>A: ППК26111 / B: ППК26111 / FM: ППК26111</t>
        </is>
      </c>
      <c r="N83" s="232">
        <f>IFERROR(INDEX('CoQ Register'!$B:$B,MATCH("P060362|I",'CoQ Register'!$S:$S,0)),"—")</f>
        <v/>
      </c>
      <c r="O83" s="232" t="inlineStr">
        <is>
          <t>iCoA-PP-2026-0020</t>
        </is>
      </c>
      <c r="P83" s="232" t="inlineStr">
        <is>
          <t>23.05.2026</t>
        </is>
      </c>
      <c r="Q83" s="232" t="inlineStr">
        <is>
          <t>22.04.2026</t>
        </is>
      </c>
      <c r="R83" s="232" t="inlineStr">
        <is>
          <t>23.05.2026</t>
        </is>
      </c>
      <c r="S83" s="234">
        <f>IFERROR(INDEX('CoQ Register'!$D:$D,MATCH("P060362|I",'CoQ Register'!$S:$S,0)),"")</f>
        <v/>
      </c>
      <c r="T83" s="232" t="inlineStr">
        <is>
          <t>CNP ППК26111</t>
        </is>
      </c>
      <c r="U83" s="232" t="inlineStr">
        <is>
          <t>CNP ППК26111</t>
        </is>
      </c>
      <c r="V83" s="232" t="inlineStr">
        <is>
          <t>CNP ППК26111</t>
        </is>
      </c>
      <c r="W83" s="232" t="inlineStr">
        <is>
          <t>— no cannabinoid certificate from the initial testing —</t>
        </is>
      </c>
      <c r="X83" s="232" t="inlineStr">
        <is>
          <t>—</t>
        </is>
      </c>
      <c r="Y83" s="232" t="inlineStr">
        <is>
          <t>—</t>
        </is>
      </c>
      <c r="Z83" s="232" t="inlineStr">
        <is>
          <t>—</t>
        </is>
      </c>
      <c r="AA83" s="232" t="inlineStr">
        <is>
          <t>P060362|I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FB012602*</t>
        </is>
      </c>
      <c r="J84" s="232" t="inlineStr">
        <is>
          <t>P060352</t>
        </is>
      </c>
      <c r="K84" s="232" t="inlineStr">
        <is>
          <t>Fat Bastard</t>
        </is>
      </c>
      <c r="L84" s="232" t="inlineStr">
        <is>
          <t>Ident A + Ident B + Foreign matter</t>
        </is>
      </c>
      <c r="M84" s="237" t="inlineStr">
        <is>
          <t>—</t>
        </is>
      </c>
      <c r="N84" s="232">
        <f>IFERROR(INDEX('CoQ Register'!$B:$B,MATCH("P060352|I",'CoQ Register'!$S:$S,0)),"—")</f>
        <v/>
      </c>
      <c r="O84" s="232" t="inlineStr">
        <is>
          <t>iCoA-PP-2026-0021</t>
        </is>
      </c>
      <c r="P84" s="232" t="inlineStr">
        <is>
          <t>23.05.2026</t>
        </is>
      </c>
      <c r="Q84" s="232" t="inlineStr">
        <is>
          <t>16.04.2026</t>
        </is>
      </c>
      <c r="R84" s="232" t="inlineStr">
        <is>
          <t>23.05.2026</t>
        </is>
      </c>
      <c r="S84" s="234">
        <f>IFERROR(INDEX('CoQ Register'!$D:$D,MATCH("P060352|I",'CoQ Register'!$S:$S,0)),"")</f>
        <v/>
      </c>
      <c r="T84" s="232" t="inlineStr">
        <is>
          <t>Conforms</t>
        </is>
      </c>
      <c r="U84" s="232" t="inlineStr">
        <is>
          <t>Conforms</t>
        </is>
      </c>
      <c r="V84" s="232" t="inlineStr">
        <is>
          <t>Conforms</t>
        </is>
      </c>
      <c r="W84" s="232" t="inlineStr">
        <is>
          <t>— no cannabinoid certificate from the initial testing —</t>
        </is>
      </c>
      <c r="X84" s="232" t="inlineStr">
        <is>
          <t>—</t>
        </is>
      </c>
      <c r="Y84" s="232" t="inlineStr">
        <is>
          <t>—</t>
        </is>
      </c>
      <c r="Z84" s="232" t="inlineStr">
        <is>
          <t>—</t>
        </is>
      </c>
      <c r="AA84" s="232" t="inlineStr">
        <is>
          <t>P060352|I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CC012603</t>
        </is>
      </c>
      <c r="J85" s="232" t="inlineStr">
        <is>
          <t>P060372</t>
        </is>
      </c>
      <c r="K85" s="232" t="inlineStr">
        <is>
          <t>Cash Cow</t>
        </is>
      </c>
      <c r="L85" s="232" t="inlineStr">
        <is>
          <t>Ident A + Ident B + Foreign matter</t>
        </is>
      </c>
      <c r="M85" s="237" t="inlineStr">
        <is>
          <t>—</t>
        </is>
      </c>
      <c r="N85" s="232">
        <f>IFERROR(INDEX('CoQ Register'!$B:$B,MATCH("P060372|I",'CoQ Register'!$S:$S,0)),"—")</f>
        <v/>
      </c>
      <c r="O85" s="232" t="inlineStr">
        <is>
          <t>iCoA-PP-2026-0024</t>
        </is>
      </c>
      <c r="P85" s="232" t="inlineStr">
        <is>
          <t>24.05.2026</t>
        </is>
      </c>
      <c r="Q85" s="232" t="inlineStr">
        <is>
          <t>22.04.2026</t>
        </is>
      </c>
      <c r="R85" s="232" t="inlineStr">
        <is>
          <t>24.05.2026</t>
        </is>
      </c>
      <c r="S85" s="234">
        <f>IFERROR(INDEX('CoQ Register'!$D:$D,MATCH("P060372|I",'CoQ Register'!$S:$S,0)),"")</f>
        <v/>
      </c>
      <c r="T85" s="232" t="inlineStr">
        <is>
          <t>Conforms</t>
        </is>
      </c>
      <c r="U85" s="232" t="inlineStr">
        <is>
          <t>Conforms</t>
        </is>
      </c>
      <c r="V85" s="232" t="inlineStr">
        <is>
          <t>Conforms</t>
        </is>
      </c>
      <c r="W85" s="232" t="inlineStr">
        <is>
          <t>— no cannabinoid certificate from the initial testing —</t>
        </is>
      </c>
      <c r="X85" s="232" t="inlineStr">
        <is>
          <t>—</t>
        </is>
      </c>
      <c r="Y85" s="232" t="inlineStr">
        <is>
          <t>—</t>
        </is>
      </c>
      <c r="Z85" s="232" t="inlineStr">
        <is>
          <t>—</t>
        </is>
      </c>
      <c r="AA85" s="232" t="inlineStr">
        <is>
          <t>P060372|I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GG012603</t>
        </is>
      </c>
      <c r="J86" s="232" t="inlineStr">
        <is>
          <t>P060402</t>
        </is>
      </c>
      <c r="K86" s="232" t="inlineStr">
        <is>
          <t>Gorilla Glue</t>
        </is>
      </c>
      <c r="L86" s="232" t="inlineStr">
        <is>
          <t>Ident A + Ident B + Foreign matter</t>
        </is>
      </c>
      <c r="M86" s="232" t="inlineStr">
        <is>
          <t>A: ППК26114 / B: ППК26114 / FM: ППК26114</t>
        </is>
      </c>
      <c r="N86" s="232">
        <f>IFERROR(INDEX('CoQ Register'!$B:$B,MATCH("P060402|I",'CoQ Register'!$S:$S,0)),"—")</f>
        <v/>
      </c>
      <c r="O86" s="232" t="inlineStr">
        <is>
          <t>iCoA-PP-2026-0023</t>
        </is>
      </c>
      <c r="P86" s="232" t="inlineStr">
        <is>
          <t>24.05.2026</t>
        </is>
      </c>
      <c r="Q86" s="232" t="inlineStr">
        <is>
          <t>04.05.2026</t>
        </is>
      </c>
      <c r="R86" s="232" t="inlineStr">
        <is>
          <t>24.05.2026</t>
        </is>
      </c>
      <c r="S86" s="234">
        <f>IFERROR(INDEX('CoQ Register'!$D:$D,MATCH("P060402|I",'CoQ Register'!$S:$S,0)),"")</f>
        <v/>
      </c>
      <c r="T86" s="232" t="inlineStr">
        <is>
          <t>CNP ППК26114</t>
        </is>
      </c>
      <c r="U86" s="232" t="inlineStr">
        <is>
          <t>CNP ППК26114</t>
        </is>
      </c>
      <c r="V86" s="232" t="inlineStr">
        <is>
          <t>CNP ППК26114</t>
        </is>
      </c>
      <c r="W86" s="232" t="inlineStr">
        <is>
          <t>ППК26114, (30.06.2026) [CNP]</t>
        </is>
      </c>
      <c r="X86" s="232" t="inlineStr">
        <is>
          <t>—</t>
        </is>
      </c>
      <c r="Y86" s="232" t="inlineStr">
        <is>
          <t>—</t>
        </is>
      </c>
      <c r="Z86" s="232" t="inlineStr">
        <is>
          <t>—</t>
        </is>
      </c>
      <c r="AA86" s="232" t="inlineStr">
        <is>
          <t>P060402|I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JD012603</t>
        </is>
      </c>
      <c r="J87" s="232" t="inlineStr">
        <is>
          <t>P060412</t>
        </is>
      </c>
      <c r="K87" s="232" t="inlineStr">
        <is>
          <t>Jelly Donutz</t>
        </is>
      </c>
      <c r="L87" s="232" t="inlineStr">
        <is>
          <t>Ident A + Ident B + Foreign matter</t>
        </is>
      </c>
      <c r="M87" s="232" t="inlineStr">
        <is>
          <t>A: ППК26111 / B: ППК26111 / FM: ППК26111</t>
        </is>
      </c>
      <c r="N87" s="232">
        <f>IFERROR(INDEX('CoQ Register'!$B:$B,MATCH("P060412|I",'CoQ Register'!$S:$S,0)),"—")</f>
        <v/>
      </c>
      <c r="O87" s="232" t="inlineStr">
        <is>
          <t>iCoA-PP-2026-0025</t>
        </is>
      </c>
      <c r="P87" s="232" t="inlineStr">
        <is>
          <t>24.05.2026</t>
        </is>
      </c>
      <c r="Q87" s="232" t="inlineStr">
        <is>
          <t>04.05.2026</t>
        </is>
      </c>
      <c r="R87" s="232" t="inlineStr">
        <is>
          <t>24.05.2026</t>
        </is>
      </c>
      <c r="S87" s="234">
        <f>IFERROR(INDEX('CoQ Register'!$D:$D,MATCH("P060412|I",'CoQ Register'!$S:$S,0)),"")</f>
        <v/>
      </c>
      <c r="T87" s="232" t="inlineStr">
        <is>
          <t>CNP ППК26111</t>
        </is>
      </c>
      <c r="U87" s="232" t="inlineStr">
        <is>
          <t>CNP ППК26111</t>
        </is>
      </c>
      <c r="V87" s="232" t="inlineStr">
        <is>
          <t>CNP ППК26111</t>
        </is>
      </c>
      <c r="W87" s="232" t="inlineStr">
        <is>
          <t>ППК26113, (30.06.2026) [CNP]</t>
        </is>
      </c>
      <c r="X87" s="232" t="inlineStr">
        <is>
          <t>—</t>
        </is>
      </c>
      <c r="Y87" s="232" t="inlineStr">
        <is>
          <t>—</t>
        </is>
      </c>
      <c r="Z87" s="232" t="inlineStr">
        <is>
          <t>—</t>
        </is>
      </c>
      <c r="AA87" s="232" t="inlineStr">
        <is>
          <t>P060412|I</t>
        </is>
      </c>
      <c r="AB87" s="239" t="inlineStr">
        <is>
          <t>registered — initial release, issued 03.06.2026</t>
        </is>
      </c>
    </row>
    <row r="88">
      <c r="A88" s="232" t="n">
        <v>87</v>
      </c>
      <c r="B88" s="233" t="inlineStr">
        <is>
          <t>iCoA-PP_26-087</t>
        </is>
      </c>
      <c r="C88" s="238" t="inlineStr">
        <is>
          <t>yes</t>
        </is>
      </c>
      <c r="D88" s="234">
        <f>IF(A88="","",IF(ISNUMBER(E88),MAX(DATE(2026,6,3),E88),DATE(2026,6,3)))</f>
        <v/>
      </c>
      <c r="E88" s="234">
        <f>IFERROR(INDEX('Batch Dates'!$F:$F,MATCH(J88,'Batch Dates'!$C:$C,0)),IFERROR(INDEX('Batch Dates'!$F:$F,MATCH(I88,'Batch Dates'!$B:$B,0)),""))</f>
        <v/>
      </c>
      <c r="F88" s="234">
        <f>IFERROR(INDEX('Batch Dates'!$G:$G,MATCH(J88,'Batch Dates'!$C:$C,0)),IFERROR(INDEX('Batch Dates'!$G:$G,MATCH(I88,'Batch Dates'!$B:$B,0)),""))</f>
        <v/>
      </c>
      <c r="G88" s="232" t="inlineStr">
        <is>
          <t>post-SOP</t>
        </is>
      </c>
      <c r="H88" s="232" t="inlineStr">
        <is>
          <t>initial release</t>
        </is>
      </c>
      <c r="I88" s="233" t="inlineStr">
        <is>
          <t>SCR012603</t>
        </is>
      </c>
      <c r="J88" s="232" t="inlineStr">
        <is>
          <t>P060382</t>
        </is>
      </c>
      <c r="K88" s="232" t="inlineStr">
        <is>
          <t>Scrambler</t>
        </is>
      </c>
      <c r="L88" s="232" t="inlineStr">
        <is>
          <t>Ident A + Ident B + Foreign matter</t>
        </is>
      </c>
      <c r="M88" s="237" t="inlineStr">
        <is>
          <t>—</t>
        </is>
      </c>
      <c r="N88" s="232">
        <f>IFERROR(INDEX('CoQ Register'!$B:$B,MATCH("P060382|I",'CoQ Register'!$S:$S,0)),"—")</f>
        <v/>
      </c>
      <c r="O88" s="232" t="inlineStr">
        <is>
          <t>iCoA-PP-2026-0026</t>
        </is>
      </c>
      <c r="P88" s="232" t="inlineStr">
        <is>
          <t>25.05.2026</t>
        </is>
      </c>
      <c r="Q88" s="232" t="inlineStr">
        <is>
          <t>22.04.2026</t>
        </is>
      </c>
      <c r="R88" s="232" t="inlineStr">
        <is>
          <t>25.05.2026</t>
        </is>
      </c>
      <c r="S88" s="234">
        <f>IFERROR(INDEX('CoQ Register'!$D:$D,MATCH("P060382|I",'CoQ Register'!$S:$S,0)),"")</f>
        <v/>
      </c>
      <c r="T88" s="232" t="inlineStr">
        <is>
          <t>Conforms</t>
        </is>
      </c>
      <c r="U88" s="232" t="inlineStr">
        <is>
          <t>Conforms</t>
        </is>
      </c>
      <c r="V88" s="232" t="inlineStr">
        <is>
          <t>Conforms</t>
        </is>
      </c>
      <c r="W88" s="232" t="inlineStr">
        <is>
          <t>— no cannabinoid certificate from the initial testing —</t>
        </is>
      </c>
      <c r="X88" s="232" t="inlineStr">
        <is>
          <t>—</t>
        </is>
      </c>
      <c r="Y88" s="232" t="inlineStr">
        <is>
          <t>—</t>
        </is>
      </c>
      <c r="Z88" s="232" t="inlineStr">
        <is>
          <t>—</t>
        </is>
      </c>
      <c r="AA88" s="232" t="inlineStr">
        <is>
          <t>P060382|I</t>
        </is>
      </c>
      <c r="AB88" s="239" t="inlineStr">
        <is>
          <t>registered — initial release, issued 03.06.2026</t>
        </is>
      </c>
    </row>
    <row r="89">
      <c r="A89" s="232" t="n">
        <v>88</v>
      </c>
      <c r="B89" s="233" t="inlineStr">
        <is>
          <t>iCoA-PP_26-088</t>
        </is>
      </c>
      <c r="C89" s="238" t="inlineStr">
        <is>
          <t>yes</t>
        </is>
      </c>
      <c r="D89" s="234">
        <f>IF(A89="","",IF(ISNUMBER(E89),MAX(DATE(2026,6,3),E89),DATE(2026,6,3)))</f>
        <v/>
      </c>
      <c r="E89" s="234">
        <f>IFERROR(INDEX('Batch Dates'!$F:$F,MATCH(J89,'Batch Dates'!$C:$C,0)),IFERROR(INDEX('Batch Dates'!$F:$F,MATCH(I89,'Batch Dates'!$B:$B,0)),""))</f>
        <v/>
      </c>
      <c r="F89" s="234">
        <f>IFERROR(INDEX('Batch Dates'!$G:$G,MATCH(J89,'Batch Dates'!$C:$C,0)),IFERROR(INDEX('Batch Dates'!$G:$G,MATCH(I89,'Batch Dates'!$B:$B,0)),""))</f>
        <v/>
      </c>
      <c r="G89" s="232" t="inlineStr">
        <is>
          <t>post-SOP</t>
        </is>
      </c>
      <c r="H89" s="232" t="inlineStr">
        <is>
          <t>initial release</t>
        </is>
      </c>
      <c r="I89" s="233" t="inlineStr">
        <is>
          <t>SCR012601*</t>
        </is>
      </c>
      <c r="J89" s="232" t="inlineStr">
        <is>
          <t>P060342</t>
        </is>
      </c>
      <c r="K89" s="232" t="inlineStr">
        <is>
          <t>Scrambler</t>
        </is>
      </c>
      <c r="L89" s="232" t="inlineStr">
        <is>
          <t>Ident A + Ident B + Foreign matter</t>
        </is>
      </c>
      <c r="M89" s="237" t="inlineStr">
        <is>
          <t>—</t>
        </is>
      </c>
      <c r="N89" s="232">
        <f>IFERROR(INDEX('CoQ Register'!$B:$B,MATCH("P060342|I",'CoQ Register'!$S:$S,0)),"—")</f>
        <v/>
      </c>
      <c r="O89" s="237" t="inlineStr">
        <is>
          <t>—</t>
        </is>
      </c>
      <c r="P89" s="232" t="inlineStr">
        <is>
          <t>25.05.2026</t>
        </is>
      </c>
      <c r="Q89" s="232" t="inlineStr">
        <is>
          <t>16.04.2026</t>
        </is>
      </c>
      <c r="R89" s="232" t="inlineStr">
        <is>
          <t>25.05.2026</t>
        </is>
      </c>
      <c r="S89" s="234">
        <f>IFERROR(INDEX('CoQ Register'!$D:$D,MATCH("P060342|I",'CoQ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P060342|I</t>
        </is>
      </c>
      <c r="AB89" s="239" t="inlineStr">
        <is>
          <t>registered — initial release, issued 03.06.2026</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legacy</t>
        </is>
      </c>
      <c r="H90" s="232" t="inlineStr">
        <is>
          <t>initial release</t>
        </is>
      </c>
      <c r="I90" s="233" t="inlineStr">
        <is>
          <t>BSS1024_01/1</t>
        </is>
      </c>
      <c r="J90" s="232" t="inlineStr">
        <is>
          <t>P050122</t>
        </is>
      </c>
      <c r="K90" s="232" t="inlineStr">
        <is>
          <t>Blue Sunset Sherbet</t>
        </is>
      </c>
      <c r="L90" s="232" t="inlineStr">
        <is>
          <t>Ident A + Ident B + Foreign matter</t>
        </is>
      </c>
      <c r="M90" s="237" t="inlineStr">
        <is>
          <t>—</t>
        </is>
      </c>
      <c r="N90" s="232">
        <f>IFERROR(INDEX('CoQ Register'!$B:$B,MATCH("P050122|I",'CoQ Register'!$S:$S,0)),"—")</f>
        <v/>
      </c>
      <c r="O90" s="237" t="inlineStr">
        <is>
          <t>—</t>
        </is>
      </c>
      <c r="P90" s="232" t="inlineStr">
        <is>
          <t>10.07.2025</t>
        </is>
      </c>
      <c r="Q90" s="232" t="inlineStr">
        <is>
          <t>04.06.2025 – 05.06.2025</t>
        </is>
      </c>
      <c r="R90" s="232" t="inlineStr">
        <is>
          <t>01.09.2025 – 09.09.2025 (the issuance plan's basis: 10.07.2025)</t>
        </is>
      </c>
      <c r="S90" s="234">
        <f>IFERROR(INDEX('CoQ Register'!$D:$D,MATCH("P050122|I",'CoQ Register'!$S:$S,0)),"")</f>
        <v/>
      </c>
      <c r="T90" s="232" t="inlineStr">
        <is>
          <t>Conforms</t>
        </is>
      </c>
      <c r="U90" s="232" t="inlineStr">
        <is>
          <t>Conforms</t>
        </is>
      </c>
      <c r="V90" s="232" t="inlineStr">
        <is>
          <t>Conforms</t>
        </is>
      </c>
      <c r="W90" s="232" t="inlineStr">
        <is>
          <t>ППК25176, (10.07.2025) [CNP]</t>
        </is>
      </c>
      <c r="X90" s="232" t="inlineStr">
        <is>
          <t>—</t>
        </is>
      </c>
      <c r="Y90" s="232" t="inlineStr">
        <is>
          <t>—</t>
        </is>
      </c>
      <c r="Z90" s="232" t="inlineStr">
        <is>
          <t>—</t>
        </is>
      </c>
      <c r="AA90" s="232" t="inlineStr">
        <is>
          <t>P050122|I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t>
        </is>
      </c>
      <c r="H91" s="232" t="inlineStr">
        <is>
          <t>initial release</t>
        </is>
      </c>
      <c r="I91" s="233" t="inlineStr">
        <is>
          <t>CC042601</t>
        </is>
      </c>
      <c r="J91" s="232" t="inlineStr">
        <is>
          <t>N/A — no P batch assigned</t>
        </is>
      </c>
      <c r="K91" s="232" t="inlineStr">
        <is>
          <t>Cash Cow</t>
        </is>
      </c>
      <c r="L91" s="232" t="inlineStr">
        <is>
          <t>Ident A + Ident B + Foreign matter</t>
        </is>
      </c>
      <c r="M91" s="237" t="inlineStr">
        <is>
          <t>—</t>
        </is>
      </c>
      <c r="N91" s="232">
        <f>IFERROR(INDEX('CoQ Register'!$B:$B,MATCH("CC042601|I",'CoQ Register'!$S:$S,0)),"—")</f>
        <v/>
      </c>
      <c r="O91" s="237" t="inlineStr">
        <is>
          <t>—</t>
        </is>
      </c>
      <c r="P91" s="232" t="inlineStr">
        <is>
          <t>—</t>
        </is>
      </c>
      <c r="Q91" s="232" t="inlineStr">
        <is>
          <t>— not on the list —</t>
        </is>
      </c>
      <c r="R91" s="232" t="inlineStr">
        <is>
          <t>— not on the list —</t>
        </is>
      </c>
      <c r="S91" s="234">
        <f>IFERROR(INDEX('CoQ Register'!$D:$D,MATCH("CC042601|I",'CoQ Register'!$S:$S,0)),"")</f>
        <v/>
      </c>
      <c r="T91" s="232" t="inlineStr">
        <is>
          <t>Conforms</t>
        </is>
      </c>
      <c r="U91" s="232" t="inlineStr">
        <is>
          <t>Conforms</t>
        </is>
      </c>
      <c r="V91" s="232" t="inlineStr">
        <is>
          <t>Conforms</t>
        </is>
      </c>
      <c r="W91" s="232" t="inlineStr">
        <is>
          <t>— no cannabinoid certificate from the initial testing —</t>
        </is>
      </c>
      <c r="X91" s="232" t="inlineStr">
        <is>
          <t>—</t>
        </is>
      </c>
      <c r="Y91" s="232" t="inlineStr">
        <is>
          <t>—</t>
        </is>
      </c>
      <c r="Z91" s="232" t="inlineStr">
        <is>
          <t>—</t>
        </is>
      </c>
      <c r="AA91" s="232" t="inlineStr">
        <is>
          <t>CC042601|I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t="n">
        <v>46176</v>
      </c>
      <c r="E92" s="234" t="inlineStr">
        <is>
          <t>— not stated —</t>
        </is>
      </c>
      <c r="F92" s="234">
        <f>IFERROR(INDEX('Batch Dates'!$G:$G,MATCH(J92,'Batch Dates'!$C:$C,0)),IFERROR(INDEX('Batch Dates'!$G:$G,MATCH(I92,'Batch Dates'!$B:$B,0)),""))</f>
        <v/>
      </c>
      <c r="G92" s="232" t="inlineStr">
        <is>
          <t>—</t>
        </is>
      </c>
      <c r="H92" s="232" t="inlineStr">
        <is>
          <t>initial release</t>
        </is>
      </c>
      <c r="I92" s="233" t="inlineStr">
        <is>
          <t>FB042601</t>
        </is>
      </c>
      <c r="J92" s="232" t="inlineStr">
        <is>
          <t>N/A — no P batch assigned</t>
        </is>
      </c>
      <c r="K92" s="232" t="inlineStr">
        <is>
          <t>Fat Bastard</t>
        </is>
      </c>
      <c r="L92" s="232" t="inlineStr">
        <is>
          <t>Ident A + Ident B + Foreign matter</t>
        </is>
      </c>
      <c r="M92" s="237" t="inlineStr">
        <is>
          <t>—</t>
        </is>
      </c>
      <c r="N92" s="232">
        <f>IFERROR(INDEX('CoQ Register'!$B:$B,MATCH("FB042601|I",'CoQ Register'!$S:$S,0)),"—")</f>
        <v/>
      </c>
      <c r="O92" s="237" t="inlineStr">
        <is>
          <t>—</t>
        </is>
      </c>
      <c r="P92" s="232" t="inlineStr">
        <is>
          <t>—</t>
        </is>
      </c>
      <c r="Q92" s="232" t="inlineStr">
        <is>
          <t>— not on the list —</t>
        </is>
      </c>
      <c r="R92" s="232" t="inlineStr">
        <is>
          <t>— not on the list —</t>
        </is>
      </c>
      <c r="S92" s="234">
        <f>IFERROR(INDEX('CoQ Register'!$D:$D,MATCH("FB042601|I",'CoQ Register'!$S:$S,0)),"")</f>
        <v/>
      </c>
      <c r="T92" s="232" t="inlineStr">
        <is>
          <t>Conforms</t>
        </is>
      </c>
      <c r="U92" s="232" t="inlineStr">
        <is>
          <t>Conforms</t>
        </is>
      </c>
      <c r="V92" s="232" t="inlineStr">
        <is>
          <t>Conforms</t>
        </is>
      </c>
      <c r="W92" s="232" t="inlineStr">
        <is>
          <t>— no cannabinoid certificate from the initial testing —</t>
        </is>
      </c>
      <c r="X92" s="232" t="inlineStr">
        <is>
          <t>—</t>
        </is>
      </c>
      <c r="Y92" s="232" t="inlineStr">
        <is>
          <t>—</t>
        </is>
      </c>
      <c r="Z92" s="232" t="inlineStr">
        <is>
          <t>—</t>
        </is>
      </c>
      <c r="AA92" s="232" t="inlineStr">
        <is>
          <t>FB042601|I</t>
        </is>
      </c>
      <c r="AB92" s="239" t="inlineStr">
        <is>
          <t>registered — initial release, issued 03.06.2026 · no packaging date on file — testing date not stated (owner, 15.09.2026: certified all the same)</t>
        </is>
      </c>
    </row>
    <row r="93">
      <c r="A93" s="232" t="n">
        <v>92</v>
      </c>
      <c r="B93" s="233" t="inlineStr">
        <is>
          <t>iCoA-PP_26-092</t>
        </is>
      </c>
      <c r="C93" s="238" t="inlineStr">
        <is>
          <t>yes</t>
        </is>
      </c>
      <c r="D93" s="234" t="n">
        <v>46176</v>
      </c>
      <c r="E93" s="234" t="inlineStr">
        <is>
          <t>— not stated —</t>
        </is>
      </c>
      <c r="F93" s="234">
        <f>IFERROR(INDEX('Batch Dates'!$G:$G,MATCH(J93,'Batch Dates'!$C:$C,0)),IFERROR(INDEX('Batch Dates'!$G:$G,MATCH(I93,'Batch Dates'!$B:$B,0)),""))</f>
        <v/>
      </c>
      <c r="G93" s="232" t="inlineStr">
        <is>
          <t>legacy</t>
        </is>
      </c>
      <c r="H93" s="232" t="inlineStr">
        <is>
          <t>initial release</t>
        </is>
      </c>
      <c r="I93" s="233" t="inlineStr">
        <is>
          <t>OMP1024_01</t>
        </is>
      </c>
      <c r="J93" s="232" t="inlineStr">
        <is>
          <t>P050042</t>
        </is>
      </c>
      <c r="K93" s="232" t="inlineStr">
        <is>
          <t>Orange Punch Mimosa</t>
        </is>
      </c>
      <c r="L93" s="232" t="inlineStr">
        <is>
          <t>Ident A + Ident B + Foreign matter</t>
        </is>
      </c>
      <c r="M93" s="237" t="inlineStr">
        <is>
          <t>—</t>
        </is>
      </c>
      <c r="N93" s="232">
        <f>IFERROR(INDEX('CoQ Register'!$B:$B,MATCH("P050042|I",'CoQ Register'!$S:$S,0)),"—")</f>
        <v/>
      </c>
      <c r="O93" s="232" t="inlineStr">
        <is>
          <t>iCoA-PP-2025-0007</t>
        </is>
      </c>
      <c r="P93" s="232" t="inlineStr">
        <is>
          <t>20.06.2025</t>
        </is>
      </c>
      <c r="Q93" s="232" t="inlineStr">
        <is>
          <t>26.03.2025 – 27.03.2025</t>
        </is>
      </c>
      <c r="R93" s="232" t="inlineStr">
        <is>
          <t>20.06.2025</t>
        </is>
      </c>
      <c r="S93" s="234">
        <f>IFERROR(INDEX('CoQ Register'!$D:$D,MATCH("P050042|I",'CoQ Register'!$S:$S,0)),"")</f>
        <v/>
      </c>
      <c r="T93" s="232" t="inlineStr">
        <is>
          <t>Conforms</t>
        </is>
      </c>
      <c r="U93" s="232" t="inlineStr">
        <is>
          <t>Conforms</t>
        </is>
      </c>
      <c r="V93" s="232" t="inlineStr">
        <is>
          <t>Conforms</t>
        </is>
      </c>
      <c r="W93" s="232" t="inlineStr">
        <is>
          <t>ППК25117, (06.05.2025) [CNP]</t>
        </is>
      </c>
      <c r="X93" s="232" t="inlineStr">
        <is>
          <t>—</t>
        </is>
      </c>
      <c r="Y93" s="232" t="inlineStr">
        <is>
          <t>—</t>
        </is>
      </c>
      <c r="Z93" s="232" t="inlineStr">
        <is>
          <t>—</t>
        </is>
      </c>
      <c r="AA93" s="232" t="inlineStr">
        <is>
          <t>P050042|I</t>
        </is>
      </c>
      <c r="AB93" s="239" t="inlineStr">
        <is>
          <t>registered — initial release, issued 03.06.2026 · no packaging date on file — testing date not stated (owner, 15.09.2026: certified all the same)</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FB012603</t>
        </is>
      </c>
      <c r="J94" s="232" t="inlineStr">
        <is>
          <t>P060432</t>
        </is>
      </c>
      <c r="K94" s="232" t="inlineStr">
        <is>
          <t>Fat Bastard</t>
        </is>
      </c>
      <c r="L94" s="232" t="inlineStr">
        <is>
          <t>Ident A + Ident B + Foreign matter</t>
        </is>
      </c>
      <c r="M94" s="232" t="inlineStr">
        <is>
          <t>A: ППК26112 / B: ППК26112 / FM: ППК26112</t>
        </is>
      </c>
      <c r="N94" s="232">
        <f>IFERROR(INDEX('CoQ Register'!$B:$B,MATCH("P060432|I",'CoQ Register'!$S:$S,0)),"—")</f>
        <v/>
      </c>
      <c r="O94" s="237" t="inlineStr">
        <is>
          <t>—</t>
        </is>
      </c>
      <c r="P94" s="232" t="inlineStr">
        <is>
          <t>30.06.2026</t>
        </is>
      </c>
      <c r="Q94" s="232" t="inlineStr">
        <is>
          <t>04.05.2026</t>
        </is>
      </c>
      <c r="R94" s="232" t="inlineStr">
        <is>
          <t>15.06.2026 (the issuance plan's basis: 30.06.2026)</t>
        </is>
      </c>
      <c r="S94" s="234">
        <f>IFERROR(INDEX('CoQ Register'!$D:$D,MATCH("P060432|I",'CoQ Register'!$S:$S,0)),"")</f>
        <v/>
      </c>
      <c r="T94" s="232" t="inlineStr">
        <is>
          <t>CNP ППК26112</t>
        </is>
      </c>
      <c r="U94" s="232" t="inlineStr">
        <is>
          <t>CNP ППК26112</t>
        </is>
      </c>
      <c r="V94" s="232" t="inlineStr">
        <is>
          <t>CNP ППК26112</t>
        </is>
      </c>
      <c r="W94" s="232" t="inlineStr">
        <is>
          <t>ППК26112, (30.06.2026) [CNP]</t>
        </is>
      </c>
      <c r="X94" s="232" t="inlineStr">
        <is>
          <t>—</t>
        </is>
      </c>
      <c r="Y94" s="232" t="inlineStr">
        <is>
          <t>—</t>
        </is>
      </c>
      <c r="Z94" s="232" t="inlineStr">
        <is>
          <t>—</t>
        </is>
      </c>
      <c r="AA94" s="232" t="inlineStr">
        <is>
          <t>P060432|I</t>
        </is>
      </c>
      <c r="AB94" s="239" t="inlineStr">
        <is>
          <t>registered — initial release, issued 15.06.2026</t>
        </is>
      </c>
    </row>
    <row r="95">
      <c r="A95" s="232" t="n">
        <v>94</v>
      </c>
      <c r="B95" s="233" t="inlineStr">
        <is>
          <t>iCoA-PP_26-094</t>
        </is>
      </c>
      <c r="C95" s="238" t="inlineStr">
        <is>
          <t>yes</t>
        </is>
      </c>
      <c r="D95" s="234">
        <f>IF(A95="","",IF(ISNUMBER(E95),MAX(DATE(2026,6,3),E95),DATE(2026,6,3)))</f>
        <v/>
      </c>
      <c r="E95" s="234">
        <f>IFERROR(INDEX('Batch Dates'!$F:$F,MATCH(J95,'Batch Dates'!$C:$C,0)),IFERROR(INDEX('Batch Dates'!$F:$F,MATCH(I95,'Batch Dates'!$B:$B,0)),""))</f>
        <v/>
      </c>
      <c r="F95" s="234">
        <f>IFERROR(INDEX('Batch Dates'!$G:$G,MATCH(J95,'Batch Dates'!$C:$C,0)),IFERROR(INDEX('Batch Dates'!$G:$G,MATCH(I95,'Batch Dates'!$B:$B,0)),""))</f>
        <v/>
      </c>
      <c r="G95" s="232" t="inlineStr">
        <is>
          <t>post-SOP</t>
        </is>
      </c>
      <c r="H95" s="232" t="inlineStr">
        <is>
          <t>initial release</t>
        </is>
      </c>
      <c r="I95" s="233" t="inlineStr">
        <is>
          <t>SCR022601</t>
        </is>
      </c>
      <c r="J95" s="232" t="inlineStr">
        <is>
          <t>P060442</t>
        </is>
      </c>
      <c r="K95" s="232" t="inlineStr">
        <is>
          <t>Scrambler</t>
        </is>
      </c>
      <c r="L95" s="232" t="inlineStr">
        <is>
          <t>Ident A + Ident B + Foreign matter</t>
        </is>
      </c>
      <c r="M95" s="232" t="inlineStr">
        <is>
          <t>A: ППК26116 / B: ППК26116 / FM: ППК26116</t>
        </is>
      </c>
      <c r="N95" s="232">
        <f>IFERROR(INDEX('CoQ Register'!$B:$B,MATCH("P060442|I",'CoQ Register'!$S:$S,0)),"—")</f>
        <v/>
      </c>
      <c r="O95" s="237" t="inlineStr">
        <is>
          <t>—</t>
        </is>
      </c>
      <c r="P95" s="232" t="inlineStr">
        <is>
          <t>06.07.2026</t>
        </is>
      </c>
      <c r="Q95" s="232" t="inlineStr">
        <is>
          <t>13.05.2026</t>
        </is>
      </c>
      <c r="R95" s="232" t="inlineStr">
        <is>
          <t>18.06.2026 (the issuance plan's basis: 06.07.2026)</t>
        </is>
      </c>
      <c r="S95" s="234">
        <f>IFERROR(INDEX('CoQ Register'!$D:$D,MATCH("P060442|I",'CoQ Register'!$S:$S,0)),"")</f>
        <v/>
      </c>
      <c r="T95" s="232" t="inlineStr">
        <is>
          <t>CNP ППК26116</t>
        </is>
      </c>
      <c r="U95" s="232" t="inlineStr">
        <is>
          <t>CNP ППК26116</t>
        </is>
      </c>
      <c r="V95" s="232" t="inlineStr">
        <is>
          <t>CNP ППК26116</t>
        </is>
      </c>
      <c r="W95" s="232" t="inlineStr">
        <is>
          <t>ППК26116, (06.07.2026) [CNP]</t>
        </is>
      </c>
      <c r="X95" s="232" t="inlineStr">
        <is>
          <t>—</t>
        </is>
      </c>
      <c r="Y95" s="232" t="inlineStr">
        <is>
          <t>—</t>
        </is>
      </c>
      <c r="Z95" s="232" t="inlineStr">
        <is>
          <t>—</t>
        </is>
      </c>
      <c r="AA95" s="232" t="inlineStr">
        <is>
          <t>P060442|I</t>
        </is>
      </c>
      <c r="AB95" s="239" t="inlineStr">
        <is>
          <t>registered — initial release, issued 18.06.2026</t>
        </is>
      </c>
    </row>
    <row r="96">
      <c r="A96" s="232" t="n">
        <v>95</v>
      </c>
      <c r="B96" s="233" t="inlineStr">
        <is>
          <t>iCoA-PP_26-095</t>
        </is>
      </c>
      <c r="C96" s="238" t="inlineStr">
        <is>
          <t>yes</t>
        </is>
      </c>
      <c r="D96" s="234">
        <f>IF(A96="","",IF(ISNUMBER(E96),MAX(DATE(2026,6,3),E96),DATE(2026,6,3)))</f>
        <v/>
      </c>
      <c r="E96" s="234">
        <f>IFERROR(INDEX('Batch Dates'!$F:$F,MATCH(J96,'Batch Dates'!$C:$C,0)),IFERROR(INDEX('Batch Dates'!$F:$F,MATCH(I96,'Batch Dates'!$B:$B,0)),""))</f>
        <v/>
      </c>
      <c r="F96" s="234">
        <f>IFERROR(INDEX('Batch Dates'!$G:$G,MATCH(J96,'Batch Dates'!$C:$C,0)),IFERROR(INDEX('Batch Dates'!$G:$G,MATCH(I96,'Batch Dates'!$B:$B,0)),""))</f>
        <v/>
      </c>
      <c r="G96" s="232" t="inlineStr">
        <is>
          <t>post-SOP</t>
        </is>
      </c>
      <c r="H96" s="232" t="inlineStr">
        <is>
          <t>initial release</t>
        </is>
      </c>
      <c r="I96" s="233" t="inlineStr">
        <is>
          <t>FB032601</t>
        </is>
      </c>
      <c r="J96" s="232" t="inlineStr">
        <is>
          <t>P060452</t>
        </is>
      </c>
      <c r="K96" s="232" t="inlineStr">
        <is>
          <t>Fat Bastard</t>
        </is>
      </c>
      <c r="L96" s="232" t="inlineStr">
        <is>
          <t>Ident A + Ident B + Foreign matter</t>
        </is>
      </c>
      <c r="M96" s="232" t="inlineStr">
        <is>
          <t>A: ППК26127 / B: ППК26127 / FM: ППК26127</t>
        </is>
      </c>
      <c r="N96" s="232">
        <f>IFERROR(INDEX('CoQ Register'!$B:$B,MATCH("P060452|I",'CoQ Register'!$S:$S,0)),"—")</f>
        <v/>
      </c>
      <c r="O96" s="237" t="inlineStr">
        <is>
          <t>—</t>
        </is>
      </c>
      <c r="P96" s="232" t="inlineStr">
        <is>
          <t>21.07.2026</t>
        </is>
      </c>
      <c r="Q96" s="232" t="inlineStr">
        <is>
          <t>02.06.2026</t>
        </is>
      </c>
      <c r="R96" s="232" t="inlineStr">
        <is>
          <t>29.06.2026 (the issuance plan's basis: 21.07.2026)</t>
        </is>
      </c>
      <c r="S96" s="234">
        <f>IFERROR(INDEX('CoQ Register'!$D:$D,MATCH("P060452|I",'CoQ Register'!$S:$S,0)),"")</f>
        <v/>
      </c>
      <c r="T96" s="232" t="inlineStr">
        <is>
          <t>CNP ППК26127</t>
        </is>
      </c>
      <c r="U96" s="232" t="inlineStr">
        <is>
          <t>CNP ППК26127</t>
        </is>
      </c>
      <c r="V96" s="232" t="inlineStr">
        <is>
          <t>CNP ППК26127</t>
        </is>
      </c>
      <c r="W96" s="232" t="inlineStr">
        <is>
          <t>ППК26127, (21.07.2026) [CNP]</t>
        </is>
      </c>
      <c r="X96" s="232" t="inlineStr">
        <is>
          <t>—</t>
        </is>
      </c>
      <c r="Y96" s="232" t="inlineStr">
        <is>
          <t>—</t>
        </is>
      </c>
      <c r="Z96" s="232" t="inlineStr">
        <is>
          <t>—</t>
        </is>
      </c>
      <c r="AA96" s="232" t="inlineStr">
        <is>
          <t>P060452|I</t>
        </is>
      </c>
      <c r="AB96" s="239" t="inlineStr">
        <is>
          <t>registered — initial release, issued 29.06.2026</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(P160012)</t>
        </is>
      </c>
      <c r="J97" s="232" t="inlineStr">
        <is>
          <t>P160012</t>
        </is>
      </c>
      <c r="K97" s="232" t="inlineStr">
        <is>
          <t>Grape Pie</t>
        </is>
      </c>
      <c r="L97" s="232" t="inlineStr">
        <is>
          <t>Ident A + Ident B + Foreign matter</t>
        </is>
      </c>
      <c r="M97" s="232" t="inlineStr">
        <is>
          <t>A: ППК26117 / B: ППК26117 / FM: ППК26117</t>
        </is>
      </c>
      <c r="N97" s="232">
        <f>IFERROR(INDEX('CoQ Register'!$B:$B,MATCH("P160012|I",'CoQ Register'!$S:$S,0)),"—")</f>
        <v/>
      </c>
      <c r="O97" s="237" t="inlineStr">
        <is>
          <t>—</t>
        </is>
      </c>
      <c r="P97" s="232" t="inlineStr">
        <is>
          <t>06.07.2026</t>
        </is>
      </c>
      <c r="Q97" s="232" t="inlineStr">
        <is>
          <t>— not on the list —</t>
        </is>
      </c>
      <c r="R97" s="232" t="inlineStr">
        <is>
          <t>— not on the list —</t>
        </is>
      </c>
      <c r="S97" s="234">
        <f>IFERROR(INDEX('CoQ Register'!$D:$D,MATCH("P160012|I",'CoQ Register'!$S:$S,0)),"")</f>
        <v/>
      </c>
      <c r="T97" s="232" t="inlineStr">
        <is>
          <t>CNP ППК26117</t>
        </is>
      </c>
      <c r="U97" s="232" t="inlineStr">
        <is>
          <t>CNP ППК26117</t>
        </is>
      </c>
      <c r="V97" s="232" t="inlineStr">
        <is>
          <t>CNP ППК26117</t>
        </is>
      </c>
      <c r="W97" s="232" t="inlineStr">
        <is>
          <t>ППК26117, (06.07.2026) [CNP]</t>
        </is>
      </c>
      <c r="X97" s="232" t="inlineStr">
        <is>
          <t>—</t>
        </is>
      </c>
      <c r="Y97" s="232" t="inlineStr">
        <is>
          <t>—</t>
        </is>
      </c>
      <c r="Z97" s="232" t="inlineStr">
        <is>
          <t>—</t>
        </is>
      </c>
      <c r="AA97" s="232" t="inlineStr">
        <is>
          <t>P160012|I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t="n">
        <v>46209</v>
      </c>
      <c r="E98" s="234" t="inlineStr">
        <is>
          <t>— not stated —</t>
        </is>
      </c>
      <c r="F98" s="234">
        <f>IFERROR(INDEX('Batch Dates'!$G:$G,MATCH(J98,'Batch Dates'!$C:$C,0)),IFERROR(INDEX('Batch Dates'!$G:$G,MATCH(I98,'Batch Dates'!$B:$B,0)),""))</f>
        <v/>
      </c>
      <c r="G98" s="232" t="inlineStr">
        <is>
          <t>—</t>
        </is>
      </c>
      <c r="H98" s="232" t="inlineStr">
        <is>
          <t>initial release</t>
        </is>
      </c>
      <c r="I98" s="233" t="inlineStr">
        <is>
          <t>— not recorded — (P160022)</t>
        </is>
      </c>
      <c r="J98" s="232" t="inlineStr">
        <is>
          <t>P160022</t>
        </is>
      </c>
      <c r="K98" s="232" t="inlineStr">
        <is>
          <t>Grape Pie</t>
        </is>
      </c>
      <c r="L98" s="232" t="inlineStr">
        <is>
          <t>Ident A + Ident B + Foreign matter</t>
        </is>
      </c>
      <c r="M98" s="232" t="inlineStr">
        <is>
          <t>A: ППК26118 / B: ППК26118 / FM: ППК26118</t>
        </is>
      </c>
      <c r="N98" s="232">
        <f>IFERROR(INDEX('CoQ Register'!$B:$B,MATCH("P160022|I",'CoQ Register'!$S:$S,0)),"—")</f>
        <v/>
      </c>
      <c r="O98" s="237" t="inlineStr">
        <is>
          <t>—</t>
        </is>
      </c>
      <c r="P98" s="232" t="inlineStr">
        <is>
          <t>06.07.2026</t>
        </is>
      </c>
      <c r="Q98" s="232" t="inlineStr">
        <is>
          <t>— not on the list —</t>
        </is>
      </c>
      <c r="R98" s="232" t="inlineStr">
        <is>
          <t>— not on the list —</t>
        </is>
      </c>
      <c r="S98" s="234">
        <f>IFERROR(INDEX('CoQ Register'!$D:$D,MATCH("P160022|I",'CoQ Register'!$S:$S,0)),"")</f>
        <v/>
      </c>
      <c r="T98" s="232" t="inlineStr">
        <is>
          <t>CNP ППК26118</t>
        </is>
      </c>
      <c r="U98" s="232" t="inlineStr">
        <is>
          <t>CNP ППК26118</t>
        </is>
      </c>
      <c r="V98" s="232" t="inlineStr">
        <is>
          <t>CNP ППК26118</t>
        </is>
      </c>
      <c r="W98" s="232" t="inlineStr">
        <is>
          <t>ППК26118, (06.07.2026) [CNP]</t>
        </is>
      </c>
      <c r="X98" s="232" t="inlineStr">
        <is>
          <t>—</t>
        </is>
      </c>
      <c r="Y98" s="232" t="inlineStr">
        <is>
          <t>—</t>
        </is>
      </c>
      <c r="Z98" s="232" t="inlineStr">
        <is>
          <t>—</t>
        </is>
      </c>
      <c r="AA98" s="232" t="inlineStr">
        <is>
          <t>P160022|I</t>
        </is>
      </c>
      <c r="AB98" s="239" t="inlineStr">
        <is>
          <t>registered — initial release, issued 06.07.2026 · no packaging date on file — testing date not stated (owner, 15.09.2026: certified all the same)</t>
        </is>
      </c>
    </row>
    <row r="99">
      <c r="A99" s="232" t="n">
        <v>98</v>
      </c>
      <c r="B99" s="233" t="inlineStr">
        <is>
          <t>iCoA-PP_26-098</t>
        </is>
      </c>
      <c r="C99" s="238" t="inlineStr">
        <is>
          <t>yes</t>
        </is>
      </c>
      <c r="D99" s="234" t="n">
        <v>46209</v>
      </c>
      <c r="E99" s="234" t="inlineStr">
        <is>
          <t>— not stated —</t>
        </is>
      </c>
      <c r="F99" s="234">
        <f>IFERROR(INDEX('Batch Dates'!$G:$G,MATCH(J99,'Batch Dates'!$C:$C,0)),IFERROR(INDEX('Batch Dates'!$G:$G,MATCH(I99,'Batch Dates'!$B:$B,0)),""))</f>
        <v/>
      </c>
      <c r="G99" s="232" t="inlineStr">
        <is>
          <t>—</t>
        </is>
      </c>
      <c r="H99" s="232" t="inlineStr">
        <is>
          <t>initial release</t>
        </is>
      </c>
      <c r="I99" s="233" t="inlineStr">
        <is>
          <t>— not recorded — (P160032)</t>
        </is>
      </c>
      <c r="J99" s="232" t="inlineStr">
        <is>
          <t>P160032</t>
        </is>
      </c>
      <c r="K99" s="232" t="inlineStr">
        <is>
          <t>Grape Pie</t>
        </is>
      </c>
      <c r="L99" s="232" t="inlineStr">
        <is>
          <t>Ident A + Ident B + Foreign matter</t>
        </is>
      </c>
      <c r="M99" s="232" t="inlineStr">
        <is>
          <t>A: ППК26119 / B: ППК26119 / FM: ППК26119</t>
        </is>
      </c>
      <c r="N99" s="232">
        <f>IFERROR(INDEX('CoQ Register'!$B:$B,MATCH("P160032|I",'CoQ Register'!$S:$S,0)),"—")</f>
        <v/>
      </c>
      <c r="O99" s="237" t="inlineStr">
        <is>
          <t>—</t>
        </is>
      </c>
      <c r="P99" s="232" t="inlineStr">
        <is>
          <t>06.07.2026</t>
        </is>
      </c>
      <c r="Q99" s="232" t="inlineStr">
        <is>
          <t>— not on the list —</t>
        </is>
      </c>
      <c r="R99" s="232" t="inlineStr">
        <is>
          <t>— not on the list —</t>
        </is>
      </c>
      <c r="S99" s="234">
        <f>IFERROR(INDEX('CoQ Register'!$D:$D,MATCH("P160032|I",'CoQ Register'!$S:$S,0)),"")</f>
        <v/>
      </c>
      <c r="T99" s="232" t="inlineStr">
        <is>
          <t>CNP ППК26119</t>
        </is>
      </c>
      <c r="U99" s="232" t="inlineStr">
        <is>
          <t>CNP ППК26119</t>
        </is>
      </c>
      <c r="V99" s="232" t="inlineStr">
        <is>
          <t>CNP ППК26119</t>
        </is>
      </c>
      <c r="W99" s="232" t="inlineStr">
        <is>
          <t>ППК26119, (06.07.2026) [CNP]</t>
        </is>
      </c>
      <c r="X99" s="232" t="inlineStr">
        <is>
          <t>—</t>
        </is>
      </c>
      <c r="Y99" s="232" t="inlineStr">
        <is>
          <t>—</t>
        </is>
      </c>
      <c r="Z99" s="232" t="inlineStr">
        <is>
          <t>—</t>
        </is>
      </c>
      <c r="AA99" s="232" t="inlineStr">
        <is>
          <t>P160032|I</t>
        </is>
      </c>
      <c r="AB99" s="239" t="inlineStr">
        <is>
          <t>registered — initial release, issued 06.07.2026 · no packaging date on file — testing date not stated (owner, 15.09.2026: certified all the same)</t>
        </is>
      </c>
    </row>
    <row r="100">
      <c r="A100" s="232" t="n">
        <v>99</v>
      </c>
      <c r="B100" s="233" t="inlineStr">
        <is>
          <t>iCoA-PP_26-099</t>
        </is>
      </c>
      <c r="C100" s="238" t="inlineStr">
        <is>
          <t>yes</t>
        </is>
      </c>
      <c r="D100" s="234">
        <f>IF(A100="","",IF(ISNUMBER(E100),MAX(DATE(2026,6,3),E100),DATE(2026,6,3)))</f>
        <v/>
      </c>
      <c r="E100" s="234">
        <f>IFERROR(INDEX('Batch Dates'!$F:$F,MATCH(J100,'Batch Dates'!$C:$C,0)),IFERROR(INDEX('Batch Dates'!$F:$F,MATCH(I100,'Batch Dates'!$B:$B,0)),""))</f>
        <v/>
      </c>
      <c r="F100" s="234">
        <f>IFERROR(INDEX('Batch Dates'!$G:$G,MATCH(J100,'Batch Dates'!$C:$C,0)),IFERROR(INDEX('Batch Dates'!$G:$G,MATCH(I100,'Batch Dates'!$B:$B,0)),""))</f>
        <v/>
      </c>
      <c r="G100" s="232" t="inlineStr">
        <is>
          <t>post-SOP</t>
        </is>
      </c>
      <c r="H100" s="232" t="inlineStr">
        <is>
          <t>initial release</t>
        </is>
      </c>
      <c r="I100" s="233" t="inlineStr">
        <is>
          <t>GG032601</t>
        </is>
      </c>
      <c r="J100" s="232" t="inlineStr">
        <is>
          <t>P060462</t>
        </is>
      </c>
      <c r="K100" s="232" t="inlineStr">
        <is>
          <t>Gorilla Glue</t>
        </is>
      </c>
      <c r="L100" s="232" t="inlineStr">
        <is>
          <t>Ident A + Ident B + Foreign matter</t>
        </is>
      </c>
      <c r="M100" s="232" t="inlineStr">
        <is>
          <t>A: ППК26128 / B: ППК26128 / FM: ППК26128</t>
        </is>
      </c>
      <c r="N100" s="232">
        <f>IFERROR(INDEX('CoQ Register'!$B:$B,MATCH("P060462|I",'CoQ Register'!$S:$S,0)),"—")</f>
        <v/>
      </c>
      <c r="O100" s="237" t="inlineStr">
        <is>
          <t>—</t>
        </is>
      </c>
      <c r="P100" s="232" t="inlineStr">
        <is>
          <t>21.07.2026</t>
        </is>
      </c>
      <c r="Q100" s="232" t="inlineStr">
        <is>
          <t>16.06.2026</t>
        </is>
      </c>
      <c r="R100" s="232" t="inlineStr">
        <is>
          <t>16.07.2026 (the issuance plan's basis: 21.07.2026)</t>
        </is>
      </c>
      <c r="S100" s="234">
        <f>IFERROR(INDEX('CoQ Register'!$D:$D,MATCH("P060462|I",'CoQ Register'!$S:$S,0)),"")</f>
        <v/>
      </c>
      <c r="T100" s="232" t="inlineStr">
        <is>
          <t>CNP ППК26128</t>
        </is>
      </c>
      <c r="U100" s="232" t="inlineStr">
        <is>
          <t>CNP ППК26128</t>
        </is>
      </c>
      <c r="V100" s="232" t="inlineStr">
        <is>
          <t>CNP ППК26128</t>
        </is>
      </c>
      <c r="W100" s="232" t="inlineStr">
        <is>
          <t>ППК26128, (21.07.2026) [CNP]</t>
        </is>
      </c>
      <c r="X100" s="232" t="inlineStr">
        <is>
          <t>—</t>
        </is>
      </c>
      <c r="Y100" s="232" t="inlineStr">
        <is>
          <t>—</t>
        </is>
      </c>
      <c r="Z100" s="232" t="inlineStr">
        <is>
          <t>—</t>
        </is>
      </c>
      <c r="AA100" s="232" t="inlineStr">
        <is>
          <t>P060462|I</t>
        </is>
      </c>
      <c r="AB100" s="239" t="inlineStr">
        <is>
          <t>registered — initial release, issued 16.07.2026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BG1024</t>
        </is>
      </c>
      <c r="J101" s="232" t="inlineStr">
        <is>
          <t>N/A — no P batch assigned</t>
        </is>
      </c>
      <c r="K101" s="232" t="inlineStr">
        <is>
          <t>Blue Gelato</t>
        </is>
      </c>
      <c r="L101" s="232" t="inlineStr">
        <is>
          <t>Ident A + Ident B + Foreign matter</t>
        </is>
      </c>
      <c r="M101" s="237" t="inlineStr">
        <is>
          <t>—</t>
        </is>
      </c>
      <c r="N101" s="232">
        <f>IFERROR(INDEX('CoQ Register'!$B:$B,MATCH("BG1024|R",'CoQ Register'!$S:$S,0)),"—")</f>
        <v/>
      </c>
      <c r="O101" s="237" t="inlineStr">
        <is>
          <t>—</t>
        </is>
      </c>
      <c r="P101" s="232" t="inlineStr">
        <is>
          <t>07.03.2026</t>
        </is>
      </c>
      <c r="Q101" s="232" t="inlineStr">
        <is>
          <t>21.01.2025</t>
        </is>
      </c>
      <c r="R101" s="232" t="inlineStr">
        <is>
          <t>07.03.2025</t>
        </is>
      </c>
      <c r="S101" s="234">
        <f>IFERROR(INDEX('CoQ Register'!$D:$D,MATCH("BG1024|R",'CoQ Register'!$S:$S,0)),"")</f>
        <v/>
      </c>
      <c r="T101" s="232" t="inlineStr">
        <is>
          <t>Conforms</t>
        </is>
      </c>
      <c r="U101" s="232" t="inlineStr">
        <is>
          <t>Conforms</t>
        </is>
      </c>
      <c r="V101" s="232" t="inlineStr">
        <is>
          <t>Conforms</t>
        </is>
      </c>
      <c r="W101" s="232" t="inlineStr">
        <is>
          <t>197-1-K-26, (07.08.2026) [FHM-K]</t>
        </is>
      </c>
      <c r="X101" s="232" t="inlineStr">
        <is>
          <t>197-1-K-26, (07.08.2026) [FHM-K]</t>
        </is>
      </c>
      <c r="Y101" s="232" t="inlineStr">
        <is>
          <t>197-1-M-26, (10.08.2026) [FHM-M]</t>
        </is>
      </c>
      <c r="Z101" s="232" t="inlineStr">
        <is>
          <t>#8, #9, #11, #12 from the initial testing</t>
        </is>
      </c>
      <c r="AA101" s="232" t="inlineStr">
        <is>
          <t>BG1024|R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BSS1024</t>
        </is>
      </c>
      <c r="J102" s="232" t="inlineStr">
        <is>
          <t>N/A — no P batch assigned</t>
        </is>
      </c>
      <c r="K102" s="232" t="inlineStr">
        <is>
          <t>Blue Sunset Sherbet</t>
        </is>
      </c>
      <c r="L102" s="232" t="inlineStr">
        <is>
          <t>Ident A + Ident B + Foreign matter</t>
        </is>
      </c>
      <c r="M102" s="237" t="inlineStr">
        <is>
          <t>—</t>
        </is>
      </c>
      <c r="N102" s="232">
        <f>IFERROR(INDEX('CoQ Register'!$B:$B,MATCH("BSS1024|R",'CoQ Register'!$S:$S,0)),"—")</f>
        <v/>
      </c>
      <c r="O102" s="237" t="inlineStr">
        <is>
          <t>—</t>
        </is>
      </c>
      <c r="P102" s="232" t="inlineStr">
        <is>
          <t>04.03.2026</t>
        </is>
      </c>
      <c r="Q102" s="232" t="inlineStr">
        <is>
          <t>22.01.2025</t>
        </is>
      </c>
      <c r="R102" s="232" t="inlineStr">
        <is>
          <t>04.03.2025</t>
        </is>
      </c>
      <c r="S102" s="234">
        <f>IFERROR(INDEX('CoQ Register'!$D:$D,MATCH("BSS1024|R",'CoQ Register'!$S:$S,0)),"")</f>
        <v/>
      </c>
      <c r="T102" s="232" t="inlineStr">
        <is>
          <t>Conforms</t>
        </is>
      </c>
      <c r="U102" s="232" t="inlineStr">
        <is>
          <t>Conforms</t>
        </is>
      </c>
      <c r="V102" s="232" t="inlineStr">
        <is>
          <t>Conforms</t>
        </is>
      </c>
      <c r="W102" s="232" t="inlineStr">
        <is>
          <t>197-2-K-26, (07.08.2026) [FHM-K]</t>
        </is>
      </c>
      <c r="X102" s="232" t="inlineStr">
        <is>
          <t>197-2-K-26, (07.08.2026) [FHM-K]</t>
        </is>
      </c>
      <c r="Y102" s="232" t="inlineStr">
        <is>
          <t>197-2-M-26, (10.08.2026) [FHM-M]</t>
        </is>
      </c>
      <c r="Z102" s="232" t="inlineStr">
        <is>
          <t>#8, #9, #11, #12 from the initial testing</t>
        </is>
      </c>
      <c r="AA102" s="232" t="inlineStr">
        <is>
          <t>BSS1024|R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CJ052501/01</t>
        </is>
      </c>
      <c r="J103" s="232" t="inlineStr">
        <is>
          <t>P050162</t>
        </is>
      </c>
      <c r="K103" s="232" t="inlineStr">
        <is>
          <t>Cap Junky</t>
        </is>
      </c>
      <c r="L103" s="232" t="inlineStr">
        <is>
          <t>Ident A + Ident B + Foreign matter</t>
        </is>
      </c>
      <c r="M103" s="237" t="inlineStr">
        <is>
          <t>—</t>
        </is>
      </c>
      <c r="N103" s="232">
        <f>IFERROR(INDEX('CoQ Register'!$B:$B,MATCH("P050162|R",'CoQ Register'!$S:$S,0)),"—")</f>
        <v/>
      </c>
      <c r="O103" s="237" t="inlineStr">
        <is>
          <t>—</t>
        </is>
      </c>
      <c r="P103" s="232" t="inlineStr">
        <is>
          <t>30.09.2026</t>
        </is>
      </c>
      <c r="Q103" s="232" t="inlineStr">
        <is>
          <t>20.08.2025</t>
        </is>
      </c>
      <c r="R103" s="232" t="inlineStr">
        <is>
          <t>30.09.2025 – 01.10.2025</t>
        </is>
      </c>
      <c r="S103" s="234">
        <f>IFERROR(INDEX('CoQ Register'!$D:$D,MATCH("P050162|R",'CoQ Register'!$S:$S,0)),"")</f>
        <v/>
      </c>
      <c r="T103" s="232" t="inlineStr">
        <is>
          <t>Conforms</t>
        </is>
      </c>
      <c r="U103" s="232" t="inlineStr">
        <is>
          <t>Conforms</t>
        </is>
      </c>
      <c r="V103" s="232" t="inlineStr">
        <is>
          <t>Conforms</t>
        </is>
      </c>
      <c r="W103" s="232" t="inlineStr">
        <is>
          <t>197-3-K-26, (07.08.2026) [FHM-K]</t>
        </is>
      </c>
      <c r="X103" s="232" t="inlineStr">
        <is>
          <t>197-3-K-26, (07.08.2026) [FHM-K]</t>
        </is>
      </c>
      <c r="Y103" s="232" t="inlineStr">
        <is>
          <t>197-3-M-26, (10.08.2026) [FHM-M]</t>
        </is>
      </c>
      <c r="Z103" s="232" t="inlineStr">
        <is>
          <t>#8, #9, #11, #12 from the initial testing</t>
        </is>
      </c>
      <c r="AA103" s="232" t="inlineStr">
        <is>
          <t>P050162|R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legacy</t>
        </is>
      </c>
      <c r="H104" s="232" t="inlineStr">
        <is>
          <t>retest 2</t>
        </is>
      </c>
      <c r="I104" s="233" t="inlineStr">
        <is>
          <t>CJ062501/2</t>
        </is>
      </c>
      <c r="J104" s="232" t="inlineStr">
        <is>
          <t>P050212</t>
        </is>
      </c>
      <c r="K104" s="232" t="inlineStr">
        <is>
          <t>Cap Junky</t>
        </is>
      </c>
      <c r="L104" s="232" t="inlineStr">
        <is>
          <t>Ident A + Ident B + Foreign matter</t>
        </is>
      </c>
      <c r="M104" s="237" t="inlineStr">
        <is>
          <t>—</t>
        </is>
      </c>
      <c r="N104" s="232">
        <f>IFERROR(INDEX('CoQ Register'!$B:$B,MATCH("P050212|R2",'CoQ Register'!$S:$S,0)),"—")</f>
        <v/>
      </c>
      <c r="O104" s="237" t="inlineStr">
        <is>
          <t>—</t>
        </is>
      </c>
      <c r="P104" s="232" t="inlineStr">
        <is>
          <t>24.01.2027</t>
        </is>
      </c>
      <c r="Q104" s="232" t="inlineStr">
        <is>
          <t>23.09.2025 – 24.09.2025</t>
        </is>
      </c>
      <c r="R104" s="232" t="inlineStr">
        <is>
          <t>18.11.2025 – 24.11.2025 (the issuance plan's basis: 24.01.2026)</t>
        </is>
      </c>
      <c r="S104" s="234">
        <f>IFERROR(INDEX('CoQ Register'!$D:$D,MATCH("P050212|R2",'CoQ Register'!$S:$S,0)),"")</f>
        <v/>
      </c>
      <c r="T104" s="232" t="inlineStr">
        <is>
          <t>Conforms</t>
        </is>
      </c>
      <c r="U104" s="232" t="inlineStr">
        <is>
          <t>Conforms</t>
        </is>
      </c>
      <c r="V104" s="232" t="inlineStr">
        <is>
          <t>Conforms</t>
        </is>
      </c>
      <c r="W104" s="232" t="inlineStr">
        <is>
          <t>197-4-K-26, (07.08.2026) [FHM-K]</t>
        </is>
      </c>
      <c r="X104" s="232" t="inlineStr">
        <is>
          <t>197-4-K-26, (07.08.2026) [FHM-K]</t>
        </is>
      </c>
      <c r="Y104" s="232" t="inlineStr">
        <is>
          <t>197-4-M-26, (10.08.2026) [FHM-M]</t>
        </is>
      </c>
      <c r="Z104" s="232" t="inlineStr">
        <is>
          <t>#8, #9, #11, #12 from the initial testing</t>
        </is>
      </c>
      <c r="AA104" s="232" t="inlineStr">
        <is>
          <t>P050212|R2</t>
        </is>
      </c>
      <c r="AB104" s="239" t="inlineStr">
        <is>
          <t>registered — retest 2 · Tranche 1 (sampled 21–24.07.2026), tested 21.07.2026, issued 27.07.2026</t>
        </is>
      </c>
    </row>
    <row r="105">
      <c r="A105" s="232" t="n">
        <v>104</v>
      </c>
      <c r="B105" s="233" t="inlineStr">
        <is>
          <t>iCoA-PP_26-104</t>
        </is>
      </c>
      <c r="C105" s="238" t="inlineStr">
        <is>
          <t>yes</t>
        </is>
      </c>
      <c r="D105" s="234" t="n">
        <v>46230</v>
      </c>
      <c r="E105" s="234" t="n">
        <v>46224</v>
      </c>
      <c r="F105" s="234">
        <f>IFERROR(INDEX('Batch Dates'!$G:$G,MATCH(J105,'Batch Dates'!$C:$C,0)),IFERROR(INDEX('Batch Dates'!$G:$G,MATCH(I105,'Batch Dates'!$B:$B,0)),""))</f>
        <v/>
      </c>
      <c r="G105" s="232" t="inlineStr">
        <is>
          <t>legacy</t>
        </is>
      </c>
      <c r="H105" s="232" t="inlineStr">
        <is>
          <t>retest 1</t>
        </is>
      </c>
      <c r="I105" s="233" t="inlineStr">
        <is>
          <t>CJ082501/2</t>
        </is>
      </c>
      <c r="J105" s="232" t="inlineStr">
        <is>
          <t>P060032</t>
        </is>
      </c>
      <c r="K105" s="232" t="inlineStr">
        <is>
          <t>Cap Junky</t>
        </is>
      </c>
      <c r="L105" s="232" t="inlineStr">
        <is>
          <t>Ident A + Ident B + Foreign matter</t>
        </is>
      </c>
      <c r="M105" s="237" t="inlineStr">
        <is>
          <t>—</t>
        </is>
      </c>
      <c r="N105" s="232">
        <f>IFERROR(INDEX('CoQ Register'!$B:$B,MATCH("P060032|R",'CoQ Register'!$S:$S,0)),"—")</f>
        <v/>
      </c>
      <c r="O105" s="237" t="inlineStr">
        <is>
          <t>—</t>
        </is>
      </c>
      <c r="P105" s="232" t="inlineStr">
        <is>
          <t>29.01.2027</t>
        </is>
      </c>
      <c r="Q105" s="232" t="inlineStr">
        <is>
          <t>10.12.2025</t>
        </is>
      </c>
      <c r="R105" s="232" t="inlineStr">
        <is>
          <t>29.01.2026</t>
        </is>
      </c>
      <c r="S105" s="234">
        <f>IFERROR(INDEX('CoQ Register'!$D:$D,MATCH("P060032|R",'CoQ Register'!$S:$S,0)),"")</f>
        <v/>
      </c>
      <c r="T105" s="232" t="inlineStr">
        <is>
          <t>Conforms</t>
        </is>
      </c>
      <c r="U105" s="232" t="inlineStr">
        <is>
          <t>Conforms</t>
        </is>
      </c>
      <c r="V105" s="232" t="inlineStr">
        <is>
          <t>Conforms</t>
        </is>
      </c>
      <c r="W105" s="232" t="inlineStr">
        <is>
          <t>197-5-K-26, (07.08.2026) [FHM-K]</t>
        </is>
      </c>
      <c r="X105" s="232" t="inlineStr">
        <is>
          <t>197-5-K-26, (07.08.2026) [FHM-K]</t>
        </is>
      </c>
      <c r="Y105" s="232" t="inlineStr">
        <is>
          <t>197-5-M-26, (10.08.2026) [FHM-M]</t>
        </is>
      </c>
      <c r="Z105" s="232" t="inlineStr">
        <is>
          <t>#8, #9, #11, #12 from the initial testing</t>
        </is>
      </c>
      <c r="AA105" s="232" t="inlineStr">
        <is>
          <t>P060032|R</t>
        </is>
      </c>
      <c r="AB105" s="239" t="inlineStr">
        <is>
          <t>registered — retest 1 · Tranche 1 (sampled 21–24.07.2026), tested 21.07.2026, issued 27.07.2026</t>
        </is>
      </c>
    </row>
    <row r="106">
      <c r="A106" s="232" t="n">
        <v>105</v>
      </c>
      <c r="B106" s="233" t="inlineStr">
        <is>
          <t>iCoA-PP_26-105</t>
        </is>
      </c>
      <c r="C106" s="238" t="inlineStr">
        <is>
          <t>yes</t>
        </is>
      </c>
      <c r="D106" s="234" t="n">
        <v>46230</v>
      </c>
      <c r="E106" s="234" t="n">
        <v>46224</v>
      </c>
      <c r="F106" s="234">
        <f>IFERROR(INDEX('Batch Dates'!$G:$G,MATCH(J106,'Batch Dates'!$C:$C,0)),IFERROR(INDEX('Batch Dates'!$G:$G,MATCH(I106,'Batch Dates'!$B:$B,0)),""))</f>
        <v/>
      </c>
      <c r="G106" s="232" t="inlineStr">
        <is>
          <t>post-SOP</t>
        </is>
      </c>
      <c r="H106" s="232" t="inlineStr">
        <is>
          <t>retest 1</t>
        </is>
      </c>
      <c r="I106" s="233" t="inlineStr">
        <is>
          <t>CC012601/1</t>
        </is>
      </c>
      <c r="J106" s="232" t="inlineStr">
        <is>
          <t>P060332</t>
        </is>
      </c>
      <c r="K106" s="232" t="inlineStr">
        <is>
          <t>Cash Cow</t>
        </is>
      </c>
      <c r="L106" s="232" t="inlineStr">
        <is>
          <t>Ident A + Ident B + Foreign matter</t>
        </is>
      </c>
      <c r="M106" s="237" t="inlineStr">
        <is>
          <t>—</t>
        </is>
      </c>
      <c r="N106" s="232">
        <f>IFERROR(INDEX('CoQ Register'!$B:$B,MATCH("P060332|R",'CoQ Register'!$S:$S,0)),"—")</f>
        <v/>
      </c>
      <c r="O106" s="237" t="inlineStr">
        <is>
          <t>—</t>
        </is>
      </c>
      <c r="P106" s="232" t="inlineStr">
        <is>
          <t>10.08.2027</t>
        </is>
      </c>
      <c r="Q106" s="232" t="inlineStr">
        <is>
          <t>16.04.2026</t>
        </is>
      </c>
      <c r="R106" s="232" t="inlineStr">
        <is>
          <t>22.05.2026 (the issuance plan's basis: 10.08.2026)</t>
        </is>
      </c>
      <c r="S106" s="234">
        <f>IFERROR(INDEX('CoQ Register'!$D:$D,MATCH("P060332|R",'CoQ Register'!$S:$S,0)),"")</f>
        <v/>
      </c>
      <c r="T106" s="232" t="inlineStr">
        <is>
          <t>Conforms</t>
        </is>
      </c>
      <c r="U106" s="232" t="inlineStr">
        <is>
          <t>Conforms</t>
        </is>
      </c>
      <c r="V106" s="232" t="inlineStr">
        <is>
          <t>Conforms</t>
        </is>
      </c>
      <c r="W106" s="232" t="inlineStr">
        <is>
          <t>197-6-K-26, (07.08.2026) [FHM-K]</t>
        </is>
      </c>
      <c r="X106" s="232" t="inlineStr">
        <is>
          <t>197-6-K-26, (07.08.2026) [FHM-K]</t>
        </is>
      </c>
      <c r="Y106" s="232" t="inlineStr">
        <is>
          <t>197-6-M-26, (10.08.2026) [FHM-M]</t>
        </is>
      </c>
      <c r="Z106" s="232" t="inlineStr">
        <is>
          <t>#8, #9, #11, #12 from the initial testing</t>
        </is>
      </c>
      <c r="AA106" s="232" t="inlineStr">
        <is>
          <t>P060332|R</t>
        </is>
      </c>
      <c r="AB106" s="239" t="inlineStr">
        <is>
          <t>registered — retest 1 · Tranche 1 (sampled 21–24.07.2026), tested 21.07.2026,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1</t>
        </is>
      </c>
      <c r="I107" s="233" t="inlineStr">
        <is>
          <t>GG1024_01</t>
        </is>
      </c>
      <c r="J107" s="232" t="inlineStr">
        <is>
          <t>P050092</t>
        </is>
      </c>
      <c r="K107" s="232" t="inlineStr">
        <is>
          <t>Gorilla Glue</t>
        </is>
      </c>
      <c r="L107" s="232" t="inlineStr">
        <is>
          <t>Ident A + Ident B + Foreign matter</t>
        </is>
      </c>
      <c r="M107" s="237" t="inlineStr">
        <is>
          <t>—</t>
        </is>
      </c>
      <c r="N107" s="232">
        <f>IFERROR(INDEX('CoQ Register'!$B:$B,MATCH("P050092|R",'CoQ Register'!$S:$S,0)),"—")</f>
        <v/>
      </c>
      <c r="O107" s="237" t="inlineStr">
        <is>
          <t>—</t>
        </is>
      </c>
      <c r="P107" s="232" t="inlineStr">
        <is>
          <t>31.07.2026</t>
        </is>
      </c>
      <c r="Q107" s="232" t="inlineStr">
        <is>
          <t>17.03.2025 – 18.03.2025</t>
        </is>
      </c>
      <c r="R107" s="232" t="inlineStr">
        <is>
          <t>31.07.2025 – 05.08.2025</t>
        </is>
      </c>
      <c r="S107" s="234">
        <f>IFERROR(INDEX('CoQ Register'!$D:$D,MATCH("P050092|R",'CoQ Register'!$S:$S,0)),"")</f>
        <v/>
      </c>
      <c r="T107" s="232" t="inlineStr">
        <is>
          <t>Conforms</t>
        </is>
      </c>
      <c r="U107" s="232" t="inlineStr">
        <is>
          <t>Conforms</t>
        </is>
      </c>
      <c r="V107" s="232" t="inlineStr">
        <is>
          <t>Conforms</t>
        </is>
      </c>
      <c r="W107" s="232" t="inlineStr">
        <is>
          <t>197-9-K-26, (07.08.2026) [FHM-K]</t>
        </is>
      </c>
      <c r="X107" s="232" t="inlineStr">
        <is>
          <t>197-9-K-26, (07.08.2026) [FHM-K]</t>
        </is>
      </c>
      <c r="Y107" s="232" t="inlineStr">
        <is>
          <t>197-9-M-26, (10.08.2026) [FHM-M]</t>
        </is>
      </c>
      <c r="Z107" s="232" t="inlineStr">
        <is>
          <t>#8, #9, #11, #12 from the initial testing</t>
        </is>
      </c>
      <c r="AA107" s="232" t="inlineStr">
        <is>
          <t>P050092|R</t>
        </is>
      </c>
      <c r="AB107" s="239" t="inlineStr">
        <is>
          <t>registered — retest 1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legacy</t>
        </is>
      </c>
      <c r="H108" s="232" t="inlineStr">
        <is>
          <t>retest 1</t>
        </is>
      </c>
      <c r="I108" s="233" t="inlineStr">
        <is>
          <t>GP052501</t>
        </is>
      </c>
      <c r="J108" s="232" t="inlineStr">
        <is>
          <t>P050152</t>
        </is>
      </c>
      <c r="K108" s="232" t="inlineStr">
        <is>
          <t>Grape Pie</t>
        </is>
      </c>
      <c r="L108" s="232" t="inlineStr">
        <is>
          <t>Ident A + Ident B + Foreign matter</t>
        </is>
      </c>
      <c r="M108" s="237" t="inlineStr">
        <is>
          <t>—</t>
        </is>
      </c>
      <c r="N108" s="232">
        <f>IFERROR(INDEX('CoQ Register'!$B:$B,MATCH("P050152|R",'CoQ Register'!$S:$S,0)),"—")</f>
        <v/>
      </c>
      <c r="O108" s="237" t="inlineStr">
        <is>
          <t>—</t>
        </is>
      </c>
      <c r="P108" s="232" t="inlineStr">
        <is>
          <t>25.09.2026</t>
        </is>
      </c>
      <c r="Q108" s="232" t="inlineStr">
        <is>
          <t>— not given —</t>
        </is>
      </c>
      <c r="R108" s="232" t="inlineStr">
        <is>
          <t>25.09.2025</t>
        </is>
      </c>
      <c r="S108" s="234">
        <f>IFERROR(INDEX('CoQ Register'!$D:$D,MATCH("P050152|R",'CoQ Register'!$S:$S,0)),"")</f>
        <v/>
      </c>
      <c r="T108" s="232" t="inlineStr">
        <is>
          <t>Conforms</t>
        </is>
      </c>
      <c r="U108" s="232" t="inlineStr">
        <is>
          <t>Conforms</t>
        </is>
      </c>
      <c r="V108" s="232" t="inlineStr">
        <is>
          <t>Conforms</t>
        </is>
      </c>
      <c r="W108" s="232" t="inlineStr">
        <is>
          <t>197-10-K-26, (07.08.2026) [FHM-K]</t>
        </is>
      </c>
      <c r="X108" s="232" t="inlineStr">
        <is>
          <t>197-10-K-26, (07.08.2026) [FHM-K]</t>
        </is>
      </c>
      <c r="Y108" s="232" t="inlineStr">
        <is>
          <t>197-10-M-26, (10.08.2026) [FHM-M]</t>
        </is>
      </c>
      <c r="Z108" s="232" t="inlineStr">
        <is>
          <t>#8, #9, #11, #12 from the initial testing</t>
        </is>
      </c>
      <c r="AA108" s="232" t="inlineStr">
        <is>
          <t>P050152|R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legacy</t>
        </is>
      </c>
      <c r="H109" s="232" t="inlineStr">
        <is>
          <t>retest 5</t>
        </is>
      </c>
      <c r="I109" s="233" t="inlineStr">
        <is>
          <t>GP0824_02</t>
        </is>
      </c>
      <c r="J109" s="232" t="inlineStr">
        <is>
          <t>P050022</t>
        </is>
      </c>
      <c r="K109" s="232" t="inlineStr">
        <is>
          <t>Grape Pie</t>
        </is>
      </c>
      <c r="L109" s="232" t="inlineStr">
        <is>
          <t>Ident A + Ident B + Foreign matter</t>
        </is>
      </c>
      <c r="M109" s="237" t="inlineStr">
        <is>
          <t>—</t>
        </is>
      </c>
      <c r="N109" s="232">
        <f>IFERROR(INDEX('CoQ Register'!$B:$B,MATCH("P050022|R5",'CoQ Register'!$S:$S,0)),"—")</f>
        <v/>
      </c>
      <c r="O109" s="237" t="inlineStr">
        <is>
          <t>—</t>
        </is>
      </c>
      <c r="P109" s="232" t="inlineStr">
        <is>
          <t>03.06.2026</t>
        </is>
      </c>
      <c r="Q109" s="232" t="inlineStr">
        <is>
          <t>22.04.2025 – 23.04.2025</t>
        </is>
      </c>
      <c r="R109" s="232" t="inlineStr">
        <is>
          <t>03.06.2025 – 11.06.2025</t>
        </is>
      </c>
      <c r="S109" s="234">
        <f>IFERROR(INDEX('CoQ Register'!$D:$D,MATCH("P050022|R5",'CoQ Register'!$S:$S,0)),"")</f>
        <v/>
      </c>
      <c r="T109" s="232" t="inlineStr">
        <is>
          <t>Conforms</t>
        </is>
      </c>
      <c r="U109" s="232" t="inlineStr">
        <is>
          <t>Conforms</t>
        </is>
      </c>
      <c r="V109" s="232" t="inlineStr">
        <is>
          <t>Conforms</t>
        </is>
      </c>
      <c r="W109" s="232" t="inlineStr">
        <is>
          <t>197-11-K-26, (07.08.2026) [FHM-K]</t>
        </is>
      </c>
      <c r="X109" s="232" t="inlineStr">
        <is>
          <t>197-11-K-26, (07.08.2026) [FHM-K]</t>
        </is>
      </c>
      <c r="Y109" s="232" t="inlineStr">
        <is>
          <t>197-11-M-26, (10.08.2026) [FHM-M]</t>
        </is>
      </c>
      <c r="Z109" s="232" t="inlineStr">
        <is>
          <t>#8, #9, #11, #12 from the initial testing</t>
        </is>
      </c>
      <c r="AA109" s="232" t="inlineStr">
        <is>
          <t>P050022|R5</t>
        </is>
      </c>
      <c r="AB109" s="239" t="inlineStr">
        <is>
          <t>registered — retest 5 · Tranche 1 (sampled 21–24.07.2026), tested 22.07.2026, issued 27.07.2026</t>
        </is>
      </c>
    </row>
    <row r="110">
      <c r="A110" s="232" t="n">
        <v>109</v>
      </c>
      <c r="B110" s="233" t="inlineStr">
        <is>
          <t>iCoA-PP_26-109</t>
        </is>
      </c>
      <c r="C110" s="238" t="inlineStr">
        <is>
          <t>yes</t>
        </is>
      </c>
      <c r="D110" s="234" t="n">
        <v>46230</v>
      </c>
      <c r="E110" s="234" t="n">
        <v>46225</v>
      </c>
      <c r="F110" s="234">
        <f>IFERROR(INDEX('Batch Dates'!$G:$G,MATCH(J110,'Batch Dates'!$C:$C,0)),IFERROR(INDEX('Batch Dates'!$G:$G,MATCH(I110,'Batch Dates'!$B:$B,0)),""))</f>
        <v/>
      </c>
      <c r="G110" s="232" t="inlineStr">
        <is>
          <t>post-SOP</t>
        </is>
      </c>
      <c r="H110" s="232" t="inlineStr">
        <is>
          <t>retest 1</t>
        </is>
      </c>
      <c r="I110" s="233" t="inlineStr">
        <is>
          <t>FB012602*</t>
        </is>
      </c>
      <c r="J110" s="232" t="inlineStr">
        <is>
          <t>P060352</t>
        </is>
      </c>
      <c r="K110" s="232" t="inlineStr">
        <is>
          <t>Fat Bastard</t>
        </is>
      </c>
      <c r="L110" s="232" t="inlineStr">
        <is>
          <t>Ident A + Ident B + Foreign matter</t>
        </is>
      </c>
      <c r="M110" s="237" t="inlineStr">
        <is>
          <t>—</t>
        </is>
      </c>
      <c r="N110" s="232">
        <f>IFERROR(INDEX('CoQ Register'!$B:$B,MATCH("P060352|R",'CoQ Register'!$S:$S,0)),"—")</f>
        <v/>
      </c>
      <c r="O110" s="237" t="inlineStr">
        <is>
          <t>—</t>
        </is>
      </c>
      <c r="P110" s="232" t="inlineStr">
        <is>
          <t>23.05.2027</t>
        </is>
      </c>
      <c r="Q110" s="232" t="inlineStr">
        <is>
          <t>16.04.2026</t>
        </is>
      </c>
      <c r="R110" s="232" t="inlineStr">
        <is>
          <t>23.05.2026</t>
        </is>
      </c>
      <c r="S110" s="234">
        <f>IFERROR(INDEX('CoQ Register'!$D:$D,MATCH("P060352|R",'CoQ Register'!$S:$S,0)),"")</f>
        <v/>
      </c>
      <c r="T110" s="232" t="inlineStr">
        <is>
          <t>Conforms</t>
        </is>
      </c>
      <c r="U110" s="232" t="inlineStr">
        <is>
          <t>Conforms</t>
        </is>
      </c>
      <c r="V110" s="232" t="inlineStr">
        <is>
          <t>Conforms</t>
        </is>
      </c>
      <c r="W110" s="232" t="inlineStr">
        <is>
          <t>197-7-K-26, (07.08.2026) [FHM-K]</t>
        </is>
      </c>
      <c r="X110" s="232" t="inlineStr">
        <is>
          <t>197-7-K-26, (07.08.2026) [FHM-K]</t>
        </is>
      </c>
      <c r="Y110" s="232" t="inlineStr">
        <is>
          <t>197-7-M-26, (10.08.2026) [FHM-M]</t>
        </is>
      </c>
      <c r="Z110" s="232" t="inlineStr">
        <is>
          <t>#8, #9, #11, #12 from the initial testing</t>
        </is>
      </c>
      <c r="AA110" s="232" t="inlineStr">
        <is>
          <t>P060352|R</t>
        </is>
      </c>
      <c r="AB110" s="239" t="inlineStr">
        <is>
          <t>registered — retest 1 · Tranche 1 (sampled 21–24.07.2026), tested 22.07.2026, issued 27.07.2026</t>
        </is>
      </c>
    </row>
    <row r="111">
      <c r="A111" s="232" t="n">
        <v>110</v>
      </c>
      <c r="B111" s="233" t="inlineStr">
        <is>
          <t>iCoA-PP_26-110</t>
        </is>
      </c>
      <c r="C111" s="238" t="inlineStr">
        <is>
          <t>yes</t>
        </is>
      </c>
      <c r="D111" s="234" t="n">
        <v>46230</v>
      </c>
      <c r="E111" s="234" t="n">
        <v>46225</v>
      </c>
      <c r="F111" s="234">
        <f>IFERROR(INDEX('Batch Dates'!$G:$G,MATCH(J111,'Batch Dates'!$C:$C,0)),IFERROR(INDEX('Batch Dates'!$G:$G,MATCH(I111,'Batch Dates'!$B:$B,0)),""))</f>
        <v/>
      </c>
      <c r="G111" s="232" t="inlineStr">
        <is>
          <t>post-SOP</t>
        </is>
      </c>
      <c r="H111" s="232" t="inlineStr">
        <is>
          <t>retest 1</t>
        </is>
      </c>
      <c r="I111" s="233" t="inlineStr">
        <is>
          <t>GG012603</t>
        </is>
      </c>
      <c r="J111" s="232" t="inlineStr">
        <is>
          <t>P060402</t>
        </is>
      </c>
      <c r="K111" s="232" t="inlineStr">
        <is>
          <t>Gorilla Glue</t>
        </is>
      </c>
      <c r="L111" s="232" t="inlineStr">
        <is>
          <t>Ident A + Ident B + Foreign matter</t>
        </is>
      </c>
      <c r="M111" s="237" t="inlineStr">
        <is>
          <t>—</t>
        </is>
      </c>
      <c r="N111" s="232">
        <f>IFERROR(INDEX('CoQ Register'!$B:$B,MATCH("P060402|R",'CoQ Register'!$S:$S,0)),"—")</f>
        <v/>
      </c>
      <c r="O111" s="237" t="inlineStr">
        <is>
          <t>—</t>
        </is>
      </c>
      <c r="P111" s="232" t="inlineStr">
        <is>
          <t>24.05.2027</t>
        </is>
      </c>
      <c r="Q111" s="232" t="inlineStr">
        <is>
          <t>04.05.2026</t>
        </is>
      </c>
      <c r="R111" s="232" t="inlineStr">
        <is>
          <t>24.05.2026</t>
        </is>
      </c>
      <c r="S111" s="234">
        <f>IFERROR(INDEX('CoQ Register'!$D:$D,MATCH("P060402|R",'CoQ Register'!$S:$S,0)),"")</f>
        <v/>
      </c>
      <c r="T111" s="232" t="inlineStr">
        <is>
          <t>CNP ППК26114</t>
        </is>
      </c>
      <c r="U111" s="232" t="inlineStr">
        <is>
          <t>CNP ППК26114</t>
        </is>
      </c>
      <c r="V111" s="232" t="inlineStr">
        <is>
          <t>Conforms</t>
        </is>
      </c>
      <c r="W111" s="232" t="inlineStr">
        <is>
          <t>197-8-K-26, (07.08.2026) [FHM-K]</t>
        </is>
      </c>
      <c r="X111" s="232" t="inlineStr">
        <is>
          <t>197-8-K-26, (07.08.2026) [FHM-K]</t>
        </is>
      </c>
      <c r="Y111" s="232" t="inlineStr">
        <is>
          <t>197-8-M-26, (10.08.2026) [FHM-M]</t>
        </is>
      </c>
      <c r="Z111" s="232" t="inlineStr">
        <is>
          <t>#8, #9, #11, #12 from the initial testing</t>
        </is>
      </c>
      <c r="AA111" s="232" t="inlineStr">
        <is>
          <t>P060402|R</t>
        </is>
      </c>
      <c r="AB111" s="239" t="inlineStr">
        <is>
          <t>registered — retest 1 · Tranche 1 (sampled 21–24.07.2026), tested 22.07.2026,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GP082501/2</t>
        </is>
      </c>
      <c r="J112" s="232" t="inlineStr">
        <is>
          <t>P050322</t>
        </is>
      </c>
      <c r="K112" s="232" t="inlineStr">
        <is>
          <t>Grape Pie</t>
        </is>
      </c>
      <c r="L112" s="232" t="inlineStr">
        <is>
          <t>Ident A + Ident B + Foreign matter</t>
        </is>
      </c>
      <c r="M112" s="237" t="inlineStr">
        <is>
          <t>—</t>
        </is>
      </c>
      <c r="N112" s="232">
        <f>IFERROR(INDEX('CoQ Register'!$B:$B,MATCH("P050322|R",'CoQ Register'!$S:$S,0)),"—")</f>
        <v/>
      </c>
      <c r="O112" s="237" t="inlineStr">
        <is>
          <t>—</t>
        </is>
      </c>
      <c r="P112" s="232" t="inlineStr">
        <is>
          <t>26.12.2026</t>
        </is>
      </c>
      <c r="Q112" s="232" t="inlineStr">
        <is>
          <t>20.11.2025</t>
        </is>
      </c>
      <c r="R112" s="232" t="inlineStr">
        <is>
          <t>26.12.2025</t>
        </is>
      </c>
      <c r="S112" s="234">
        <f>IFERROR(INDEX('CoQ Register'!$D:$D,MATCH("P050322|R",'CoQ Register'!$S:$S,0)),"")</f>
        <v/>
      </c>
      <c r="T112" s="232" t="inlineStr">
        <is>
          <t>Conforms</t>
        </is>
      </c>
      <c r="U112" s="232" t="inlineStr">
        <is>
          <t>Conforms</t>
        </is>
      </c>
      <c r="V112" s="232" t="inlineStr">
        <is>
          <t>Conforms</t>
        </is>
      </c>
      <c r="W112" s="232" t="inlineStr">
        <is>
          <t>197-12-K-26, (07.08.2026) [FHM-K]</t>
        </is>
      </c>
      <c r="X112" s="232" t="inlineStr">
        <is>
          <t>197-12-K-26, (07.08.2026) [FHM-K]</t>
        </is>
      </c>
      <c r="Y112" s="232" t="inlineStr">
        <is>
          <t>197-12-M-26, (10.08.2026) [FHM-M]</t>
        </is>
      </c>
      <c r="Z112" s="232" t="inlineStr">
        <is>
          <t>#8, #9, #11, #12 from the initial testing</t>
        </is>
      </c>
      <c r="AA112" s="232" t="inlineStr">
        <is>
          <t>P050322|R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HPA1024</t>
        </is>
      </c>
      <c r="J113" s="232" t="inlineStr">
        <is>
          <t>N/A — no P batch assigned</t>
        </is>
      </c>
      <c r="K113" s="232" t="inlineStr">
        <is>
          <t>High Pro Amnesia</t>
        </is>
      </c>
      <c r="L113" s="232" t="inlineStr">
        <is>
          <t>Ident A + Ident B + Foreign matter</t>
        </is>
      </c>
      <c r="M113" s="237" t="inlineStr">
        <is>
          <t>—</t>
        </is>
      </c>
      <c r="N113" s="232">
        <f>IFERROR(INDEX('CoQ Register'!$B:$B,MATCH("HPA1024|R",'CoQ Register'!$S:$S,0)),"—")</f>
        <v/>
      </c>
      <c r="O113" s="237" t="inlineStr">
        <is>
          <t>—</t>
        </is>
      </c>
      <c r="P113" s="232" t="inlineStr">
        <is>
          <t>11.04.2026</t>
        </is>
      </c>
      <c r="Q113" s="232" t="inlineStr">
        <is>
          <t>22.01.2025</t>
        </is>
      </c>
      <c r="R113" s="232" t="inlineStr">
        <is>
          <t>11.04.2025</t>
        </is>
      </c>
      <c r="S113" s="234">
        <f>IFERROR(INDEX('CoQ Register'!$D:$D,MATCH("HPA1024|R",'CoQ Register'!$S:$S,0)),"")</f>
        <v/>
      </c>
      <c r="T113" s="232" t="inlineStr">
        <is>
          <t>Conforms</t>
        </is>
      </c>
      <c r="U113" s="232" t="inlineStr">
        <is>
          <t>Conforms</t>
        </is>
      </c>
      <c r="V113" s="232" t="inlineStr">
        <is>
          <t>Conforms</t>
        </is>
      </c>
      <c r="W113" s="232" t="inlineStr">
        <is>
          <t>197-13-K-26, (07.08.2026) [FHM-K]</t>
        </is>
      </c>
      <c r="X113" s="232" t="inlineStr">
        <is>
          <t>197-13-K-26, (07.08.2026) [FHM-K]</t>
        </is>
      </c>
      <c r="Y113" s="232" t="inlineStr">
        <is>
          <t>197-13-M-26, (10.08.2026) [FHM-M]</t>
        </is>
      </c>
      <c r="Z113" s="232" t="inlineStr">
        <is>
          <t>#8, #9, #11, #12 from the initial testing</t>
        </is>
      </c>
      <c r="AA113" s="232" t="inlineStr">
        <is>
          <t>HPA1024|R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HPA1024_01</t>
        </is>
      </c>
      <c r="J114" s="232" t="inlineStr">
        <is>
          <t>P050052</t>
        </is>
      </c>
      <c r="K114" s="232" t="inlineStr">
        <is>
          <t>High Pro Amnesia</t>
        </is>
      </c>
      <c r="L114" s="232" t="inlineStr">
        <is>
          <t>Ident A + Ident B + Foreign matter</t>
        </is>
      </c>
      <c r="M114" s="237" t="inlineStr">
        <is>
          <t>—</t>
        </is>
      </c>
      <c r="N114" s="232">
        <f>IFERROR(INDEX('CoQ Register'!$B:$B,MATCH("P050052|R",'CoQ Register'!$S:$S,0)),"—")</f>
        <v/>
      </c>
      <c r="O114" s="237" t="inlineStr">
        <is>
          <t>—</t>
        </is>
      </c>
      <c r="P114" s="232" t="inlineStr">
        <is>
          <t>27.06.2026</t>
        </is>
      </c>
      <c r="Q114" s="232" t="inlineStr">
        <is>
          <t>27.05.2025 – 28.05.2025</t>
        </is>
      </c>
      <c r="R114" s="232" t="inlineStr">
        <is>
          <t>27.06.2025 – 04.07.2025</t>
        </is>
      </c>
      <c r="S114" s="234">
        <f>IFERROR(INDEX('CoQ Register'!$D:$D,MATCH("P050052|R",'CoQ Register'!$S:$S,0)),"")</f>
        <v/>
      </c>
      <c r="T114" s="232" t="inlineStr">
        <is>
          <t>Conforms</t>
        </is>
      </c>
      <c r="U114" s="232" t="inlineStr">
        <is>
          <t>Conforms</t>
        </is>
      </c>
      <c r="V114" s="232" t="inlineStr">
        <is>
          <t>Conforms</t>
        </is>
      </c>
      <c r="W114" s="232" t="inlineStr">
        <is>
          <t>197-14-K-26, (07.08.2026) [FHM-K]</t>
        </is>
      </c>
      <c r="X114" s="232" t="inlineStr">
        <is>
          <t>197-14-K-26, (07.08.2026) [FHM-K]</t>
        </is>
      </c>
      <c r="Y114" s="232" t="inlineStr">
        <is>
          <t>197-14-M-26, (10.08.2026) [FHM-M]</t>
        </is>
      </c>
      <c r="Z114" s="232" t="inlineStr">
        <is>
          <t>#8, #9, #11, #12 from the initial testing</t>
        </is>
      </c>
      <c r="AA114" s="232" t="inlineStr">
        <is>
          <t>P050052|R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46226</v>
      </c>
      <c r="F115" s="234">
        <f>IFERROR(INDEX('Batch Dates'!$G:$G,MATCH(J115,'Batch Dates'!$C:$C,0)),IFERROR(INDEX('Batch Dates'!$G:$G,MATCH(I115,'Batch Dates'!$B:$B,0)),""))</f>
        <v/>
      </c>
      <c r="G115" s="232" t="inlineStr">
        <is>
          <t>legacy</t>
        </is>
      </c>
      <c r="H115" s="232" t="inlineStr">
        <is>
          <t>retest 1</t>
        </is>
      </c>
      <c r="I115" s="233" t="inlineStr">
        <is>
          <t>J31102501</t>
        </is>
      </c>
      <c r="J115" s="232" t="inlineStr">
        <is>
          <t>P060152</t>
        </is>
      </c>
      <c r="K115" s="232" t="inlineStr">
        <is>
          <t>Jokerz 31</t>
        </is>
      </c>
      <c r="L115" s="232" t="inlineStr">
        <is>
          <t>Ident A + Ident B + Foreign matter</t>
        </is>
      </c>
      <c r="M115" s="237" t="inlineStr">
        <is>
          <t>—</t>
        </is>
      </c>
      <c r="N115" s="232">
        <f>IFERROR(INDEX('CoQ Register'!$B:$B,MATCH("P060152|R",'CoQ Register'!$S:$S,0)),"—")</f>
        <v/>
      </c>
      <c r="O115" s="237" t="inlineStr">
        <is>
          <t>—</t>
        </is>
      </c>
      <c r="P115" s="232" t="inlineStr">
        <is>
          <t>05.03.2027</t>
        </is>
      </c>
      <c r="Q115" s="232" t="inlineStr">
        <is>
          <t>21.01.2026</t>
        </is>
      </c>
      <c r="R115" s="232" t="inlineStr">
        <is>
          <t>05.03.2026</t>
        </is>
      </c>
      <c r="S115" s="234">
        <f>IFERROR(INDEX('CoQ Register'!$D:$D,MATCH("P060152|R",'CoQ Register'!$S:$S,0)),"")</f>
        <v/>
      </c>
      <c r="T115" s="232" t="inlineStr">
        <is>
          <t>Conforms</t>
        </is>
      </c>
      <c r="U115" s="232" t="inlineStr">
        <is>
          <t>Conforms</t>
        </is>
      </c>
      <c r="V115" s="232" t="inlineStr">
        <is>
          <t>Conforms</t>
        </is>
      </c>
      <c r="W115" s="232" t="inlineStr">
        <is>
          <t>197-16-K-26, (07.08.2026) [FHM-K]</t>
        </is>
      </c>
      <c r="X115" s="232" t="inlineStr">
        <is>
          <t>197-16-K-26, (07.08.2026) [FHM-K]</t>
        </is>
      </c>
      <c r="Y115" s="232" t="inlineStr">
        <is>
          <t>197-16-M-26, (10.08.2026) [FHM-M]</t>
        </is>
      </c>
      <c r="Z115" s="232" t="inlineStr">
        <is>
          <t>#8, #9, #11, #12 from the initial testing</t>
        </is>
      </c>
      <c r="AA115" s="232" t="inlineStr">
        <is>
          <t>P060152|R</t>
        </is>
      </c>
      <c r="AB115" s="239" t="inlineStr">
        <is>
          <t>registered — retest 1 · Tranche 1 (sampled 21–24.07.2026), tested 23.07.2026, issued 27.07.2026</t>
        </is>
      </c>
    </row>
    <row r="116">
      <c r="A116" s="232" t="n">
        <v>115</v>
      </c>
      <c r="B116" s="233" t="inlineStr">
        <is>
          <t>iCoA-PP_26-115</t>
        </is>
      </c>
      <c r="C116" s="238" t="inlineStr">
        <is>
          <t>yes</t>
        </is>
      </c>
      <c r="D116" s="234" t="n">
        <v>46230</v>
      </c>
      <c r="E116" s="234" t="n">
        <v>46226</v>
      </c>
      <c r="F116" s="234">
        <f>IFERROR(INDEX('Batch Dates'!$G:$G,MATCH(J116,'Batch Dates'!$C:$C,0)),IFERROR(INDEX('Batch Dates'!$G:$G,MATCH(I116,'Batch Dates'!$B:$B,0)),""))</f>
        <v/>
      </c>
      <c r="G116" s="232" t="inlineStr">
        <is>
          <t>legacy</t>
        </is>
      </c>
      <c r="H116" s="232" t="inlineStr">
        <is>
          <t>retest 1</t>
        </is>
      </c>
      <c r="I116" s="233" t="inlineStr">
        <is>
          <t>JD112501</t>
        </is>
      </c>
      <c r="J116" s="232" t="inlineStr">
        <is>
          <t>P060212</t>
        </is>
      </c>
      <c r="K116" s="232" t="inlineStr">
        <is>
          <t>Jelly Donutz</t>
        </is>
      </c>
      <c r="L116" s="232" t="inlineStr">
        <is>
          <t>Ident A + Ident B + Foreign matter</t>
        </is>
      </c>
      <c r="M116" s="237" t="inlineStr">
        <is>
          <t>—</t>
        </is>
      </c>
      <c r="N116" s="232">
        <f>IFERROR(INDEX('CoQ Register'!$B:$B,MATCH("P060212|R",'CoQ Register'!$S:$S,0)),"—")</f>
        <v/>
      </c>
      <c r="O116" s="237" t="inlineStr">
        <is>
          <t>—</t>
        </is>
      </c>
      <c r="P116" s="232" t="inlineStr">
        <is>
          <t>21.04.2027</t>
        </is>
      </c>
      <c r="Q116" s="232" t="inlineStr">
        <is>
          <t>25.03.2026</t>
        </is>
      </c>
      <c r="R116" s="232" t="inlineStr">
        <is>
          <t>21.04.2026</t>
        </is>
      </c>
      <c r="S116" s="234">
        <f>IFERROR(INDEX('CoQ Register'!$D:$D,MATCH("P060212|R",'CoQ Register'!$S:$S,0)),"")</f>
        <v/>
      </c>
      <c r="T116" s="232" t="inlineStr">
        <is>
          <t>Conforms</t>
        </is>
      </c>
      <c r="U116" s="232" t="inlineStr">
        <is>
          <t>Conforms</t>
        </is>
      </c>
      <c r="V116" s="232" t="inlineStr">
        <is>
          <t>Conforms</t>
        </is>
      </c>
      <c r="W116" s="232" t="inlineStr">
        <is>
          <t>197-15-K-26, (07.08.2026) [FHM-K]</t>
        </is>
      </c>
      <c r="X116" s="232" t="inlineStr">
        <is>
          <t>197-15-K-26, (07.08.2026) [FHM-K]</t>
        </is>
      </c>
      <c r="Y116" s="232" t="inlineStr">
        <is>
          <t>197-15-M-26, (10.08.2026) [FHM-M]</t>
        </is>
      </c>
      <c r="Z116" s="232" t="inlineStr">
        <is>
          <t>#8, #9, #11, #12 from the initial testing</t>
        </is>
      </c>
      <c r="AA116" s="232" t="inlineStr">
        <is>
          <t>P060212|R</t>
        </is>
      </c>
      <c r="AB116" s="239" t="inlineStr">
        <is>
          <t>registered — retest 1 · Tranche 1 (sampled 21–24.07.2026), tested 23.07.2026,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OPM1024</t>
        </is>
      </c>
      <c r="J117" s="232" t="inlineStr">
        <is>
          <t>N/A — no P batch assigned</t>
        </is>
      </c>
      <c r="K117" s="232" t="inlineStr">
        <is>
          <t>Orange Punch Mimosa</t>
        </is>
      </c>
      <c r="L117" s="232" t="inlineStr">
        <is>
          <t>Ident A + Ident B + Foreign matter</t>
        </is>
      </c>
      <c r="M117" s="237" t="inlineStr">
        <is>
          <t>—</t>
        </is>
      </c>
      <c r="N117" s="232">
        <f>IFERROR(INDEX('CoQ Register'!$B:$B,MATCH("OPM1024|R",'CoQ Register'!$S:$S,0)),"—")</f>
        <v/>
      </c>
      <c r="O117" s="237" t="inlineStr">
        <is>
          <t>—</t>
        </is>
      </c>
      <c r="P117" s="232" t="inlineStr">
        <is>
          <t>24.04.2026</t>
        </is>
      </c>
      <c r="Q117" s="232" t="inlineStr">
        <is>
          <t>21.01.2025</t>
        </is>
      </c>
      <c r="R117" s="232" t="inlineStr">
        <is>
          <t>24.04.2025 – 25.04.2025</t>
        </is>
      </c>
      <c r="S117" s="234">
        <f>IFERROR(INDEX('CoQ Register'!$D:$D,MATCH("OPM1024|R",'CoQ Register'!$S:$S,0)),"")</f>
        <v/>
      </c>
      <c r="T117" s="232" t="inlineStr">
        <is>
          <t>Conforms</t>
        </is>
      </c>
      <c r="U117" s="232" t="inlineStr">
        <is>
          <t>Conforms</t>
        </is>
      </c>
      <c r="V117" s="232" t="inlineStr">
        <is>
          <t>Conforms</t>
        </is>
      </c>
      <c r="W117" s="232" t="inlineStr">
        <is>
          <t>197-17-K-26, (07.08.2026) [FHM-K]</t>
        </is>
      </c>
      <c r="X117" s="232" t="inlineStr">
        <is>
          <t>197-17-K-26, (07.08.2026) [FHM-K]</t>
        </is>
      </c>
      <c r="Y117" s="232" t="inlineStr">
        <is>
          <t>197-17-M-26, (10.08.2026) [FHM-M]</t>
        </is>
      </c>
      <c r="Z117" s="232" t="inlineStr">
        <is>
          <t>#8, #9, #11, #12 from the initial testing</t>
        </is>
      </c>
      <c r="AA117" s="232" t="inlineStr">
        <is>
          <t>OPM1024|R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legacy</t>
        </is>
      </c>
      <c r="H118" s="232" t="inlineStr">
        <is>
          <t>retest 1</t>
        </is>
      </c>
      <c r="I118" s="233" t="inlineStr">
        <is>
          <t>OPM1024_02</t>
        </is>
      </c>
      <c r="J118" s="232" t="inlineStr">
        <is>
          <t>P050062</t>
        </is>
      </c>
      <c r="K118" s="232" t="inlineStr">
        <is>
          <t>Orange Punch Mimosa</t>
        </is>
      </c>
      <c r="L118" s="232" t="inlineStr">
        <is>
          <t>Ident A + Ident B + Foreign matter</t>
        </is>
      </c>
      <c r="M118" s="237" t="inlineStr">
        <is>
          <t>—</t>
        </is>
      </c>
      <c r="N118" s="232">
        <f>IFERROR(INDEX('CoQ Register'!$B:$B,MATCH("P050062|R",'CoQ Register'!$S:$S,0)),"—")</f>
        <v/>
      </c>
      <c r="O118" s="237" t="inlineStr">
        <is>
          <t>—</t>
        </is>
      </c>
      <c r="P118" s="232" t="inlineStr">
        <is>
          <t>04.07.2026</t>
        </is>
      </c>
      <c r="Q118" s="232" t="inlineStr">
        <is>
          <t>29.05.2025 – 30.05.2025</t>
        </is>
      </c>
      <c r="R118" s="232" t="inlineStr">
        <is>
          <t>04.07.2025 – 10.07.2025</t>
        </is>
      </c>
      <c r="S118" s="234">
        <f>IFERROR(INDEX('CoQ Register'!$D:$D,MATCH("P050062|R",'CoQ Register'!$S:$S,0)),"")</f>
        <v/>
      </c>
      <c r="T118" s="232" t="inlineStr">
        <is>
          <t>Conforms</t>
        </is>
      </c>
      <c r="U118" s="232" t="inlineStr">
        <is>
          <t>Conforms</t>
        </is>
      </c>
      <c r="V118" s="232" t="inlineStr">
        <is>
          <t>Conforms</t>
        </is>
      </c>
      <c r="W118" s="232" t="inlineStr">
        <is>
          <t>197-18-K-26, (07.08.2026) [FHM-K]</t>
        </is>
      </c>
      <c r="X118" s="232" t="inlineStr">
        <is>
          <t>197-18-K-26, (07.08.2026) [FHM-K]</t>
        </is>
      </c>
      <c r="Y118" s="232" t="inlineStr">
        <is>
          <t>197-18-M-26, (10.08.2026) [FHM-M]</t>
        </is>
      </c>
      <c r="Z118" s="232" t="inlineStr">
        <is>
          <t>#8, #9, #11, #12 from the initial testing</t>
        </is>
      </c>
      <c r="AA118" s="232" t="inlineStr">
        <is>
          <t>P050062|R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OPM122501</t>
        </is>
      </c>
      <c r="J119" s="232" t="inlineStr">
        <is>
          <t>P060242</t>
        </is>
      </c>
      <c r="K119" s="232" t="inlineStr">
        <is>
          <t>Orange Punch Mimosa</t>
        </is>
      </c>
      <c r="L119" s="232" t="inlineStr">
        <is>
          <t>Ident A + Ident B + Foreign matter</t>
        </is>
      </c>
      <c r="M119" s="237" t="inlineStr">
        <is>
          <t>—</t>
        </is>
      </c>
      <c r="N119" s="232">
        <f>IFERROR(INDEX('CoQ Register'!$B:$B,MATCH("P060242|R",'CoQ Register'!$S:$S,0)),"—")</f>
        <v/>
      </c>
      <c r="O119" s="237" t="inlineStr">
        <is>
          <t>—</t>
        </is>
      </c>
      <c r="P119" s="232" t="inlineStr">
        <is>
          <t>28.04.2027</t>
        </is>
      </c>
      <c r="Q119" s="232" t="inlineStr">
        <is>
          <t>11.03.2026</t>
        </is>
      </c>
      <c r="R119" s="232" t="inlineStr">
        <is>
          <t>28.04.2026</t>
        </is>
      </c>
      <c r="S119" s="234">
        <f>IFERROR(INDEX('CoQ Register'!$D:$D,MATCH("P060242|R",'CoQ Register'!$S:$S,0)),"")</f>
        <v/>
      </c>
      <c r="T119" s="232" t="inlineStr">
        <is>
          <t>Conforms</t>
        </is>
      </c>
      <c r="U119" s="232" t="inlineStr">
        <is>
          <t>Conforms</t>
        </is>
      </c>
      <c r="V119" s="232" t="inlineStr">
        <is>
          <t>Conforms</t>
        </is>
      </c>
      <c r="W119" s="232" t="inlineStr">
        <is>
          <t>197-19-K-26, (07.08.2026) [FHM-K]</t>
        </is>
      </c>
      <c r="X119" s="232" t="inlineStr">
        <is>
          <t>197-19-K-26, (07.08.2026) [FHM-K]</t>
        </is>
      </c>
      <c r="Y119" s="232" t="inlineStr">
        <is>
          <t>197-19-M-26, (10.08.2026) [FHM-M]</t>
        </is>
      </c>
      <c r="Z119" s="232" t="inlineStr">
        <is>
          <t>#8, #9, #11, #12 from the initial testing</t>
        </is>
      </c>
      <c r="AA119" s="232" t="inlineStr">
        <is>
          <t>P060242|R</t>
        </is>
      </c>
      <c r="AB119" s="239" t="inlineStr">
        <is>
          <t>registered — retest 1 · Tranche 1 (sampled 21–24.07.2026), tested 24.07.2026, issued 27.07.2026</t>
        </is>
      </c>
    </row>
    <row r="120">
      <c r="A120" s="232" t="n">
        <v>119</v>
      </c>
      <c r="B120" s="233" t="inlineStr">
        <is>
          <t>iCoA-PP_26-119</t>
        </is>
      </c>
      <c r="C120" s="238" t="inlineStr">
        <is>
          <t>yes</t>
        </is>
      </c>
      <c r="D120" s="234" t="n">
        <v>46230</v>
      </c>
      <c r="E120" s="234" t="n">
        <v>46227</v>
      </c>
      <c r="F120" s="234">
        <f>IFERROR(INDEX('Batch Dates'!$G:$G,MATCH(J120,'Batch Dates'!$C:$C,0)),IFERROR(INDEX('Batch Dates'!$G:$G,MATCH(I120,'Batch Dates'!$B:$B,0)),""))</f>
        <v/>
      </c>
      <c r="G120" s="232" t="inlineStr">
        <is>
          <t>post-SOP</t>
        </is>
      </c>
      <c r="H120" s="232" t="inlineStr">
        <is>
          <t>retest 1</t>
        </is>
      </c>
      <c r="I120" s="233" t="inlineStr">
        <is>
          <t>SCR012603</t>
        </is>
      </c>
      <c r="J120" s="232" t="inlineStr">
        <is>
          <t>P060382</t>
        </is>
      </c>
      <c r="K120" s="232" t="inlineStr">
        <is>
          <t>Scrambler</t>
        </is>
      </c>
      <c r="L120" s="232" t="inlineStr">
        <is>
          <t>Ident A + Ident B + Foreign matter</t>
        </is>
      </c>
      <c r="M120" s="237" t="inlineStr">
        <is>
          <t>—</t>
        </is>
      </c>
      <c r="N120" s="232">
        <f>IFERROR(INDEX('CoQ Register'!$B:$B,MATCH("P060382|R",'CoQ Register'!$S:$S,0)),"—")</f>
        <v/>
      </c>
      <c r="O120" s="237" t="inlineStr">
        <is>
          <t>—</t>
        </is>
      </c>
      <c r="P120" s="232" t="inlineStr">
        <is>
          <t>25.05.2027</t>
        </is>
      </c>
      <c r="Q120" s="232" t="inlineStr">
        <is>
          <t>22.04.2026</t>
        </is>
      </c>
      <c r="R120" s="232" t="inlineStr">
        <is>
          <t>25.05.2026</t>
        </is>
      </c>
      <c r="S120" s="234">
        <f>IFERROR(INDEX('CoQ Register'!$D:$D,MATCH("P060382|R",'CoQ Register'!$S:$S,0)),"")</f>
        <v/>
      </c>
      <c r="T120" s="232" t="inlineStr">
        <is>
          <t>Conforms</t>
        </is>
      </c>
      <c r="U120" s="232" t="inlineStr">
        <is>
          <t>Conforms</t>
        </is>
      </c>
      <c r="V120" s="232" t="inlineStr">
        <is>
          <t>Conforms</t>
        </is>
      </c>
      <c r="W120" s="232" t="inlineStr">
        <is>
          <t>197-21-K-26, (07.08.2026) [FHM-K]</t>
        </is>
      </c>
      <c r="X120" s="232" t="inlineStr">
        <is>
          <t>197-21-K-26, (07.08.2026) [FHM-K]</t>
        </is>
      </c>
      <c r="Y120" s="232" t="inlineStr">
        <is>
          <t>197-21-M-26, (10.08.2026) [FHM-M]</t>
        </is>
      </c>
      <c r="Z120" s="232" t="inlineStr">
        <is>
          <t>#8, #9, #11, #12 from the initial testing</t>
        </is>
      </c>
      <c r="AA120" s="232" t="inlineStr">
        <is>
          <t>P060382|R</t>
        </is>
      </c>
      <c r="AB120" s="239" t="inlineStr">
        <is>
          <t>registered — retest 1 · Tranche 1 (sampled 21–24.07.2026), tested 24.07.2026, issued 27.07.2026</t>
        </is>
      </c>
    </row>
    <row r="121">
      <c r="A121" s="232" t="n">
        <v>120</v>
      </c>
      <c r="B121" s="233" t="inlineStr">
        <is>
          <t>iCoA-PP_26-120</t>
        </is>
      </c>
      <c r="C121" s="238" t="inlineStr">
        <is>
          <t>yes</t>
        </is>
      </c>
      <c r="D121" s="234" t="n">
        <v>46230</v>
      </c>
      <c r="E121" s="234" t="n">
        <v>46227</v>
      </c>
      <c r="F121" s="234">
        <f>IFERROR(INDEX('Batch Dates'!$G:$G,MATCH(J121,'Batch Dates'!$C:$C,0)),IFERROR(INDEX('Batch Dates'!$G:$G,MATCH(I121,'Batch Dates'!$B:$B,0)),""))</f>
        <v/>
      </c>
      <c r="G121" s="232" t="inlineStr">
        <is>
          <t>legacy</t>
        </is>
      </c>
      <c r="H121" s="232" t="inlineStr">
        <is>
          <t>retest 1</t>
        </is>
      </c>
      <c r="I121" s="233" t="inlineStr">
        <is>
          <t>PM092501</t>
        </is>
      </c>
      <c r="J121" s="232" t="inlineStr">
        <is>
          <t>P060062</t>
        </is>
      </c>
      <c r="K121" s="232" t="inlineStr">
        <is>
          <t>Permanent Market</t>
        </is>
      </c>
      <c r="L121" s="232" t="inlineStr">
        <is>
          <t>Ident A + Ident B + Foreign matter</t>
        </is>
      </c>
      <c r="M121" s="237" t="inlineStr">
        <is>
          <t>—</t>
        </is>
      </c>
      <c r="N121" s="232">
        <f>IFERROR(INDEX('CoQ Register'!$B:$B,MATCH("P060062|R",'CoQ Register'!$S:$S,0)),"—")</f>
        <v/>
      </c>
      <c r="O121" s="237" t="inlineStr">
        <is>
          <t>—</t>
        </is>
      </c>
      <c r="P121" s="232" t="inlineStr">
        <is>
          <t>30.01.2027</t>
        </is>
      </c>
      <c r="Q121" s="232" t="inlineStr">
        <is>
          <t>11.12.2025</t>
        </is>
      </c>
      <c r="R121" s="232" t="inlineStr">
        <is>
          <t>30.01.2026</t>
        </is>
      </c>
      <c r="S121" s="234">
        <f>IFERROR(INDEX('CoQ Register'!$D:$D,MATCH("P060062|R",'CoQ Register'!$S:$S,0)),"")</f>
        <v/>
      </c>
      <c r="T121" s="232" t="inlineStr">
        <is>
          <t>Conforms</t>
        </is>
      </c>
      <c r="U121" s="232" t="inlineStr">
        <is>
          <t>Conforms</t>
        </is>
      </c>
      <c r="V121" s="232" t="inlineStr">
        <is>
          <t>Conforms</t>
        </is>
      </c>
      <c r="W121" s="232" t="inlineStr">
        <is>
          <t>197-20-K-26, (07.08.2026) [FHM-K]</t>
        </is>
      </c>
      <c r="X121" s="232" t="inlineStr">
        <is>
          <t>197-20-K-26, (07.08.2026) [FHM-K]</t>
        </is>
      </c>
      <c r="Y121" s="232" t="inlineStr">
        <is>
          <t>197-20-M-26, (10.08.2026) [FHM-M]</t>
        </is>
      </c>
      <c r="Z121" s="232" t="inlineStr">
        <is>
          <t>#8, #9, #11, #12 from the initial testing</t>
        </is>
      </c>
      <c r="AA121" s="232" t="inlineStr">
        <is>
          <t>P060062|R</t>
        </is>
      </c>
      <c r="AB121" s="239" t="inlineStr">
        <is>
          <t>registered — retest 1 · Tranche 1 (sampled 21–24.07.2026), tested 24.07.2026, issued 27.07.2026</t>
        </is>
      </c>
    </row>
    <row r="122">
      <c r="A122" s="232" t="n">
        <v>121</v>
      </c>
      <c r="B122" s="233" t="inlineStr">
        <is>
          <t>iCoA-PP_26-121</t>
        </is>
      </c>
      <c r="C122" s="238" t="inlineStr">
        <is>
          <t>yes</t>
        </is>
      </c>
      <c r="D122" s="234">
        <f>IF(A122="","",IF(ISNUMBER(E122),MAX(DATE(2026,6,3),E122),DATE(2026,6,3)))</f>
        <v/>
      </c>
      <c r="E122" s="234">
        <f>IFERROR(INDEX('Batch Dates'!$F:$F,MATCH(J122,'Batch Dates'!$C:$C,0)),IFERROR(INDEX('Batch Dates'!$F:$F,MATCH(I122,'Batch Dates'!$B:$B,0)),""))</f>
        <v/>
      </c>
      <c r="F122" s="234">
        <f>IFERROR(INDEX('Batch Dates'!$G:$G,MATCH(J122,'Batch Dates'!$C:$C,0)),IFERROR(INDEX('Batch Dates'!$G:$G,MATCH(I122,'Batch Dates'!$B:$B,0)),""))</f>
        <v/>
      </c>
      <c r="G122" s="232" t="inlineStr">
        <is>
          <t>post-SOP</t>
        </is>
      </c>
      <c r="H122" s="232" t="inlineStr">
        <is>
          <t>initial release</t>
        </is>
      </c>
      <c r="I122" s="233" t="inlineStr">
        <is>
          <t>JD022601</t>
        </is>
      </c>
      <c r="J122" s="232" t="inlineStr">
        <is>
          <t>P060482</t>
        </is>
      </c>
      <c r="K122" s="232" t="inlineStr">
        <is>
          <t>Jelly Donutz</t>
        </is>
      </c>
      <c r="L122" s="232" t="inlineStr">
        <is>
          <t>Ident A + Ident B + Foreign matter</t>
        </is>
      </c>
      <c r="M122" s="232" t="inlineStr">
        <is>
          <t>A: ППК26115 / B: ППК26115 / FM: ППК26115</t>
        </is>
      </c>
      <c r="N122" s="232">
        <f>IFERROR(INDEX('CoQ Register'!$B:$B,MATCH("P060482|I",'CoQ Register'!$S:$S,0)),"—")</f>
        <v/>
      </c>
      <c r="O122" s="237" t="inlineStr">
        <is>
          <t>—</t>
        </is>
      </c>
      <c r="P122" s="232" t="inlineStr">
        <is>
          <t>30.06.2026</t>
        </is>
      </c>
      <c r="Q122" s="232" t="inlineStr">
        <is>
          <t>18.05.2026</t>
        </is>
      </c>
      <c r="R122" s="232" t="inlineStr">
        <is>
          <t>05.08.2026 (the issuance plan's basis: 30.06.2026)</t>
        </is>
      </c>
      <c r="S122" s="234">
        <f>IFERROR(INDEX('CoQ Register'!$D:$D,MATCH("P060482|I",'CoQ Register'!$S:$S,0)),"")</f>
        <v/>
      </c>
      <c r="T122" s="232" t="inlineStr">
        <is>
          <t>CNP ППК26115</t>
        </is>
      </c>
      <c r="U122" s="232" t="inlineStr">
        <is>
          <t>CNP ППК26115</t>
        </is>
      </c>
      <c r="V122" s="232" t="inlineStr">
        <is>
          <t>CNP ППК26115</t>
        </is>
      </c>
      <c r="W122" s="232" t="inlineStr">
        <is>
          <t>ППК26115, (30.06.2026) [CNP]</t>
        </is>
      </c>
      <c r="X122" s="232" t="inlineStr">
        <is>
          <t>—</t>
        </is>
      </c>
      <c r="Y122" s="232" t="inlineStr">
        <is>
          <t>—</t>
        </is>
      </c>
      <c r="Z122" s="232" t="inlineStr">
        <is>
          <t>—</t>
        </is>
      </c>
      <c r="AA122" s="232" t="inlineStr">
        <is>
          <t>P060482|I</t>
        </is>
      </c>
      <c r="AB122" s="239" t="inlineStr">
        <is>
          <t>registered — initial release, issued 05.08.2026</t>
        </is>
      </c>
    </row>
    <row r="123">
      <c r="A123" s="232" t="n">
        <v>122</v>
      </c>
      <c r="B123" s="233" t="inlineStr">
        <is>
          <t>iCoA-PP_26-122</t>
        </is>
      </c>
      <c r="C123" s="238" t="inlineStr">
        <is>
          <t>yes</t>
        </is>
      </c>
      <c r="D123" s="234">
        <f>IF(A123="","",IF(ISNUMBER(E123),MAX(DATE(2026,6,3),E123),DATE(2026,6,3)))</f>
        <v/>
      </c>
      <c r="E123" s="234">
        <f>IFERROR(INDEX('Batch Dates'!$F:$F,MATCH(J123,'Batch Dates'!$C:$C,0)),IFERROR(INDEX('Batch Dates'!$F:$F,MATCH(I123,'Batch Dates'!$B:$B,0)),""))</f>
        <v/>
      </c>
      <c r="F123" s="234">
        <f>IFERROR(INDEX('Batch Dates'!$G:$G,MATCH(J123,'Batch Dates'!$C:$C,0)),IFERROR(INDEX('Batch Dates'!$G:$G,MATCH(I123,'Batch Dates'!$B:$B,0)),""))</f>
        <v/>
      </c>
      <c r="G123" s="232" t="inlineStr">
        <is>
          <t>post-SOP</t>
        </is>
      </c>
      <c r="H123" s="232" t="inlineStr">
        <is>
          <t>initial release</t>
        </is>
      </c>
      <c r="I123" s="233" t="inlineStr">
        <is>
          <t>JD042601</t>
        </is>
      </c>
      <c r="J123" s="232" t="inlineStr">
        <is>
          <t>P060492</t>
        </is>
      </c>
      <c r="K123" s="232" t="inlineStr">
        <is>
          <t>Jelly Donutz</t>
        </is>
      </c>
      <c r="L123" s="232" t="inlineStr">
        <is>
          <t>Ident A + Ident B + Foreign matter</t>
        </is>
      </c>
      <c r="M123" s="237" t="inlineStr">
        <is>
          <t>—</t>
        </is>
      </c>
      <c r="N123" s="232">
        <f>IFERROR(INDEX('CoQ Register'!$B:$B,MATCH("P060492|I",'CoQ Register'!$S:$S,0)),"—")</f>
        <v/>
      </c>
      <c r="O123" s="237" t="inlineStr">
        <is>
          <t>—</t>
        </is>
      </c>
      <c r="P123" s="232" t="inlineStr">
        <is>
          <t>13.08.2026</t>
        </is>
      </c>
      <c r="Q123" s="232" t="inlineStr">
        <is>
          <t>21.07.2026</t>
        </is>
      </c>
      <c r="R123" s="232" t="inlineStr">
        <is>
          <t>13.08.2026</t>
        </is>
      </c>
      <c r="S123" s="234">
        <f>IFERROR(INDEX('CoQ Register'!$D:$D,MATCH("P060492|I",'CoQ Register'!$S:$S,0)),"")</f>
        <v/>
      </c>
      <c r="T123" s="232" t="inlineStr">
        <is>
          <t>Conforms</t>
        </is>
      </c>
      <c r="U123" s="232" t="inlineStr">
        <is>
          <t>Conforms</t>
        </is>
      </c>
      <c r="V123" s="232" t="inlineStr">
        <is>
          <t>Conforms</t>
        </is>
      </c>
      <c r="W123" s="232" t="inlineStr">
        <is>
          <t>— no cannabinoid certificate from the initial testing —</t>
        </is>
      </c>
      <c r="X123" s="232" t="inlineStr">
        <is>
          <t>—</t>
        </is>
      </c>
      <c r="Y123" s="232" t="inlineStr">
        <is>
          <t>—</t>
        </is>
      </c>
      <c r="Z123" s="232" t="inlineStr">
        <is>
          <t>—</t>
        </is>
      </c>
      <c r="AA123" s="232" t="inlineStr">
        <is>
          <t>P060492|I</t>
        </is>
      </c>
      <c r="AB123" s="239" t="inlineStr">
        <is>
          <t>registered — initial release, issued 13.08.2026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ACC102501</t>
        </is>
      </c>
      <c r="J124" s="232" t="inlineStr">
        <is>
          <t>P060122</t>
        </is>
      </c>
      <c r="K124" s="232" t="inlineStr">
        <is>
          <t>Amnesia Core Cut</t>
        </is>
      </c>
      <c r="L124" s="232" t="inlineStr">
        <is>
          <t>Ident A + Ident B + Foreign matter</t>
        </is>
      </c>
      <c r="M124" s="237" t="inlineStr">
        <is>
          <t>—</t>
        </is>
      </c>
      <c r="N124" s="232">
        <f>IFERROR(INDEX('CoQ Register'!$B:$B,MATCH("P060122|R",'CoQ Register'!$S:$S,0)),"—")</f>
        <v/>
      </c>
      <c r="O124" s="237" t="inlineStr">
        <is>
          <t>—</t>
        </is>
      </c>
      <c r="P124" s="232" t="inlineStr">
        <is>
          <t>18.02.2027</t>
        </is>
      </c>
      <c r="Q124" s="232" t="inlineStr">
        <is>
          <t>09.01.2026</t>
        </is>
      </c>
      <c r="R124" s="232" t="inlineStr">
        <is>
          <t>18.02.2026 – 19.02.2026</t>
        </is>
      </c>
      <c r="S124" s="234">
        <f>IFERROR(INDEX('CoQ Register'!$D:$D,MATCH("P060122|R",'CoQ Register'!$S:$S,0)),"")</f>
        <v/>
      </c>
      <c r="T124" s="232" t="inlineStr">
        <is>
          <t>Conforms</t>
        </is>
      </c>
      <c r="U124" s="232" t="inlineStr">
        <is>
          <t>Conforms</t>
        </is>
      </c>
      <c r="V124" s="232" t="inlineStr">
        <is>
          <t>Conforms</t>
        </is>
      </c>
      <c r="W124" s="232" t="inlineStr">
        <is>
          <t>220-1-K-26, (25.08.2026) [FHM-K]</t>
        </is>
      </c>
      <c r="X124" s="232" t="inlineStr">
        <is>
          <t>220-1-K-26, (25.08.2026) [FHM-K]</t>
        </is>
      </c>
      <c r="Y124" s="232" t="inlineStr">
        <is>
          <t>220-1-M-26, (11.09.2026) [FHM-M]</t>
        </is>
      </c>
      <c r="Z124" s="232" t="inlineStr">
        <is>
          <t>#8, #9, #11, #12 from the initial testing</t>
        </is>
      </c>
      <c r="AA124" s="232" t="inlineStr">
        <is>
          <t>P060122|R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BSS052501</t>
        </is>
      </c>
      <c r="J125" s="232" t="inlineStr">
        <is>
          <t>P050192</t>
        </is>
      </c>
      <c r="K125" s="232" t="inlineStr">
        <is>
          <t>Blue Sunset Sherbet</t>
        </is>
      </c>
      <c r="L125" s="232" t="inlineStr">
        <is>
          <t>Ident A + Ident B + Foreign matter</t>
        </is>
      </c>
      <c r="M125" s="237" t="inlineStr">
        <is>
          <t>—</t>
        </is>
      </c>
      <c r="N125" s="232">
        <f>IFERROR(INDEX('CoQ Register'!$B:$B,MATCH("P050192|R",'CoQ Register'!$S:$S,0)),"—")</f>
        <v/>
      </c>
      <c r="O125" s="237" t="inlineStr">
        <is>
          <t>—</t>
        </is>
      </c>
      <c r="P125" s="232" t="inlineStr">
        <is>
          <t>10.10.2026</t>
        </is>
      </c>
      <c r="Q125" s="232" t="inlineStr">
        <is>
          <t>01.09.2025 – 03.09.2025</t>
        </is>
      </c>
      <c r="R125" s="232" t="inlineStr">
        <is>
          <t>10.10.2025 – 21.10.2025</t>
        </is>
      </c>
      <c r="S125" s="234">
        <f>IFERROR(INDEX('CoQ Register'!$D:$D,MATCH("P050192|R",'CoQ Register'!$S:$S,0)),"")</f>
        <v/>
      </c>
      <c r="T125" s="232" t="inlineStr">
        <is>
          <t>Conforms</t>
        </is>
      </c>
      <c r="U125" s="232" t="inlineStr">
        <is>
          <t>Conforms</t>
        </is>
      </c>
      <c r="V125" s="232" t="inlineStr">
        <is>
          <t>Conforms</t>
        </is>
      </c>
      <c r="W125" s="232" t="inlineStr">
        <is>
          <t>220-2-K-26, (25.08.2026) [FHM-K]</t>
        </is>
      </c>
      <c r="X125" s="232" t="inlineStr">
        <is>
          <t>220-2-K-26, (25.08.2026) [FHM-K]</t>
        </is>
      </c>
      <c r="Y125" s="232" t="inlineStr">
        <is>
          <t>220-2-M-26, (11.09.2026) [FHM-M]</t>
        </is>
      </c>
      <c r="Z125" s="232" t="inlineStr">
        <is>
          <t>#8, #9, #11, #12 from the initial testing</t>
        </is>
      </c>
      <c r="AA125" s="232" t="inlineStr">
        <is>
          <t>P050192|R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CF102501</t>
        </is>
      </c>
      <c r="J126" s="232" t="inlineStr">
        <is>
          <t>P060132</t>
        </is>
      </c>
      <c r="K126" s="232" t="inlineStr">
        <is>
          <t>Chem Flyer</t>
        </is>
      </c>
      <c r="L126" s="232" t="inlineStr">
        <is>
          <t>Ident A + Ident B + Foreign matter</t>
        </is>
      </c>
      <c r="M126" s="237" t="inlineStr">
        <is>
          <t>—</t>
        </is>
      </c>
      <c r="N126" s="232">
        <f>IFERROR(INDEX('CoQ Register'!$B:$B,MATCH("P060132|R",'CoQ Register'!$S:$S,0)),"—")</f>
        <v/>
      </c>
      <c r="O126" s="237" t="inlineStr">
        <is>
          <t>—</t>
        </is>
      </c>
      <c r="P126" s="232" t="inlineStr">
        <is>
          <t>19.02.2027</t>
        </is>
      </c>
      <c r="Q126" s="232" t="inlineStr">
        <is>
          <t>09.01.2026</t>
        </is>
      </c>
      <c r="R126" s="232" t="inlineStr">
        <is>
          <t>19.02.2026 – 20.02.2026</t>
        </is>
      </c>
      <c r="S126" s="234">
        <f>IFERROR(INDEX('CoQ Register'!$D:$D,MATCH("P060132|R",'CoQ Register'!$S:$S,0)),"")</f>
        <v/>
      </c>
      <c r="T126" s="232" t="inlineStr">
        <is>
          <t>Conforms</t>
        </is>
      </c>
      <c r="U126" s="232" t="inlineStr">
        <is>
          <t>Conforms</t>
        </is>
      </c>
      <c r="V126" s="232" t="inlineStr">
        <is>
          <t>Conforms</t>
        </is>
      </c>
      <c r="W126" s="232" t="inlineStr">
        <is>
          <t>220-6-K-26, (25.08.2026) [FHM-K]</t>
        </is>
      </c>
      <c r="X126" s="232" t="inlineStr">
        <is>
          <t>220-6-K-26, (25.08.2026) [FHM-K]</t>
        </is>
      </c>
      <c r="Y126" s="232" t="inlineStr">
        <is>
          <t>220-6-M-26, (11.09.2026) [FHM-M]</t>
        </is>
      </c>
      <c r="Z126" s="232" t="inlineStr">
        <is>
          <t>#8, #9, #11, #12 from the initial testing</t>
        </is>
      </c>
      <c r="AA126" s="232" t="inlineStr">
        <is>
          <t>P060132|R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2</t>
        </is>
      </c>
      <c r="I127" s="233" t="inlineStr">
        <is>
          <t>CJ062501/1</t>
        </is>
      </c>
      <c r="J127" s="232" t="inlineStr">
        <is>
          <t>P050222</t>
        </is>
      </c>
      <c r="K127" s="232" t="inlineStr">
        <is>
          <t>Cap Junky</t>
        </is>
      </c>
      <c r="L127" s="232" t="inlineStr">
        <is>
          <t>Ident A + Ident B + Foreign matter</t>
        </is>
      </c>
      <c r="M127" s="237" t="inlineStr">
        <is>
          <t>—</t>
        </is>
      </c>
      <c r="N127" s="232">
        <f>IFERROR(INDEX('CoQ Register'!$B:$B,MATCH("P050222|R2",'CoQ Register'!$S:$S,0)),"—")</f>
        <v/>
      </c>
      <c r="O127" s="237" t="inlineStr">
        <is>
          <t>—</t>
        </is>
      </c>
      <c r="P127" s="232" t="inlineStr">
        <is>
          <t>24.11.2026</t>
        </is>
      </c>
      <c r="Q127" s="232" t="inlineStr">
        <is>
          <t>23.09.2025</t>
        </is>
      </c>
      <c r="R127" s="232" t="inlineStr">
        <is>
          <t>24.11.2025 – 25.11.2025</t>
        </is>
      </c>
      <c r="S127" s="234">
        <f>IFERROR(INDEX('CoQ Register'!$D:$D,MATCH("P050222|R2",'CoQ Register'!$S:$S,0)),"")</f>
        <v/>
      </c>
      <c r="T127" s="232" t="inlineStr">
        <is>
          <t>Conforms</t>
        </is>
      </c>
      <c r="U127" s="232" t="inlineStr">
        <is>
          <t>Conforms</t>
        </is>
      </c>
      <c r="V127" s="232" t="inlineStr">
        <is>
          <t>Conforms</t>
        </is>
      </c>
      <c r="W127" s="232" t="inlineStr">
        <is>
          <t>220-3-K-26, (25.08.2026) [FHM-K]</t>
        </is>
      </c>
      <c r="X127" s="232" t="inlineStr">
        <is>
          <t>220-3-K-26, (25.08.2026) [FHM-K]</t>
        </is>
      </c>
      <c r="Y127" s="232" t="inlineStr">
        <is>
          <t>220-3-M-26, (11.09.2026) [FHM-M]</t>
        </is>
      </c>
      <c r="Z127" s="232" t="inlineStr">
        <is>
          <t>#8, #9, #11, #12 from the initial testing</t>
        </is>
      </c>
      <c r="AA127" s="232" t="inlineStr">
        <is>
          <t>P050222|R2</t>
        </is>
      </c>
      <c r="AB127" s="239" t="inlineStr">
        <is>
          <t>registered — retest 2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CJ082501/1</t>
        </is>
      </c>
      <c r="J128" s="232" t="inlineStr">
        <is>
          <t>P060022</t>
        </is>
      </c>
      <c r="K128" s="232" t="inlineStr">
        <is>
          <t>Cap Junky</t>
        </is>
      </c>
      <c r="L128" s="232" t="inlineStr">
        <is>
          <t>Ident A + Ident B + Foreign matter</t>
        </is>
      </c>
      <c r="M128" s="237" t="inlineStr">
        <is>
          <t>—</t>
        </is>
      </c>
      <c r="N128" s="232">
        <f>IFERROR(INDEX('CoQ Register'!$B:$B,MATCH("P060022|R",'CoQ Register'!$S:$S,0)),"—")</f>
        <v/>
      </c>
      <c r="O128" s="237" t="inlineStr">
        <is>
          <t>—</t>
        </is>
      </c>
      <c r="P128" s="232" t="inlineStr">
        <is>
          <t>16.01.2027</t>
        </is>
      </c>
      <c r="Q128" s="232" t="inlineStr">
        <is>
          <t>09.12.2025 – 10.12.2025</t>
        </is>
      </c>
      <c r="R128" s="232" t="inlineStr">
        <is>
          <t>16.01.2026</t>
        </is>
      </c>
      <c r="S128" s="234">
        <f>IFERROR(INDEX('CoQ Register'!$D:$D,MATCH("P060022|R",'CoQ Register'!$S:$S,0)),"")</f>
        <v/>
      </c>
      <c r="T128" s="232" t="inlineStr">
        <is>
          <t>Conforms</t>
        </is>
      </c>
      <c r="U128" s="232" t="inlineStr">
        <is>
          <t>Conforms</t>
        </is>
      </c>
      <c r="V128" s="232" t="inlineStr">
        <is>
          <t>Conforms</t>
        </is>
      </c>
      <c r="W128" s="232" t="inlineStr">
        <is>
          <t>220-4-K-26, (25.08.2026) [FHM-K]</t>
        </is>
      </c>
      <c r="X128" s="232" t="inlineStr">
        <is>
          <t>220-4-K-26, (25.08.2026) [FHM-K]</t>
        </is>
      </c>
      <c r="Y128" s="232" t="inlineStr">
        <is>
          <t>220-4-M-26, (11.09.2026) [FHM-M]</t>
        </is>
      </c>
      <c r="Z128" s="232" t="inlineStr">
        <is>
          <t>#8, #9, #11, #12 from the initial testing</t>
        </is>
      </c>
      <c r="AA128" s="232" t="inlineStr">
        <is>
          <t>P060022|R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legacy</t>
        </is>
      </c>
      <c r="H129" s="232" t="inlineStr">
        <is>
          <t>retest 1</t>
        </is>
      </c>
      <c r="I129" s="233" t="inlineStr">
        <is>
          <t>CJ092501</t>
        </is>
      </c>
      <c r="J129" s="232" t="inlineStr">
        <is>
          <t>P060072</t>
        </is>
      </c>
      <c r="K129" s="232" t="inlineStr">
        <is>
          <t>Cap Junky</t>
        </is>
      </c>
      <c r="L129" s="232" t="inlineStr">
        <is>
          <t>Ident A + Ident B + Foreign matter</t>
        </is>
      </c>
      <c r="M129" s="237" t="inlineStr">
        <is>
          <t>—</t>
        </is>
      </c>
      <c r="N129" s="232">
        <f>IFERROR(INDEX('CoQ Register'!$B:$B,MATCH("P060072|R",'CoQ Register'!$S:$S,0)),"—")</f>
        <v/>
      </c>
      <c r="O129" s="237" t="inlineStr">
        <is>
          <t>—</t>
        </is>
      </c>
      <c r="P129" s="232" t="inlineStr">
        <is>
          <t>02.02.2027</t>
        </is>
      </c>
      <c r="Q129" s="232" t="inlineStr">
        <is>
          <t>12.12.2025</t>
        </is>
      </c>
      <c r="R129" s="232" t="inlineStr">
        <is>
          <t>02.02.2026</t>
        </is>
      </c>
      <c r="S129" s="234">
        <f>IFERROR(INDEX('CoQ Register'!$D:$D,MATCH("P060072|R",'CoQ Register'!$S:$S,0)),"")</f>
        <v/>
      </c>
      <c r="T129" s="232" t="inlineStr">
        <is>
          <t>Conforms</t>
        </is>
      </c>
      <c r="U129" s="232" t="inlineStr">
        <is>
          <t>Conforms</t>
        </is>
      </c>
      <c r="V129" s="232" t="inlineStr">
        <is>
          <t>Conforms</t>
        </is>
      </c>
      <c r="W129" s="232" t="inlineStr">
        <is>
          <t>220-5-K-26, (25.08.2026) [FHM-K]</t>
        </is>
      </c>
      <c r="X129" s="232" t="inlineStr">
        <is>
          <t>220-5-K-26, (25.08.2026) [FHM-K]</t>
        </is>
      </c>
      <c r="Y129" s="232" t="inlineStr">
        <is>
          <t>220-5-M-26, (11.09.2026) [FHM-M]</t>
        </is>
      </c>
      <c r="Z129" s="232" t="inlineStr">
        <is>
          <t>#8, #9, #11, #12 from the initial testing</t>
        </is>
      </c>
      <c r="AA129" s="232" t="inlineStr">
        <is>
          <t>P060072|R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CLE072501</t>
        </is>
      </c>
      <c r="J130" s="232" t="inlineStr">
        <is>
          <t>P050282</t>
        </is>
      </c>
      <c r="K130" s="232" t="inlineStr">
        <is>
          <t>Clemosa a bud</t>
        </is>
      </c>
      <c r="L130" s="232" t="inlineStr">
        <is>
          <t>Ident A + Ident B + Foreign matter</t>
        </is>
      </c>
      <c r="M130" s="237" t="inlineStr">
        <is>
          <t>—</t>
        </is>
      </c>
      <c r="N130" s="232">
        <f>IFERROR(INDEX('CoQ Register'!$B:$B,MATCH("P050282|R",'CoQ Register'!$S:$S,0)),"—")</f>
        <v/>
      </c>
      <c r="O130" s="237" t="inlineStr">
        <is>
          <t>—</t>
        </is>
      </c>
      <c r="P130" s="232" t="inlineStr">
        <is>
          <t>03.12.2026</t>
        </is>
      </c>
      <c r="Q130" s="232" t="inlineStr">
        <is>
          <t>28.10.2025</t>
        </is>
      </c>
      <c r="R130" s="232" t="inlineStr">
        <is>
          <t>03.12.2025 – 04.12.2025</t>
        </is>
      </c>
      <c r="S130" s="234">
        <f>IFERROR(INDEX('CoQ Register'!$D:$D,MATCH("P050282|R",'CoQ Register'!$S:$S,0)),"")</f>
        <v/>
      </c>
      <c r="T130" s="232" t="inlineStr">
        <is>
          <t>Conforms</t>
        </is>
      </c>
      <c r="U130" s="232" t="inlineStr">
        <is>
          <t>Conforms</t>
        </is>
      </c>
      <c r="V130" s="232" t="inlineStr">
        <is>
          <t>Conforms</t>
        </is>
      </c>
      <c r="W130" s="232" t="inlineStr">
        <is>
          <t>220-7-K-26, (25.08.2026) [FHM-K]</t>
        </is>
      </c>
      <c r="X130" s="232" t="inlineStr">
        <is>
          <t>220-7-K-26, (25.08.2026) [FHM-K]</t>
        </is>
      </c>
      <c r="Y130" s="232" t="inlineStr">
        <is>
          <t>220-7-M-26, (11.09.2026) [FHM-M]</t>
        </is>
      </c>
      <c r="Z130" s="232" t="inlineStr">
        <is>
          <t>#8, #9, #11, #12 from the initial testing</t>
        </is>
      </c>
      <c r="AA130" s="232" t="inlineStr">
        <is>
          <t>P050282|R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post-SOP</t>
        </is>
      </c>
      <c r="H131" s="232" t="inlineStr">
        <is>
          <t>retest 1</t>
        </is>
      </c>
      <c r="I131" s="233" t="inlineStr">
        <is>
          <t>FB012601_1</t>
        </is>
      </c>
      <c r="J131" s="232" t="inlineStr">
        <is>
          <t>P060322</t>
        </is>
      </c>
      <c r="K131" s="232" t="inlineStr">
        <is>
          <t>Fat Bastard</t>
        </is>
      </c>
      <c r="L131" s="232" t="inlineStr">
        <is>
          <t>Ident A + Ident B + Foreign matter</t>
        </is>
      </c>
      <c r="M131" s="237" t="inlineStr">
        <is>
          <t>—</t>
        </is>
      </c>
      <c r="N131" s="232">
        <f>IFERROR(INDEX('CoQ Register'!$B:$B,MATCH("P060322|R",'CoQ Register'!$S:$S,0)),"—")</f>
        <v/>
      </c>
      <c r="O131" s="237" t="inlineStr">
        <is>
          <t>—</t>
        </is>
      </c>
      <c r="P131" s="232" t="inlineStr">
        <is>
          <t>22.05.2027</t>
        </is>
      </c>
      <c r="Q131" s="232" t="inlineStr">
        <is>
          <t>27.03.2026</t>
        </is>
      </c>
      <c r="R131" s="232" t="inlineStr">
        <is>
          <t>22.05.2026</t>
        </is>
      </c>
      <c r="S131" s="234">
        <f>IFERROR(INDEX('CoQ Register'!$D:$D,MATCH("P060322|R",'CoQ Register'!$S:$S,0)),"")</f>
        <v/>
      </c>
      <c r="T131" s="232" t="inlineStr">
        <is>
          <t>Conforms</t>
        </is>
      </c>
      <c r="U131" s="232" t="inlineStr">
        <is>
          <t>Conforms</t>
        </is>
      </c>
      <c r="V131" s="232" t="inlineStr">
        <is>
          <t>Conforms</t>
        </is>
      </c>
      <c r="W131" s="232" t="inlineStr">
        <is>
          <t>220-8-K-26, (25.08.2026) [FHM-K]</t>
        </is>
      </c>
      <c r="X131" s="232" t="inlineStr">
        <is>
          <t>220-8-K-26, (25.08.2026) [FHM-K]</t>
        </is>
      </c>
      <c r="Y131" s="232" t="inlineStr">
        <is>
          <t>220-8-M-26, (11.09.2026) [FHM-M]</t>
        </is>
      </c>
      <c r="Z131" s="232" t="inlineStr">
        <is>
          <t>#8, #9, #11, #12 from the initial testing</t>
        </is>
      </c>
      <c r="AA131" s="232" t="inlineStr">
        <is>
          <t>P060322|R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1</t>
        </is>
      </c>
      <c r="I132" s="233" t="inlineStr">
        <is>
          <t>GG1024</t>
        </is>
      </c>
      <c r="J132" s="232" t="inlineStr">
        <is>
          <t>N/A — no P batch assigned</t>
        </is>
      </c>
      <c r="K132" s="232" t="inlineStr">
        <is>
          <t>Gorilla Glue</t>
        </is>
      </c>
      <c r="L132" s="232" t="inlineStr">
        <is>
          <t>Ident A + Ident B + Foreign matter</t>
        </is>
      </c>
      <c r="M132" s="237" t="inlineStr">
        <is>
          <t>—</t>
        </is>
      </c>
      <c r="N132" s="232">
        <f>IFERROR(INDEX('CoQ Register'!$B:$B,MATCH("GG1024|R",'CoQ Register'!$S:$S,0)),"—")</f>
        <v/>
      </c>
      <c r="O132" s="237" t="inlineStr">
        <is>
          <t>—</t>
        </is>
      </c>
      <c r="P132" s="232" t="inlineStr">
        <is>
          <t>11.03.2026</t>
        </is>
      </c>
      <c r="Q132" s="232" t="inlineStr">
        <is>
          <t>20.01.2025</t>
        </is>
      </c>
      <c r="R132" s="232" t="inlineStr">
        <is>
          <t>11.03.2025</t>
        </is>
      </c>
      <c r="S132" s="234">
        <f>IFERROR(INDEX('CoQ Register'!$D:$D,MATCH("GG1024|R",'CoQ Register'!$S:$S,0)),"")</f>
        <v/>
      </c>
      <c r="T132" s="232" t="inlineStr">
        <is>
          <t>Conforms</t>
        </is>
      </c>
      <c r="U132" s="232" t="inlineStr">
        <is>
          <t>Conforms</t>
        </is>
      </c>
      <c r="V132" s="232" t="inlineStr">
        <is>
          <t>Conforms</t>
        </is>
      </c>
      <c r="W132" s="232" t="inlineStr">
        <is>
          <t>220-9-K-26, (25.08.2026) [FHM-K]</t>
        </is>
      </c>
      <c r="X132" s="232" t="inlineStr">
        <is>
          <t>220-9-K-26, (25.08.2026) [FHM-K]</t>
        </is>
      </c>
      <c r="Y132" s="232" t="inlineStr">
        <is>
          <t>220-9-M-26, (11.09.2026) [FHM-M]</t>
        </is>
      </c>
      <c r="Z132" s="232" t="inlineStr">
        <is>
          <t>#8, #9, #11, #12 from the initial testing</t>
        </is>
      </c>
      <c r="AA132" s="232" t="inlineStr">
        <is>
          <t>GG1024|R</t>
        </is>
      </c>
      <c r="AB132" s="239" t="inlineStr">
        <is>
          <t>registered — retest 1 · Tranche 2 (sampled 12–14.08.2026), tested 12.08.2026, issued 17.08.2026</t>
        </is>
      </c>
    </row>
    <row r="133">
      <c r="A133" s="232" t="n">
        <v>132</v>
      </c>
      <c r="B133" s="233" t="inlineStr">
        <is>
          <t>iCoA-PP_26-132</t>
        </is>
      </c>
      <c r="C133" s="238" t="inlineStr">
        <is>
          <t>yes</t>
        </is>
      </c>
      <c r="D133" s="234" t="n">
        <v>46251</v>
      </c>
      <c r="E133" s="234" t="n">
        <v>46246</v>
      </c>
      <c r="F133" s="234">
        <f>IFERROR(INDEX('Batch Dates'!$G:$G,MATCH(J133,'Batch Dates'!$C:$C,0)),IFERROR(INDEX('Batch Dates'!$G:$G,MATCH(I133,'Batch Dates'!$B:$B,0)),""))</f>
        <v/>
      </c>
      <c r="G133" s="232" t="inlineStr">
        <is>
          <t>legacy</t>
        </is>
      </c>
      <c r="H133" s="232" t="inlineStr">
        <is>
          <t>retest 1</t>
        </is>
      </c>
      <c r="I133" s="233" t="inlineStr">
        <is>
          <t>GP072501/2</t>
        </is>
      </c>
      <c r="J133" s="232" t="inlineStr">
        <is>
          <t>P050302</t>
        </is>
      </c>
      <c r="K133" s="232" t="inlineStr">
        <is>
          <t>Grape Pie</t>
        </is>
      </c>
      <c r="L133" s="232" t="inlineStr">
        <is>
          <t>Ident A + Ident B + Foreign matter</t>
        </is>
      </c>
      <c r="M133" s="237" t="inlineStr">
        <is>
          <t>—</t>
        </is>
      </c>
      <c r="N133" s="232">
        <f>IFERROR(INDEX('CoQ Register'!$B:$B,MATCH("P050302|R",'CoQ Register'!$S:$S,0)),"—")</f>
        <v/>
      </c>
      <c r="O133" s="237" t="inlineStr">
        <is>
          <t>—</t>
        </is>
      </c>
      <c r="P133" s="232" t="inlineStr">
        <is>
          <t>22.12.2026</t>
        </is>
      </c>
      <c r="Q133" s="232" t="inlineStr">
        <is>
          <t>13.11.2025</t>
        </is>
      </c>
      <c r="R133" s="232" t="inlineStr">
        <is>
          <t>22.12.2025</t>
        </is>
      </c>
      <c r="S133" s="234">
        <f>IFERROR(INDEX('CoQ Register'!$D:$D,MATCH("P050302|R",'CoQ Register'!$S:$S,0)),"")</f>
        <v/>
      </c>
      <c r="T133" s="232" t="inlineStr">
        <is>
          <t>Conforms</t>
        </is>
      </c>
      <c r="U133" s="232" t="inlineStr">
        <is>
          <t>Conforms</t>
        </is>
      </c>
      <c r="V133" s="232" t="inlineStr">
        <is>
          <t>Conforms</t>
        </is>
      </c>
      <c r="W133" s="232" t="inlineStr">
        <is>
          <t>220-10-K-26, (25.08.2026) [FHM-K]</t>
        </is>
      </c>
      <c r="X133" s="232" t="inlineStr">
        <is>
          <t>220-10-K-26, (25.08.2026) [FHM-K]</t>
        </is>
      </c>
      <c r="Y133" s="232" t="inlineStr">
        <is>
          <t>220-10-M-26, (11.09.2026) [FHM-M]</t>
        </is>
      </c>
      <c r="Z133" s="232" t="inlineStr">
        <is>
          <t>#8, #9, #11, #12 from the initial testing</t>
        </is>
      </c>
      <c r="AA133" s="232" t="inlineStr">
        <is>
          <t>P050302|R</t>
        </is>
      </c>
      <c r="AB133" s="239" t="inlineStr">
        <is>
          <t>registered — retest 1 · Tranche 2 (sampled 12–14.08.2026), tested 12.08.2026, issued 17.08.2026</t>
        </is>
      </c>
    </row>
    <row r="134">
      <c r="A134" s="232" t="n">
        <v>133</v>
      </c>
      <c r="B134" s="233" t="inlineStr">
        <is>
          <t>iCoA-PP_26-133</t>
        </is>
      </c>
      <c r="C134" s="238" t="inlineStr">
        <is>
          <t>yes</t>
        </is>
      </c>
      <c r="D134" s="234" t="n">
        <v>46251</v>
      </c>
      <c r="E134" s="234" t="n">
        <v>46246</v>
      </c>
      <c r="F134" s="234">
        <f>IFERROR(INDEX('Batch Dates'!$G:$G,MATCH(J134,'Batch Dates'!$C:$C,0)),IFERROR(INDEX('Batch Dates'!$G:$G,MATCH(I134,'Batch Dates'!$B:$B,0)),""))</f>
        <v/>
      </c>
      <c r="G134" s="232" t="inlineStr">
        <is>
          <t>legacy</t>
        </is>
      </c>
      <c r="H134" s="232" t="inlineStr">
        <is>
          <t>retest 4</t>
        </is>
      </c>
      <c r="I134" s="233" t="inlineStr">
        <is>
          <t>GP0824_03</t>
        </is>
      </c>
      <c r="J134" s="232" t="inlineStr">
        <is>
          <t>P050072</t>
        </is>
      </c>
      <c r="K134" s="232" t="inlineStr">
        <is>
          <t>Grape Pie</t>
        </is>
      </c>
      <c r="L134" s="232" t="inlineStr">
        <is>
          <t>Ident A + Ident B + Foreign matter</t>
        </is>
      </c>
      <c r="M134" s="237" t="inlineStr">
        <is>
          <t>—</t>
        </is>
      </c>
      <c r="N134" s="232">
        <f>IFERROR(INDEX('CoQ Register'!$B:$B,MATCH("P050072|R4",'CoQ Register'!$S:$S,0)),"—")</f>
        <v/>
      </c>
      <c r="O134" s="237" t="inlineStr">
        <is>
          <t>—</t>
        </is>
      </c>
      <c r="P134" s="232" t="inlineStr">
        <is>
          <t>14.07.2026</t>
        </is>
      </c>
      <c r="Q134" s="232" t="inlineStr">
        <is>
          <t>09.06.2025 – 10.06.2025</t>
        </is>
      </c>
      <c r="R134" s="232" t="inlineStr">
        <is>
          <t>14.07.2025 – 17.07.2025</t>
        </is>
      </c>
      <c r="S134" s="234">
        <f>IFERROR(INDEX('CoQ Register'!$D:$D,MATCH("P050072|R4",'CoQ Register'!$S:$S,0)),"")</f>
        <v/>
      </c>
      <c r="T134" s="232" t="inlineStr">
        <is>
          <t>Conforms</t>
        </is>
      </c>
      <c r="U134" s="232" t="inlineStr">
        <is>
          <t>Conforms</t>
        </is>
      </c>
      <c r="V134" s="232" t="inlineStr">
        <is>
          <t>Conforms</t>
        </is>
      </c>
      <c r="W134" s="232" t="inlineStr">
        <is>
          <t>220-11-K-26, (25.08.2026) [FHM-K]</t>
        </is>
      </c>
      <c r="X134" s="232" t="inlineStr">
        <is>
          <t>220-11-K-26, (25.08.2026) [FHM-K]</t>
        </is>
      </c>
      <c r="Y134" s="232" t="inlineStr">
        <is>
          <t>220-11-M-26, (11.09.2026) [FHM-M]</t>
        </is>
      </c>
      <c r="Z134" s="232" t="inlineStr">
        <is>
          <t>#8, #9, #11, #12 from the initial testing</t>
        </is>
      </c>
      <c r="AA134" s="232" t="inlineStr">
        <is>
          <t>P050072|R4</t>
        </is>
      </c>
      <c r="AB134" s="239" t="inlineStr">
        <is>
          <t>registered — retest 4 · Tranche 2 (sampled 12–14.08.2026), tested 12.08.2026,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GP082501/1</t>
        </is>
      </c>
      <c r="J135" s="232" t="inlineStr">
        <is>
          <t>P050312</t>
        </is>
      </c>
      <c r="K135" s="232" t="inlineStr">
        <is>
          <t>Grape Pie</t>
        </is>
      </c>
      <c r="L135" s="232" t="inlineStr">
        <is>
          <t>Ident A + Ident B + Foreign matter</t>
        </is>
      </c>
      <c r="M135" s="237" t="inlineStr">
        <is>
          <t>—</t>
        </is>
      </c>
      <c r="N135" s="232">
        <f>IFERROR(INDEX('CoQ Register'!$B:$B,MATCH("P050312|R",'CoQ Register'!$S:$S,0)),"—")</f>
        <v/>
      </c>
      <c r="O135" s="237" t="inlineStr">
        <is>
          <t>—</t>
        </is>
      </c>
      <c r="P135" s="232" t="inlineStr">
        <is>
          <t>23.12.2026</t>
        </is>
      </c>
      <c r="Q135" s="232" t="inlineStr">
        <is>
          <t>19.11.2025 – 20.11.2025</t>
        </is>
      </c>
      <c r="R135" s="232" t="inlineStr">
        <is>
          <t>23.12.2025 – 26.12.2025</t>
        </is>
      </c>
      <c r="S135" s="234">
        <f>IFERROR(INDEX('CoQ Register'!$D:$D,MATCH("P050312|R",'CoQ Register'!$S:$S,0)),"")</f>
        <v/>
      </c>
      <c r="T135" s="232" t="inlineStr">
        <is>
          <t>Conforms</t>
        </is>
      </c>
      <c r="U135" s="232" t="inlineStr">
        <is>
          <t>Conforms</t>
        </is>
      </c>
      <c r="V135" s="232" t="inlineStr">
        <is>
          <t>Conforms</t>
        </is>
      </c>
      <c r="W135" s="232" t="inlineStr">
        <is>
          <t>220-12-K-26, (25.08.2026) [FHM-K]</t>
        </is>
      </c>
      <c r="X135" s="232" t="inlineStr">
        <is>
          <t>220-12-K-26, (25.08.2026) [FHM-K]</t>
        </is>
      </c>
      <c r="Y135" s="232" t="inlineStr">
        <is>
          <t>220-12-M-26, (11.09.2026) [FHM-M]</t>
        </is>
      </c>
      <c r="Z135" s="232" t="inlineStr">
        <is>
          <t>#8, #9, #11, #12 from the initial testing</t>
        </is>
      </c>
      <c r="AA135" s="232" t="inlineStr">
        <is>
          <t>P050312|R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GP092501</t>
        </is>
      </c>
      <c r="J136" s="232" t="inlineStr">
        <is>
          <t>P060092</t>
        </is>
      </c>
      <c r="K136" s="232" t="inlineStr">
        <is>
          <t>Grape Pie</t>
        </is>
      </c>
      <c r="L136" s="232" t="inlineStr">
        <is>
          <t>Ident A + Ident B + Foreign matter</t>
        </is>
      </c>
      <c r="M136" s="237" t="inlineStr">
        <is>
          <t>—</t>
        </is>
      </c>
      <c r="N136" s="232">
        <f>IFERROR(INDEX('CoQ Register'!$B:$B,MATCH("P060092|R",'CoQ Register'!$S:$S,0)),"—")</f>
        <v/>
      </c>
      <c r="O136" s="237" t="inlineStr">
        <is>
          <t>—</t>
        </is>
      </c>
      <c r="P136" s="232" t="inlineStr">
        <is>
          <t>03.02.2027</t>
        </is>
      </c>
      <c r="Q136" s="232" t="inlineStr">
        <is>
          <t>16.12.2025 – 17.12.2025</t>
        </is>
      </c>
      <c r="R136" s="232" t="inlineStr">
        <is>
          <t>03.02.2026 – 09.02.2026</t>
        </is>
      </c>
      <c r="S136" s="234">
        <f>IFERROR(INDEX('CoQ Register'!$D:$D,MATCH("P060092|R",'CoQ Register'!$S:$S,0)),"")</f>
        <v/>
      </c>
      <c r="T136" s="232" t="inlineStr">
        <is>
          <t>Conforms</t>
        </is>
      </c>
      <c r="U136" s="232" t="inlineStr">
        <is>
          <t>Conforms</t>
        </is>
      </c>
      <c r="V136" s="232" t="inlineStr">
        <is>
          <t>Conforms</t>
        </is>
      </c>
      <c r="W136" s="232" t="inlineStr">
        <is>
          <t>220-13-K-26, (25.08.2026) [FHM-K]</t>
        </is>
      </c>
      <c r="X136" s="232" t="inlineStr">
        <is>
          <t>220-13-K-26, (25.08.2026) [FHM-K]</t>
        </is>
      </c>
      <c r="Y136" s="232" t="inlineStr">
        <is>
          <t>220-13-M-26, (11.09.2026) [FHM-M]</t>
        </is>
      </c>
      <c r="Z136" s="232" t="inlineStr">
        <is>
          <t>#8, #9, #11, #12 from the initial testing</t>
        </is>
      </c>
      <c r="AA136" s="232" t="inlineStr">
        <is>
          <t>P060092|R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legacy</t>
        </is>
      </c>
      <c r="H137" s="232" t="inlineStr">
        <is>
          <t>retest 2</t>
        </is>
      </c>
      <c r="I137" s="233" t="inlineStr">
        <is>
          <t>GRC102501</t>
        </is>
      </c>
      <c r="J137" s="232" t="inlineStr">
        <is>
          <t>P060182</t>
        </is>
      </c>
      <c r="K137" s="232" t="inlineStr">
        <is>
          <t>Graps &amp; Creme</t>
        </is>
      </c>
      <c r="L137" s="232" t="inlineStr">
        <is>
          <t>Ident A + Ident B + Foreign matter</t>
        </is>
      </c>
      <c r="M137" s="237" t="inlineStr">
        <is>
          <t>—</t>
        </is>
      </c>
      <c r="N137" s="232">
        <f>IFERROR(INDEX('CoQ Register'!$B:$B,MATCH("P060182|R2",'CoQ Register'!$S:$S,0)),"—")</f>
        <v/>
      </c>
      <c r="O137" s="237" t="inlineStr">
        <is>
          <t>—</t>
        </is>
      </c>
      <c r="P137" s="232" t="inlineStr">
        <is>
          <t>14.03.2027</t>
        </is>
      </c>
      <c r="Q137" s="232" t="inlineStr">
        <is>
          <t>20.01.2026</t>
        </is>
      </c>
      <c r="R137" s="232" t="inlineStr">
        <is>
          <t>14.03.2026</t>
        </is>
      </c>
      <c r="S137" s="234">
        <f>IFERROR(INDEX('CoQ Register'!$D:$D,MATCH("P060182|R2",'CoQ Register'!$S:$S,0)),"")</f>
        <v/>
      </c>
      <c r="T137" s="232" t="inlineStr">
        <is>
          <t>Conforms</t>
        </is>
      </c>
      <c r="U137" s="232" t="inlineStr">
        <is>
          <t>Conforms</t>
        </is>
      </c>
      <c r="V137" s="232" t="inlineStr">
        <is>
          <t>Conforms</t>
        </is>
      </c>
      <c r="W137" s="232" t="inlineStr">
        <is>
          <t>220-14-K-26, (25.08.2026) [FHM-K]</t>
        </is>
      </c>
      <c r="X137" s="232" t="inlineStr">
        <is>
          <t>220-14-K-26, (25.08.2026) [FHM-K]</t>
        </is>
      </c>
      <c r="Y137" s="232" t="inlineStr">
        <is>
          <t>220-14-M-26, (11.09.2026) [FHM-M]</t>
        </is>
      </c>
      <c r="Z137" s="232" t="inlineStr">
        <is>
          <t>#8, #9, #11, #12 from the initial testing</t>
        </is>
      </c>
      <c r="AA137" s="232" t="inlineStr">
        <is>
          <t>P060182|R2</t>
        </is>
      </c>
      <c r="AB137" s="239" t="inlineStr">
        <is>
          <t>registered — retest 2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legacy</t>
        </is>
      </c>
      <c r="H138" s="232" t="inlineStr">
        <is>
          <t>retest 1</t>
        </is>
      </c>
      <c r="I138" s="233" t="inlineStr">
        <is>
          <t>HPA052501</t>
        </is>
      </c>
      <c r="J138" s="232" t="inlineStr">
        <is>
          <t>P050182</t>
        </is>
      </c>
      <c r="K138" s="232" t="inlineStr">
        <is>
          <t>High Pro Amnesia</t>
        </is>
      </c>
      <c r="L138" s="232" t="inlineStr">
        <is>
          <t>Ident A + Ident B + Foreign matter</t>
        </is>
      </c>
      <c r="M138" s="237" t="inlineStr">
        <is>
          <t>—</t>
        </is>
      </c>
      <c r="N138" s="232">
        <f>IFERROR(INDEX('CoQ Register'!$B:$B,MATCH("P050182|R",'CoQ Register'!$S:$S,0)),"—")</f>
        <v/>
      </c>
      <c r="O138" s="237" t="inlineStr">
        <is>
          <t>—</t>
        </is>
      </c>
      <c r="P138" s="232" t="inlineStr">
        <is>
          <t>03.10.2026</t>
        </is>
      </c>
      <c r="Q138" s="232" t="inlineStr">
        <is>
          <t>21.08.2025 – 23.08.2025</t>
        </is>
      </c>
      <c r="R138" s="232" t="inlineStr">
        <is>
          <t>03.10.2025 – 09.10.2025</t>
        </is>
      </c>
      <c r="S138" s="234">
        <f>IFERROR(INDEX('CoQ Register'!$D:$D,MATCH("P050182|R",'CoQ Register'!$S:$S,0)),"")</f>
        <v/>
      </c>
      <c r="T138" s="232" t="inlineStr">
        <is>
          <t>Conforms</t>
        </is>
      </c>
      <c r="U138" s="232" t="inlineStr">
        <is>
          <t>Conforms</t>
        </is>
      </c>
      <c r="V138" s="232" t="inlineStr">
        <is>
          <t>Conforms</t>
        </is>
      </c>
      <c r="W138" s="232" t="inlineStr">
        <is>
          <t>220-15-K-26, (25.08.2026) [FHM-K]</t>
        </is>
      </c>
      <c r="X138" s="232" t="inlineStr">
        <is>
          <t>220-15-K-26, (25.08.2026) [FHM-K]</t>
        </is>
      </c>
      <c r="Y138" s="232" t="inlineStr">
        <is>
          <t>220-15-M-26, (11.09.2026) [FHM-M]</t>
        </is>
      </c>
      <c r="Z138" s="232" t="inlineStr">
        <is>
          <t>#8, #9, #11, #12 from the initial testing</t>
        </is>
      </c>
      <c r="AA138" s="232" t="inlineStr">
        <is>
          <t>P050182|R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P060412</t>
        </is>
      </c>
      <c r="K139" s="232" t="inlineStr">
        <is>
          <t>Jelly Donutz</t>
        </is>
      </c>
      <c r="L139" s="232" t="inlineStr">
        <is>
          <t>Ident A + Ident B + Foreign matter</t>
        </is>
      </c>
      <c r="M139" s="237" t="inlineStr">
        <is>
          <t>—</t>
        </is>
      </c>
      <c r="N139" s="232">
        <f>IFERROR(INDEX('CoQ Register'!$B:$B,MATCH("P060412|R",'CoQ Register'!$S:$S,0)),"—")</f>
        <v/>
      </c>
      <c r="O139" s="237" t="inlineStr">
        <is>
          <t>—</t>
        </is>
      </c>
      <c r="P139" s="232" t="inlineStr">
        <is>
          <t>24.05.2027</t>
        </is>
      </c>
      <c r="Q139" s="232" t="inlineStr">
        <is>
          <t>04.05.2026</t>
        </is>
      </c>
      <c r="R139" s="232" t="inlineStr">
        <is>
          <t>24.05.2026</t>
        </is>
      </c>
      <c r="S139" s="234">
        <f>IFERROR(INDEX('CoQ Register'!$D:$D,MATCH("P060412|R",'CoQ Register'!$S:$S,0)),"")</f>
        <v/>
      </c>
      <c r="T139" s="232" t="inlineStr">
        <is>
          <t>CNP ППК26111</t>
        </is>
      </c>
      <c r="U139" s="232" t="inlineStr">
        <is>
          <t>CNP ППК26111</t>
        </is>
      </c>
      <c r="V139" s="232" t="inlineStr">
        <is>
          <t>Conforms</t>
        </is>
      </c>
      <c r="W139" s="232" t="inlineStr">
        <is>
          <t>220-17-K-26, (26.08.2026) [FHM-K]</t>
        </is>
      </c>
      <c r="X139" s="232" t="inlineStr">
        <is>
          <t>220-17-K-26, (26.08.2026) [FHM-K]</t>
        </is>
      </c>
      <c r="Y139" s="232" t="inlineStr">
        <is>
          <t>220-17-M-26, (11.09.2026) [FHM-M]</t>
        </is>
      </c>
      <c r="Z139" s="232" t="inlineStr">
        <is>
          <t>#8, #9, #11, #12 from the initial testing</t>
        </is>
      </c>
      <c r="AA139" s="232" t="inlineStr">
        <is>
          <t>P060412|R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post-SOP</t>
        </is>
      </c>
      <c r="H140" s="232" t="inlineStr">
        <is>
          <t>retest 1</t>
        </is>
      </c>
      <c r="I140" s="233" t="inlineStr">
        <is>
          <t>JD012603</t>
        </is>
      </c>
      <c r="J140" s="232" t="inlineStr">
        <is>
          <t>P060422</t>
        </is>
      </c>
      <c r="K140" s="232" t="inlineStr">
        <is>
          <t>Jelly Donutz</t>
        </is>
      </c>
      <c r="L140" s="232" t="inlineStr">
        <is>
          <t>Ident A + Ident B + Foreign matter</t>
        </is>
      </c>
      <c r="M140" s="237" t="inlineStr">
        <is>
          <t>—</t>
        </is>
      </c>
      <c r="N140" s="232">
        <f>IFERROR(INDEX('CoQ Register'!$B:$B,MATCH("P060422|R",'CoQ Register'!$S:$S,0)),"—")</f>
        <v/>
      </c>
      <c r="O140" s="237" t="inlineStr">
        <is>
          <t>—</t>
        </is>
      </c>
      <c r="P140" s="232" t="inlineStr">
        <is>
          <t>23.05.2027</t>
        </is>
      </c>
      <c r="Q140" s="232" t="inlineStr">
        <is>
          <t>29.04.2026</t>
        </is>
      </c>
      <c r="R140" s="232" t="inlineStr">
        <is>
          <t>23.05.2026</t>
        </is>
      </c>
      <c r="S140" s="234">
        <f>IFERROR(INDEX('CoQ Register'!$D:$D,MATCH("P060422|R",'CoQ Register'!$S:$S,0)),"")</f>
        <v/>
      </c>
      <c r="T140" s="232" t="inlineStr">
        <is>
          <t>CNP ППК26111</t>
        </is>
      </c>
      <c r="U140" s="232" t="inlineStr">
        <is>
          <t>CNP ППК26111</t>
        </is>
      </c>
      <c r="V140" s="232" t="inlineStr">
        <is>
          <t>Conforms</t>
        </is>
      </c>
      <c r="W140" s="232" t="inlineStr">
        <is>
          <t>220-18-K-26, (26.08.2026) [FHM-K]</t>
        </is>
      </c>
      <c r="X140" s="232" t="inlineStr">
        <is>
          <t>220-18-K-26, (26.08.2026) [FHM-K]</t>
        </is>
      </c>
      <c r="Y140" s="232" t="inlineStr">
        <is>
          <t>220-18-M-26, (11.09.2026) [FHM-M]</t>
        </is>
      </c>
      <c r="Z140" s="232" t="inlineStr">
        <is>
          <t>#8, #9, #11, #12 from the initial testing</t>
        </is>
      </c>
      <c r="AA140" s="232" t="inlineStr">
        <is>
          <t>P060422|R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post-SOP</t>
        </is>
      </c>
      <c r="H141" s="232" t="inlineStr">
        <is>
          <t>retest 1</t>
        </is>
      </c>
      <c r="I141" s="233" t="inlineStr">
        <is>
          <t>JD012603</t>
        </is>
      </c>
      <c r="J141" s="232" t="inlineStr">
        <is>
          <t>P060362</t>
        </is>
      </c>
      <c r="K141" s="232" t="inlineStr">
        <is>
          <t>Jelly Donutz</t>
        </is>
      </c>
      <c r="L141" s="232" t="inlineStr">
        <is>
          <t>Ident A + Ident B + Foreign matter</t>
        </is>
      </c>
      <c r="M141" s="237" t="inlineStr">
        <is>
          <t>—</t>
        </is>
      </c>
      <c r="N141" s="232">
        <f>IFERROR(INDEX('CoQ Register'!$B:$B,MATCH("P060362|R",'CoQ Register'!$S:$S,0)),"—")</f>
        <v/>
      </c>
      <c r="O141" s="237" t="inlineStr">
        <is>
          <t>—</t>
        </is>
      </c>
      <c r="P141" s="232" t="inlineStr">
        <is>
          <t>23.05.2027</t>
        </is>
      </c>
      <c r="Q141" s="232" t="inlineStr">
        <is>
          <t>22.04.2026</t>
        </is>
      </c>
      <c r="R141" s="232" t="inlineStr">
        <is>
          <t>23.05.2026</t>
        </is>
      </c>
      <c r="S141" s="234">
        <f>IFERROR(INDEX('CoQ Register'!$D:$D,MATCH("P060362|R",'CoQ Register'!$S:$S,0)),"")</f>
        <v/>
      </c>
      <c r="T141" s="232" t="inlineStr">
        <is>
          <t>CNP ППК26111</t>
        </is>
      </c>
      <c r="U141" s="232" t="inlineStr">
        <is>
          <t>CNP ППК26111</t>
        </is>
      </c>
      <c r="V141" s="232" t="inlineStr">
        <is>
          <t>Conforms</t>
        </is>
      </c>
      <c r="W141" s="232" t="inlineStr">
        <is>
          <t>220-16-K-26, (25.08.2026) [FHM-K]</t>
        </is>
      </c>
      <c r="X141" s="232" t="inlineStr">
        <is>
          <t>220-16-K-26, (25.08.2026) [FHM-K]</t>
        </is>
      </c>
      <c r="Y141" s="232" t="inlineStr">
        <is>
          <t>220-16-M-26, (11.09.2026) [FHM-M]</t>
        </is>
      </c>
      <c r="Z141" s="232" t="inlineStr">
        <is>
          <t>#8, #9, #11, #12 from the initial testing</t>
        </is>
      </c>
      <c r="AA141" s="232" t="inlineStr">
        <is>
          <t>P060362|R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KC102501</t>
        </is>
      </c>
      <c r="J142" s="232" t="inlineStr">
        <is>
          <t>P060172</t>
        </is>
      </c>
      <c r="K142" s="232" t="inlineStr">
        <is>
          <t>Kush Crasher</t>
        </is>
      </c>
      <c r="L142" s="232" t="inlineStr">
        <is>
          <t>Ident A + Ident B + Foreign matter</t>
        </is>
      </c>
      <c r="M142" s="237" t="inlineStr">
        <is>
          <t>—</t>
        </is>
      </c>
      <c r="N142" s="232">
        <f>IFERROR(INDEX('CoQ Register'!$B:$B,MATCH("P060172|R",'CoQ Register'!$S:$S,0)),"—")</f>
        <v/>
      </c>
      <c r="O142" s="237" t="inlineStr">
        <is>
          <t>—</t>
        </is>
      </c>
      <c r="P142" s="232" t="inlineStr">
        <is>
          <t>12.03.2027</t>
        </is>
      </c>
      <c r="Q142" s="232" t="inlineStr">
        <is>
          <t>20.01.2026 – 21.01.2026</t>
        </is>
      </c>
      <c r="R142" s="232" t="inlineStr">
        <is>
          <t>12.03.2026</t>
        </is>
      </c>
      <c r="S142" s="234">
        <f>IFERROR(INDEX('CoQ Register'!$D:$D,MATCH("P060172|R",'CoQ Register'!$S:$S,0)),"")</f>
        <v/>
      </c>
      <c r="T142" s="232" t="inlineStr">
        <is>
          <t>Conforms</t>
        </is>
      </c>
      <c r="U142" s="232" t="inlineStr">
        <is>
          <t>Conforms</t>
        </is>
      </c>
      <c r="V142" s="232" t="inlineStr">
        <is>
          <t>Conforms</t>
        </is>
      </c>
      <c r="W142" s="232" t="inlineStr">
        <is>
          <t>220-19-K-26, (26.08.2026) [FHM-K]</t>
        </is>
      </c>
      <c r="X142" s="232" t="inlineStr">
        <is>
          <t>220-19-K-26, (26.08.2026) [FHM-K]</t>
        </is>
      </c>
      <c r="Y142" s="232" t="inlineStr">
        <is>
          <t>220-19-M-26, (11.09.2026) [FHM-M]</t>
        </is>
      </c>
      <c r="Z142" s="232" t="inlineStr">
        <is>
          <t>#8, #9, #11, #12 from the initial testing</t>
        </is>
      </c>
      <c r="AA142" s="232" t="inlineStr">
        <is>
          <t>P060172|R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MB0824_05</t>
        </is>
      </c>
      <c r="J143" s="232" t="inlineStr">
        <is>
          <t>P050112</t>
        </is>
      </c>
      <c r="K143" s="232" t="inlineStr">
        <is>
          <t>Motor Breath</t>
        </is>
      </c>
      <c r="L143" s="232" t="inlineStr">
        <is>
          <t>Ident A + Ident B + Foreign matter</t>
        </is>
      </c>
      <c r="M143" s="237" t="inlineStr">
        <is>
          <t>—</t>
        </is>
      </c>
      <c r="N143" s="232">
        <f>IFERROR(INDEX('CoQ Register'!$B:$B,MATCH("P050112|R",'CoQ Register'!$S:$S,0)),"—")</f>
        <v/>
      </c>
      <c r="O143" s="237" t="inlineStr">
        <is>
          <t>—</t>
        </is>
      </c>
      <c r="P143" s="232" t="inlineStr">
        <is>
          <t>25.08.2026</t>
        </is>
      </c>
      <c r="Q143" s="232" t="inlineStr">
        <is>
          <t>08.07.2025 – 09.07.2025</t>
        </is>
      </c>
      <c r="R143" s="232" t="inlineStr">
        <is>
          <t>25.08.2025 – 31.08.2025</t>
        </is>
      </c>
      <c r="S143" s="234">
        <f>IFERROR(INDEX('CoQ Register'!$D:$D,MATCH("P050112|R",'CoQ Register'!$S:$S,0)),"")</f>
        <v/>
      </c>
      <c r="T143" s="232" t="inlineStr">
        <is>
          <t>Conforms</t>
        </is>
      </c>
      <c r="U143" s="232" t="inlineStr">
        <is>
          <t>Conforms</t>
        </is>
      </c>
      <c r="V143" s="232" t="inlineStr">
        <is>
          <t>Conforms</t>
        </is>
      </c>
      <c r="W143" s="232" t="inlineStr">
        <is>
          <t>220-20-K-26, (26.08.2026) [FHM-K]</t>
        </is>
      </c>
      <c r="X143" s="232" t="inlineStr">
        <is>
          <t>220-20-K-26, (26.08.2026) [FHM-K]</t>
        </is>
      </c>
      <c r="Y143" s="232" t="inlineStr">
        <is>
          <t>220-20-M-26, (11.09.2026) [FHM-M]</t>
        </is>
      </c>
      <c r="Z143" s="232" t="inlineStr">
        <is>
          <t>#8, #9, #11, #12 from the initial testing</t>
        </is>
      </c>
      <c r="AA143" s="232" t="inlineStr">
        <is>
          <t>P050112|R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46247</v>
      </c>
      <c r="F144" s="234">
        <f>IFERROR(INDEX('Batch Dates'!$G:$G,MATCH(J144,'Batch Dates'!$C:$C,0)),IFERROR(INDEX('Batch Dates'!$G:$G,MATCH(I144,'Batch Dates'!$B:$B,0)),""))</f>
        <v/>
      </c>
      <c r="G144" s="232" t="inlineStr">
        <is>
          <t>legacy</t>
        </is>
      </c>
      <c r="H144" s="232" t="inlineStr">
        <is>
          <t>retest 1</t>
        </is>
      </c>
      <c r="I144" s="233" t="inlineStr">
        <is>
          <t>OPM092501</t>
        </is>
      </c>
      <c r="J144" s="232" t="inlineStr">
        <is>
          <t>P060042</t>
        </is>
      </c>
      <c r="K144" s="232" t="inlineStr">
        <is>
          <t>Orange Punch Mimosa</t>
        </is>
      </c>
      <c r="L144" s="232" t="inlineStr">
        <is>
          <t>Ident A + Ident B + Foreign matter</t>
        </is>
      </c>
      <c r="M144" s="237" t="inlineStr">
        <is>
          <t>—</t>
        </is>
      </c>
      <c r="N144" s="232">
        <f>IFERROR(INDEX('CoQ Register'!$B:$B,MATCH("P060042|R",'CoQ Register'!$S:$S,0)),"—")</f>
        <v/>
      </c>
      <c r="O144" s="237" t="inlineStr">
        <is>
          <t>—</t>
        </is>
      </c>
      <c r="P144" s="232" t="inlineStr">
        <is>
          <t>29.01.2027</t>
        </is>
      </c>
      <c r="Q144" s="232" t="inlineStr">
        <is>
          <t>12.12.2025</t>
        </is>
      </c>
      <c r="R144" s="232" t="inlineStr">
        <is>
          <t>29.01.2026</t>
        </is>
      </c>
      <c r="S144" s="234">
        <f>IFERROR(INDEX('CoQ Register'!$D:$D,MATCH("P060042|R",'CoQ Register'!$S:$S,0)),"")</f>
        <v/>
      </c>
      <c r="T144" s="232" t="inlineStr">
        <is>
          <t>Conforms</t>
        </is>
      </c>
      <c r="U144" s="232" t="inlineStr">
        <is>
          <t>Conforms</t>
        </is>
      </c>
      <c r="V144" s="232" t="inlineStr">
        <is>
          <t>Conforms</t>
        </is>
      </c>
      <c r="W144" s="232" t="inlineStr">
        <is>
          <t>220-22-K-26, (26.08.2026) [FHM-K]</t>
        </is>
      </c>
      <c r="X144" s="232" t="inlineStr">
        <is>
          <t>220-22-K-26, (26.08.2026) [FHM-K]</t>
        </is>
      </c>
      <c r="Y144" s="232" t="inlineStr">
        <is>
          <t>220-22-M-26, (11.09.2026) [FHM-M]</t>
        </is>
      </c>
      <c r="Z144" s="232" t="inlineStr">
        <is>
          <t>#8, #9, #11, #12 from the initial testing</t>
        </is>
      </c>
      <c r="AA144" s="232" t="inlineStr">
        <is>
          <t>P060042|R</t>
        </is>
      </c>
      <c r="AB144" s="239" t="inlineStr">
        <is>
          <t>registered — retest 1 · Tranche 2 (sampled 12–14.08.2026), tested 13.08.2026, issued 17.08.2026</t>
        </is>
      </c>
    </row>
    <row r="145">
      <c r="A145" s="232" t="n">
        <v>144</v>
      </c>
      <c r="B145" s="233" t="inlineStr">
        <is>
          <t>iCoA-PP_26-144</t>
        </is>
      </c>
      <c r="C145" s="238" t="inlineStr">
        <is>
          <t>yes</t>
        </is>
      </c>
      <c r="D145" s="234" t="n">
        <v>46251</v>
      </c>
      <c r="E145" s="234" t="n">
        <v>46247</v>
      </c>
      <c r="F145" s="234">
        <f>IFERROR(INDEX('Batch Dates'!$G:$G,MATCH(J145,'Batch Dates'!$C:$C,0)),IFERROR(INDEX('Batch Dates'!$G:$G,MATCH(I145,'Batch Dates'!$B:$B,0)),""))</f>
        <v/>
      </c>
      <c r="G145" s="232" t="inlineStr">
        <is>
          <t>legacy</t>
        </is>
      </c>
      <c r="H145" s="232" t="inlineStr">
        <is>
          <t>retest 2</t>
        </is>
      </c>
      <c r="I145" s="233" t="inlineStr">
        <is>
          <t>OMP1024_01</t>
        </is>
      </c>
      <c r="J145" s="232" t="inlineStr">
        <is>
          <t>P050042</t>
        </is>
      </c>
      <c r="K145" s="232" t="inlineStr">
        <is>
          <t>Orange Punch Mimosa</t>
        </is>
      </c>
      <c r="L145" s="232" t="inlineStr">
        <is>
          <t>Ident A + Ident B + Foreign matter</t>
        </is>
      </c>
      <c r="M145" s="237" t="inlineStr">
        <is>
          <t>—</t>
        </is>
      </c>
      <c r="N145" s="232">
        <f>IFERROR(INDEX('CoQ Register'!$B:$B,MATCH("P050042|R2",'CoQ Register'!$S:$S,0)),"—")</f>
        <v/>
      </c>
      <c r="O145" s="237" t="inlineStr">
        <is>
          <t>—</t>
        </is>
      </c>
      <c r="P145" s="232" t="inlineStr">
        <is>
          <t>20.06.2026</t>
        </is>
      </c>
      <c r="Q145" s="232" t="inlineStr">
        <is>
          <t>26.03.2025 – 27.03.2025</t>
        </is>
      </c>
      <c r="R145" s="232" t="inlineStr">
        <is>
          <t>20.06.2025</t>
        </is>
      </c>
      <c r="S145" s="234">
        <f>IFERROR(INDEX('CoQ Register'!$D:$D,MATCH("P050042|R2",'CoQ Register'!$S:$S,0)),"")</f>
        <v/>
      </c>
      <c r="T145" s="232" t="inlineStr">
        <is>
          <t>Conforms</t>
        </is>
      </c>
      <c r="U145" s="232" t="inlineStr">
        <is>
          <t>Conforms</t>
        </is>
      </c>
      <c r="V145" s="232" t="inlineStr">
        <is>
          <t>Conforms</t>
        </is>
      </c>
      <c r="W145" s="232" t="inlineStr">
        <is>
          <t>220-21-K-26, (26.08.2026) [FHM-K]</t>
        </is>
      </c>
      <c r="X145" s="232" t="inlineStr">
        <is>
          <t>220-21-K-26, (26.08.2026) [FHM-K]</t>
        </is>
      </c>
      <c r="Y145" s="232" t="inlineStr">
        <is>
          <t>220-21-M-26, (11.09.2026) [FHM-M]</t>
        </is>
      </c>
      <c r="Z145" s="232" t="inlineStr">
        <is>
          <t>#8, #9, #11, #12 from the initial testing</t>
        </is>
      </c>
      <c r="AA145" s="232" t="inlineStr">
        <is>
          <t>P050042|R2</t>
        </is>
      </c>
      <c r="AB145" s="239" t="inlineStr">
        <is>
          <t>registered — retest 2 · Tranche 2 (sampled 12–14.08.2026), tested 13.08.2026,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post-SOP</t>
        </is>
      </c>
      <c r="H146" s="232" t="inlineStr">
        <is>
          <t>retest 1</t>
        </is>
      </c>
      <c r="I146" s="233" t="inlineStr">
        <is>
          <t>CC012603</t>
        </is>
      </c>
      <c r="J146" s="232" t="inlineStr">
        <is>
          <t>P060372</t>
        </is>
      </c>
      <c r="K146" s="232" t="inlineStr">
        <is>
          <t>Cash Cow</t>
        </is>
      </c>
      <c r="L146" s="232" t="inlineStr">
        <is>
          <t>Ident A + Ident B + Foreign matter</t>
        </is>
      </c>
      <c r="M146" s="237" t="inlineStr">
        <is>
          <t>—</t>
        </is>
      </c>
      <c r="N146" s="232">
        <f>IFERROR(INDEX('CoQ Register'!$B:$B,MATCH("P060372|R",'CoQ Register'!$S:$S,0)),"—")</f>
        <v/>
      </c>
      <c r="O146" s="237" t="inlineStr">
        <is>
          <t>—</t>
        </is>
      </c>
      <c r="P146" s="232" t="inlineStr">
        <is>
          <t>24.05.2027</t>
        </is>
      </c>
      <c r="Q146" s="232" t="inlineStr">
        <is>
          <t>22.04.2026</t>
        </is>
      </c>
      <c r="R146" s="232" t="inlineStr">
        <is>
          <t>24.05.2026</t>
        </is>
      </c>
      <c r="S146" s="234">
        <f>IFERROR(INDEX('CoQ Register'!$D:$D,MATCH("P060372|R",'CoQ Register'!$S:$S,0)),"")</f>
        <v/>
      </c>
      <c r="T146" s="232" t="inlineStr">
        <is>
          <t>Conforms</t>
        </is>
      </c>
      <c r="U146" s="232" t="inlineStr">
        <is>
          <t>Conforms</t>
        </is>
      </c>
      <c r="V146" s="232" t="inlineStr">
        <is>
          <t>Conforms</t>
        </is>
      </c>
      <c r="W146" s="232" t="inlineStr">
        <is>
          <t>220-29-K-26, (26.08.2026) [FHM-K]</t>
        </is>
      </c>
      <c r="X146" s="232" t="inlineStr">
        <is>
          <t>220-29-K-26, (26.08.2026) [FHM-K]</t>
        </is>
      </c>
      <c r="Y146" s="232" t="inlineStr">
        <is>
          <t>220-29-M-26, (11.09.2026) [FHM-M]</t>
        </is>
      </c>
      <c r="Z146" s="232" t="inlineStr">
        <is>
          <t>#8, #9, #11, #12 from the initial testing</t>
        </is>
      </c>
      <c r="AA146" s="232" t="inlineStr">
        <is>
          <t>P060372|R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t>
        </is>
      </c>
      <c r="H147" s="232" t="inlineStr">
        <is>
          <t>retest 1</t>
        </is>
      </c>
      <c r="I147" s="233" t="inlineStr">
        <is>
          <t>CC042601</t>
        </is>
      </c>
      <c r="J147" s="232" t="inlineStr">
        <is>
          <t>N/A — no P batch assigned</t>
        </is>
      </c>
      <c r="K147" s="232" t="inlineStr">
        <is>
          <t>Cash Cow</t>
        </is>
      </c>
      <c r="L147" s="232" t="inlineStr">
        <is>
          <t>Ident A + Ident B + Foreign matter</t>
        </is>
      </c>
      <c r="M147" s="237" t="inlineStr">
        <is>
          <t>—</t>
        </is>
      </c>
      <c r="N147" s="232">
        <f>IFERROR(INDEX('CoQ Register'!$B:$B,MATCH("CC042601|R",'CoQ Register'!$S:$S,0)),"—")</f>
        <v/>
      </c>
      <c r="O147" s="237" t="inlineStr">
        <is>
          <t>—</t>
        </is>
      </c>
      <c r="P147" s="232" t="inlineStr">
        <is>
          <t>—</t>
        </is>
      </c>
      <c r="Q147" s="232" t="inlineStr">
        <is>
          <t>— not on the list —</t>
        </is>
      </c>
      <c r="R147" s="232" t="inlineStr">
        <is>
          <t>— not on the list —</t>
        </is>
      </c>
      <c r="S147" s="234">
        <f>IFERROR(INDEX('CoQ Register'!$D:$D,MATCH("CC042601|R",'CoQ Register'!$S:$S,0)),"")</f>
        <v/>
      </c>
      <c r="T147" s="232" t="inlineStr">
        <is>
          <t>Conforms</t>
        </is>
      </c>
      <c r="U147" s="232" t="inlineStr">
        <is>
          <t>Conforms</t>
        </is>
      </c>
      <c r="V147" s="232" t="inlineStr">
        <is>
          <t>Conforms</t>
        </is>
      </c>
      <c r="W147" s="232" t="inlineStr">
        <is>
          <t>220-32-K-26, (26.08.2026) [FHM-K]</t>
        </is>
      </c>
      <c r="X147" s="232" t="inlineStr">
        <is>
          <t>220-32-K-26, (26.08.2026) [FHM-K]</t>
        </is>
      </c>
      <c r="Y147" s="232" t="inlineStr">
        <is>
          <t>220-32-M-26, (11.09.2026) [FHM-M]</t>
        </is>
      </c>
      <c r="Z147" s="232" t="inlineStr">
        <is>
          <t>#8, #9, #11, #12 from the initial testing</t>
        </is>
      </c>
      <c r="AA147" s="232" t="inlineStr">
        <is>
          <t>CC042601|R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t>
        </is>
      </c>
      <c r="H148" s="232" t="inlineStr">
        <is>
          <t>retest 1</t>
        </is>
      </c>
      <c r="I148" s="233" t="inlineStr">
        <is>
          <t>FB042601</t>
        </is>
      </c>
      <c r="J148" s="232" t="inlineStr">
        <is>
          <t>N/A — no P batch assigned</t>
        </is>
      </c>
      <c r="K148" s="232" t="inlineStr">
        <is>
          <t>Fat Bastard</t>
        </is>
      </c>
      <c r="L148" s="232" t="inlineStr">
        <is>
          <t>Ident A + Ident B + Foreign matter</t>
        </is>
      </c>
      <c r="M148" s="237" t="inlineStr">
        <is>
          <t>—</t>
        </is>
      </c>
      <c r="N148" s="232">
        <f>IFERROR(INDEX('CoQ Register'!$B:$B,MATCH("FB042601|R",'CoQ Register'!$S:$S,0)),"—")</f>
        <v/>
      </c>
      <c r="O148" s="237" t="inlineStr">
        <is>
          <t>—</t>
        </is>
      </c>
      <c r="P148" s="232" t="inlineStr">
        <is>
          <t>—</t>
        </is>
      </c>
      <c r="Q148" s="232" t="inlineStr">
        <is>
          <t>— not on the list —</t>
        </is>
      </c>
      <c r="R148" s="232" t="inlineStr">
        <is>
          <t>— not on the list —</t>
        </is>
      </c>
      <c r="S148" s="234">
        <f>IFERROR(INDEX('CoQ Register'!$D:$D,MATCH("FB042601|R",'CoQ Register'!$S:$S,0)),"")</f>
        <v/>
      </c>
      <c r="T148" s="232" t="inlineStr">
        <is>
          <t>Conforms</t>
        </is>
      </c>
      <c r="U148" s="232" t="inlineStr">
        <is>
          <t>Conforms</t>
        </is>
      </c>
      <c r="V148" s="232" t="inlineStr">
        <is>
          <t>Conforms</t>
        </is>
      </c>
      <c r="W148" s="232" t="inlineStr">
        <is>
          <t>220-31-K-26, (26.08.2026) [FHM-K]</t>
        </is>
      </c>
      <c r="X148" s="232" t="inlineStr">
        <is>
          <t>220-31-K-26, (26.08.2026) [FHM-K]</t>
        </is>
      </c>
      <c r="Y148" s="232" t="inlineStr">
        <is>
          <t>220-31-M-26, (11.09.2026) [FHM-M]</t>
        </is>
      </c>
      <c r="Z148" s="232" t="inlineStr">
        <is>
          <t>#8, #9, #11, #12 from the initial testing</t>
        </is>
      </c>
      <c r="AA148" s="232" t="inlineStr">
        <is>
          <t>FB042601|R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post-SOP</t>
        </is>
      </c>
      <c r="H149" s="232" t="inlineStr">
        <is>
          <t>retest 1</t>
        </is>
      </c>
      <c r="I149" s="233" t="inlineStr">
        <is>
          <t>JD042601</t>
        </is>
      </c>
      <c r="J149" s="232" t="inlineStr">
        <is>
          <t>P060492</t>
        </is>
      </c>
      <c r="K149" s="232" t="inlineStr">
        <is>
          <t>Jelly Donutz</t>
        </is>
      </c>
      <c r="L149" s="232" t="inlineStr">
        <is>
          <t>Ident A + Ident B + Foreign matter</t>
        </is>
      </c>
      <c r="M149" s="237" t="inlineStr">
        <is>
          <t>—</t>
        </is>
      </c>
      <c r="N149" s="232">
        <f>IFERROR(INDEX('CoQ Register'!$B:$B,MATCH("P060492|R",'CoQ Register'!$S:$S,0)),"—")</f>
        <v/>
      </c>
      <c r="O149" s="237" t="inlineStr">
        <is>
          <t>—</t>
        </is>
      </c>
      <c r="P149" s="232" t="inlineStr">
        <is>
          <t>13.08.2027</t>
        </is>
      </c>
      <c r="Q149" s="232" t="inlineStr">
        <is>
          <t>21.07.2026</t>
        </is>
      </c>
      <c r="R149" s="232" t="inlineStr">
        <is>
          <t>13.08.2026</t>
        </is>
      </c>
      <c r="S149" s="234">
        <f>IFERROR(INDEX('CoQ Register'!$D:$D,MATCH("P060492|R",'CoQ Register'!$S:$S,0)),"")</f>
        <v/>
      </c>
      <c r="T149" s="232" t="inlineStr">
        <is>
          <t>Conforms</t>
        </is>
      </c>
      <c r="U149" s="232" t="inlineStr">
        <is>
          <t>Conforms</t>
        </is>
      </c>
      <c r="V149" s="232" t="inlineStr">
        <is>
          <t>Conforms</t>
        </is>
      </c>
      <c r="W149" s="232" t="inlineStr">
        <is>
          <t>220-30-K-26, (26.08.2026) [FHM-K]</t>
        </is>
      </c>
      <c r="X149" s="232" t="inlineStr">
        <is>
          <t>220-30-K-26, (26.08.2026) [FHM-K]</t>
        </is>
      </c>
      <c r="Y149" s="232" t="inlineStr">
        <is>
          <t>220-30-M-26, (11.09.2026) [FHM-M]</t>
        </is>
      </c>
      <c r="Z149" s="232" t="inlineStr">
        <is>
          <t>#8, #9, #11, #12 from the initial testing</t>
        </is>
      </c>
      <c r="AA149" s="232" t="inlineStr">
        <is>
          <t>P060492|R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OPM1024_03</t>
        </is>
      </c>
      <c r="J150" s="232" t="inlineStr">
        <is>
          <t>P050082</t>
        </is>
      </c>
      <c r="K150" s="232" t="inlineStr">
        <is>
          <t>Orange Punch Mimosa</t>
        </is>
      </c>
      <c r="L150" s="232" t="inlineStr">
        <is>
          <t>Ident A + Ident B + Foreign matter</t>
        </is>
      </c>
      <c r="M150" s="237" t="inlineStr">
        <is>
          <t>—</t>
        </is>
      </c>
      <c r="N150" s="232">
        <f>IFERROR(INDEX('CoQ Register'!$B:$B,MATCH("P050082|R",'CoQ Register'!$S:$S,0)),"—")</f>
        <v/>
      </c>
      <c r="O150" s="237" t="inlineStr">
        <is>
          <t>—</t>
        </is>
      </c>
      <c r="P150" s="232" t="inlineStr">
        <is>
          <t>22.07.2026</t>
        </is>
      </c>
      <c r="Q150" s="232" t="inlineStr">
        <is>
          <t>01.07.2025 – 02.07.2025</t>
        </is>
      </c>
      <c r="R150" s="232" t="inlineStr">
        <is>
          <t>22.07.2025 – 30.07.2025</t>
        </is>
      </c>
      <c r="S150" s="234">
        <f>IFERROR(INDEX('CoQ Register'!$D:$D,MATCH("P050082|R",'CoQ Register'!$S:$S,0)),"")</f>
        <v/>
      </c>
      <c r="T150" s="232" t="inlineStr">
        <is>
          <t>Conforms</t>
        </is>
      </c>
      <c r="U150" s="232" t="inlineStr">
        <is>
          <t>Conforms</t>
        </is>
      </c>
      <c r="V150" s="232" t="inlineStr">
        <is>
          <t>Conforms</t>
        </is>
      </c>
      <c r="W150" s="232" t="inlineStr">
        <is>
          <t>220-23-K-26, (26.08.2026) [FHM-K]</t>
        </is>
      </c>
      <c r="X150" s="232" t="inlineStr">
        <is>
          <t>220-23-K-26, (26.08.2026) [FHM-K]</t>
        </is>
      </c>
      <c r="Y150" s="232" t="inlineStr">
        <is>
          <t>220-23-M-26, (11.09.2026) [FHM-M]</t>
        </is>
      </c>
      <c r="Z150" s="232" t="inlineStr">
        <is>
          <t>#8, #9, #11, #12 from the initial testing</t>
        </is>
      </c>
      <c r="AA150" s="232" t="inlineStr">
        <is>
          <t>P050082|R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legacy</t>
        </is>
      </c>
      <c r="H151" s="232" t="inlineStr">
        <is>
          <t>retest 1</t>
        </is>
      </c>
      <c r="I151" s="233" t="inlineStr">
        <is>
          <t>PM112501</t>
        </is>
      </c>
      <c r="J151" s="232" t="inlineStr">
        <is>
          <t>P060232</t>
        </is>
      </c>
      <c r="K151" s="232" t="inlineStr">
        <is>
          <t>Permanent Market</t>
        </is>
      </c>
      <c r="L151" s="232" t="inlineStr">
        <is>
          <t>Ident A + Ident B + Foreign matter</t>
        </is>
      </c>
      <c r="M151" s="237" t="inlineStr">
        <is>
          <t>—</t>
        </is>
      </c>
      <c r="N151" s="232">
        <f>IFERROR(INDEX('CoQ Register'!$B:$B,MATCH("P060232|R",'CoQ Register'!$S:$S,0)),"—")</f>
        <v/>
      </c>
      <c r="O151" s="237" t="inlineStr">
        <is>
          <t>—</t>
        </is>
      </c>
      <c r="P151" s="232" t="inlineStr">
        <is>
          <t>27.04.2027</t>
        </is>
      </c>
      <c r="Q151" s="232" t="inlineStr">
        <is>
          <t>05.02.2026</t>
        </is>
      </c>
      <c r="R151" s="232" t="inlineStr">
        <is>
          <t>27.04.2026</t>
        </is>
      </c>
      <c r="S151" s="234">
        <f>IFERROR(INDEX('CoQ Register'!$D:$D,MATCH("P060232|R",'CoQ Register'!$S:$S,0)),"")</f>
        <v/>
      </c>
      <c r="T151" s="232" t="inlineStr">
        <is>
          <t>Conforms</t>
        </is>
      </c>
      <c r="U151" s="232" t="inlineStr">
        <is>
          <t>Conforms</t>
        </is>
      </c>
      <c r="V151" s="232" t="inlineStr">
        <is>
          <t>Conforms</t>
        </is>
      </c>
      <c r="W151" s="232" t="inlineStr">
        <is>
          <t>220-24-K-26, (26.08.2026) [FHM-K]</t>
        </is>
      </c>
      <c r="X151" s="232" t="inlineStr">
        <is>
          <t>220-24-K-26, (26.08.2026) [FHM-K]</t>
        </is>
      </c>
      <c r="Y151" s="232" t="inlineStr">
        <is>
          <t>220-24-M-26, (11.09.2026) [FHM-M]</t>
        </is>
      </c>
      <c r="Z151" s="232" t="inlineStr">
        <is>
          <t>#8, #9, #11, #12 from the initial testing</t>
        </is>
      </c>
      <c r="AA151" s="232" t="inlineStr">
        <is>
          <t>P060232|R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PUM102501</t>
        </is>
      </c>
      <c r="J152" s="232" t="inlineStr">
        <is>
          <t>P060112</t>
        </is>
      </c>
      <c r="K152" s="232" t="inlineStr">
        <is>
          <t>Pure Michigen</t>
        </is>
      </c>
      <c r="L152" s="232" t="inlineStr">
        <is>
          <t>Ident A + Ident B + Foreign matter</t>
        </is>
      </c>
      <c r="M152" s="237" t="inlineStr">
        <is>
          <t>—</t>
        </is>
      </c>
      <c r="N152" s="232">
        <f>IFERROR(INDEX('CoQ Register'!$B:$B,MATCH("P060112|R",'CoQ Register'!$S:$S,0)),"—")</f>
        <v/>
      </c>
      <c r="O152" s="237" t="inlineStr">
        <is>
          <t>—</t>
        </is>
      </c>
      <c r="P152" s="232" t="inlineStr">
        <is>
          <t>17.02.2027</t>
        </is>
      </c>
      <c r="Q152" s="232" t="inlineStr">
        <is>
          <t>08.01.2026 – 09.01.2026</t>
        </is>
      </c>
      <c r="R152" s="232" t="inlineStr">
        <is>
          <t>17.02.2026</t>
        </is>
      </c>
      <c r="S152" s="234">
        <f>IFERROR(INDEX('CoQ Register'!$D:$D,MATCH("P060112|R",'CoQ Register'!$S:$S,0)),"")</f>
        <v/>
      </c>
      <c r="T152" s="232" t="inlineStr">
        <is>
          <t>Conforms</t>
        </is>
      </c>
      <c r="U152" s="232" t="inlineStr">
        <is>
          <t>Conforms</t>
        </is>
      </c>
      <c r="V152" s="232" t="inlineStr">
        <is>
          <t>Conforms</t>
        </is>
      </c>
      <c r="W152" s="232" t="inlineStr">
        <is>
          <t>220-25-K-26, (26.08.2026) [FHM-K]</t>
        </is>
      </c>
      <c r="X152" s="232" t="inlineStr">
        <is>
          <t>220-25-K-26, (26.08.2026) [FHM-K]</t>
        </is>
      </c>
      <c r="Y152" s="232" t="inlineStr">
        <is>
          <t>220-25-M-26, (11.09.2026) [FHM-M]</t>
        </is>
      </c>
      <c r="Z152" s="232" t="inlineStr">
        <is>
          <t>#8, #9, #11, #12 from the initial testing</t>
        </is>
      </c>
      <c r="AA152" s="232" t="inlineStr">
        <is>
          <t>P060112|R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post-SOP</t>
        </is>
      </c>
      <c r="H153" s="232" t="inlineStr">
        <is>
          <t>retest 1</t>
        </is>
      </c>
      <c r="I153" s="233" t="inlineStr">
        <is>
          <t>SCR112501</t>
        </is>
      </c>
      <c r="J153" s="232" t="inlineStr">
        <is>
          <t>P060282</t>
        </is>
      </c>
      <c r="K153" s="232" t="inlineStr">
        <is>
          <t>Scrambler</t>
        </is>
      </c>
      <c r="L153" s="232" t="inlineStr">
        <is>
          <t>Ident A + Ident B + Foreign matter</t>
        </is>
      </c>
      <c r="M153" s="237" t="inlineStr">
        <is>
          <t>—</t>
        </is>
      </c>
      <c r="N153" s="232">
        <f>IFERROR(INDEX('CoQ Register'!$B:$B,MATCH("P060282|R",'CoQ Register'!$S:$S,0)),"—")</f>
        <v/>
      </c>
      <c r="O153" s="237" t="inlineStr">
        <is>
          <t>—</t>
        </is>
      </c>
      <c r="P153" s="232" t="inlineStr">
        <is>
          <t>18.05.2027</t>
        </is>
      </c>
      <c r="Q153" s="232" t="inlineStr">
        <is>
          <t>25.03.2026</t>
        </is>
      </c>
      <c r="R153" s="232" t="inlineStr">
        <is>
          <t>18.05.2026</t>
        </is>
      </c>
      <c r="S153" s="234">
        <f>IFERROR(INDEX('CoQ Register'!$D:$D,MATCH("P060282|R",'CoQ Register'!$S:$S,0)),"")</f>
        <v/>
      </c>
      <c r="T153" s="232" t="inlineStr">
        <is>
          <t>Conforms</t>
        </is>
      </c>
      <c r="U153" s="232" t="inlineStr">
        <is>
          <t>Conforms</t>
        </is>
      </c>
      <c r="V153" s="232" t="inlineStr">
        <is>
          <t>Conforms</t>
        </is>
      </c>
      <c r="W153" s="232" t="inlineStr">
        <is>
          <t>220-26-K-26, (26.08.2026) [FHM-K]</t>
        </is>
      </c>
      <c r="X153" s="232" t="inlineStr">
        <is>
          <t>220-26-K-26, (26.08.2026) [FHM-K]</t>
        </is>
      </c>
      <c r="Y153" s="232" t="inlineStr">
        <is>
          <t>220-26-M-26, (11.09.2026) [FHM-M]</t>
        </is>
      </c>
      <c r="Z153" s="232" t="inlineStr">
        <is>
          <t>#8, #9, #11, #12 from the initial testing</t>
        </is>
      </c>
      <c r="AA153" s="232" t="inlineStr">
        <is>
          <t>P060282|R</t>
        </is>
      </c>
      <c r="AB153" s="239" t="inlineStr">
        <is>
          <t>registered — retest 1 · Tranche 2 (sampled 12–14.08.2026), tested 14.08.2026, issued 17.08.2026</t>
        </is>
      </c>
    </row>
    <row r="154">
      <c r="A154" s="232" t="n">
        <v>153</v>
      </c>
      <c r="B154" s="233" t="inlineStr">
        <is>
          <t>iCoA-PP_26-153</t>
        </is>
      </c>
      <c r="C154" s="238" t="inlineStr">
        <is>
          <t>yes</t>
        </is>
      </c>
      <c r="D154" s="234" t="n">
        <v>46251</v>
      </c>
      <c r="E154" s="234" t="n">
        <v>46248</v>
      </c>
      <c r="F154" s="234">
        <f>IFERROR(INDEX('Batch Dates'!$G:$G,MATCH(J154,'Batch Dates'!$C:$C,0)),IFERROR(INDEX('Batch Dates'!$G:$G,MATCH(I154,'Batch Dates'!$B:$B,0)),""))</f>
        <v/>
      </c>
      <c r="G154" s="232" t="inlineStr">
        <is>
          <t>legacy</t>
        </is>
      </c>
      <c r="H154" s="232" t="inlineStr">
        <is>
          <t>retest 1</t>
        </is>
      </c>
      <c r="I154" s="233" t="inlineStr">
        <is>
          <t>SJ0925021</t>
        </is>
      </c>
      <c r="J154" s="232" t="inlineStr">
        <is>
          <t>P060082</t>
        </is>
      </c>
      <c r="K154" s="232" t="inlineStr">
        <is>
          <t>Sleepy Joy</t>
        </is>
      </c>
      <c r="L154" s="232" t="inlineStr">
        <is>
          <t>Ident A + Ident B + Foreign matter</t>
        </is>
      </c>
      <c r="M154" s="237" t="inlineStr">
        <is>
          <t>—</t>
        </is>
      </c>
      <c r="N154" s="232">
        <f>IFERROR(INDEX('CoQ Register'!$B:$B,MATCH("P060082|R",'CoQ Register'!$S:$S,0)),"—")</f>
        <v/>
      </c>
      <c r="O154" s="237" t="inlineStr">
        <is>
          <t>—</t>
        </is>
      </c>
      <c r="P154" s="232" t="inlineStr">
        <is>
          <t>02.02.2027</t>
        </is>
      </c>
      <c r="Q154" s="232" t="inlineStr">
        <is>
          <t>11.12.2025 – 12.12.2025</t>
        </is>
      </c>
      <c r="R154" s="232" t="inlineStr">
        <is>
          <t>02.02.2026</t>
        </is>
      </c>
      <c r="S154" s="234">
        <f>IFERROR(INDEX('CoQ Register'!$D:$D,MATCH("P060082|R",'CoQ Register'!$S:$S,0)),"")</f>
        <v/>
      </c>
      <c r="T154" s="232" t="inlineStr">
        <is>
          <t>Conforms</t>
        </is>
      </c>
      <c r="U154" s="232" t="inlineStr">
        <is>
          <t>Conforms</t>
        </is>
      </c>
      <c r="V154" s="232" t="inlineStr">
        <is>
          <t>Conforms</t>
        </is>
      </c>
      <c r="W154" s="232" t="inlineStr">
        <is>
          <t>220-27-K-26, (26.08.2026) [FHM-K]</t>
        </is>
      </c>
      <c r="X154" s="232" t="inlineStr">
        <is>
          <t>220-27-K-26, (26.08.2026) [FHM-K]</t>
        </is>
      </c>
      <c r="Y154" s="232" t="inlineStr">
        <is>
          <t>220-27-M-26, (11.09.2026) [FHM-M]</t>
        </is>
      </c>
      <c r="Z154" s="232" t="inlineStr">
        <is>
          <t>#8, #9, #11, #12 from the initial testing</t>
        </is>
      </c>
      <c r="AA154" s="232" t="inlineStr">
        <is>
          <t>P060082|R</t>
        </is>
      </c>
      <c r="AB154" s="239" t="inlineStr">
        <is>
          <t>registered — retest 1 · Tranche 2 (sampled 12–14.08.2026), tested 14.08.2026, issued 17.08.2026</t>
        </is>
      </c>
    </row>
    <row r="155">
      <c r="A155" s="232" t="n">
        <v>154</v>
      </c>
      <c r="B155" s="233" t="inlineStr">
        <is>
          <t>iCoA-PP_26-154</t>
        </is>
      </c>
      <c r="C155" s="238" t="inlineStr">
        <is>
          <t>yes</t>
        </is>
      </c>
      <c r="D155" s="234" t="n">
        <v>46251</v>
      </c>
      <c r="E155" s="234" t="n">
        <v>46248</v>
      </c>
      <c r="F155" s="234">
        <f>IFERROR(INDEX('Batch Dates'!$G:$G,MATCH(J155,'Batch Dates'!$C:$C,0)),IFERROR(INDEX('Batch Dates'!$G:$G,MATCH(I155,'Batch Dates'!$B:$B,0)),""))</f>
        <v/>
      </c>
      <c r="G155" s="232" t="inlineStr">
        <is>
          <t>legacy</t>
        </is>
      </c>
      <c r="H155" s="232" t="inlineStr">
        <is>
          <t>retest 1</t>
        </is>
      </c>
      <c r="I155" s="233" t="inlineStr">
        <is>
          <t>WC082501</t>
        </is>
      </c>
      <c r="J155" s="232" t="inlineStr">
        <is>
          <t>P060012</t>
        </is>
      </c>
      <c r="K155" s="232" t="inlineStr">
        <is>
          <t>Wedding Crasher</t>
        </is>
      </c>
      <c r="L155" s="232" t="inlineStr">
        <is>
          <t>Ident A + Ident B + Foreign matter</t>
        </is>
      </c>
      <c r="M155" s="237" t="inlineStr">
        <is>
          <t>—</t>
        </is>
      </c>
      <c r="N155" s="232">
        <f>IFERROR(INDEX('CoQ Register'!$B:$B,MATCH("P060012|R",'CoQ Register'!$S:$S,0)),"—")</f>
        <v/>
      </c>
      <c r="O155" s="237" t="inlineStr">
        <is>
          <t>—</t>
        </is>
      </c>
      <c r="P155" s="232" t="inlineStr">
        <is>
          <t>13.01.2027</t>
        </is>
      </c>
      <c r="Q155" s="232" t="inlineStr">
        <is>
          <t>09.12.2025</t>
        </is>
      </c>
      <c r="R155" s="232" t="inlineStr">
        <is>
          <t>13.01.2026 – 14.01.2026</t>
        </is>
      </c>
      <c r="S155" s="234">
        <f>IFERROR(INDEX('CoQ Register'!$D:$D,MATCH("P060012|R",'CoQ Register'!$S:$S,0)),"")</f>
        <v/>
      </c>
      <c r="T155" s="232" t="inlineStr">
        <is>
          <t>Conforms</t>
        </is>
      </c>
      <c r="U155" s="232" t="inlineStr">
        <is>
          <t>Conforms</t>
        </is>
      </c>
      <c r="V155" s="232" t="inlineStr">
        <is>
          <t>Conforms</t>
        </is>
      </c>
      <c r="W155" s="232" t="inlineStr">
        <is>
          <t>220-28-K-26, (26.08.2026) [FHM-K]</t>
        </is>
      </c>
      <c r="X155" s="232" t="inlineStr">
        <is>
          <t>220-28-K-26, (26.08.2026) [FHM-K]</t>
        </is>
      </c>
      <c r="Y155" s="232" t="inlineStr">
        <is>
          <t>220-28-M-26, (11.09.2026) [FHM-M]</t>
        </is>
      </c>
      <c r="Z155" s="232" t="inlineStr">
        <is>
          <t>#8, #9, #11, #12 from the initial testing</t>
        </is>
      </c>
      <c r="AA155" s="232" t="inlineStr">
        <is>
          <t>P060012|R</t>
        </is>
      </c>
      <c r="AB155" s="239" t="inlineStr">
        <is>
          <t>registered — retest 1 · Tranche 2 (sampled 12–14.08.2026), tested 14.08.2026, issued 17.08.2026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BSS1024_01/2</t>
        </is>
      </c>
      <c r="J156" s="232" t="inlineStr">
        <is>
          <t>P050142</t>
        </is>
      </c>
      <c r="K156" s="232" t="inlineStr">
        <is>
          <t>Blue Sunset Sherbet</t>
        </is>
      </c>
      <c r="L156" s="232" t="inlineStr">
        <is>
          <t>Ident A + Ident B + Foreign matter</t>
        </is>
      </c>
      <c r="M156" s="237" t="inlineStr">
        <is>
          <t>—</t>
        </is>
      </c>
      <c r="N156" s="232">
        <f>IFERROR(INDEX('CoQ Register'!$B:$B,MATCH("P050142|R2",'CoQ Register'!$S:$S,0)),"—")</f>
        <v/>
      </c>
      <c r="O156" s="237" t="inlineStr">
        <is>
          <t>—</t>
        </is>
      </c>
      <c r="P156" s="232" t="inlineStr">
        <is>
          <t>30.09.2026</t>
        </is>
      </c>
      <c r="Q156" s="232" t="inlineStr">
        <is>
          <t>— not given —</t>
        </is>
      </c>
      <c r="R156" s="232" t="inlineStr">
        <is>
          <t>30.09.2025</t>
        </is>
      </c>
      <c r="S156" s="234">
        <f>IFERROR(INDEX('CoQ Register'!$D:$D,MATCH("P050142|R2",'CoQ Register'!$S:$S,0)),"")</f>
        <v/>
      </c>
      <c r="T156" s="232" t="inlineStr">
        <is>
          <t>Conforms</t>
        </is>
      </c>
      <c r="U156" s="232" t="inlineStr">
        <is>
          <t>Conforms</t>
        </is>
      </c>
      <c r="V156" s="232" t="inlineStr">
        <is>
          <t>Conforms</t>
        </is>
      </c>
      <c r="W156" s="232" t="inlineStr">
        <is>
          <t>227-1-K-26, (11.09.2026) [FHM-K]</t>
        </is>
      </c>
      <c r="X156" s="232" t="inlineStr">
        <is>
          <t>227-1-K-26, (11.09.2026) [FHM-K]</t>
        </is>
      </c>
      <c r="Y156" s="232" t="inlineStr">
        <is>
          <t>— pending —</t>
        </is>
      </c>
      <c r="Z156" s="232" t="inlineStr">
        <is>
          <t>#8, #9, #11, #12 from the initial testing</t>
        </is>
      </c>
      <c r="AA156" s="232" t="inlineStr">
        <is>
          <t>P050142|R2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GP0824_01</t>
        </is>
      </c>
      <c r="J157" s="232" t="inlineStr">
        <is>
          <t>P050102</t>
        </is>
      </c>
      <c r="K157" s="232" t="inlineStr">
        <is>
          <t>Grape Pie</t>
        </is>
      </c>
      <c r="L157" s="232" t="inlineStr">
        <is>
          <t>Ident A + Ident B + Foreign matter</t>
        </is>
      </c>
      <c r="M157" s="237" t="inlineStr">
        <is>
          <t>—</t>
        </is>
      </c>
      <c r="N157" s="232">
        <f>IFERROR(INDEX('CoQ Register'!$B:$B,MATCH("P050102|R2",'CoQ Register'!$S:$S,0)),"—")</f>
        <v/>
      </c>
      <c r="O157" s="237" t="inlineStr">
        <is>
          <t>—</t>
        </is>
      </c>
      <c r="P157" s="232" t="inlineStr">
        <is>
          <t>17.04.2026</t>
        </is>
      </c>
      <c r="Q157" s="232" t="inlineStr">
        <is>
          <t>20.03.2025 – 21.03.2025</t>
        </is>
      </c>
      <c r="R157" s="232" t="inlineStr">
        <is>
          <t>05.08.2025 – 07.08.2025 (the issuance plan's basis: 17.04.2025)</t>
        </is>
      </c>
      <c r="S157" s="234">
        <f>IFERROR(INDEX('CoQ Register'!$D:$D,MATCH("P050102|R2",'CoQ Register'!$S:$S,0)),"")</f>
        <v/>
      </c>
      <c r="T157" s="232" t="inlineStr">
        <is>
          <t>Conforms</t>
        </is>
      </c>
      <c r="U157" s="232" t="inlineStr">
        <is>
          <t>Conforms</t>
        </is>
      </c>
      <c r="V157" s="232" t="inlineStr">
        <is>
          <t>Conforms</t>
        </is>
      </c>
      <c r="W157" s="232" t="inlineStr">
        <is>
          <t>227-2-K-26, (11.09.2026) [FHM-K]</t>
        </is>
      </c>
      <c r="X157" s="232" t="inlineStr">
        <is>
          <t>227-2-K-26, (11.09.2026) [FHM-K]</t>
        </is>
      </c>
      <c r="Y157" s="232" t="inlineStr">
        <is>
          <t>— pending —</t>
        </is>
      </c>
      <c r="Z157" s="232" t="inlineStr">
        <is>
          <t>#8, #9, #11, #12 from the initial testing</t>
        </is>
      </c>
      <c r="AA157" s="232" t="inlineStr">
        <is>
          <t>P050102|R2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legacy</t>
        </is>
      </c>
      <c r="H158" s="232" t="inlineStr">
        <is>
          <t>retest 2</t>
        </is>
      </c>
      <c r="I158" s="233" t="inlineStr">
        <is>
          <t>OPM112501</t>
        </is>
      </c>
      <c r="J158" s="232" t="inlineStr">
        <is>
          <t>P060222</t>
        </is>
      </c>
      <c r="K158" s="232" t="inlineStr">
        <is>
          <t>Orange Punch Mimosa</t>
        </is>
      </c>
      <c r="L158" s="232" t="inlineStr">
        <is>
          <t>Ident A + Ident B + Foreign matter</t>
        </is>
      </c>
      <c r="M158" s="237" t="inlineStr">
        <is>
          <t>—</t>
        </is>
      </c>
      <c r="N158" s="232">
        <f>IFERROR(INDEX('CoQ Register'!$B:$B,MATCH("P060222|R2",'CoQ Register'!$S:$S,0)),"—")</f>
        <v/>
      </c>
      <c r="O158" s="237" t="inlineStr">
        <is>
          <t>—</t>
        </is>
      </c>
      <c r="P158" s="232" t="inlineStr">
        <is>
          <t>05.03.2027</t>
        </is>
      </c>
      <c r="Q158" s="232" t="inlineStr">
        <is>
          <t>05.02.2026</t>
        </is>
      </c>
      <c r="R158" s="232" t="inlineStr">
        <is>
          <t>24.04.2026 (the issuance plan's basis: 05.03.2026)</t>
        </is>
      </c>
      <c r="S158" s="234">
        <f>IFERROR(INDEX('CoQ Register'!$D:$D,MATCH("P060222|R2",'CoQ Register'!$S:$S,0)),"")</f>
        <v/>
      </c>
      <c r="T158" s="232" t="inlineStr">
        <is>
          <t>Conforms</t>
        </is>
      </c>
      <c r="U158" s="232" t="inlineStr">
        <is>
          <t>Conforms</t>
        </is>
      </c>
      <c r="V158" s="232" t="inlineStr">
        <is>
          <t>Conforms</t>
        </is>
      </c>
      <c r="W158" s="232" t="inlineStr">
        <is>
          <t>227-10-K-26, (11.09.2026) [FHM-K]</t>
        </is>
      </c>
      <c r="X158" s="232" t="inlineStr">
        <is>
          <t>227-10-K-26, (11.09.2026) [FHM-K]</t>
        </is>
      </c>
      <c r="Y158" s="232" t="inlineStr">
        <is>
          <t>— pending —</t>
        </is>
      </c>
      <c r="Z158" s="232" t="inlineStr">
        <is>
          <t>#8, #9, #11, #12 from the initial testing</t>
        </is>
      </c>
      <c r="AA158" s="232" t="inlineStr">
        <is>
          <t>P060222|R2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legacy</t>
        </is>
      </c>
      <c r="H159" s="232" t="inlineStr">
        <is>
          <t>retest 2</t>
        </is>
      </c>
      <c r="I159" s="233" t="inlineStr">
        <is>
          <t>PM072501</t>
        </is>
      </c>
      <c r="J159" s="232" t="inlineStr">
        <is>
          <t>P050272</t>
        </is>
      </c>
      <c r="K159" s="232" t="inlineStr">
        <is>
          <t>Permanent Market</t>
        </is>
      </c>
      <c r="L159" s="232" t="inlineStr">
        <is>
          <t>Ident A + Ident B + Foreign matter</t>
        </is>
      </c>
      <c r="M159" s="237" t="inlineStr">
        <is>
          <t>—</t>
        </is>
      </c>
      <c r="N159" s="232">
        <f>IFERROR(INDEX('CoQ Register'!$B:$B,MATCH("P050272|R2",'CoQ Register'!$S:$S,0)),"—")</f>
        <v/>
      </c>
      <c r="O159" s="237" t="inlineStr">
        <is>
          <t>—</t>
        </is>
      </c>
      <c r="P159" s="232" t="inlineStr">
        <is>
          <t>21.01.2027</t>
        </is>
      </c>
      <c r="Q159" s="232" t="inlineStr">
        <is>
          <t>27.10.2025</t>
        </is>
      </c>
      <c r="R159" s="232" t="inlineStr">
        <is>
          <t>02.12.2025 – 03.12.2025 (the issuance plan's basis: 21.01.2026)</t>
        </is>
      </c>
      <c r="S159" s="234">
        <f>IFERROR(INDEX('CoQ Register'!$D:$D,MATCH("P050272|R2",'CoQ Register'!$S:$S,0)),"")</f>
        <v/>
      </c>
      <c r="T159" s="232" t="inlineStr">
        <is>
          <t>Conforms</t>
        </is>
      </c>
      <c r="U159" s="232" t="inlineStr">
        <is>
          <t>Conforms</t>
        </is>
      </c>
      <c r="V159" s="232" t="inlineStr">
        <is>
          <t>Conforms</t>
        </is>
      </c>
      <c r="W159" s="232" t="inlineStr">
        <is>
          <t>227-9-K-26, (11.09.2026) [FHM-K]</t>
        </is>
      </c>
      <c r="X159" s="232" t="inlineStr">
        <is>
          <t>227-9-K-26, (11.09.2026) [FHM-K]</t>
        </is>
      </c>
      <c r="Y159" s="232" t="inlineStr">
        <is>
          <t>— pending —</t>
        </is>
      </c>
      <c r="Z159" s="232" t="inlineStr">
        <is>
          <t>#8, #9, #11, #12 from the initial testing</t>
        </is>
      </c>
      <c r="AA159" s="232" t="inlineStr">
        <is>
          <t>P050272|R2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post-SOP</t>
        </is>
      </c>
      <c r="H160" s="232" t="inlineStr">
        <is>
          <t>retest 2</t>
        </is>
      </c>
      <c r="I160" s="233" t="inlineStr">
        <is>
          <t>SCR012601*</t>
        </is>
      </c>
      <c r="J160" s="232" t="inlineStr">
        <is>
          <t>P060342</t>
        </is>
      </c>
      <c r="K160" s="232" t="inlineStr">
        <is>
          <t>Scrambler</t>
        </is>
      </c>
      <c r="L160" s="232" t="inlineStr">
        <is>
          <t>Ident A + Ident B + Foreign matter</t>
        </is>
      </c>
      <c r="M160" s="237" t="inlineStr">
        <is>
          <t>—</t>
        </is>
      </c>
      <c r="N160" s="232">
        <f>IFERROR(INDEX('CoQ Register'!$B:$B,MATCH("P060342|R2",'CoQ Register'!$S:$S,0)),"—")</f>
        <v/>
      </c>
      <c r="O160" s="237" t="inlineStr">
        <is>
          <t>—</t>
        </is>
      </c>
      <c r="P160" s="232" t="inlineStr">
        <is>
          <t>25.05.2027</t>
        </is>
      </c>
      <c r="Q160" s="232" t="inlineStr">
        <is>
          <t>16.04.2026</t>
        </is>
      </c>
      <c r="R160" s="232" t="inlineStr">
        <is>
          <t>25.05.2026</t>
        </is>
      </c>
      <c r="S160" s="234">
        <f>IFERROR(INDEX('CoQ Register'!$D:$D,MATCH("P060342|R2",'CoQ Register'!$S:$S,0)),"")</f>
        <v/>
      </c>
      <c r="T160" s="232" t="inlineStr">
        <is>
          <t>Conforms</t>
        </is>
      </c>
      <c r="U160" s="232" t="inlineStr">
        <is>
          <t>Conforms</t>
        </is>
      </c>
      <c r="V160" s="232" t="inlineStr">
        <is>
          <t>Conforms</t>
        </is>
      </c>
      <c r="W160" s="232" t="inlineStr">
        <is>
          <t>227-8-K-26, (11.09.2026) [FHM-K]</t>
        </is>
      </c>
      <c r="X160" s="232" t="inlineStr">
        <is>
          <t>227-8-K-26, (11.09.2026) [FHM-K]</t>
        </is>
      </c>
      <c r="Y160" s="232" t="inlineStr">
        <is>
          <t>— pending —</t>
        </is>
      </c>
      <c r="Z160" s="232" t="inlineStr">
        <is>
          <t>#8, #9, #11, #12 from the initial testing</t>
        </is>
      </c>
      <c r="AA160" s="232" t="inlineStr">
        <is>
          <t>P060342|R2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post-SOP</t>
        </is>
      </c>
      <c r="H161" s="232" t="inlineStr">
        <is>
          <t>retest 2</t>
        </is>
      </c>
      <c r="I161" s="233" t="inlineStr">
        <is>
          <t>SCR022601</t>
        </is>
      </c>
      <c r="J161" s="232" t="inlineStr">
        <is>
          <t>P060442</t>
        </is>
      </c>
      <c r="K161" s="232" t="inlineStr">
        <is>
          <t>Scrambler</t>
        </is>
      </c>
      <c r="L161" s="232" t="inlineStr">
        <is>
          <t>Ident A + Ident B + Foreign matter</t>
        </is>
      </c>
      <c r="M161" s="237" t="inlineStr">
        <is>
          <t>—</t>
        </is>
      </c>
      <c r="N161" s="232">
        <f>IFERROR(INDEX('CoQ Register'!$B:$B,MATCH("P060442|R2",'CoQ Register'!$S:$S,0)),"—")</f>
        <v/>
      </c>
      <c r="O161" s="237" t="inlineStr">
        <is>
          <t>—</t>
        </is>
      </c>
      <c r="P161" s="232" t="inlineStr">
        <is>
          <t>06.07.2027</t>
        </is>
      </c>
      <c r="Q161" s="232" t="inlineStr">
        <is>
          <t>13.05.2026</t>
        </is>
      </c>
      <c r="R161" s="232" t="inlineStr">
        <is>
          <t>18.06.2026 (the issuance plan's basis: 06.07.2026)</t>
        </is>
      </c>
      <c r="S161" s="234">
        <f>IFERROR(INDEX('CoQ Register'!$D:$D,MATCH("P060442|R2",'CoQ Register'!$S:$S,0)),"")</f>
        <v/>
      </c>
      <c r="T161" s="232" t="inlineStr">
        <is>
          <t>CNP ППК26116</t>
        </is>
      </c>
      <c r="U161" s="232" t="inlineStr">
        <is>
          <t>CNP ППК26116</t>
        </is>
      </c>
      <c r="V161" s="232" t="inlineStr">
        <is>
          <t>Conforms</t>
        </is>
      </c>
      <c r="W161" s="232" t="inlineStr">
        <is>
          <t>227-7-K-26, (11.09.2026) [FHM-K]</t>
        </is>
      </c>
      <c r="X161" s="232" t="inlineStr">
        <is>
          <t>227-7-K-26, (11.09.2026) [FHM-K]</t>
        </is>
      </c>
      <c r="Y161" s="232" t="inlineStr">
        <is>
          <t>— pending —</t>
        </is>
      </c>
      <c r="Z161" s="232" t="inlineStr">
        <is>
          <t>#8, #9, #11, #12 from the initial testing</t>
        </is>
      </c>
      <c r="AA161" s="232" t="inlineStr">
        <is>
          <t>P060442|R2</t>
        </is>
      </c>
      <c r="AB161" s="239" t="inlineStr">
        <is>
          <t>registered — retest 2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SJ102501</t>
        </is>
      </c>
      <c r="J162" s="232" t="inlineStr">
        <is>
          <t>P060162</t>
        </is>
      </c>
      <c r="K162" s="232" t="inlineStr">
        <is>
          <t>Sleepy Joy</t>
        </is>
      </c>
      <c r="L162" s="232" t="inlineStr">
        <is>
          <t>Ident A + Ident B + Foreign matter</t>
        </is>
      </c>
      <c r="M162" s="237" t="inlineStr">
        <is>
          <t>—</t>
        </is>
      </c>
      <c r="N162" s="232">
        <f>IFERROR(INDEX('CoQ Register'!$B:$B,MATCH("P060162|R2",'CoQ Register'!$S:$S,0)),"—")</f>
        <v/>
      </c>
      <c r="O162" s="237" t="inlineStr">
        <is>
          <t>—</t>
        </is>
      </c>
      <c r="P162" s="232" t="inlineStr">
        <is>
          <t>04.03.2027</t>
        </is>
      </c>
      <c r="Q162" s="232" t="inlineStr">
        <is>
          <t>20.01.2026</t>
        </is>
      </c>
      <c r="R162" s="232" t="inlineStr">
        <is>
          <t>09.03.2026 (the issuance plan's basis: 04.03.2026)</t>
        </is>
      </c>
      <c r="S162" s="234">
        <f>IFERROR(INDEX('CoQ Register'!$D:$D,MATCH("P060162|R2",'CoQ Register'!$S:$S,0)),"")</f>
        <v/>
      </c>
      <c r="T162" s="232" t="inlineStr">
        <is>
          <t>Conforms</t>
        </is>
      </c>
      <c r="U162" s="232" t="inlineStr">
        <is>
          <t>Conforms</t>
        </is>
      </c>
      <c r="V162" s="232" t="inlineStr">
        <is>
          <t>Conforms</t>
        </is>
      </c>
      <c r="W162" s="232" t="inlineStr">
        <is>
          <t>227-6-K-26, (11.09.2026) [FHM-K]</t>
        </is>
      </c>
      <c r="X162" s="232" t="inlineStr">
        <is>
          <t>227-6-K-26, (11.09.2026) [FHM-K]</t>
        </is>
      </c>
      <c r="Y162" s="232" t="inlineStr">
        <is>
          <t>— pending —</t>
        </is>
      </c>
      <c r="Z162" s="232" t="inlineStr">
        <is>
          <t>#8, #9, #11, #12 from the initial testing</t>
        </is>
      </c>
      <c r="AA162" s="232" t="inlineStr">
        <is>
          <t>P060162|R2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1</t>
        </is>
      </c>
      <c r="I163" s="233" t="inlineStr">
        <is>
          <t>SJ112501</t>
        </is>
      </c>
      <c r="J163" s="232" t="inlineStr">
        <is>
          <t>P060192</t>
        </is>
      </c>
      <c r="K163" s="232" t="inlineStr">
        <is>
          <t>Sleepy Joy</t>
        </is>
      </c>
      <c r="L163" s="232" t="inlineStr">
        <is>
          <t>Ident A + Ident B + Foreign matter</t>
        </is>
      </c>
      <c r="M163" s="237" t="inlineStr">
        <is>
          <t>—</t>
        </is>
      </c>
      <c r="N163" s="232">
        <f>IFERROR(INDEX('CoQ Register'!$B:$B,MATCH("P060192|R",'CoQ Register'!$S:$S,0)),"—")</f>
        <v/>
      </c>
      <c r="O163" s="237" t="inlineStr">
        <is>
          <t>—</t>
        </is>
      </c>
      <c r="P163" s="232" t="inlineStr">
        <is>
          <t>04.03.2027</t>
        </is>
      </c>
      <c r="Q163" s="232" t="inlineStr">
        <is>
          <t>26.01.2026 – 27.01.2026</t>
        </is>
      </c>
      <c r="R163" s="232" t="inlineStr">
        <is>
          <t>31.03.2026 (the issuance plan's basis: 04.03.2026)</t>
        </is>
      </c>
      <c r="S163" s="234">
        <f>IFERROR(INDEX('CoQ Register'!$D:$D,MATCH("P060192|R",'CoQ Register'!$S:$S,0)),"")</f>
        <v/>
      </c>
      <c r="T163" s="232" t="inlineStr">
        <is>
          <t>Conforms</t>
        </is>
      </c>
      <c r="U163" s="232" t="inlineStr">
        <is>
          <t>Conforms</t>
        </is>
      </c>
      <c r="V163" s="232" t="inlineStr">
        <is>
          <t>Conforms</t>
        </is>
      </c>
      <c r="W163" s="232" t="inlineStr">
        <is>
          <t>227-5-K-26, (11.09.2026) [FHM-K]</t>
        </is>
      </c>
      <c r="X163" s="232" t="inlineStr">
        <is>
          <t>227-5-K-26, (11.09.2026) [FHM-K]</t>
        </is>
      </c>
      <c r="Y163" s="232" t="inlineStr">
        <is>
          <t>— pending —</t>
        </is>
      </c>
      <c r="Z163" s="232" t="inlineStr">
        <is>
          <t>#8, #9, #11, #12 from the initial testing</t>
        </is>
      </c>
      <c r="AA163" s="232" t="inlineStr">
        <is>
          <t>P060192|R</t>
        </is>
      </c>
      <c r="AB163" s="239" t="inlineStr">
        <is>
          <t>registered — retest 1 · Tranche 3 (sampled 19–21.08.2026), tested 19.08.2026, issued 24.08.2026</t>
        </is>
      </c>
    </row>
    <row r="164">
      <c r="A164" s="232" t="n">
        <v>163</v>
      </c>
      <c r="B164" s="233" t="inlineStr">
        <is>
          <t>iCoA-PP_26-163</t>
        </is>
      </c>
      <c r="C164" s="238" t="inlineStr">
        <is>
          <t>yes</t>
        </is>
      </c>
      <c r="D164" s="234" t="n">
        <v>46258</v>
      </c>
      <c r="E164" s="234" t="n">
        <v>46253</v>
      </c>
      <c r="F164" s="234">
        <f>IFERROR(INDEX('Batch Dates'!$G:$G,MATCH(J164,'Batch Dates'!$C:$C,0)),IFERROR(INDEX('Batch Dates'!$G:$G,MATCH(I164,'Batch Dates'!$B:$B,0)),""))</f>
        <v/>
      </c>
      <c r="G164" s="232" t="inlineStr">
        <is>
          <t>legacy</t>
        </is>
      </c>
      <c r="H164" s="232" t="inlineStr">
        <is>
          <t>retest 2</t>
        </is>
      </c>
      <c r="I164" s="233" t="inlineStr">
        <is>
          <t>WC072501</t>
        </is>
      </c>
      <c r="J164" s="232" t="inlineStr">
        <is>
          <t>P050262</t>
        </is>
      </c>
      <c r="K164" s="232" t="inlineStr">
        <is>
          <t>Wedding Crasher</t>
        </is>
      </c>
      <c r="L164" s="232" t="inlineStr">
        <is>
          <t>Ident A + Ident B + Foreign matter</t>
        </is>
      </c>
      <c r="M164" s="237" t="inlineStr">
        <is>
          <t>—</t>
        </is>
      </c>
      <c r="N164" s="232">
        <f>IFERROR(INDEX('CoQ Register'!$B:$B,MATCH("P050262|R2",'CoQ Register'!$S:$S,0)),"—")</f>
        <v/>
      </c>
      <c r="O164" s="237" t="inlineStr">
        <is>
          <t>—</t>
        </is>
      </c>
      <c r="P164" s="232" t="inlineStr">
        <is>
          <t>02.12.2026</t>
        </is>
      </c>
      <c r="Q164" s="232" t="inlineStr">
        <is>
          <t>27.10.2025 – 28.10.2025</t>
        </is>
      </c>
      <c r="R164" s="232" t="inlineStr">
        <is>
          <t>01.12.2025 (the issuance plan's basis: 02.12.2025)</t>
        </is>
      </c>
      <c r="S164" s="234">
        <f>IFERROR(INDEX('CoQ Register'!$D:$D,MATCH("P050262|R2",'CoQ Register'!$S:$S,0)),"")</f>
        <v/>
      </c>
      <c r="T164" s="232" t="inlineStr">
        <is>
          <t>Conforms</t>
        </is>
      </c>
      <c r="U164" s="232" t="inlineStr">
        <is>
          <t>Conforms</t>
        </is>
      </c>
      <c r="V164" s="232" t="inlineStr">
        <is>
          <t>Conforms</t>
        </is>
      </c>
      <c r="W164" s="232" t="inlineStr">
        <is>
          <t>227-3-K-26, (11.09.2026) [FHM-K]</t>
        </is>
      </c>
      <c r="X164" s="232" t="inlineStr">
        <is>
          <t>227-3-K-26, (11.09.2026) [FHM-K]</t>
        </is>
      </c>
      <c r="Y164" s="232" t="inlineStr">
        <is>
          <t>— pending —</t>
        </is>
      </c>
      <c r="Z164" s="232" t="inlineStr">
        <is>
          <t>#8, #9, #11, #12 from the initial testing</t>
        </is>
      </c>
      <c r="AA164" s="232" t="inlineStr">
        <is>
          <t>P050262|R2</t>
        </is>
      </c>
      <c r="AB164" s="239" t="inlineStr">
        <is>
          <t>registered — retest 2 · Tranche 3 (sampled 19–21.08.2026), tested 19.08.2026, issued 24.08.2026</t>
        </is>
      </c>
    </row>
    <row r="165">
      <c r="A165" s="232" t="n">
        <v>164</v>
      </c>
      <c r="B165" s="233" t="inlineStr">
        <is>
          <t>iCoA-PP_26-164</t>
        </is>
      </c>
      <c r="C165" s="238" t="inlineStr">
        <is>
          <t>yes</t>
        </is>
      </c>
      <c r="D165" s="234" t="n">
        <v>46258</v>
      </c>
      <c r="E165" s="234" t="n">
        <v>46253</v>
      </c>
      <c r="F165" s="234">
        <f>IFERROR(INDEX('Batch Dates'!$G:$G,MATCH(J165,'Batch Dates'!$C:$C,0)),IFERROR(INDEX('Batch Dates'!$G:$G,MATCH(I165,'Batch Dates'!$B:$B,0)),""))</f>
        <v/>
      </c>
      <c r="G165" s="232" t="inlineStr">
        <is>
          <t>legacy</t>
        </is>
      </c>
      <c r="H165" s="232" t="inlineStr">
        <is>
          <t>retest 2</t>
        </is>
      </c>
      <c r="I165" s="233" t="inlineStr">
        <is>
          <t>WED102501</t>
        </is>
      </c>
      <c r="J165" s="232" t="inlineStr">
        <is>
          <t>P060102</t>
        </is>
      </c>
      <c r="K165" s="232" t="inlineStr">
        <is>
          <t>Wedding Cake</t>
        </is>
      </c>
      <c r="L165" s="232" t="inlineStr">
        <is>
          <t>Ident A + Ident B + Foreign matter</t>
        </is>
      </c>
      <c r="M165" s="237" t="inlineStr">
        <is>
          <t>—</t>
        </is>
      </c>
      <c r="N165" s="232">
        <f>IFERROR(INDEX('CoQ Register'!$B:$B,MATCH("P060102|R2",'CoQ Register'!$S:$S,0)),"—")</f>
        <v/>
      </c>
      <c r="O165" s="237" t="inlineStr">
        <is>
          <t>—</t>
        </is>
      </c>
      <c r="P165" s="232" t="inlineStr">
        <is>
          <t>16.02.2027</t>
        </is>
      </c>
      <c r="Q165" s="232" t="inlineStr">
        <is>
          <t>08.01.2026</t>
        </is>
      </c>
      <c r="R165" s="232" t="inlineStr">
        <is>
          <t>16.02.2026</t>
        </is>
      </c>
      <c r="S165" s="234">
        <f>IFERROR(INDEX('CoQ Register'!$D:$D,MATCH("P060102|R2",'CoQ Register'!$S:$S,0)),"")</f>
        <v/>
      </c>
      <c r="T165" s="232" t="inlineStr">
        <is>
          <t>Conforms</t>
        </is>
      </c>
      <c r="U165" s="232" t="inlineStr">
        <is>
          <t>Conforms</t>
        </is>
      </c>
      <c r="V165" s="232" t="inlineStr">
        <is>
          <t>Conforms</t>
        </is>
      </c>
      <c r="W165" s="232" t="inlineStr">
        <is>
          <t>227-4-K-26, (11.09.2026) [FHM-K]</t>
        </is>
      </c>
      <c r="X165" s="232" t="inlineStr">
        <is>
          <t>227-4-K-26, (11.09.2026) [FHM-K]</t>
        </is>
      </c>
      <c r="Y165" s="232" t="inlineStr">
        <is>
          <t>— pending —</t>
        </is>
      </c>
      <c r="Z165" s="232" t="inlineStr">
        <is>
          <t>#8, #9, #11, #12 from the initial testing</t>
        </is>
      </c>
      <c r="AA165" s="232" t="inlineStr">
        <is>
          <t>P060102|R2</t>
        </is>
      </c>
      <c r="AB165" s="239" t="inlineStr">
        <is>
          <t>registered — retest 2 · Tranche 3 (sampled 19–21.08.2026), tested 19.08.2026,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2</t>
        </is>
      </c>
      <c r="I166" s="233" t="inlineStr">
        <is>
          <t>GG1024_02</t>
        </is>
      </c>
      <c r="J166" s="232" t="inlineStr">
        <is>
          <t>P050012</t>
        </is>
      </c>
      <c r="K166" s="232" t="inlineStr">
        <is>
          <t>Gorilla Glue</t>
        </is>
      </c>
      <c r="L166" s="232" t="inlineStr">
        <is>
          <t>Ident A + Ident B + Foreign matter</t>
        </is>
      </c>
      <c r="M166" s="237" t="inlineStr">
        <is>
          <t>—</t>
        </is>
      </c>
      <c r="N166" s="232">
        <f>IFERROR(INDEX('CoQ Register'!$B:$B,MATCH("P050012|R2",'CoQ Register'!$S:$S,0)),"—")</f>
        <v/>
      </c>
      <c r="O166" s="237" t="inlineStr">
        <is>
          <t>—</t>
        </is>
      </c>
      <c r="P166" s="232" t="inlineStr">
        <is>
          <t>30.05.2026</t>
        </is>
      </c>
      <c r="Q166" s="232" t="inlineStr">
        <is>
          <t>14.04.2025 – 15.04.2025</t>
        </is>
      </c>
      <c r="R166" s="232" t="inlineStr">
        <is>
          <t>11.06.2025 – 16.06.2025 (the issuance plan's basis: 30.05.2025)</t>
        </is>
      </c>
      <c r="S166" s="234">
        <f>IFERROR(INDEX('CoQ Register'!$D:$D,MATCH("P050012|R2",'CoQ Register'!$S:$S,0)),"")</f>
        <v/>
      </c>
      <c r="T166" s="232" t="inlineStr">
        <is>
          <t>Conforms</t>
        </is>
      </c>
      <c r="U166" s="232" t="inlineStr">
        <is>
          <t>Conforms</t>
        </is>
      </c>
      <c r="V166" s="232" t="inlineStr">
        <is>
          <t>Conforms</t>
        </is>
      </c>
      <c r="W166" s="232" t="inlineStr">
        <is>
          <t>227-19-K-26, (11.09.2026) [FHM-K]</t>
        </is>
      </c>
      <c r="X166" s="232" t="inlineStr">
        <is>
          <t>227-19-K-26, (11.09.2026) [FHM-K]</t>
        </is>
      </c>
      <c r="Y166" s="232" t="inlineStr">
        <is>
          <t>— pending —</t>
        </is>
      </c>
      <c r="Z166" s="232" t="inlineStr">
        <is>
          <t>#8, #9, #11, #12 from the initial testing</t>
        </is>
      </c>
      <c r="AA166" s="232" t="inlineStr">
        <is>
          <t>P050012|R2</t>
        </is>
      </c>
      <c r="AB166" s="239" t="inlineStr">
        <is>
          <t>registered — retest 2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GG112501</t>
        </is>
      </c>
      <c r="J167" s="232" t="inlineStr">
        <is>
          <t>P060252</t>
        </is>
      </c>
      <c r="K167" s="232" t="inlineStr">
        <is>
          <t>Gorilla Glue</t>
        </is>
      </c>
      <c r="L167" s="232" t="inlineStr">
        <is>
          <t>Ident A + Ident B + Foreign matter</t>
        </is>
      </c>
      <c r="M167" s="237" t="inlineStr">
        <is>
          <t>—</t>
        </is>
      </c>
      <c r="N167" s="232">
        <f>IFERROR(INDEX('CoQ Register'!$B:$B,MATCH("P060252|R2",'CoQ Register'!$S:$S,0)),"—")</f>
        <v/>
      </c>
      <c r="O167" s="237" t="inlineStr">
        <is>
          <t>—</t>
        </is>
      </c>
      <c r="P167" s="232" t="inlineStr">
        <is>
          <t>11.05.2027</t>
        </is>
      </c>
      <c r="Q167" s="232" t="inlineStr">
        <is>
          <t>25.03.2026</t>
        </is>
      </c>
      <c r="R167" s="232" t="inlineStr">
        <is>
          <t>05.05.2026 (the issuance plan's basis: 11.05.2026)</t>
        </is>
      </c>
      <c r="S167" s="234">
        <f>IFERROR(INDEX('CoQ Register'!$D:$D,MATCH("P060252|R2",'CoQ Register'!$S:$S,0)),"")</f>
        <v/>
      </c>
      <c r="T167" s="232" t="inlineStr">
        <is>
          <t>Conforms</t>
        </is>
      </c>
      <c r="U167" s="232" t="inlineStr">
        <is>
          <t>Conforms</t>
        </is>
      </c>
      <c r="V167" s="232" t="inlineStr">
        <is>
          <t>Conforms</t>
        </is>
      </c>
      <c r="W167" s="232" t="inlineStr">
        <is>
          <t>227-20-K-26, (11.09.2026) [FHM-K]</t>
        </is>
      </c>
      <c r="X167" s="232" t="inlineStr">
        <is>
          <t>227-20-K-26, (11.09.2026) [FHM-K]</t>
        </is>
      </c>
      <c r="Y167" s="232" t="inlineStr">
        <is>
          <t>— pending —</t>
        </is>
      </c>
      <c r="Z167" s="232" t="inlineStr">
        <is>
          <t>#8, #9, #11, #12 from the initial testing</t>
        </is>
      </c>
      <c r="AA167" s="232" t="inlineStr">
        <is>
          <t>P060252|R2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5</t>
        </is>
      </c>
      <c r="I168" s="233" t="inlineStr">
        <is>
          <t>GP062501</t>
        </is>
      </c>
      <c r="J168" s="232" t="inlineStr">
        <is>
          <t>P050202</t>
        </is>
      </c>
      <c r="K168" s="232" t="inlineStr">
        <is>
          <t>Grape Pie</t>
        </is>
      </c>
      <c r="L168" s="232" t="inlineStr">
        <is>
          <t>Ident A + Ident B + Foreign matter</t>
        </is>
      </c>
      <c r="M168" s="237" t="inlineStr">
        <is>
          <t>—</t>
        </is>
      </c>
      <c r="N168" s="232">
        <f>IFERROR(INDEX('CoQ Register'!$B:$B,MATCH("P050202|R5",'CoQ Register'!$S:$S,0)),"—")</f>
        <v/>
      </c>
      <c r="O168" s="237" t="inlineStr">
        <is>
          <t>—</t>
        </is>
      </c>
      <c r="P168" s="232" t="inlineStr">
        <is>
          <t>11.05.2027</t>
        </is>
      </c>
      <c r="Q168" s="232" t="inlineStr">
        <is>
          <t>15.09.2025 – 17.09.2025</t>
        </is>
      </c>
      <c r="R168" s="232" t="inlineStr">
        <is>
          <t>30.10.2025 – 07.11.2025 (the issuance plan's basis: 11.05.2026)</t>
        </is>
      </c>
      <c r="S168" s="234">
        <f>IFERROR(INDEX('CoQ Register'!$D:$D,MATCH("P050202|R5",'CoQ Register'!$S:$S,0)),"")</f>
        <v/>
      </c>
      <c r="T168" s="232" t="inlineStr">
        <is>
          <t>Conforms</t>
        </is>
      </c>
      <c r="U168" s="232" t="inlineStr">
        <is>
          <t>Conforms</t>
        </is>
      </c>
      <c r="V168" s="232" t="inlineStr">
        <is>
          <t>Conforms</t>
        </is>
      </c>
      <c r="W168" s="232" t="inlineStr">
        <is>
          <t>227-18-K-26, (11.09.2026) [FHM-K]</t>
        </is>
      </c>
      <c r="X168" s="232" t="inlineStr">
        <is>
          <t>227-18-K-26, (11.09.2026) [FHM-K]</t>
        </is>
      </c>
      <c r="Y168" s="232" t="inlineStr">
        <is>
          <t>— pending —</t>
        </is>
      </c>
      <c r="Z168" s="232" t="inlineStr">
        <is>
          <t>#8, #9, #11, #12 from the initial testing</t>
        </is>
      </c>
      <c r="AA168" s="232" t="inlineStr">
        <is>
          <t>P050202|R5</t>
        </is>
      </c>
      <c r="AB168" s="239" t="inlineStr">
        <is>
          <t>registered — retest 5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GP072501/1</t>
        </is>
      </c>
      <c r="J169" s="232" t="inlineStr">
        <is>
          <t>P050292</t>
        </is>
      </c>
      <c r="K169" s="232" t="inlineStr">
        <is>
          <t>Grape Pie</t>
        </is>
      </c>
      <c r="L169" s="232" t="inlineStr">
        <is>
          <t>Ident A + Ident B + Foreign matter</t>
        </is>
      </c>
      <c r="M169" s="237" t="inlineStr">
        <is>
          <t>—</t>
        </is>
      </c>
      <c r="N169" s="232">
        <f>IFERROR(INDEX('CoQ Register'!$B:$B,MATCH("P050292|R2",'CoQ Register'!$S:$S,0)),"—")</f>
        <v/>
      </c>
      <c r="O169" s="237" t="inlineStr">
        <is>
          <t>—</t>
        </is>
      </c>
      <c r="P169" s="232" t="inlineStr">
        <is>
          <t>21.01.2027</t>
        </is>
      </c>
      <c r="Q169" s="232" t="inlineStr">
        <is>
          <t>11.11.2025 – 13.11.2025</t>
        </is>
      </c>
      <c r="R169" s="232" t="inlineStr">
        <is>
          <t>15.12.2025 – 21.12.2025 (the issuance plan's basis: 21.01.2026)</t>
        </is>
      </c>
      <c r="S169" s="234">
        <f>IFERROR(INDEX('CoQ Register'!$D:$D,MATCH("P050292|R2",'CoQ Register'!$S:$S,0)),"")</f>
        <v/>
      </c>
      <c r="T169" s="232" t="inlineStr">
        <is>
          <t>Conforms</t>
        </is>
      </c>
      <c r="U169" s="232" t="inlineStr">
        <is>
          <t>Conforms</t>
        </is>
      </c>
      <c r="V169" s="232" t="inlineStr">
        <is>
          <t>Conforms</t>
        </is>
      </c>
      <c r="W169" s="232" t="inlineStr">
        <is>
          <t>227-17-K-26, (11.09.2026) [FHM-K]</t>
        </is>
      </c>
      <c r="X169" s="232" t="inlineStr">
        <is>
          <t>227-17-K-26, (11.09.2026) [FHM-K]</t>
        </is>
      </c>
      <c r="Y169" s="232" t="inlineStr">
        <is>
          <t>— pending —</t>
        </is>
      </c>
      <c r="Z169" s="232" t="inlineStr">
        <is>
          <t>#8, #9, #11, #12 from the initial testing</t>
        </is>
      </c>
      <c r="AA169" s="232" t="inlineStr">
        <is>
          <t>P050292|R2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legacy</t>
        </is>
      </c>
      <c r="H170" s="232" t="inlineStr">
        <is>
          <t>retest 2</t>
        </is>
      </c>
      <c r="I170" s="233" t="inlineStr">
        <is>
          <t>GRC102501</t>
        </is>
      </c>
      <c r="J170" s="232" t="inlineStr">
        <is>
          <t>P060142</t>
        </is>
      </c>
      <c r="K170" s="232" t="inlineStr">
        <is>
          <t>Graps &amp; Creme</t>
        </is>
      </c>
      <c r="L170" s="232" t="inlineStr">
        <is>
          <t>Ident A + Ident B + Foreign matter</t>
        </is>
      </c>
      <c r="M170" s="237" t="inlineStr">
        <is>
          <t>—</t>
        </is>
      </c>
      <c r="N170" s="232">
        <f>IFERROR(INDEX('CoQ Register'!$B:$B,MATCH("P060142|R2",'CoQ Register'!$S:$S,0)),"—")</f>
        <v/>
      </c>
      <c r="O170" s="237" t="inlineStr">
        <is>
          <t>—</t>
        </is>
      </c>
      <c r="P170" s="232" t="inlineStr">
        <is>
          <t>23.02.2027</t>
        </is>
      </c>
      <c r="Q170" s="232" t="inlineStr">
        <is>
          <t>09.01.2026</t>
        </is>
      </c>
      <c r="R170" s="232" t="inlineStr">
        <is>
          <t>23.02.2026</t>
        </is>
      </c>
      <c r="S170" s="234">
        <f>IFERROR(INDEX('CoQ Register'!$D:$D,MATCH("P060142|R2",'CoQ Register'!$S:$S,0)),"")</f>
        <v/>
      </c>
      <c r="T170" s="232" t="inlineStr">
        <is>
          <t>Conforms</t>
        </is>
      </c>
      <c r="U170" s="232" t="inlineStr">
        <is>
          <t>Conforms</t>
        </is>
      </c>
      <c r="V170" s="232" t="inlineStr">
        <is>
          <t>Conforms</t>
        </is>
      </c>
      <c r="W170" s="232" t="inlineStr">
        <is>
          <t>227-16-K-26, (11.09.2026) [FHM-K]</t>
        </is>
      </c>
      <c r="X170" s="232" t="inlineStr">
        <is>
          <t>227-16-K-26, (11.09.2026) [FHM-K]</t>
        </is>
      </c>
      <c r="Y170" s="232" t="inlineStr">
        <is>
          <t>— pending —</t>
        </is>
      </c>
      <c r="Z170" s="232" t="inlineStr">
        <is>
          <t>#8, #9, #11, #12 from the initial testing</t>
        </is>
      </c>
      <c r="AA170" s="232" t="inlineStr">
        <is>
          <t>P060142|R2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legacy</t>
        </is>
      </c>
      <c r="H171" s="232" t="inlineStr">
        <is>
          <t>retest 2</t>
        </is>
      </c>
      <c r="I171" s="233" t="inlineStr">
        <is>
          <t>J31112501</t>
        </is>
      </c>
      <c r="J171" s="232" t="inlineStr">
        <is>
          <t>P060202</t>
        </is>
      </c>
      <c r="K171" s="232" t="inlineStr">
        <is>
          <t>Jokerz 31</t>
        </is>
      </c>
      <c r="L171" s="232" t="inlineStr">
        <is>
          <t>Ident A + Ident B + Foreign matter</t>
        </is>
      </c>
      <c r="M171" s="237" t="inlineStr">
        <is>
          <t>—</t>
        </is>
      </c>
      <c r="N171" s="232">
        <f>IFERROR(INDEX('CoQ Register'!$B:$B,MATCH("P060202|R2",'CoQ Register'!$S:$S,0)),"—")</f>
        <v/>
      </c>
      <c r="O171" s="237" t="inlineStr">
        <is>
          <t>—</t>
        </is>
      </c>
      <c r="P171" s="232" t="inlineStr">
        <is>
          <t>09.04.2027</t>
        </is>
      </c>
      <c r="Q171" s="232" t="inlineStr">
        <is>
          <t>26.01.2026</t>
        </is>
      </c>
      <c r="R171" s="232" t="inlineStr">
        <is>
          <t>17.04.2026 (the issuance plan's basis: 09.04.2026)</t>
        </is>
      </c>
      <c r="S171" s="234">
        <f>IFERROR(INDEX('CoQ Register'!$D:$D,MATCH("P060202|R2",'CoQ Register'!$S:$S,0)),"")</f>
        <v/>
      </c>
      <c r="T171" s="232" t="inlineStr">
        <is>
          <t>Conforms</t>
        </is>
      </c>
      <c r="U171" s="232" t="inlineStr">
        <is>
          <t>Conforms</t>
        </is>
      </c>
      <c r="V171" s="232" t="inlineStr">
        <is>
          <t>Conforms</t>
        </is>
      </c>
      <c r="W171" s="232" t="inlineStr">
        <is>
          <t>227-14-K-26, (11.09.2026) [FHM-K]</t>
        </is>
      </c>
      <c r="X171" s="232" t="inlineStr">
        <is>
          <t>227-14-K-26, (11.09.2026) [FHM-K]</t>
        </is>
      </c>
      <c r="Y171" s="232" t="inlineStr">
        <is>
          <t>— pending —</t>
        </is>
      </c>
      <c r="Z171" s="232" t="inlineStr">
        <is>
          <t>#8, #9, #11, #12 from the initial testing</t>
        </is>
      </c>
      <c r="AA171" s="232" t="inlineStr">
        <is>
          <t>P060202|R2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post-SOP</t>
        </is>
      </c>
      <c r="H172" s="232" t="inlineStr">
        <is>
          <t>retest 2</t>
        </is>
      </c>
      <c r="I172" s="233" t="inlineStr">
        <is>
          <t>J31122501</t>
        </is>
      </c>
      <c r="J172" s="232" t="inlineStr">
        <is>
          <t>P060262</t>
        </is>
      </c>
      <c r="K172" s="232" t="inlineStr">
        <is>
          <t>Jokerz 31</t>
        </is>
      </c>
      <c r="L172" s="232" t="inlineStr">
        <is>
          <t>Ident A + Ident B + Foreign matter</t>
        </is>
      </c>
      <c r="M172" s="237" t="inlineStr">
        <is>
          <t>—</t>
        </is>
      </c>
      <c r="N172" s="232">
        <f>IFERROR(INDEX('CoQ Register'!$B:$B,MATCH("P060262|R2",'CoQ Register'!$S:$S,0)),"—")</f>
        <v/>
      </c>
      <c r="O172" s="237" t="inlineStr">
        <is>
          <t>—</t>
        </is>
      </c>
      <c r="P172" s="232" t="inlineStr">
        <is>
          <t>23.04.2027</t>
        </is>
      </c>
      <c r="Q172" s="232" t="inlineStr">
        <is>
          <t>04.03.2026</t>
        </is>
      </c>
      <c r="R172" s="232" t="inlineStr">
        <is>
          <t>14.05.2026 (the issuance plan's basis: 23.04.2026)</t>
        </is>
      </c>
      <c r="S172" s="234">
        <f>IFERROR(INDEX('CoQ Register'!$D:$D,MATCH("P060262|R2",'CoQ Register'!$S:$S,0)),"")</f>
        <v/>
      </c>
      <c r="T172" s="232" t="inlineStr">
        <is>
          <t>Conforms</t>
        </is>
      </c>
      <c r="U172" s="232" t="inlineStr">
        <is>
          <t>Conforms</t>
        </is>
      </c>
      <c r="V172" s="232" t="inlineStr">
        <is>
          <t>Conforms</t>
        </is>
      </c>
      <c r="W172" s="232" t="inlineStr">
        <is>
          <t>— retest assay not yet on file —</t>
        </is>
      </c>
      <c r="X172" s="232" t="inlineStr">
        <is>
          <t>— pending —</t>
        </is>
      </c>
      <c r="Y172" s="232" t="inlineStr">
        <is>
          <t>— pending —</t>
        </is>
      </c>
      <c r="Z172" s="232" t="inlineStr">
        <is>
          <t>#8, #9, #11, #12 from the initial testing</t>
        </is>
      </c>
      <c r="AA172" s="232" t="inlineStr">
        <is>
          <t>P060262|R2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post-SOP</t>
        </is>
      </c>
      <c r="H173" s="232" t="inlineStr">
        <is>
          <t>retest 2</t>
        </is>
      </c>
      <c r="I173" s="233" t="inlineStr">
        <is>
          <t>JD012601＊</t>
        </is>
      </c>
      <c r="J173" s="232" t="inlineStr">
        <is>
          <t>P060312</t>
        </is>
      </c>
      <c r="K173" s="232" t="inlineStr">
        <is>
          <t>Jelly Donutz</t>
        </is>
      </c>
      <c r="L173" s="232" t="inlineStr">
        <is>
          <t>Ident A + Ident B + Foreign matter</t>
        </is>
      </c>
      <c r="M173" s="237" t="inlineStr">
        <is>
          <t>—</t>
        </is>
      </c>
      <c r="N173" s="232">
        <f>IFERROR(INDEX('CoQ Register'!$B:$B,MATCH("P060312|R2",'CoQ Register'!$S:$S,0)),"—")</f>
        <v/>
      </c>
      <c r="O173" s="237" t="inlineStr">
        <is>
          <t>—</t>
        </is>
      </c>
      <c r="P173" s="232" t="inlineStr">
        <is>
          <t>11.05.2027</t>
        </is>
      </c>
      <c r="Q173" s="232" t="inlineStr">
        <is>
          <t>27.03.2026</t>
        </is>
      </c>
      <c r="R173" s="232" t="inlineStr">
        <is>
          <t>21.05.2026 (the issuance plan's basis: 11.05.2026)</t>
        </is>
      </c>
      <c r="S173" s="234">
        <f>IFERROR(INDEX('CoQ Register'!$D:$D,MATCH("P060312|R2",'CoQ Register'!$S:$S,0)),"")</f>
        <v/>
      </c>
      <c r="T173" s="232" t="inlineStr">
        <is>
          <t>Conforms</t>
        </is>
      </c>
      <c r="U173" s="232" t="inlineStr">
        <is>
          <t>Conforms</t>
        </is>
      </c>
      <c r="V173" s="232" t="inlineStr">
        <is>
          <t>Conforms</t>
        </is>
      </c>
      <c r="W173" s="232" t="inlineStr">
        <is>
          <t>227-15-K-26, (11.09.2026) [FHM-K]</t>
        </is>
      </c>
      <c r="X173" s="232" t="inlineStr">
        <is>
          <t>227-15-K-26, (11.09.2026) [FHM-K]</t>
        </is>
      </c>
      <c r="Y173" s="232" t="inlineStr">
        <is>
          <t>— pending —</t>
        </is>
      </c>
      <c r="Z173" s="232" t="inlineStr">
        <is>
          <t>#8, #9, #11, #12 from the initial testing</t>
        </is>
      </c>
      <c r="AA173" s="232" t="inlineStr">
        <is>
          <t>P060312|R2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46254</v>
      </c>
      <c r="F174" s="234">
        <f>IFERROR(INDEX('Batch Dates'!$G:$G,MATCH(J174,'Batch Dates'!$C:$C,0)),IFERROR(INDEX('Batch Dates'!$G:$G,MATCH(I174,'Batch Dates'!$B:$B,0)),""))</f>
        <v/>
      </c>
      <c r="G174" s="232" t="inlineStr">
        <is>
          <t>legacy</t>
        </is>
      </c>
      <c r="H174" s="232" t="inlineStr">
        <is>
          <t>retest 2</t>
        </is>
      </c>
      <c r="I174" s="233" t="inlineStr">
        <is>
          <t>MB0824_04</t>
        </is>
      </c>
      <c r="J174" s="232" t="inlineStr">
        <is>
          <t>P050032</t>
        </is>
      </c>
      <c r="K174" s="232" t="inlineStr">
        <is>
          <t>Motor Breath</t>
        </is>
      </c>
      <c r="L174" s="232" t="inlineStr">
        <is>
          <t>Ident A + Ident B + Foreign matter</t>
        </is>
      </c>
      <c r="M174" s="237" t="inlineStr">
        <is>
          <t>—</t>
        </is>
      </c>
      <c r="N174" s="232">
        <f>IFERROR(INDEX('CoQ Register'!$B:$B,MATCH("P050032|R2",'CoQ Register'!$S:$S,0)),"—")</f>
        <v/>
      </c>
      <c r="O174" s="237" t="inlineStr">
        <is>
          <t>—</t>
        </is>
      </c>
      <c r="P174" s="232" t="inlineStr">
        <is>
          <t>07.05.2026</t>
        </is>
      </c>
      <c r="Q174" s="232" t="inlineStr">
        <is>
          <t>02.04.2025 – 03.04.2025</t>
        </is>
      </c>
      <c r="R174" s="232" t="inlineStr">
        <is>
          <t>16.06.2025 – 19.06.2025 (the issuance plan's basis: 07.05.2025)</t>
        </is>
      </c>
      <c r="S174" s="234">
        <f>IFERROR(INDEX('CoQ Register'!$D:$D,MATCH("P050032|R2",'CoQ Register'!$S:$S,0)),"")</f>
        <v/>
      </c>
      <c r="T174" s="232" t="inlineStr">
        <is>
          <t>Conforms</t>
        </is>
      </c>
      <c r="U174" s="232" t="inlineStr">
        <is>
          <t>Conforms</t>
        </is>
      </c>
      <c r="V174" s="232" t="inlineStr">
        <is>
          <t>Conforms</t>
        </is>
      </c>
      <c r="W174" s="232" t="inlineStr">
        <is>
          <t>227-12-K-26, (11.09.2026) [FHM-K]</t>
        </is>
      </c>
      <c r="X174" s="232" t="inlineStr">
        <is>
          <t>227-12-K-26, (11.09.2026) [FHM-K]</t>
        </is>
      </c>
      <c r="Y174" s="232" t="inlineStr">
        <is>
          <t>— pending —</t>
        </is>
      </c>
      <c r="Z174" s="232" t="inlineStr">
        <is>
          <t>#8, #9, #11, #12 from the initial testing</t>
        </is>
      </c>
      <c r="AA174" s="232" t="inlineStr">
        <is>
          <t>P050032|R2</t>
        </is>
      </c>
      <c r="AB174" s="239" t="inlineStr">
        <is>
          <t>registered — retest 2 · Tranche 3 (sampled 19–21.08.2026), tested 20.08.2026, issued 24.08.2026</t>
        </is>
      </c>
    </row>
    <row r="175">
      <c r="A175" s="232" t="n">
        <v>174</v>
      </c>
      <c r="B175" s="233" t="inlineStr">
        <is>
          <t>iCoA-PP_26-174</t>
        </is>
      </c>
      <c r="C175" s="238" t="inlineStr">
        <is>
          <t>yes</t>
        </is>
      </c>
      <c r="D175" s="234" t="n">
        <v>46258</v>
      </c>
      <c r="E175" s="234" t="n">
        <v>46254</v>
      </c>
      <c r="F175" s="234">
        <f>IFERROR(INDEX('Batch Dates'!$G:$G,MATCH(J175,'Batch Dates'!$C:$C,0)),IFERROR(INDEX('Batch Dates'!$G:$G,MATCH(I175,'Batch Dates'!$B:$B,0)),""))</f>
        <v/>
      </c>
      <c r="G175" s="232" t="inlineStr">
        <is>
          <t>legacy</t>
        </is>
      </c>
      <c r="H175" s="232" t="inlineStr">
        <is>
          <t>retest 2</t>
        </is>
      </c>
      <c r="I175" s="233" t="inlineStr">
        <is>
          <t>OPM052501</t>
        </is>
      </c>
      <c r="J175" s="232" t="inlineStr">
        <is>
          <t>P050132</t>
        </is>
      </c>
      <c r="K175" s="232" t="inlineStr">
        <is>
          <t>Orange Punch Mimosa</t>
        </is>
      </c>
      <c r="L175" s="232" t="inlineStr">
        <is>
          <t>Ident A + Ident B + Foreign matter</t>
        </is>
      </c>
      <c r="M175" s="237" t="inlineStr">
        <is>
          <t>—</t>
        </is>
      </c>
      <c r="N175" s="232">
        <f>IFERROR(INDEX('CoQ Register'!$B:$B,MATCH("P050132|R2",'CoQ Register'!$S:$S,0)),"—")</f>
        <v/>
      </c>
      <c r="O175" s="237" t="inlineStr">
        <is>
          <t>—</t>
        </is>
      </c>
      <c r="P175" s="232" t="inlineStr">
        <is>
          <t>05.09.2026</t>
        </is>
      </c>
      <c r="Q175" s="232" t="inlineStr">
        <is>
          <t>11.08.2025 – 13.08.2025</t>
        </is>
      </c>
      <c r="R175" s="232" t="inlineStr">
        <is>
          <t>09.09.2025 – 15.09.2025 (the issuance plan's basis: 05.09.2025)</t>
        </is>
      </c>
      <c r="S175" s="234">
        <f>IFERROR(INDEX('CoQ Register'!$D:$D,MATCH("P050132|R2",'CoQ Register'!$S:$S,0)),"")</f>
        <v/>
      </c>
      <c r="T175" s="232" t="inlineStr">
        <is>
          <t>Conforms</t>
        </is>
      </c>
      <c r="U175" s="232" t="inlineStr">
        <is>
          <t>Conforms</t>
        </is>
      </c>
      <c r="V175" s="232" t="inlineStr">
        <is>
          <t>Conforms</t>
        </is>
      </c>
      <c r="W175" s="232" t="inlineStr">
        <is>
          <t>227-11-K-26, (11.09.2026) [FHM-K]</t>
        </is>
      </c>
      <c r="X175" s="232" t="inlineStr">
        <is>
          <t>227-11-K-26, (11.09.2026) [FHM-K]</t>
        </is>
      </c>
      <c r="Y175" s="232" t="inlineStr">
        <is>
          <t>— pending —</t>
        </is>
      </c>
      <c r="Z175" s="232" t="inlineStr">
        <is>
          <t>#8, #9, #11, #12 from the initial testing</t>
        </is>
      </c>
      <c r="AA175" s="232" t="inlineStr">
        <is>
          <t>P050132|R2</t>
        </is>
      </c>
      <c r="AB175" s="239" t="inlineStr">
        <is>
          <t>registered — retest 2 · Tranche 3 (sampled 19–21.08.2026), tested 20.08.2026,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legacy</t>
        </is>
      </c>
      <c r="H176" s="232" t="inlineStr">
        <is>
          <t>retest 2</t>
        </is>
      </c>
      <c r="I176" s="233" t="inlineStr">
        <is>
          <t>AB092501</t>
        </is>
      </c>
      <c r="J176" s="232" t="inlineStr">
        <is>
          <t>P060052</t>
        </is>
      </c>
      <c r="K176" s="232" t="inlineStr">
        <is>
          <t>Apple and Banana</t>
        </is>
      </c>
      <c r="L176" s="232" t="inlineStr">
        <is>
          <t>Ident A + Ident B + Foreign matter</t>
        </is>
      </c>
      <c r="M176" s="237" t="inlineStr">
        <is>
          <t>—</t>
        </is>
      </c>
      <c r="N176" s="232">
        <f>IFERROR(INDEX('CoQ Register'!$B:$B,MATCH("P060052|R2",'CoQ Register'!$S:$S,0)),"—")</f>
        <v/>
      </c>
      <c r="O176" s="237" t="inlineStr">
        <is>
          <t>—</t>
        </is>
      </c>
      <c r="P176" s="232" t="inlineStr">
        <is>
          <t>20.02.2027</t>
        </is>
      </c>
      <c r="Q176" s="232" t="inlineStr">
        <is>
          <t>11.12.2025</t>
        </is>
      </c>
      <c r="R176" s="232" t="inlineStr">
        <is>
          <t>30.01.2026 (the issuance plan's basis: 20.02.2026)</t>
        </is>
      </c>
      <c r="S176" s="234">
        <f>IFERROR(INDEX('CoQ Register'!$D:$D,MATCH("P060052|R2",'CoQ Register'!$S:$S,0)),"")</f>
        <v/>
      </c>
      <c r="T176" s="232" t="inlineStr">
        <is>
          <t>Conforms</t>
        </is>
      </c>
      <c r="U176" s="232" t="inlineStr">
        <is>
          <t>Conforms</t>
        </is>
      </c>
      <c r="V176" s="232" t="inlineStr">
        <is>
          <t>Conforms</t>
        </is>
      </c>
      <c r="W176" s="232" t="inlineStr">
        <is>
          <t>227-30-K-26, (11.09.2026) [FHM-K]</t>
        </is>
      </c>
      <c r="X176" s="232" t="inlineStr">
        <is>
          <t>227-30-K-26, (11.09.2026) [FHM-K]</t>
        </is>
      </c>
      <c r="Y176" s="232" t="inlineStr">
        <is>
          <t>— pending —</t>
        </is>
      </c>
      <c r="Z176" s="232" t="inlineStr">
        <is>
          <t>#8, #9, #11, #12 from the initial testing</t>
        </is>
      </c>
      <c r="AA176" s="232" t="inlineStr">
        <is>
          <t>P060052|R2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BSS1024_01/1</t>
        </is>
      </c>
      <c r="J177" s="232" t="inlineStr">
        <is>
          <t>P050122</t>
        </is>
      </c>
      <c r="K177" s="232" t="inlineStr">
        <is>
          <t>Blue Sunset Sherbet</t>
        </is>
      </c>
      <c r="L177" s="232" t="inlineStr">
        <is>
          <t>Ident A + Ident B + Foreign matter</t>
        </is>
      </c>
      <c r="M177" s="237" t="inlineStr">
        <is>
          <t>—</t>
        </is>
      </c>
      <c r="N177" s="232">
        <f>IFERROR(INDEX('CoQ Register'!$B:$B,MATCH("P050122|R2",'CoQ Register'!$S:$S,0)),"—")</f>
        <v/>
      </c>
      <c r="O177" s="237" t="inlineStr">
        <is>
          <t>—</t>
        </is>
      </c>
      <c r="P177" s="232" t="inlineStr">
        <is>
          <t>10.07.2026</t>
        </is>
      </c>
      <c r="Q177" s="232" t="inlineStr">
        <is>
          <t>04.06.2025 – 05.06.2025</t>
        </is>
      </c>
      <c r="R177" s="232" t="inlineStr">
        <is>
          <t>01.09.2025 – 09.09.2025 (the issuance plan's basis: 10.07.2025)</t>
        </is>
      </c>
      <c r="S177" s="234">
        <f>IFERROR(INDEX('CoQ Register'!$D:$D,MATCH("P050122|R2",'CoQ Register'!$S:$S,0)),"")</f>
        <v/>
      </c>
      <c r="T177" s="232" t="inlineStr">
        <is>
          <t>Conforms</t>
        </is>
      </c>
      <c r="U177" s="232" t="inlineStr">
        <is>
          <t>Conforms</t>
        </is>
      </c>
      <c r="V177" s="232" t="inlineStr">
        <is>
          <t>Conforms</t>
        </is>
      </c>
      <c r="W177" s="232" t="inlineStr">
        <is>
          <t>227-29-K-26, (11.09.2026) [FHM-K]</t>
        </is>
      </c>
      <c r="X177" s="232" t="inlineStr">
        <is>
          <t>227-29-K-26, (11.09.2026) [FHM-K]</t>
        </is>
      </c>
      <c r="Y177" s="232" t="inlineStr">
        <is>
          <t>— pending —</t>
        </is>
      </c>
      <c r="Z177" s="232" t="inlineStr">
        <is>
          <t>#8, #9, #11, #12 from the initial testing</t>
        </is>
      </c>
      <c r="AA177" s="232" t="inlineStr">
        <is>
          <t>P050122|R2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post-SOP</t>
        </is>
      </c>
      <c r="H178" s="232" t="inlineStr">
        <is>
          <t>retest 2</t>
        </is>
      </c>
      <c r="I178" s="233" t="inlineStr">
        <is>
          <t>CC112501</t>
        </is>
      </c>
      <c r="J178" s="232" t="inlineStr">
        <is>
          <t>P060272</t>
        </is>
      </c>
      <c r="K178" s="232" t="inlineStr">
        <is>
          <t>Cash Cow</t>
        </is>
      </c>
      <c r="L178" s="232" t="inlineStr">
        <is>
          <t>Ident A + Ident B + Foreign matter</t>
        </is>
      </c>
      <c r="M178" s="237" t="inlineStr">
        <is>
          <t>—</t>
        </is>
      </c>
      <c r="N178" s="232">
        <f>IFERROR(INDEX('CoQ Register'!$B:$B,MATCH("P060272|R2",'CoQ Register'!$S:$S,0)),"—")</f>
        <v/>
      </c>
      <c r="O178" s="237" t="inlineStr">
        <is>
          <t>—</t>
        </is>
      </c>
      <c r="P178" s="232" t="inlineStr">
        <is>
          <t>11.05.2027</t>
        </is>
      </c>
      <c r="Q178" s="232" t="inlineStr">
        <is>
          <t>25.03.2026</t>
        </is>
      </c>
      <c r="R178" s="232" t="inlineStr">
        <is>
          <t>18.05.2026 (the issuance plan's basis: 11.05.2026)</t>
        </is>
      </c>
      <c r="S178" s="234">
        <f>IFERROR(INDEX('CoQ Register'!$D:$D,MATCH("P060272|R2",'CoQ Register'!$S:$S,0)),"")</f>
        <v/>
      </c>
      <c r="T178" s="232" t="inlineStr">
        <is>
          <t>Conforms</t>
        </is>
      </c>
      <c r="U178" s="232" t="inlineStr">
        <is>
          <t>Conforms</t>
        </is>
      </c>
      <c r="V178" s="232" t="inlineStr">
        <is>
          <t>Conforms</t>
        </is>
      </c>
      <c r="W178" s="232" t="inlineStr">
        <is>
          <t>227-25-K-26, (11.09.2026) [FHM-K]</t>
        </is>
      </c>
      <c r="X178" s="232" t="inlineStr">
        <is>
          <t>227-25-K-26, (11.09.2026) [FHM-K]</t>
        </is>
      </c>
      <c r="Y178" s="232" t="inlineStr">
        <is>
          <t>— pending —</t>
        </is>
      </c>
      <c r="Z178" s="232" t="inlineStr">
        <is>
          <t>#8, #9, #11, #12 from the initial testing</t>
        </is>
      </c>
      <c r="AA178" s="232" t="inlineStr">
        <is>
          <t>P060272|R2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CJ052501/02</t>
        </is>
      </c>
      <c r="J179" s="232" t="inlineStr">
        <is>
          <t>P050172</t>
        </is>
      </c>
      <c r="K179" s="232" t="inlineStr">
        <is>
          <t>Cap Junky</t>
        </is>
      </c>
      <c r="L179" s="232" t="inlineStr">
        <is>
          <t>Ident A + Ident B + Foreign matter</t>
        </is>
      </c>
      <c r="M179" s="237" t="inlineStr">
        <is>
          <t>—</t>
        </is>
      </c>
      <c r="N179" s="232">
        <f>IFERROR(INDEX('CoQ Register'!$B:$B,MATCH("P050172|R2",'CoQ Register'!$S:$S,0)),"—")</f>
        <v/>
      </c>
      <c r="O179" s="237" t="inlineStr">
        <is>
          <t>—</t>
        </is>
      </c>
      <c r="P179" s="232" t="inlineStr">
        <is>
          <t>17.09.2026</t>
        </is>
      </c>
      <c r="Q179" s="232" t="inlineStr">
        <is>
          <t>20.08.2025</t>
        </is>
      </c>
      <c r="R179" s="232" t="inlineStr">
        <is>
          <t>01.10.2025 – 02.10.2025 (the issuance plan's basis: 17.09.2025)</t>
        </is>
      </c>
      <c r="S179" s="234">
        <f>IFERROR(INDEX('CoQ Register'!$D:$D,MATCH("P050172|R2",'CoQ Register'!$S:$S,0)),"")</f>
        <v/>
      </c>
      <c r="T179" s="232" t="inlineStr">
        <is>
          <t>Conforms</t>
        </is>
      </c>
      <c r="U179" s="232" t="inlineStr">
        <is>
          <t>Conforms</t>
        </is>
      </c>
      <c r="V179" s="232" t="inlineStr">
        <is>
          <t>Conforms</t>
        </is>
      </c>
      <c r="W179" s="232" t="inlineStr">
        <is>
          <t>227-28-K-26, (11.09.2026) [FHM-K]</t>
        </is>
      </c>
      <c r="X179" s="232" t="inlineStr">
        <is>
          <t>227-28-K-26, (11.09.2026) [FHM-K]</t>
        </is>
      </c>
      <c r="Y179" s="232" t="inlineStr">
        <is>
          <t>— pending —</t>
        </is>
      </c>
      <c r="Z179" s="232" t="inlineStr">
        <is>
          <t>#8, #9, #11, #12 from the initial testing</t>
        </is>
      </c>
      <c r="AA179" s="232" t="inlineStr">
        <is>
          <t>P050172|R2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legacy</t>
        </is>
      </c>
      <c r="H180" s="232" t="inlineStr">
        <is>
          <t>retest 2</t>
        </is>
      </c>
      <c r="I180" s="233" t="inlineStr">
        <is>
          <t>CJ072501</t>
        </is>
      </c>
      <c r="J180" s="232" t="inlineStr">
        <is>
          <t>P050252</t>
        </is>
      </c>
      <c r="K180" s="232" t="inlineStr">
        <is>
          <t>Cap Junky</t>
        </is>
      </c>
      <c r="L180" s="232" t="inlineStr">
        <is>
          <t>Ident A + Ident B + Foreign matter</t>
        </is>
      </c>
      <c r="M180" s="237" t="inlineStr">
        <is>
          <t>—</t>
        </is>
      </c>
      <c r="N180" s="232">
        <f>IFERROR(INDEX('CoQ Register'!$B:$B,MATCH("P050252|R2",'CoQ Register'!$S:$S,0)),"—")</f>
        <v/>
      </c>
      <c r="O180" s="237" t="inlineStr">
        <is>
          <t>—</t>
        </is>
      </c>
      <c r="P180" s="232" t="inlineStr">
        <is>
          <t>02.12.2026</t>
        </is>
      </c>
      <c r="Q180" s="232" t="inlineStr">
        <is>
          <t>27.10.2025</t>
        </is>
      </c>
      <c r="R180" s="232" t="inlineStr">
        <is>
          <t>27.11.2025 – 28.11.2025 (the issuance plan's basis: 02.12.2025)</t>
        </is>
      </c>
      <c r="S180" s="234">
        <f>IFERROR(INDEX('CoQ Register'!$D:$D,MATCH("P050252|R2",'CoQ Register'!$S:$S,0)),"")</f>
        <v/>
      </c>
      <c r="T180" s="232" t="inlineStr">
        <is>
          <t>Conforms</t>
        </is>
      </c>
      <c r="U180" s="232" t="inlineStr">
        <is>
          <t>Conforms</t>
        </is>
      </c>
      <c r="V180" s="232" t="inlineStr">
        <is>
          <t>Conforms</t>
        </is>
      </c>
      <c r="W180" s="232" t="inlineStr">
        <is>
          <t>227-27-K-26, (11.09.2026) [FHM-K]</t>
        </is>
      </c>
      <c r="X180" s="232" t="inlineStr">
        <is>
          <t>227-27-K-26, (11.09.2026) [FHM-K]</t>
        </is>
      </c>
      <c r="Y180" s="232" t="inlineStr">
        <is>
          <t>— pending —</t>
        </is>
      </c>
      <c r="Z180" s="232" t="inlineStr">
        <is>
          <t>#8, #9, #11, #12 from the initial testing</t>
        </is>
      </c>
      <c r="AA180" s="232" t="inlineStr">
        <is>
          <t>P050252|R2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legacy</t>
        </is>
      </c>
      <c r="H181" s="232" t="inlineStr">
        <is>
          <t>retest 2</t>
        </is>
      </c>
      <c r="I181" s="233" t="inlineStr">
        <is>
          <t>CJ1024</t>
        </is>
      </c>
      <c r="J181" s="232" t="inlineStr">
        <is>
          <t>N/A — no P batch assigned</t>
        </is>
      </c>
      <c r="K181" s="232" t="inlineStr">
        <is>
          <t>Cap Junky</t>
        </is>
      </c>
      <c r="L181" s="232" t="inlineStr">
        <is>
          <t>Ident A + Ident B + Foreign matter</t>
        </is>
      </c>
      <c r="M181" s="237" t="inlineStr">
        <is>
          <t>—</t>
        </is>
      </c>
      <c r="N181" s="232">
        <f>IFERROR(INDEX('CoQ Register'!$B:$B,MATCH("CJ1024|R2",'CoQ Register'!$S:$S,0)),"—")</f>
        <v/>
      </c>
      <c r="O181" s="237" t="inlineStr">
        <is>
          <t>—</t>
        </is>
      </c>
      <c r="P181" s="232" t="inlineStr">
        <is>
          <t>27.02.2026</t>
        </is>
      </c>
      <c r="Q181" s="232" t="inlineStr">
        <is>
          <t>20.01.2025</t>
        </is>
      </c>
      <c r="R181" s="232" t="inlineStr">
        <is>
          <t>03.03.2025 (the issuance plan's basis: 27.02.2025)</t>
        </is>
      </c>
      <c r="S181" s="234">
        <f>IFERROR(INDEX('CoQ Register'!$D:$D,MATCH("CJ1024|R2",'CoQ Register'!$S:$S,0)),"")</f>
        <v/>
      </c>
      <c r="T181" s="232" t="inlineStr">
        <is>
          <t>Conforms</t>
        </is>
      </c>
      <c r="U181" s="232" t="inlineStr">
        <is>
          <t>Conforms</t>
        </is>
      </c>
      <c r="V181" s="232" t="inlineStr">
        <is>
          <t>Conforms</t>
        </is>
      </c>
      <c r="W181" s="232" t="inlineStr">
        <is>
          <t>227-26-K-26, (11.09.2026) [FHM-K]</t>
        </is>
      </c>
      <c r="X181" s="232" t="inlineStr">
        <is>
          <t>227-26-K-26, (11.09.2026) [FHM-K]</t>
        </is>
      </c>
      <c r="Y181" s="232" t="inlineStr">
        <is>
          <t>— pending —</t>
        </is>
      </c>
      <c r="Z181" s="232" t="inlineStr">
        <is>
          <t>#8, #9, #11, #12 from the initial testing</t>
        </is>
      </c>
      <c r="AA181" s="232" t="inlineStr">
        <is>
          <t>CJ1024|R2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FB012603</t>
        </is>
      </c>
      <c r="J182" s="232" t="inlineStr">
        <is>
          <t>P060432</t>
        </is>
      </c>
      <c r="K182" s="232" t="inlineStr">
        <is>
          <t>Fat Bastard</t>
        </is>
      </c>
      <c r="L182" s="232" t="inlineStr">
        <is>
          <t>Ident A + Ident B + Foreign matter</t>
        </is>
      </c>
      <c r="M182" s="237" t="inlineStr">
        <is>
          <t>—</t>
        </is>
      </c>
      <c r="N182" s="232">
        <f>IFERROR(INDEX('CoQ Register'!$B:$B,MATCH("P060432|R2",'CoQ Register'!$S:$S,0)),"—")</f>
        <v/>
      </c>
      <c r="O182" s="237" t="inlineStr">
        <is>
          <t>—</t>
        </is>
      </c>
      <c r="P182" s="232" t="inlineStr">
        <is>
          <t>30.06.2027</t>
        </is>
      </c>
      <c r="Q182" s="232" t="inlineStr">
        <is>
          <t>04.05.2026</t>
        </is>
      </c>
      <c r="R182" s="232" t="inlineStr">
        <is>
          <t>15.06.2026 (the issuance plan's basis: 30.06.2026)</t>
        </is>
      </c>
      <c r="S182" s="234">
        <f>IFERROR(INDEX('CoQ Register'!$D:$D,MATCH("P060432|R2",'CoQ Register'!$S:$S,0)),"")</f>
        <v/>
      </c>
      <c r="T182" s="232" t="inlineStr">
        <is>
          <t>CNP ППК26112</t>
        </is>
      </c>
      <c r="U182" s="232" t="inlineStr">
        <is>
          <t>CNP ППК26112</t>
        </is>
      </c>
      <c r="V182" s="232" t="inlineStr">
        <is>
          <t>Conforms</t>
        </is>
      </c>
      <c r="W182" s="232" t="inlineStr">
        <is>
          <t>227-24-K-26, (11.09.2026) [FHM-K]</t>
        </is>
      </c>
      <c r="X182" s="232" t="inlineStr">
        <is>
          <t>227-24-K-26, (11.09.2026) [FHM-K]</t>
        </is>
      </c>
      <c r="Y182" s="232" t="inlineStr">
        <is>
          <t>— pending —</t>
        </is>
      </c>
      <c r="Z182" s="232" t="inlineStr">
        <is>
          <t>#8, #9, #11, #12 from the initial testing</t>
        </is>
      </c>
      <c r="AA182" s="232" t="inlineStr">
        <is>
          <t>P060432|R2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FB012603V</t>
        </is>
      </c>
      <c r="J183" s="232" t="inlineStr">
        <is>
          <t>P060392</t>
        </is>
      </c>
      <c r="K183" s="232" t="inlineStr">
        <is>
          <t>Fat Bastard</t>
        </is>
      </c>
      <c r="L183" s="232" t="inlineStr">
        <is>
          <t>Ident A + Ident B + Foreign matter</t>
        </is>
      </c>
      <c r="M183" s="237" t="inlineStr">
        <is>
          <t>—</t>
        </is>
      </c>
      <c r="N183" s="232">
        <f>IFERROR(INDEX('CoQ Register'!$B:$B,MATCH("P060392|R2",'CoQ Register'!$S:$S,0)),"—")</f>
        <v/>
      </c>
      <c r="O183" s="237" t="inlineStr">
        <is>
          <t>—</t>
        </is>
      </c>
      <c r="P183" s="232" t="inlineStr">
        <is>
          <t>30.06.2027</t>
        </is>
      </c>
      <c r="Q183" s="232" t="inlineStr">
        <is>
          <t>29.04.2026</t>
        </is>
      </c>
      <c r="R183" s="232" t="inlineStr">
        <is>
          <t>23.05.2026 (the issuance plan's basis: 30.06.2026)</t>
        </is>
      </c>
      <c r="S183" s="234">
        <f>IFERROR(INDEX('CoQ Register'!$D:$D,MATCH("P060392|R2",'CoQ Register'!$S:$S,0)),"")</f>
        <v/>
      </c>
      <c r="T183" s="232" t="inlineStr">
        <is>
          <t>CNP ППК26110</t>
        </is>
      </c>
      <c r="U183" s="232" t="inlineStr">
        <is>
          <t>CNP ППК26110</t>
        </is>
      </c>
      <c r="V183" s="232" t="inlineStr">
        <is>
          <t>Conforms</t>
        </is>
      </c>
      <c r="W183" s="232" t="inlineStr">
        <is>
          <t>227-23-K-26, (11.09.2026) [FHM-K]</t>
        </is>
      </c>
      <c r="X183" s="232" t="inlineStr">
        <is>
          <t>227-23-K-26, (11.09.2026) [FHM-K]</t>
        </is>
      </c>
      <c r="Y183" s="232" t="inlineStr">
        <is>
          <t>— pending —</t>
        </is>
      </c>
      <c r="Z183" s="232" t="inlineStr">
        <is>
          <t>#8, #9, #11, #12 from the initial testing</t>
        </is>
      </c>
      <c r="AA183" s="232" t="inlineStr">
        <is>
          <t>P060392|R2</t>
        </is>
      </c>
      <c r="AB183" s="239" t="inlineStr">
        <is>
          <t>registered — retest 2 · Tranche 3 (sampled 19–21.08.2026), tested 21.08.2026, issued 24.08.2026</t>
        </is>
      </c>
    </row>
    <row r="184">
      <c r="A184" s="232" t="n">
        <v>183</v>
      </c>
      <c r="B184" s="233" t="inlineStr">
        <is>
          <t>iCoA-PP_26-183</t>
        </is>
      </c>
      <c r="C184" s="238" t="inlineStr">
        <is>
          <t>yes</t>
        </is>
      </c>
      <c r="D184" s="234" t="n">
        <v>46258</v>
      </c>
      <c r="E184" s="234" t="n">
        <v>46255</v>
      </c>
      <c r="F184" s="234">
        <f>IFERROR(INDEX('Batch Dates'!$G:$G,MATCH(J184,'Batch Dates'!$C:$C,0)),IFERROR(INDEX('Batch Dates'!$G:$G,MATCH(I184,'Batch Dates'!$B:$B,0)),""))</f>
        <v/>
      </c>
      <c r="G184" s="232" t="inlineStr">
        <is>
          <t>post-SOP</t>
        </is>
      </c>
      <c r="H184" s="232" t="inlineStr">
        <is>
          <t>retest 2</t>
        </is>
      </c>
      <c r="I184" s="233" t="inlineStr">
        <is>
          <t>FB112501</t>
        </is>
      </c>
      <c r="J184" s="232" t="inlineStr">
        <is>
          <t>P060292</t>
        </is>
      </c>
      <c r="K184" s="232" t="inlineStr">
        <is>
          <t>Fat Bastard</t>
        </is>
      </c>
      <c r="L184" s="232" t="inlineStr">
        <is>
          <t>Ident A + Ident B + Foreign matter</t>
        </is>
      </c>
      <c r="M184" s="237" t="inlineStr">
        <is>
          <t>—</t>
        </is>
      </c>
      <c r="N184" s="232">
        <f>IFERROR(INDEX('CoQ Register'!$B:$B,MATCH("P060292|R2",'CoQ Register'!$S:$S,0)),"—")</f>
        <v/>
      </c>
      <c r="O184" s="237" t="inlineStr">
        <is>
          <t>—</t>
        </is>
      </c>
      <c r="P184" s="232" t="inlineStr">
        <is>
          <t>11.05.2027</t>
        </is>
      </c>
      <c r="Q184" s="232" t="inlineStr">
        <is>
          <t>25.03.2026</t>
        </is>
      </c>
      <c r="R184" s="232" t="inlineStr">
        <is>
          <t>19.05.2026 (the issuance plan's basis: 11.05.2026)</t>
        </is>
      </c>
      <c r="S184" s="234">
        <f>IFERROR(INDEX('CoQ Register'!$D:$D,MATCH("P060292|R2",'CoQ Register'!$S:$S,0)),"")</f>
        <v/>
      </c>
      <c r="T184" s="232" t="inlineStr">
        <is>
          <t>Conforms</t>
        </is>
      </c>
      <c r="U184" s="232" t="inlineStr">
        <is>
          <t>Conforms</t>
        </is>
      </c>
      <c r="V184" s="232" t="inlineStr">
        <is>
          <t>Conforms</t>
        </is>
      </c>
      <c r="W184" s="232" t="inlineStr">
        <is>
          <t>227-22-K-26, (11.09.2026) [FHM-K]</t>
        </is>
      </c>
      <c r="X184" s="232" t="inlineStr">
        <is>
          <t>227-22-K-26, (11.09.2026) [FHM-K]</t>
        </is>
      </c>
      <c r="Y184" s="232" t="inlineStr">
        <is>
          <t>— pending —</t>
        </is>
      </c>
      <c r="Z184" s="232" t="inlineStr">
        <is>
          <t>#8, #9, #11, #12 from the initial testing</t>
        </is>
      </c>
      <c r="AA184" s="232" t="inlineStr">
        <is>
          <t>P060292|R2</t>
        </is>
      </c>
      <c r="AB184" s="239" t="inlineStr">
        <is>
          <t>registered — retest 2 · Tranche 3 (sampled 19–21.08.2026), tested 21.08.2026, issued 24.08.2026</t>
        </is>
      </c>
    </row>
    <row r="185">
      <c r="A185" s="232" t="n">
        <v>184</v>
      </c>
      <c r="B185" s="233" t="inlineStr">
        <is>
          <t>iCoA-PP_26-184</t>
        </is>
      </c>
      <c r="C185" s="238" t="inlineStr">
        <is>
          <t>yes</t>
        </is>
      </c>
      <c r="D185" s="234" t="n">
        <v>46258</v>
      </c>
      <c r="E185" s="234" t="n">
        <v>46255</v>
      </c>
      <c r="F185" s="234">
        <f>IFERROR(INDEX('Batch Dates'!$G:$G,MATCH(J185,'Batch Dates'!$C:$C,0)),IFERROR(INDEX('Batch Dates'!$G:$G,MATCH(I185,'Batch Dates'!$B:$B,0)),""))</f>
        <v/>
      </c>
      <c r="G185" s="232" t="inlineStr">
        <is>
          <t>post-SOP</t>
        </is>
      </c>
      <c r="H185" s="232" t="inlineStr">
        <is>
          <t>retest 2</t>
        </is>
      </c>
      <c r="I185" s="233" t="inlineStr">
        <is>
          <t>GG012601＊</t>
        </is>
      </c>
      <c r="J185" s="232" t="inlineStr">
        <is>
          <t>P060302</t>
        </is>
      </c>
      <c r="K185" s="232" t="inlineStr">
        <is>
          <t>Gorilla Glue</t>
        </is>
      </c>
      <c r="L185" s="232" t="inlineStr">
        <is>
          <t>Ident A + Ident B + Foreign matter</t>
        </is>
      </c>
      <c r="M185" s="237" t="inlineStr">
        <is>
          <t>—</t>
        </is>
      </c>
      <c r="N185" s="232">
        <f>IFERROR(INDEX('CoQ Register'!$B:$B,MATCH("P060302|R2",'CoQ Register'!$S:$S,0)),"—")</f>
        <v/>
      </c>
      <c r="O185" s="237" t="inlineStr">
        <is>
          <t>—</t>
        </is>
      </c>
      <c r="P185" s="232" t="inlineStr">
        <is>
          <t>11.05.2027</t>
        </is>
      </c>
      <c r="Q185" s="232" t="inlineStr">
        <is>
          <t>27.03.2026</t>
        </is>
      </c>
      <c r="R185" s="232" t="inlineStr">
        <is>
          <t>20.05.2026 (the issuance plan's basis: 11.05.2026)</t>
        </is>
      </c>
      <c r="S185" s="234">
        <f>IFERROR(INDEX('CoQ Register'!$D:$D,MATCH("P060302|R2",'CoQ Register'!$S:$S,0)),"")</f>
        <v/>
      </c>
      <c r="T185" s="232" t="inlineStr">
        <is>
          <t>Conforms</t>
        </is>
      </c>
      <c r="U185" s="232" t="inlineStr">
        <is>
          <t>Conforms</t>
        </is>
      </c>
      <c r="V185" s="232" t="inlineStr">
        <is>
          <t>Conforms</t>
        </is>
      </c>
      <c r="W185" s="232" t="inlineStr">
        <is>
          <t>227-21-K-26, (11.09.2026) [FHM-K]</t>
        </is>
      </c>
      <c r="X185" s="232" t="inlineStr">
        <is>
          <t>227-21-K-26, (11.09.2026) [FHM-K]</t>
        </is>
      </c>
      <c r="Y185" s="232" t="inlineStr">
        <is>
          <t>— pending —</t>
        </is>
      </c>
      <c r="Z185" s="232" t="inlineStr">
        <is>
          <t>#8, #9, #11, #12 from the initial testing</t>
        </is>
      </c>
      <c r="AA185" s="232" t="inlineStr">
        <is>
          <t>P060302|R2</t>
        </is>
      </c>
      <c r="AB185" s="239" t="inlineStr">
        <is>
          <t>registered — retest 2 · Tranche 3 (sampled 19–21.08.2026), tested 21.08.2026, issued 24.08.2026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CC112501</t>
        </is>
      </c>
      <c r="J186" s="232" t="inlineStr">
        <is>
          <t>P060272</t>
        </is>
      </c>
      <c r="K186" s="232" t="inlineStr">
        <is>
          <t>Cash Cow</t>
        </is>
      </c>
      <c r="L186" s="232" t="inlineStr">
        <is>
          <t>Ident A + Ident B + Foreign matter</t>
        </is>
      </c>
      <c r="M186" s="237" t="inlineStr">
        <is>
          <t>—</t>
        </is>
      </c>
      <c r="N186" s="232">
        <f>IFERROR(INDEX('CoQ Register'!$B:$B,MATCH("P060272|R",'CoQ Register'!$S:$S,0)),"—")</f>
        <v/>
      </c>
      <c r="O186" s="237" t="inlineStr">
        <is>
          <t>—</t>
        </is>
      </c>
      <c r="P186" s="232" t="inlineStr">
        <is>
          <t>11.05.2027</t>
        </is>
      </c>
      <c r="Q186" s="232" t="inlineStr">
        <is>
          <t>25.03.2026</t>
        </is>
      </c>
      <c r="R186" s="232" t="inlineStr">
        <is>
          <t>18.05.2026 (the issuance plan's basis: 11.05.2026)</t>
        </is>
      </c>
      <c r="S186" s="234">
        <f>IFERROR(INDEX('CoQ Register'!$D:$D,MATCH("P060272|R",'CoQ Register'!$S:$S,0)),"")</f>
        <v/>
      </c>
      <c r="T186" s="232" t="inlineStr">
        <is>
          <t>Conforms</t>
        </is>
      </c>
      <c r="U186" s="232" t="inlineStr">
        <is>
          <t>Conforms</t>
        </is>
      </c>
      <c r="V186" s="232" t="inlineStr">
        <is>
          <t>Conforms</t>
        </is>
      </c>
      <c r="W186" s="232" t="inlineStr">
        <is>
          <t>227-25-K-26, (11.09.2026) [FHM-K]</t>
        </is>
      </c>
      <c r="X186" s="232" t="inlineStr">
        <is>
          <t>227-25-K-26, (11.09.2026) [FHM-K]</t>
        </is>
      </c>
      <c r="Y186" s="232" t="inlineStr">
        <is>
          <t>— pending —</t>
        </is>
      </c>
      <c r="Z186" s="232" t="inlineStr">
        <is>
          <t>#8, #9, #11, #12 from the initial testing</t>
        </is>
      </c>
      <c r="AA186" s="232" t="inlineStr">
        <is>
          <t>P060272|R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legacy</t>
        </is>
      </c>
      <c r="H187" s="232" t="inlineStr">
        <is>
          <t>retest 1</t>
        </is>
      </c>
      <c r="I187" s="233" t="inlineStr">
        <is>
          <t>CJ062501/1</t>
        </is>
      </c>
      <c r="J187" s="232" t="inlineStr">
        <is>
          <t>P050222</t>
        </is>
      </c>
      <c r="K187" s="232" t="inlineStr">
        <is>
          <t>Cap Junky</t>
        </is>
      </c>
      <c r="L187" s="232" t="inlineStr">
        <is>
          <t>Ident A + Ident B + Foreign matter</t>
        </is>
      </c>
      <c r="M187" s="237" t="inlineStr">
        <is>
          <t>—</t>
        </is>
      </c>
      <c r="N187" s="232">
        <f>IFERROR(INDEX('CoQ Register'!$B:$B,MATCH("P050222|R",'CoQ Register'!$S:$S,0)),"—")</f>
        <v/>
      </c>
      <c r="O187" s="237" t="inlineStr">
        <is>
          <t>—</t>
        </is>
      </c>
      <c r="P187" s="232" t="inlineStr">
        <is>
          <t>24.11.2026</t>
        </is>
      </c>
      <c r="Q187" s="232" t="inlineStr">
        <is>
          <t>23.09.2025</t>
        </is>
      </c>
      <c r="R187" s="232" t="inlineStr">
        <is>
          <t>24.11.2025 – 25.11.2025</t>
        </is>
      </c>
      <c r="S187" s="234">
        <f>IFERROR(INDEX('CoQ Register'!$D:$D,MATCH("P050222|R",'CoQ Register'!$S:$S,0)),"")</f>
        <v/>
      </c>
      <c r="T187" s="232" t="inlineStr">
        <is>
          <t>Conforms</t>
        </is>
      </c>
      <c r="U187" s="232" t="inlineStr">
        <is>
          <t>Conforms</t>
        </is>
      </c>
      <c r="V187" s="232" t="inlineStr">
        <is>
          <t>Conforms</t>
        </is>
      </c>
      <c r="W187" s="232" t="inlineStr">
        <is>
          <t>220-3-K-26, (25.08.2026) [FHM-K]</t>
        </is>
      </c>
      <c r="X187" s="232" t="inlineStr">
        <is>
          <t>220-3-K-26, (25.08.2026) [FHM-K]</t>
        </is>
      </c>
      <c r="Y187" s="232" t="inlineStr">
        <is>
          <t>220-3-M-26, (11.09.2026) [FHM-M]</t>
        </is>
      </c>
      <c r="Z187" s="232" t="inlineStr">
        <is>
          <t>#8, #9, #11, #12 from the initial testing</t>
        </is>
      </c>
      <c r="AA187" s="232" t="inlineStr">
        <is>
          <t>P050222|R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legacy</t>
        </is>
      </c>
      <c r="H188" s="232" t="inlineStr">
        <is>
          <t>retest 1</t>
        </is>
      </c>
      <c r="I188" s="233" t="inlineStr">
        <is>
          <t>CJ062501/2</t>
        </is>
      </c>
      <c r="J188" s="232" t="inlineStr">
        <is>
          <t>P050212</t>
        </is>
      </c>
      <c r="K188" s="232" t="inlineStr">
        <is>
          <t>Cap Junky</t>
        </is>
      </c>
      <c r="L188" s="232" t="inlineStr">
        <is>
          <t>Ident A + Ident B + Foreign matter</t>
        </is>
      </c>
      <c r="M188" s="237" t="inlineStr">
        <is>
          <t>—</t>
        </is>
      </c>
      <c r="N188" s="232">
        <f>IFERROR(INDEX('CoQ Register'!$B:$B,MATCH("P050212|R",'CoQ Register'!$S:$S,0)),"—")</f>
        <v/>
      </c>
      <c r="O188" s="237" t="inlineStr">
        <is>
          <t>—</t>
        </is>
      </c>
      <c r="P188" s="232" t="inlineStr">
        <is>
          <t>24.01.2027</t>
        </is>
      </c>
      <c r="Q188" s="232" t="inlineStr">
        <is>
          <t>23.09.2025 – 24.09.2025</t>
        </is>
      </c>
      <c r="R188" s="232" t="inlineStr">
        <is>
          <t>18.11.2025 – 24.11.2025 (the issuance plan's basis: 24.01.2026)</t>
        </is>
      </c>
      <c r="S188" s="234">
        <f>IFERROR(INDEX('CoQ Register'!$D:$D,MATCH("P050212|R",'CoQ Register'!$S:$S,0)),"")</f>
        <v/>
      </c>
      <c r="T188" s="232" t="inlineStr">
        <is>
          <t>Conforms</t>
        </is>
      </c>
      <c r="U188" s="232" t="inlineStr">
        <is>
          <t>Conforms</t>
        </is>
      </c>
      <c r="V188" s="232" t="inlineStr">
        <is>
          <t>Conforms</t>
        </is>
      </c>
      <c r="W188" s="232" t="inlineStr">
        <is>
          <t>197-4-K-26, (07.08.2026) [FHM-K]</t>
        </is>
      </c>
      <c r="X188" s="232" t="inlineStr">
        <is>
          <t>197-4-K-26, (07.08.2026) [FHM-K]</t>
        </is>
      </c>
      <c r="Y188" s="232" t="inlineStr">
        <is>
          <t>197-4-M-26, (10.08.2026) [FHM-M]</t>
        </is>
      </c>
      <c r="Z188" s="232" t="inlineStr">
        <is>
          <t>#8, #9, #11, #12 from the initial testing</t>
        </is>
      </c>
      <c r="AA188" s="232" t="inlineStr">
        <is>
          <t>P050212|R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post-SOP</t>
        </is>
      </c>
      <c r="H189" s="232" t="inlineStr">
        <is>
          <t>retest 1</t>
        </is>
      </c>
      <c r="I189" s="233" t="inlineStr">
        <is>
          <t>FB012603</t>
        </is>
      </c>
      <c r="J189" s="232" t="inlineStr">
        <is>
          <t>P060432</t>
        </is>
      </c>
      <c r="K189" s="232" t="inlineStr">
        <is>
          <t>Fat Bastard</t>
        </is>
      </c>
      <c r="L189" s="232" t="inlineStr">
        <is>
          <t>Ident A + Ident B + Foreign matter</t>
        </is>
      </c>
      <c r="M189" s="237" t="inlineStr">
        <is>
          <t>—</t>
        </is>
      </c>
      <c r="N189" s="232">
        <f>IFERROR(INDEX('CoQ Register'!$B:$B,MATCH("P060432|R",'CoQ Register'!$S:$S,0)),"—")</f>
        <v/>
      </c>
      <c r="O189" s="237" t="inlineStr">
        <is>
          <t>—</t>
        </is>
      </c>
      <c r="P189" s="232" t="inlineStr">
        <is>
          <t>30.06.2027</t>
        </is>
      </c>
      <c r="Q189" s="232" t="inlineStr">
        <is>
          <t>04.05.2026</t>
        </is>
      </c>
      <c r="R189" s="232" t="inlineStr">
        <is>
          <t>15.06.2026 (the issuance plan's basis: 30.06.2026)</t>
        </is>
      </c>
      <c r="S189" s="234">
        <f>IFERROR(INDEX('CoQ Register'!$D:$D,MATCH("P060432|R",'CoQ Register'!$S:$S,0)),"")</f>
        <v/>
      </c>
      <c r="T189" s="232" t="inlineStr">
        <is>
          <t>CNP ППК26112</t>
        </is>
      </c>
      <c r="U189" s="232" t="inlineStr">
        <is>
          <t>CNP ППК26112</t>
        </is>
      </c>
      <c r="V189" s="232" t="inlineStr">
        <is>
          <t>Conforms</t>
        </is>
      </c>
      <c r="W189" s="232" t="inlineStr">
        <is>
          <t>227-24-K-26, (11.09.2026) [FHM-K]</t>
        </is>
      </c>
      <c r="X189" s="232" t="inlineStr">
        <is>
          <t>227-24-K-26, (11.09.2026) [FHM-K]</t>
        </is>
      </c>
      <c r="Y189" s="232" t="inlineStr">
        <is>
          <t>— pending —</t>
        </is>
      </c>
      <c r="Z189" s="232" t="inlineStr">
        <is>
          <t>#8, #9, #11, #12 from the initial testing</t>
        </is>
      </c>
      <c r="AA189" s="232" t="inlineStr">
        <is>
          <t>P060432|R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post-SOP</t>
        </is>
      </c>
      <c r="H190" s="232" t="inlineStr">
        <is>
          <t>retest 1</t>
        </is>
      </c>
      <c r="I190" s="233" t="inlineStr">
        <is>
          <t>FB012603V</t>
        </is>
      </c>
      <c r="J190" s="232" t="inlineStr">
        <is>
          <t>P060392</t>
        </is>
      </c>
      <c r="K190" s="232" t="inlineStr">
        <is>
          <t>Fat Bastard</t>
        </is>
      </c>
      <c r="L190" s="232" t="inlineStr">
        <is>
          <t>Ident A + Ident B + Foreign matter</t>
        </is>
      </c>
      <c r="M190" s="237" t="inlineStr">
        <is>
          <t>—</t>
        </is>
      </c>
      <c r="N190" s="232">
        <f>IFERROR(INDEX('CoQ Register'!$B:$B,MATCH("P060392|R",'CoQ Register'!$S:$S,0)),"—")</f>
        <v/>
      </c>
      <c r="O190" s="237" t="inlineStr">
        <is>
          <t>—</t>
        </is>
      </c>
      <c r="P190" s="232" t="inlineStr">
        <is>
          <t>30.06.2027</t>
        </is>
      </c>
      <c r="Q190" s="232" t="inlineStr">
        <is>
          <t>29.04.2026</t>
        </is>
      </c>
      <c r="R190" s="232" t="inlineStr">
        <is>
          <t>23.05.2026 (the issuance plan's basis: 30.06.2026)</t>
        </is>
      </c>
      <c r="S190" s="234">
        <f>IFERROR(INDEX('CoQ Register'!$D:$D,MATCH("P060392|R",'CoQ Register'!$S:$S,0)),"")</f>
        <v/>
      </c>
      <c r="T190" s="232" t="inlineStr">
        <is>
          <t>CNP ППК26110</t>
        </is>
      </c>
      <c r="U190" s="232" t="inlineStr">
        <is>
          <t>CNP ППК26110</t>
        </is>
      </c>
      <c r="V190" s="232" t="inlineStr">
        <is>
          <t>Conforms</t>
        </is>
      </c>
      <c r="W190" s="232" t="inlineStr">
        <is>
          <t>227-23-K-26, (11.09.2026) [FHM-K]</t>
        </is>
      </c>
      <c r="X190" s="232" t="inlineStr">
        <is>
          <t>227-23-K-26, (11.09.2026) [FHM-K]</t>
        </is>
      </c>
      <c r="Y190" s="232" t="inlineStr">
        <is>
          <t>— pending —</t>
        </is>
      </c>
      <c r="Z190" s="232" t="inlineStr">
        <is>
          <t>#8, #9, #11, #12 from the initial testing</t>
        </is>
      </c>
      <c r="AA190" s="232" t="inlineStr">
        <is>
          <t>P060392|R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post-SOP</t>
        </is>
      </c>
      <c r="H191" s="232" t="inlineStr">
        <is>
          <t>retest 1</t>
        </is>
      </c>
      <c r="I191" s="233" t="inlineStr">
        <is>
          <t>FB112501</t>
        </is>
      </c>
      <c r="J191" s="232" t="inlineStr">
        <is>
          <t>P060292</t>
        </is>
      </c>
      <c r="K191" s="232" t="inlineStr">
        <is>
          <t>Fat Bastard</t>
        </is>
      </c>
      <c r="L191" s="232" t="inlineStr">
        <is>
          <t>Ident A + Ident B + Foreign matter</t>
        </is>
      </c>
      <c r="M191" s="237" t="inlineStr">
        <is>
          <t>—</t>
        </is>
      </c>
      <c r="N191" s="232">
        <f>IFERROR(INDEX('CoQ Register'!$B:$B,MATCH("P060292|R",'CoQ Register'!$S:$S,0)),"—")</f>
        <v/>
      </c>
      <c r="O191" s="237" t="inlineStr">
        <is>
          <t>—</t>
        </is>
      </c>
      <c r="P191" s="232" t="inlineStr">
        <is>
          <t>11.05.2027</t>
        </is>
      </c>
      <c r="Q191" s="232" t="inlineStr">
        <is>
          <t>25.03.2026</t>
        </is>
      </c>
      <c r="R191" s="232" t="inlineStr">
        <is>
          <t>19.05.2026 (the issuance plan's basis: 11.05.2026)</t>
        </is>
      </c>
      <c r="S191" s="234">
        <f>IFERROR(INDEX('CoQ Register'!$D:$D,MATCH("P060292|R",'CoQ Register'!$S:$S,0)),"")</f>
        <v/>
      </c>
      <c r="T191" s="232" t="inlineStr">
        <is>
          <t>Conforms</t>
        </is>
      </c>
      <c r="U191" s="232" t="inlineStr">
        <is>
          <t>Conforms</t>
        </is>
      </c>
      <c r="V191" s="232" t="inlineStr">
        <is>
          <t>Conforms</t>
        </is>
      </c>
      <c r="W191" s="232" t="inlineStr">
        <is>
          <t>227-22-K-26, (11.09.2026) [FHM-K]</t>
        </is>
      </c>
      <c r="X191" s="232" t="inlineStr">
        <is>
          <t>227-22-K-26, (11.09.2026) [FHM-K]</t>
        </is>
      </c>
      <c r="Y191" s="232" t="inlineStr">
        <is>
          <t>— pending —</t>
        </is>
      </c>
      <c r="Z191" s="232" t="inlineStr">
        <is>
          <t>#8, #9, #11, #12 from the initial testing</t>
        </is>
      </c>
      <c r="AA191" s="232" t="inlineStr">
        <is>
          <t>P060292|R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post-SOP</t>
        </is>
      </c>
      <c r="H192" s="232" t="inlineStr">
        <is>
          <t>retest 1</t>
        </is>
      </c>
      <c r="I192" s="233" t="inlineStr">
        <is>
          <t>GG012601＊</t>
        </is>
      </c>
      <c r="J192" s="232" t="inlineStr">
        <is>
          <t>P060302</t>
        </is>
      </c>
      <c r="K192" s="232" t="inlineStr">
        <is>
          <t>Gorilla Glue</t>
        </is>
      </c>
      <c r="L192" s="232" t="inlineStr">
        <is>
          <t>Ident A + Ident B + Foreign matter</t>
        </is>
      </c>
      <c r="M192" s="237" t="inlineStr">
        <is>
          <t>—</t>
        </is>
      </c>
      <c r="N192" s="232">
        <f>IFERROR(INDEX('CoQ Register'!$B:$B,MATCH("P060302|R",'CoQ Register'!$S:$S,0)),"—")</f>
        <v/>
      </c>
      <c r="O192" s="237" t="inlineStr">
        <is>
          <t>—</t>
        </is>
      </c>
      <c r="P192" s="232" t="inlineStr">
        <is>
          <t>11.05.2027</t>
        </is>
      </c>
      <c r="Q192" s="232" t="inlineStr">
        <is>
          <t>27.03.2026</t>
        </is>
      </c>
      <c r="R192" s="232" t="inlineStr">
        <is>
          <t>20.05.2026 (the issuance plan's basis: 11.05.2026)</t>
        </is>
      </c>
      <c r="S192" s="234">
        <f>IFERROR(INDEX('CoQ Register'!$D:$D,MATCH("P060302|R",'CoQ Register'!$S:$S,0)),"")</f>
        <v/>
      </c>
      <c r="T192" s="232" t="inlineStr">
        <is>
          <t>Conforms</t>
        </is>
      </c>
      <c r="U192" s="232" t="inlineStr">
        <is>
          <t>Conforms</t>
        </is>
      </c>
      <c r="V192" s="232" t="inlineStr">
        <is>
          <t>Conforms</t>
        </is>
      </c>
      <c r="W192" s="232" t="inlineStr">
        <is>
          <t>227-21-K-26, (11.09.2026) [FHM-K]</t>
        </is>
      </c>
      <c r="X192" s="232" t="inlineStr">
        <is>
          <t>227-21-K-26, (11.09.2026) [FHM-K]</t>
        </is>
      </c>
      <c r="Y192" s="232" t="inlineStr">
        <is>
          <t>— pending —</t>
        </is>
      </c>
      <c r="Z192" s="232" t="inlineStr">
        <is>
          <t>#8, #9, #11, #12 from the initial testing</t>
        </is>
      </c>
      <c r="AA192" s="232" t="inlineStr">
        <is>
          <t>P060302|R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legacy</t>
        </is>
      </c>
      <c r="H193" s="232" t="inlineStr">
        <is>
          <t>retest 1</t>
        </is>
      </c>
      <c r="I193" s="233" t="inlineStr">
        <is>
          <t>GG112501</t>
        </is>
      </c>
      <c r="J193" s="232" t="inlineStr">
        <is>
          <t>P060252</t>
        </is>
      </c>
      <c r="K193" s="232" t="inlineStr">
        <is>
          <t>Gorilla Glue</t>
        </is>
      </c>
      <c r="L193" s="232" t="inlineStr">
        <is>
          <t>Ident A + Ident B + Foreign matter</t>
        </is>
      </c>
      <c r="M193" s="237" t="inlineStr">
        <is>
          <t>—</t>
        </is>
      </c>
      <c r="N193" s="232">
        <f>IFERROR(INDEX('CoQ Register'!$B:$B,MATCH("P060252|R",'CoQ Register'!$S:$S,0)),"—")</f>
        <v/>
      </c>
      <c r="O193" s="237" t="inlineStr">
        <is>
          <t>—</t>
        </is>
      </c>
      <c r="P193" s="232" t="inlineStr">
        <is>
          <t>11.05.2027</t>
        </is>
      </c>
      <c r="Q193" s="232" t="inlineStr">
        <is>
          <t>25.03.2026</t>
        </is>
      </c>
      <c r="R193" s="232" t="inlineStr">
        <is>
          <t>05.05.2026 (the issuance plan's basis: 11.05.2026)</t>
        </is>
      </c>
      <c r="S193" s="234">
        <f>IFERROR(INDEX('CoQ Register'!$D:$D,MATCH("P060252|R",'CoQ Register'!$S:$S,0)),"")</f>
        <v/>
      </c>
      <c r="T193" s="232" t="inlineStr">
        <is>
          <t>Conforms</t>
        </is>
      </c>
      <c r="U193" s="232" t="inlineStr">
        <is>
          <t>Conforms</t>
        </is>
      </c>
      <c r="V193" s="232" t="inlineStr">
        <is>
          <t>Conforms</t>
        </is>
      </c>
      <c r="W193" s="232" t="inlineStr">
        <is>
          <t>227-20-K-26, (11.09.2026) [FHM-K]</t>
        </is>
      </c>
      <c r="X193" s="232" t="inlineStr">
        <is>
          <t>227-20-K-26, (11.09.2026) [FHM-K]</t>
        </is>
      </c>
      <c r="Y193" s="232" t="inlineStr">
        <is>
          <t>— pending —</t>
        </is>
      </c>
      <c r="Z193" s="232" t="inlineStr">
        <is>
          <t>#8, #9, #11, #12 from the initial testing</t>
        </is>
      </c>
      <c r="AA193" s="232" t="inlineStr">
        <is>
          <t>P060252|R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legacy</t>
        </is>
      </c>
      <c r="H194" s="232" t="inlineStr">
        <is>
          <t>retest 1</t>
        </is>
      </c>
      <c r="I194" s="233" t="inlineStr">
        <is>
          <t>J31112501</t>
        </is>
      </c>
      <c r="J194" s="232" t="inlineStr">
        <is>
          <t>P060202</t>
        </is>
      </c>
      <c r="K194" s="232" t="inlineStr">
        <is>
          <t>Jokerz 31</t>
        </is>
      </c>
      <c r="L194" s="232" t="inlineStr">
        <is>
          <t>Ident A + Ident B + Foreign matter</t>
        </is>
      </c>
      <c r="M194" s="237" t="inlineStr">
        <is>
          <t>—</t>
        </is>
      </c>
      <c r="N194" s="232">
        <f>IFERROR(INDEX('CoQ Register'!$B:$B,MATCH("P060202|R",'CoQ Register'!$S:$S,0)),"—")</f>
        <v/>
      </c>
      <c r="O194" s="237" t="inlineStr">
        <is>
          <t>—</t>
        </is>
      </c>
      <c r="P194" s="232" t="inlineStr">
        <is>
          <t>09.04.2027</t>
        </is>
      </c>
      <c r="Q194" s="232" t="inlineStr">
        <is>
          <t>26.01.2026</t>
        </is>
      </c>
      <c r="R194" s="232" t="inlineStr">
        <is>
          <t>17.04.2026 (the issuance plan's basis: 09.04.2026)</t>
        </is>
      </c>
      <c r="S194" s="234">
        <f>IFERROR(INDEX('CoQ Register'!$D:$D,MATCH("P060202|R",'CoQ Register'!$S:$S,0)),"")</f>
        <v/>
      </c>
      <c r="T194" s="232" t="inlineStr">
        <is>
          <t>Conforms</t>
        </is>
      </c>
      <c r="U194" s="232" t="inlineStr">
        <is>
          <t>Conforms</t>
        </is>
      </c>
      <c r="V194" s="232" t="inlineStr">
        <is>
          <t>Conforms</t>
        </is>
      </c>
      <c r="W194" s="232" t="inlineStr">
        <is>
          <t>227-14-K-26, (11.09.2026) [FHM-K]</t>
        </is>
      </c>
      <c r="X194" s="232" t="inlineStr">
        <is>
          <t>227-14-K-26, (11.09.2026) [FHM-K]</t>
        </is>
      </c>
      <c r="Y194" s="232" t="inlineStr">
        <is>
          <t>— pending —</t>
        </is>
      </c>
      <c r="Z194" s="232" t="inlineStr">
        <is>
          <t>#8, #9, #11, #12 from the initial testing</t>
        </is>
      </c>
      <c r="AA194" s="232" t="inlineStr">
        <is>
          <t>P060202|R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post-SOP</t>
        </is>
      </c>
      <c r="H195" s="232" t="inlineStr">
        <is>
          <t>retest 1</t>
        </is>
      </c>
      <c r="I195" s="233" t="inlineStr">
        <is>
          <t>J31122501</t>
        </is>
      </c>
      <c r="J195" s="232" t="inlineStr">
        <is>
          <t>P060262</t>
        </is>
      </c>
      <c r="K195" s="232" t="inlineStr">
        <is>
          <t>Jokerz 31</t>
        </is>
      </c>
      <c r="L195" s="232" t="inlineStr">
        <is>
          <t>Ident A + Ident B + Foreign matter</t>
        </is>
      </c>
      <c r="M195" s="237" t="inlineStr">
        <is>
          <t>—</t>
        </is>
      </c>
      <c r="N195" s="232">
        <f>IFERROR(INDEX('CoQ Register'!$B:$B,MATCH("P060262|R",'CoQ Register'!$S:$S,0)),"—")</f>
        <v/>
      </c>
      <c r="O195" s="237" t="inlineStr">
        <is>
          <t>—</t>
        </is>
      </c>
      <c r="P195" s="232" t="inlineStr">
        <is>
          <t>23.04.2027</t>
        </is>
      </c>
      <c r="Q195" s="232" t="inlineStr">
        <is>
          <t>04.03.2026</t>
        </is>
      </c>
      <c r="R195" s="232" t="inlineStr">
        <is>
          <t>14.05.2026 (the issuance plan's basis: 23.04.2026)</t>
        </is>
      </c>
      <c r="S195" s="234">
        <f>IFERROR(INDEX('CoQ Register'!$D:$D,MATCH("P060262|R",'CoQ Register'!$S:$S,0)),"")</f>
        <v/>
      </c>
      <c r="T195" s="232" t="inlineStr">
        <is>
          <t>Conforms</t>
        </is>
      </c>
      <c r="U195" s="232" t="inlineStr">
        <is>
          <t>Conforms</t>
        </is>
      </c>
      <c r="V195" s="232" t="inlineStr">
        <is>
          <t>Conforms</t>
        </is>
      </c>
      <c r="W195" s="232" t="inlineStr">
        <is>
          <t>— retest assay not yet on file —</t>
        </is>
      </c>
      <c r="X195" s="232" t="inlineStr">
        <is>
          <t>— pending —</t>
        </is>
      </c>
      <c r="Y195" s="232" t="inlineStr">
        <is>
          <t>— pending —</t>
        </is>
      </c>
      <c r="Z195" s="232" t="inlineStr">
        <is>
          <t>#8, #9, #11, #12 from the initial testing</t>
        </is>
      </c>
      <c r="AA195" s="232" t="inlineStr">
        <is>
          <t>P060262|R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post-SOP</t>
        </is>
      </c>
      <c r="H196" s="232" t="inlineStr">
        <is>
          <t>retest 1</t>
        </is>
      </c>
      <c r="I196" s="233" t="inlineStr">
        <is>
          <t>JD012601＊</t>
        </is>
      </c>
      <c r="J196" s="232" t="inlineStr">
        <is>
          <t>P060312</t>
        </is>
      </c>
      <c r="K196" s="232" t="inlineStr">
        <is>
          <t>Jelly Donutz</t>
        </is>
      </c>
      <c r="L196" s="232" t="inlineStr">
        <is>
          <t>Ident A + Ident B + Foreign matter</t>
        </is>
      </c>
      <c r="M196" s="237" t="inlineStr">
        <is>
          <t>—</t>
        </is>
      </c>
      <c r="N196" s="232">
        <f>IFERROR(INDEX('CoQ Register'!$B:$B,MATCH("P060312|R",'CoQ Register'!$S:$S,0)),"—")</f>
        <v/>
      </c>
      <c r="O196" s="237" t="inlineStr">
        <is>
          <t>—</t>
        </is>
      </c>
      <c r="P196" s="232" t="inlineStr">
        <is>
          <t>11.05.2027</t>
        </is>
      </c>
      <c r="Q196" s="232" t="inlineStr">
        <is>
          <t>27.03.2026</t>
        </is>
      </c>
      <c r="R196" s="232" t="inlineStr">
        <is>
          <t>21.05.2026 (the issuance plan's basis: 11.05.2026)</t>
        </is>
      </c>
      <c r="S196" s="234">
        <f>IFERROR(INDEX('CoQ Register'!$D:$D,MATCH("P060312|R",'CoQ Register'!$S:$S,0)),"")</f>
        <v/>
      </c>
      <c r="T196" s="232" t="inlineStr">
        <is>
          <t>Conforms</t>
        </is>
      </c>
      <c r="U196" s="232" t="inlineStr">
        <is>
          <t>Conforms</t>
        </is>
      </c>
      <c r="V196" s="232" t="inlineStr">
        <is>
          <t>Conforms</t>
        </is>
      </c>
      <c r="W196" s="232" t="inlineStr">
        <is>
          <t>227-15-K-26, (11.09.2026) [FHM-K]</t>
        </is>
      </c>
      <c r="X196" s="232" t="inlineStr">
        <is>
          <t>227-15-K-26, (11.09.2026) [FHM-K]</t>
        </is>
      </c>
      <c r="Y196" s="232" t="inlineStr">
        <is>
          <t>— pending —</t>
        </is>
      </c>
      <c r="Z196" s="232" t="inlineStr">
        <is>
          <t>#8, #9, #11, #12 from the initial testing</t>
        </is>
      </c>
      <c r="AA196" s="232" t="inlineStr">
        <is>
          <t>P060312|R</t>
        </is>
      </c>
      <c r="AB196" s="239" t="inlineStr">
        <is>
          <t>registered — retest 1, issued 31.08.2026</t>
        </is>
      </c>
    </row>
    <row r="197">
      <c r="A197" s="232" t="n">
        <v>196</v>
      </c>
      <c r="B197" s="233" t="inlineStr">
        <is>
          <t>iCoA-PP_26-196</t>
        </is>
      </c>
      <c r="C197" s="238" t="inlineStr">
        <is>
          <t>yes</t>
        </is>
      </c>
      <c r="D197" s="234" t="n">
        <v>46265</v>
      </c>
      <c r="E197" s="234" t="n">
        <v>46265</v>
      </c>
      <c r="F197" s="234">
        <f>IFERROR(INDEX('Batch Dates'!$G:$G,MATCH(J197,'Batch Dates'!$C:$C,0)),IFERROR(INDEX('Batch Dates'!$G:$G,MATCH(I197,'Batch Dates'!$B:$B,0)),""))</f>
        <v/>
      </c>
      <c r="G197" s="232" t="inlineStr">
        <is>
          <t>legacy</t>
        </is>
      </c>
      <c r="H197" s="232" t="inlineStr">
        <is>
          <t>retest 1</t>
        </is>
      </c>
      <c r="I197" s="233" t="inlineStr">
        <is>
          <t>OPM112501</t>
        </is>
      </c>
      <c r="J197" s="232" t="inlineStr">
        <is>
          <t>P060222</t>
        </is>
      </c>
      <c r="K197" s="232" t="inlineStr">
        <is>
          <t>Orange Punch Mimosa</t>
        </is>
      </c>
      <c r="L197" s="232" t="inlineStr">
        <is>
          <t>Ident A + Ident B + Foreign matter</t>
        </is>
      </c>
      <c r="M197" s="237" t="inlineStr">
        <is>
          <t>—</t>
        </is>
      </c>
      <c r="N197" s="232">
        <f>IFERROR(INDEX('CoQ Register'!$B:$B,MATCH("P060222|R",'CoQ Register'!$S:$S,0)),"—")</f>
        <v/>
      </c>
      <c r="O197" s="237" t="inlineStr">
        <is>
          <t>—</t>
        </is>
      </c>
      <c r="P197" s="232" t="inlineStr">
        <is>
          <t>05.03.2027</t>
        </is>
      </c>
      <c r="Q197" s="232" t="inlineStr">
        <is>
          <t>05.02.2026</t>
        </is>
      </c>
      <c r="R197" s="232" t="inlineStr">
        <is>
          <t>24.04.2026 (the issuance plan's basis: 05.03.2026)</t>
        </is>
      </c>
      <c r="S197" s="234">
        <f>IFERROR(INDEX('CoQ Register'!$D:$D,MATCH("P060222|R",'CoQ Register'!$S:$S,0)),"")</f>
        <v/>
      </c>
      <c r="T197" s="232" t="inlineStr">
        <is>
          <t>Conforms</t>
        </is>
      </c>
      <c r="U197" s="232" t="inlineStr">
        <is>
          <t>Conforms</t>
        </is>
      </c>
      <c r="V197" s="232" t="inlineStr">
        <is>
          <t>Conforms</t>
        </is>
      </c>
      <c r="W197" s="232" t="inlineStr">
        <is>
          <t>227-10-K-26, (11.09.2026) [FHM-K]</t>
        </is>
      </c>
      <c r="X197" s="232" t="inlineStr">
        <is>
          <t>227-10-K-26, (11.09.2026) [FHM-K]</t>
        </is>
      </c>
      <c r="Y197" s="232" t="inlineStr">
        <is>
          <t>— pending —</t>
        </is>
      </c>
      <c r="Z197" s="232" t="inlineStr">
        <is>
          <t>#8, #9, #11, #12 from the initial testing</t>
        </is>
      </c>
      <c r="AA197" s="232" t="inlineStr">
        <is>
          <t>P060222|R</t>
        </is>
      </c>
      <c r="AB197" s="239" t="inlineStr">
        <is>
          <t>registered — retest 1, issued 31.08.2026</t>
        </is>
      </c>
    </row>
    <row r="198">
      <c r="A198" s="232" t="n">
        <v>197</v>
      </c>
      <c r="B198" s="233" t="inlineStr">
        <is>
          <t>iCoA-PP_26-197</t>
        </is>
      </c>
      <c r="C198" s="238" t="inlineStr">
        <is>
          <t>yes</t>
        </is>
      </c>
      <c r="D198" s="234" t="n">
        <v>46265</v>
      </c>
      <c r="E198" s="234" t="n">
        <v>46265</v>
      </c>
      <c r="F198" s="234">
        <f>IFERROR(INDEX('Batch Dates'!$G:$G,MATCH(J198,'Batch Dates'!$C:$C,0)),IFERROR(INDEX('Batch Dates'!$G:$G,MATCH(I198,'Batch Dates'!$B:$B,0)),""))</f>
        <v/>
      </c>
      <c r="G198" s="232" t="inlineStr">
        <is>
          <t>post-SOP</t>
        </is>
      </c>
      <c r="H198" s="232" t="inlineStr">
        <is>
          <t>retest 1</t>
        </is>
      </c>
      <c r="I198" s="233" t="inlineStr">
        <is>
          <t>SCR012601*</t>
        </is>
      </c>
      <c r="J198" s="232" t="inlineStr">
        <is>
          <t>P060342</t>
        </is>
      </c>
      <c r="K198" s="232" t="inlineStr">
        <is>
          <t>Scrambler</t>
        </is>
      </c>
      <c r="L198" s="232" t="inlineStr">
        <is>
          <t>Ident A + Ident B + Foreign matter</t>
        </is>
      </c>
      <c r="M198" s="237" t="inlineStr">
        <is>
          <t>—</t>
        </is>
      </c>
      <c r="N198" s="232">
        <f>IFERROR(INDEX('CoQ Register'!$B:$B,MATCH("P060342|R",'CoQ Register'!$S:$S,0)),"—")</f>
        <v/>
      </c>
      <c r="O198" s="237" t="inlineStr">
        <is>
          <t>—</t>
        </is>
      </c>
      <c r="P198" s="232" t="inlineStr">
        <is>
          <t>25.05.2027</t>
        </is>
      </c>
      <c r="Q198" s="232" t="inlineStr">
        <is>
          <t>16.04.2026</t>
        </is>
      </c>
      <c r="R198" s="232" t="inlineStr">
        <is>
          <t>25.05.2026</t>
        </is>
      </c>
      <c r="S198" s="234">
        <f>IFERROR(INDEX('CoQ Register'!$D:$D,MATCH("P060342|R",'CoQ Register'!$S:$S,0)),"")</f>
        <v/>
      </c>
      <c r="T198" s="232" t="inlineStr">
        <is>
          <t>Conforms</t>
        </is>
      </c>
      <c r="U198" s="232" t="inlineStr">
        <is>
          <t>Conforms</t>
        </is>
      </c>
      <c r="V198" s="232" t="inlineStr">
        <is>
          <t>Conforms</t>
        </is>
      </c>
      <c r="W198" s="232" t="inlineStr">
        <is>
          <t>227-8-K-26, (11.09.2026) [FHM-K]</t>
        </is>
      </c>
      <c r="X198" s="232" t="inlineStr">
        <is>
          <t>227-8-K-26, (11.09.2026) [FHM-K]</t>
        </is>
      </c>
      <c r="Y198" s="232" t="inlineStr">
        <is>
          <t>— pending —</t>
        </is>
      </c>
      <c r="Z198" s="232" t="inlineStr">
        <is>
          <t>#8, #9, #11, #12 from the initial testing</t>
        </is>
      </c>
      <c r="AA198" s="232" t="inlineStr">
        <is>
          <t>P060342|R</t>
        </is>
      </c>
      <c r="AB198" s="239" t="inlineStr">
        <is>
          <t>registered — retest 1, issued 31.08.2026</t>
        </is>
      </c>
    </row>
    <row r="199">
      <c r="A199" s="232" t="n">
        <v>198</v>
      </c>
      <c r="B199" s="233" t="inlineStr">
        <is>
          <t>iCoA-PP_26-198</t>
        </is>
      </c>
      <c r="C199" s="238" t="inlineStr">
        <is>
          <t>yes</t>
        </is>
      </c>
      <c r="D199" s="234" t="n">
        <v>46265</v>
      </c>
      <c r="E199" s="234" t="n">
        <v>46265</v>
      </c>
      <c r="F199" s="234">
        <f>IFERROR(INDEX('Batch Dates'!$G:$G,MATCH(J199,'Batch Dates'!$C:$C,0)),IFERROR(INDEX('Batch Dates'!$G:$G,MATCH(I199,'Batch Dates'!$B:$B,0)),""))</f>
        <v/>
      </c>
      <c r="G199" s="232" t="inlineStr">
        <is>
          <t>post-SOP</t>
        </is>
      </c>
      <c r="H199" s="232" t="inlineStr">
        <is>
          <t>retest 1</t>
        </is>
      </c>
      <c r="I199" s="233" t="inlineStr">
        <is>
          <t>SCR022601</t>
        </is>
      </c>
      <c r="J199" s="232" t="inlineStr">
        <is>
          <t>P060442</t>
        </is>
      </c>
      <c r="K199" s="232" t="inlineStr">
        <is>
          <t>Scrambler</t>
        </is>
      </c>
      <c r="L199" s="232" t="inlineStr">
        <is>
          <t>Ident A + Ident B + Foreign matter</t>
        </is>
      </c>
      <c r="M199" s="237" t="inlineStr">
        <is>
          <t>—</t>
        </is>
      </c>
      <c r="N199" s="232">
        <f>IFERROR(INDEX('CoQ Register'!$B:$B,MATCH("P060442|R",'CoQ Register'!$S:$S,0)),"—")</f>
        <v/>
      </c>
      <c r="O199" s="237" t="inlineStr">
        <is>
          <t>—</t>
        </is>
      </c>
      <c r="P199" s="232" t="inlineStr">
        <is>
          <t>06.07.2027</t>
        </is>
      </c>
      <c r="Q199" s="232" t="inlineStr">
        <is>
          <t>13.05.2026</t>
        </is>
      </c>
      <c r="R199" s="232" t="inlineStr">
        <is>
          <t>18.06.2026 (the issuance plan's basis: 06.07.2026)</t>
        </is>
      </c>
      <c r="S199" s="234">
        <f>IFERROR(INDEX('CoQ Register'!$D:$D,MATCH("P060442|R",'CoQ Register'!$S:$S,0)),"")</f>
        <v/>
      </c>
      <c r="T199" s="232" t="inlineStr">
        <is>
          <t>CNP ППК26116</t>
        </is>
      </c>
      <c r="U199" s="232" t="inlineStr">
        <is>
          <t>CNP ППК26116</t>
        </is>
      </c>
      <c r="V199" s="232" t="inlineStr">
        <is>
          <t>Conforms</t>
        </is>
      </c>
      <c r="W199" s="232" t="inlineStr">
        <is>
          <t>227-7-K-26, (11.09.2026) [FHM-K]</t>
        </is>
      </c>
      <c r="X199" s="232" t="inlineStr">
        <is>
          <t>227-7-K-26, (11.09.2026) [FHM-K]</t>
        </is>
      </c>
      <c r="Y199" s="232" t="inlineStr">
        <is>
          <t>— pending —</t>
        </is>
      </c>
      <c r="Z199" s="232" t="inlineStr">
        <is>
          <t>#8, #9, #11, #12 from the initial testing</t>
        </is>
      </c>
      <c r="AA199" s="232" t="inlineStr">
        <is>
          <t>P060442|R</t>
        </is>
      </c>
      <c r="AB199" s="239" t="inlineStr">
        <is>
          <t>registered — retest 1, issued 31.08.2026</t>
        </is>
      </c>
    </row>
    <row r="200">
      <c r="A200" s="232" t="n">
        <v>199</v>
      </c>
      <c r="B200" s="233" t="inlineStr">
        <is>
          <t>iCoA-PP_26-199</t>
        </is>
      </c>
      <c r="C200" s="238" t="inlineStr">
        <is>
          <t>yes</t>
        </is>
      </c>
      <c r="D200" s="234" t="n">
        <v>46265</v>
      </c>
      <c r="E200" s="234" t="n">
        <v>46265</v>
      </c>
      <c r="F200" s="234">
        <f>IFERROR(INDEX('Batch Dates'!$G:$G,MATCH(J200,'Batch Dates'!$C:$C,0)),IFERROR(INDEX('Batch Dates'!$G:$G,MATCH(I200,'Batch Dates'!$B:$B,0)),""))</f>
        <v/>
      </c>
      <c r="G200" s="232" t="inlineStr">
        <is>
          <t>legacy</t>
        </is>
      </c>
      <c r="H200" s="232" t="inlineStr">
        <is>
          <t>retest 1</t>
        </is>
      </c>
      <c r="I200" s="233" t="inlineStr">
        <is>
          <t>SJ102501</t>
        </is>
      </c>
      <c r="J200" s="232" t="inlineStr">
        <is>
          <t>P060162</t>
        </is>
      </c>
      <c r="K200" s="232" t="inlineStr">
        <is>
          <t>Sleepy Joy</t>
        </is>
      </c>
      <c r="L200" s="232" t="inlineStr">
        <is>
          <t>Ident A + Ident B + Foreign matter</t>
        </is>
      </c>
      <c r="M200" s="237" t="inlineStr">
        <is>
          <t>—</t>
        </is>
      </c>
      <c r="N200" s="232">
        <f>IFERROR(INDEX('CoQ Register'!$B:$B,MATCH("P060162|R",'CoQ Register'!$S:$S,0)),"—")</f>
        <v/>
      </c>
      <c r="O200" s="237" t="inlineStr">
        <is>
          <t>—</t>
        </is>
      </c>
      <c r="P200" s="232" t="inlineStr">
        <is>
          <t>04.03.2027</t>
        </is>
      </c>
      <c r="Q200" s="232" t="inlineStr">
        <is>
          <t>20.01.2026</t>
        </is>
      </c>
      <c r="R200" s="232" t="inlineStr">
        <is>
          <t>09.03.2026 (the issuance plan's basis: 04.03.2026)</t>
        </is>
      </c>
      <c r="S200" s="234">
        <f>IFERROR(INDEX('CoQ Register'!$D:$D,MATCH("P060162|R",'CoQ Register'!$S:$S,0)),"")</f>
        <v/>
      </c>
      <c r="T200" s="232" t="inlineStr">
        <is>
          <t>Conforms</t>
        </is>
      </c>
      <c r="U200" s="232" t="inlineStr">
        <is>
          <t>Conforms</t>
        </is>
      </c>
      <c r="V200" s="232" t="inlineStr">
        <is>
          <t>Conforms</t>
        </is>
      </c>
      <c r="W200" s="232" t="inlineStr">
        <is>
          <t>227-6-K-26, (11.09.2026) [FHM-K]</t>
        </is>
      </c>
      <c r="X200" s="232" t="inlineStr">
        <is>
          <t>227-6-K-26, (11.09.2026) [FHM-K]</t>
        </is>
      </c>
      <c r="Y200" s="232" t="inlineStr">
        <is>
          <t>— pending —</t>
        </is>
      </c>
      <c r="Z200" s="232" t="inlineStr">
        <is>
          <t>#8, #9, #11, #12 from the initial testing</t>
        </is>
      </c>
      <c r="AA200" s="232" t="inlineStr">
        <is>
          <t>P060162|R</t>
        </is>
      </c>
      <c r="AB200" s="239" t="inlineStr">
        <is>
          <t>registered — retest 1, issued 31.08.2026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AB092501</t>
        </is>
      </c>
      <c r="J201" s="232" t="inlineStr">
        <is>
          <t>P060052</t>
        </is>
      </c>
      <c r="K201" s="232" t="inlineStr">
        <is>
          <t>Apple and Banana</t>
        </is>
      </c>
      <c r="L201" s="232" t="inlineStr">
        <is>
          <t>Ident A + Ident B + Foreign matter</t>
        </is>
      </c>
      <c r="M201" s="237" t="inlineStr">
        <is>
          <t>—</t>
        </is>
      </c>
      <c r="N201" s="232">
        <f>IFERROR(INDEX('CoQ Register'!$B:$B,MATCH("P060052|R",'CoQ Register'!$S:$S,0)),"—")</f>
        <v/>
      </c>
      <c r="O201" s="237" t="inlineStr">
        <is>
          <t>—</t>
        </is>
      </c>
      <c r="P201" s="232" t="inlineStr">
        <is>
          <t>20.02.2027</t>
        </is>
      </c>
      <c r="Q201" s="232" t="inlineStr">
        <is>
          <t>11.12.2025</t>
        </is>
      </c>
      <c r="R201" s="232" t="inlineStr">
        <is>
          <t>30.01.2026 (the issuance plan's basis: 20.02.2026)</t>
        </is>
      </c>
      <c r="S201" s="234">
        <f>IFERROR(INDEX('CoQ Register'!$D:$D,MATCH("P060052|R",'CoQ Register'!$S:$S,0)),"")</f>
        <v/>
      </c>
      <c r="T201" s="232" t="inlineStr">
        <is>
          <t>Conforms</t>
        </is>
      </c>
      <c r="U201" s="232" t="inlineStr">
        <is>
          <t>Conforms</t>
        </is>
      </c>
      <c r="V201" s="232" t="inlineStr">
        <is>
          <t>Conforms</t>
        </is>
      </c>
      <c r="W201" s="232" t="inlineStr">
        <is>
          <t>227-30-K-26, (11.09.2026) [FHM-K]</t>
        </is>
      </c>
      <c r="X201" s="232" t="inlineStr">
        <is>
          <t>227-30-K-26, (11.09.2026) [FHM-K]</t>
        </is>
      </c>
      <c r="Y201" s="232" t="inlineStr">
        <is>
          <t>— pending —</t>
        </is>
      </c>
      <c r="Z201" s="232" t="inlineStr">
        <is>
          <t>#8, #9, #11, #12 from the initial testing</t>
        </is>
      </c>
      <c r="AA201" s="232" t="inlineStr">
        <is>
          <t>P060052|R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BSS1024_01/1</t>
        </is>
      </c>
      <c r="J202" s="232" t="inlineStr">
        <is>
          <t>P050122</t>
        </is>
      </c>
      <c r="K202" s="232" t="inlineStr">
        <is>
          <t>Blue Sunset Sherbet</t>
        </is>
      </c>
      <c r="L202" s="232" t="inlineStr">
        <is>
          <t>Ident A + Ident B + Foreign matter</t>
        </is>
      </c>
      <c r="M202" s="237" t="inlineStr">
        <is>
          <t>—</t>
        </is>
      </c>
      <c r="N202" s="232">
        <f>IFERROR(INDEX('CoQ Register'!$B:$B,MATCH("P050122|R",'CoQ Register'!$S:$S,0)),"—")</f>
        <v/>
      </c>
      <c r="O202" s="237" t="inlineStr">
        <is>
          <t>—</t>
        </is>
      </c>
      <c r="P202" s="232" t="inlineStr">
        <is>
          <t>10.07.2026</t>
        </is>
      </c>
      <c r="Q202" s="232" t="inlineStr">
        <is>
          <t>04.06.2025 – 05.06.2025</t>
        </is>
      </c>
      <c r="R202" s="232" t="inlineStr">
        <is>
          <t>01.09.2025 – 09.09.2025 (the issuance plan's basis: 10.07.2025)</t>
        </is>
      </c>
      <c r="S202" s="234">
        <f>IFERROR(INDEX('CoQ Register'!$D:$D,MATCH("P050122|R",'CoQ Register'!$S:$S,0)),"")</f>
        <v/>
      </c>
      <c r="T202" s="232" t="inlineStr">
        <is>
          <t>Conforms</t>
        </is>
      </c>
      <c r="U202" s="232" t="inlineStr">
        <is>
          <t>Conforms</t>
        </is>
      </c>
      <c r="V202" s="232" t="inlineStr">
        <is>
          <t>Conforms</t>
        </is>
      </c>
      <c r="W202" s="232" t="inlineStr">
        <is>
          <t>227-29-K-26, (11.09.2026) [FHM-K]</t>
        </is>
      </c>
      <c r="X202" s="232" t="inlineStr">
        <is>
          <t>227-29-K-26, (11.09.2026) [FHM-K]</t>
        </is>
      </c>
      <c r="Y202" s="232" t="inlineStr">
        <is>
          <t>— pending —</t>
        </is>
      </c>
      <c r="Z202" s="232" t="inlineStr">
        <is>
          <t>#8, #9, #11, #12 from the initial testing</t>
        </is>
      </c>
      <c r="AA202" s="232" t="inlineStr">
        <is>
          <t>P050122|R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BSS1024_01/2</t>
        </is>
      </c>
      <c r="J203" s="232" t="inlineStr">
        <is>
          <t>P050142</t>
        </is>
      </c>
      <c r="K203" s="232" t="inlineStr">
        <is>
          <t>Blue Sunset Sherbet</t>
        </is>
      </c>
      <c r="L203" s="232" t="inlineStr">
        <is>
          <t>Ident A + Ident B + Foreign matter</t>
        </is>
      </c>
      <c r="M203" s="237" t="inlineStr">
        <is>
          <t>—</t>
        </is>
      </c>
      <c r="N203" s="232">
        <f>IFERROR(INDEX('CoQ Register'!$B:$B,MATCH("P050142|R",'CoQ Register'!$S:$S,0)),"—")</f>
        <v/>
      </c>
      <c r="O203" s="237" t="inlineStr">
        <is>
          <t>—</t>
        </is>
      </c>
      <c r="P203" s="232" t="inlineStr">
        <is>
          <t>30.09.2026</t>
        </is>
      </c>
      <c r="Q203" s="232" t="inlineStr">
        <is>
          <t>— not given —</t>
        </is>
      </c>
      <c r="R203" s="232" t="inlineStr">
        <is>
          <t>30.09.2025</t>
        </is>
      </c>
      <c r="S203" s="234">
        <f>IFERROR(INDEX('CoQ Register'!$D:$D,MATCH("P050142|R",'CoQ Register'!$S:$S,0)),"")</f>
        <v/>
      </c>
      <c r="T203" s="232" t="inlineStr">
        <is>
          <t>Conforms</t>
        </is>
      </c>
      <c r="U203" s="232" t="inlineStr">
        <is>
          <t>Conforms</t>
        </is>
      </c>
      <c r="V203" s="232" t="inlineStr">
        <is>
          <t>Conforms</t>
        </is>
      </c>
      <c r="W203" s="232" t="inlineStr">
        <is>
          <t>227-1-K-26, (11.09.2026) [FHM-K]</t>
        </is>
      </c>
      <c r="X203" s="232" t="inlineStr">
        <is>
          <t>227-1-K-26, (11.09.2026) [FHM-K]</t>
        </is>
      </c>
      <c r="Y203" s="232" t="inlineStr">
        <is>
          <t>— pending —</t>
        </is>
      </c>
      <c r="Z203" s="232" t="inlineStr">
        <is>
          <t>#8, #9, #11, #12 from the initial testing</t>
        </is>
      </c>
      <c r="AA203" s="232" t="inlineStr">
        <is>
          <t>P050142|R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1</t>
        </is>
      </c>
      <c r="I204" s="233" t="inlineStr">
        <is>
          <t>CJ052501/02</t>
        </is>
      </c>
      <c r="J204" s="232" t="inlineStr">
        <is>
          <t>P050172</t>
        </is>
      </c>
      <c r="K204" s="232" t="inlineStr">
        <is>
          <t>Cap Junky</t>
        </is>
      </c>
      <c r="L204" s="232" t="inlineStr">
        <is>
          <t>Ident A + Ident B + Foreign matter</t>
        </is>
      </c>
      <c r="M204" s="237" t="inlineStr">
        <is>
          <t>—</t>
        </is>
      </c>
      <c r="N204" s="232">
        <f>IFERROR(INDEX('CoQ Register'!$B:$B,MATCH("P050172|R",'CoQ Register'!$S:$S,0)),"—")</f>
        <v/>
      </c>
      <c r="O204" s="237" t="inlineStr">
        <is>
          <t>—</t>
        </is>
      </c>
      <c r="P204" s="232" t="inlineStr">
        <is>
          <t>17.09.2026</t>
        </is>
      </c>
      <c r="Q204" s="232" t="inlineStr">
        <is>
          <t>20.08.2025</t>
        </is>
      </c>
      <c r="R204" s="232" t="inlineStr">
        <is>
          <t>01.10.2025 – 02.10.2025 (the issuance plan's basis: 17.09.2025)</t>
        </is>
      </c>
      <c r="S204" s="234">
        <f>IFERROR(INDEX('CoQ Register'!$D:$D,MATCH("P050172|R",'CoQ Register'!$S:$S,0)),"")</f>
        <v/>
      </c>
      <c r="T204" s="232" t="inlineStr">
        <is>
          <t>Conforms</t>
        </is>
      </c>
      <c r="U204" s="232" t="inlineStr">
        <is>
          <t>Conforms</t>
        </is>
      </c>
      <c r="V204" s="232" t="inlineStr">
        <is>
          <t>Conforms</t>
        </is>
      </c>
      <c r="W204" s="232" t="inlineStr">
        <is>
          <t>227-28-K-26, (11.09.2026) [FHM-K]</t>
        </is>
      </c>
      <c r="X204" s="232" t="inlineStr">
        <is>
          <t>227-28-K-26, (11.09.2026) [FHM-K]</t>
        </is>
      </c>
      <c r="Y204" s="232" t="inlineStr">
        <is>
          <t>— pending —</t>
        </is>
      </c>
      <c r="Z204" s="232" t="inlineStr">
        <is>
          <t>#8, #9, #11, #12 from the initial testing</t>
        </is>
      </c>
      <c r="AA204" s="232" t="inlineStr">
        <is>
          <t>P050172|R</t>
        </is>
      </c>
      <c r="AB204" s="239" t="inlineStr">
        <is>
          <t>registered — retest 1,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CJ072501</t>
        </is>
      </c>
      <c r="J205" s="232" t="inlineStr">
        <is>
          <t>P050252</t>
        </is>
      </c>
      <c r="K205" s="232" t="inlineStr">
        <is>
          <t>Cap Junky</t>
        </is>
      </c>
      <c r="L205" s="232" t="inlineStr">
        <is>
          <t>Ident A + Ident B + Foreign matter</t>
        </is>
      </c>
      <c r="M205" s="237" t="inlineStr">
        <is>
          <t>—</t>
        </is>
      </c>
      <c r="N205" s="232">
        <f>IFERROR(INDEX('CoQ Register'!$B:$B,MATCH("P050252|R",'CoQ Register'!$S:$S,0)),"—")</f>
        <v/>
      </c>
      <c r="O205" s="237" t="inlineStr">
        <is>
          <t>—</t>
        </is>
      </c>
      <c r="P205" s="232" t="inlineStr">
        <is>
          <t>02.12.2026</t>
        </is>
      </c>
      <c r="Q205" s="232" t="inlineStr">
        <is>
          <t>27.10.2025</t>
        </is>
      </c>
      <c r="R205" s="232" t="inlineStr">
        <is>
          <t>27.11.2025 – 28.11.2025 (the issuance plan's basis: 02.12.2025)</t>
        </is>
      </c>
      <c r="S205" s="234">
        <f>IFERROR(INDEX('CoQ Register'!$D:$D,MATCH("P050252|R",'CoQ Register'!$S:$S,0)),"")</f>
        <v/>
      </c>
      <c r="T205" s="232" t="inlineStr">
        <is>
          <t>Conforms</t>
        </is>
      </c>
      <c r="U205" s="232" t="inlineStr">
        <is>
          <t>Conforms</t>
        </is>
      </c>
      <c r="V205" s="232" t="inlineStr">
        <is>
          <t>Conforms</t>
        </is>
      </c>
      <c r="W205" s="232" t="inlineStr">
        <is>
          <t>227-27-K-26, (11.09.2026) [FHM-K]</t>
        </is>
      </c>
      <c r="X205" s="232" t="inlineStr">
        <is>
          <t>227-27-K-26, (11.09.2026) [FHM-K]</t>
        </is>
      </c>
      <c r="Y205" s="232" t="inlineStr">
        <is>
          <t>— pending —</t>
        </is>
      </c>
      <c r="Z205" s="232" t="inlineStr">
        <is>
          <t>#8, #9, #11, #12 from the initial testing</t>
        </is>
      </c>
      <c r="AA205" s="232" t="inlineStr">
        <is>
          <t>P050252|R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1</t>
        </is>
      </c>
      <c r="I206" s="233" t="inlineStr">
        <is>
          <t>CJ1024</t>
        </is>
      </c>
      <c r="J206" s="232" t="inlineStr">
        <is>
          <t>N/A — no P batch assigned</t>
        </is>
      </c>
      <c r="K206" s="232" t="inlineStr">
        <is>
          <t>Cap Junky</t>
        </is>
      </c>
      <c r="L206" s="232" t="inlineStr">
        <is>
          <t>Ident A + Ident B + Foreign matter</t>
        </is>
      </c>
      <c r="M206" s="237" t="inlineStr">
        <is>
          <t>—</t>
        </is>
      </c>
      <c r="N206" s="232">
        <f>IFERROR(INDEX('CoQ Register'!$B:$B,MATCH("CJ1024|R",'CoQ Register'!$S:$S,0)),"—")</f>
        <v/>
      </c>
      <c r="O206" s="237" t="inlineStr">
        <is>
          <t>—</t>
        </is>
      </c>
      <c r="P206" s="232" t="inlineStr">
        <is>
          <t>27.02.2026</t>
        </is>
      </c>
      <c r="Q206" s="232" t="inlineStr">
        <is>
          <t>20.01.2025</t>
        </is>
      </c>
      <c r="R206" s="232" t="inlineStr">
        <is>
          <t>03.03.2025 (the issuance plan's basis: 27.02.2025)</t>
        </is>
      </c>
      <c r="S206" s="234">
        <f>IFERROR(INDEX('CoQ Register'!$D:$D,MATCH("CJ1024|R",'CoQ Register'!$S:$S,0)),"")</f>
        <v/>
      </c>
      <c r="T206" s="232" t="inlineStr">
        <is>
          <t>Conforms</t>
        </is>
      </c>
      <c r="U206" s="232" t="inlineStr">
        <is>
          <t>Conforms</t>
        </is>
      </c>
      <c r="V206" s="232" t="inlineStr">
        <is>
          <t>Conforms</t>
        </is>
      </c>
      <c r="W206" s="232" t="inlineStr">
        <is>
          <t>227-26-K-26, (11.09.2026) [FHM-K]</t>
        </is>
      </c>
      <c r="X206" s="232" t="inlineStr">
        <is>
          <t>227-26-K-26, (11.09.2026) [FHM-K]</t>
        </is>
      </c>
      <c r="Y206" s="232" t="inlineStr">
        <is>
          <t>— pending —</t>
        </is>
      </c>
      <c r="Z206" s="232" t="inlineStr">
        <is>
          <t>#8, #9, #11, #12 from the initial testing</t>
        </is>
      </c>
      <c r="AA206" s="232" t="inlineStr">
        <is>
          <t>CJ1024|R</t>
        </is>
      </c>
      <c r="AB206" s="239" t="inlineStr">
        <is>
          <t>registered — retest 1,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GG1024_02</t>
        </is>
      </c>
      <c r="J207" s="232" t="inlineStr">
        <is>
          <t>P050012</t>
        </is>
      </c>
      <c r="K207" s="232" t="inlineStr">
        <is>
          <t>Gorilla Glue</t>
        </is>
      </c>
      <c r="L207" s="232" t="inlineStr">
        <is>
          <t>Ident A + Ident B + Foreign matter</t>
        </is>
      </c>
      <c r="M207" s="237" t="inlineStr">
        <is>
          <t>—</t>
        </is>
      </c>
      <c r="N207" s="232">
        <f>IFERROR(INDEX('CoQ Register'!$B:$B,MATCH("P050012|R",'CoQ Register'!$S:$S,0)),"—")</f>
        <v/>
      </c>
      <c r="O207" s="237" t="inlineStr">
        <is>
          <t>—</t>
        </is>
      </c>
      <c r="P207" s="232" t="inlineStr">
        <is>
          <t>30.05.2026</t>
        </is>
      </c>
      <c r="Q207" s="232" t="inlineStr">
        <is>
          <t>14.04.2025 – 15.04.2025</t>
        </is>
      </c>
      <c r="R207" s="232" t="inlineStr">
        <is>
          <t>11.06.2025 – 16.06.2025 (the issuance plan's basis: 30.05.2025)</t>
        </is>
      </c>
      <c r="S207" s="234">
        <f>IFERROR(INDEX('CoQ Register'!$D:$D,MATCH("P050012|R",'CoQ Register'!$S:$S,0)),"")</f>
        <v/>
      </c>
      <c r="T207" s="232" t="inlineStr">
        <is>
          <t>Conforms</t>
        </is>
      </c>
      <c r="U207" s="232" t="inlineStr">
        <is>
          <t>Conforms</t>
        </is>
      </c>
      <c r="V207" s="232" t="inlineStr">
        <is>
          <t>Conforms</t>
        </is>
      </c>
      <c r="W207" s="232" t="inlineStr">
        <is>
          <t>227-19-K-26, (11.09.2026) [FHM-K]</t>
        </is>
      </c>
      <c r="X207" s="232" t="inlineStr">
        <is>
          <t>227-19-K-26, (11.09.2026) [FHM-K]</t>
        </is>
      </c>
      <c r="Y207" s="232" t="inlineStr">
        <is>
          <t>— pending —</t>
        </is>
      </c>
      <c r="Z207" s="232" t="inlineStr">
        <is>
          <t>#8, #9, #11, #12 from the initial testing</t>
        </is>
      </c>
      <c r="AA207" s="232" t="inlineStr">
        <is>
          <t>P050012|R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2</t>
        </is>
      </c>
      <c r="I208" s="233" t="inlineStr">
        <is>
          <t>GP062501</t>
        </is>
      </c>
      <c r="J208" s="232" t="inlineStr">
        <is>
          <t>P050202</t>
        </is>
      </c>
      <c r="K208" s="232" t="inlineStr">
        <is>
          <t>Grape Pie</t>
        </is>
      </c>
      <c r="L208" s="232" t="inlineStr">
        <is>
          <t>Ident A + Ident B + Foreign matter</t>
        </is>
      </c>
      <c r="M208" s="237" t="inlineStr">
        <is>
          <t>—</t>
        </is>
      </c>
      <c r="N208" s="232">
        <f>IFERROR(INDEX('CoQ Register'!$B:$B,MATCH("P050202|R2",'CoQ Register'!$S:$S,0)),"—")</f>
        <v/>
      </c>
      <c r="O208" s="237" t="inlineStr">
        <is>
          <t>—</t>
        </is>
      </c>
      <c r="P208" s="232" t="inlineStr">
        <is>
          <t>11.05.2027</t>
        </is>
      </c>
      <c r="Q208" s="232" t="inlineStr">
        <is>
          <t>15.09.2025 – 17.09.2025</t>
        </is>
      </c>
      <c r="R208" s="232" t="inlineStr">
        <is>
          <t>30.10.2025 – 07.11.2025 (the issuance plan's basis: 11.05.2026)</t>
        </is>
      </c>
      <c r="S208" s="234">
        <f>IFERROR(INDEX('CoQ Register'!$D:$D,MATCH("P050202|R2",'CoQ Register'!$S:$S,0)),"")</f>
        <v/>
      </c>
      <c r="T208" s="232" t="inlineStr">
        <is>
          <t>Conforms</t>
        </is>
      </c>
      <c r="U208" s="232" t="inlineStr">
        <is>
          <t>Conforms</t>
        </is>
      </c>
      <c r="V208" s="232" t="inlineStr">
        <is>
          <t>Conforms</t>
        </is>
      </c>
      <c r="W208" s="232" t="inlineStr">
        <is>
          <t>227-18-K-26, (11.09.2026) [FHM-K]</t>
        </is>
      </c>
      <c r="X208" s="232" t="inlineStr">
        <is>
          <t>227-18-K-26, (11.09.2026) [FHM-K]</t>
        </is>
      </c>
      <c r="Y208" s="232" t="inlineStr">
        <is>
          <t>— pending —</t>
        </is>
      </c>
      <c r="Z208" s="232" t="inlineStr">
        <is>
          <t>#8, #9, #11, #12 from the initial testing</t>
        </is>
      </c>
      <c r="AA208" s="232" t="inlineStr">
        <is>
          <t>P050202|R2</t>
        </is>
      </c>
      <c r="AB208" s="239" t="inlineStr">
        <is>
          <t>registered — retest 2,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GP072501/1</t>
        </is>
      </c>
      <c r="J209" s="232" t="inlineStr">
        <is>
          <t>P050292</t>
        </is>
      </c>
      <c r="K209" s="232" t="inlineStr">
        <is>
          <t>Grape Pie</t>
        </is>
      </c>
      <c r="L209" s="232" t="inlineStr">
        <is>
          <t>Ident A + Ident B + Foreign matter</t>
        </is>
      </c>
      <c r="M209" s="237" t="inlineStr">
        <is>
          <t>—</t>
        </is>
      </c>
      <c r="N209" s="232">
        <f>IFERROR(INDEX('CoQ Register'!$B:$B,MATCH("P050292|R",'CoQ Register'!$S:$S,0)),"—")</f>
        <v/>
      </c>
      <c r="O209" s="237" t="inlineStr">
        <is>
          <t>—</t>
        </is>
      </c>
      <c r="P209" s="232" t="inlineStr">
        <is>
          <t>21.01.2027</t>
        </is>
      </c>
      <c r="Q209" s="232" t="inlineStr">
        <is>
          <t>11.11.2025 – 13.11.2025</t>
        </is>
      </c>
      <c r="R209" s="232" t="inlineStr">
        <is>
          <t>15.12.2025 – 21.12.2025 (the issuance plan's basis: 21.01.2026)</t>
        </is>
      </c>
      <c r="S209" s="234">
        <f>IFERROR(INDEX('CoQ Register'!$D:$D,MATCH("P050292|R",'CoQ Register'!$S:$S,0)),"")</f>
        <v/>
      </c>
      <c r="T209" s="232" t="inlineStr">
        <is>
          <t>Conforms</t>
        </is>
      </c>
      <c r="U209" s="232" t="inlineStr">
        <is>
          <t>Conforms</t>
        </is>
      </c>
      <c r="V209" s="232" t="inlineStr">
        <is>
          <t>Conforms</t>
        </is>
      </c>
      <c r="W209" s="232" t="inlineStr">
        <is>
          <t>227-17-K-26, (11.09.2026) [FHM-K]</t>
        </is>
      </c>
      <c r="X209" s="232" t="inlineStr">
        <is>
          <t>227-17-K-26, (11.09.2026) [FHM-K]</t>
        </is>
      </c>
      <c r="Y209" s="232" t="inlineStr">
        <is>
          <t>— pending —</t>
        </is>
      </c>
      <c r="Z209" s="232" t="inlineStr">
        <is>
          <t>#8, #9, #11, #12 from the initial testing</t>
        </is>
      </c>
      <c r="AA209" s="232" t="inlineStr">
        <is>
          <t>P050292|R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GP0824_01</t>
        </is>
      </c>
      <c r="J210" s="232" t="inlineStr">
        <is>
          <t>P050102</t>
        </is>
      </c>
      <c r="K210" s="232" t="inlineStr">
        <is>
          <t>Grape Pie</t>
        </is>
      </c>
      <c r="L210" s="232" t="inlineStr">
        <is>
          <t>Ident A + Ident B + Foreign matter</t>
        </is>
      </c>
      <c r="M210" s="237" t="inlineStr">
        <is>
          <t>—</t>
        </is>
      </c>
      <c r="N210" s="232">
        <f>IFERROR(INDEX('CoQ Register'!$B:$B,MATCH("P050102|R",'CoQ Register'!$S:$S,0)),"—")</f>
        <v/>
      </c>
      <c r="O210" s="237" t="inlineStr">
        <is>
          <t>—</t>
        </is>
      </c>
      <c r="P210" s="232" t="inlineStr">
        <is>
          <t>17.04.2026</t>
        </is>
      </c>
      <c r="Q210" s="232" t="inlineStr">
        <is>
          <t>20.03.2025 – 21.03.2025</t>
        </is>
      </c>
      <c r="R210" s="232" t="inlineStr">
        <is>
          <t>05.08.2025 – 07.08.2025 (the issuance plan's basis: 17.04.2025)</t>
        </is>
      </c>
      <c r="S210" s="234">
        <f>IFERROR(INDEX('CoQ Register'!$D:$D,MATCH("P050102|R",'CoQ Register'!$S:$S,0)),"")</f>
        <v/>
      </c>
      <c r="T210" s="232" t="inlineStr">
        <is>
          <t>Conforms</t>
        </is>
      </c>
      <c r="U210" s="232" t="inlineStr">
        <is>
          <t>Conforms</t>
        </is>
      </c>
      <c r="V210" s="232" t="inlineStr">
        <is>
          <t>Conforms</t>
        </is>
      </c>
      <c r="W210" s="232" t="inlineStr">
        <is>
          <t>227-2-K-26, (11.09.2026) [FHM-K]</t>
        </is>
      </c>
      <c r="X210" s="232" t="inlineStr">
        <is>
          <t>227-2-K-26, (11.09.2026) [FHM-K]</t>
        </is>
      </c>
      <c r="Y210" s="232" t="inlineStr">
        <is>
          <t>— pending —</t>
        </is>
      </c>
      <c r="Z210" s="232" t="inlineStr">
        <is>
          <t>#8, #9, #11, #12 from the initial testing</t>
        </is>
      </c>
      <c r="AA210" s="232" t="inlineStr">
        <is>
          <t>P050102|R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GRC102501</t>
        </is>
      </c>
      <c r="J211" s="232" t="inlineStr">
        <is>
          <t>P060142</t>
        </is>
      </c>
      <c r="K211" s="232" t="inlineStr">
        <is>
          <t>Graps &amp; Creme</t>
        </is>
      </c>
      <c r="L211" s="232" t="inlineStr">
        <is>
          <t>Ident A + Ident B + Foreign matter</t>
        </is>
      </c>
      <c r="M211" s="237" t="inlineStr">
        <is>
          <t>—</t>
        </is>
      </c>
      <c r="N211" s="232">
        <f>IFERROR(INDEX('CoQ Register'!$B:$B,MATCH("P060142|R",'CoQ Register'!$S:$S,0)),"—")</f>
        <v/>
      </c>
      <c r="O211" s="237" t="inlineStr">
        <is>
          <t>—</t>
        </is>
      </c>
      <c r="P211" s="232" t="inlineStr">
        <is>
          <t>23.02.2027</t>
        </is>
      </c>
      <c r="Q211" s="232" t="inlineStr">
        <is>
          <t>09.01.2026</t>
        </is>
      </c>
      <c r="R211" s="232" t="inlineStr">
        <is>
          <t>23.02.2026</t>
        </is>
      </c>
      <c r="S211" s="234">
        <f>IFERROR(INDEX('CoQ Register'!$D:$D,MATCH("P060142|R",'CoQ Register'!$S:$S,0)),"")</f>
        <v/>
      </c>
      <c r="T211" s="232" t="inlineStr">
        <is>
          <t>Conforms</t>
        </is>
      </c>
      <c r="U211" s="232" t="inlineStr">
        <is>
          <t>Conforms</t>
        </is>
      </c>
      <c r="V211" s="232" t="inlineStr">
        <is>
          <t>Conforms</t>
        </is>
      </c>
      <c r="W211" s="232" t="inlineStr">
        <is>
          <t>227-16-K-26, (11.09.2026) [FHM-K]</t>
        </is>
      </c>
      <c r="X211" s="232" t="inlineStr">
        <is>
          <t>227-16-K-26, (11.09.2026) [FHM-K]</t>
        </is>
      </c>
      <c r="Y211" s="232" t="inlineStr">
        <is>
          <t>— pending —</t>
        </is>
      </c>
      <c r="Z211" s="232" t="inlineStr">
        <is>
          <t>#8, #9, #11, #12 from the initial testing</t>
        </is>
      </c>
      <c r="AA211" s="232" t="inlineStr">
        <is>
          <t>P060142|R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MB0824_04</t>
        </is>
      </c>
      <c r="J212" s="232" t="inlineStr">
        <is>
          <t>P050032</t>
        </is>
      </c>
      <c r="K212" s="232" t="inlineStr">
        <is>
          <t>Motor Breath</t>
        </is>
      </c>
      <c r="L212" s="232" t="inlineStr">
        <is>
          <t>Ident A + Ident B + Foreign matter</t>
        </is>
      </c>
      <c r="M212" s="237" t="inlineStr">
        <is>
          <t>—</t>
        </is>
      </c>
      <c r="N212" s="232">
        <f>IFERROR(INDEX('CoQ Register'!$B:$B,MATCH("P050032|R",'CoQ Register'!$S:$S,0)),"—")</f>
        <v/>
      </c>
      <c r="O212" s="237" t="inlineStr">
        <is>
          <t>—</t>
        </is>
      </c>
      <c r="P212" s="232" t="inlineStr">
        <is>
          <t>07.05.2026</t>
        </is>
      </c>
      <c r="Q212" s="232" t="inlineStr">
        <is>
          <t>02.04.2025 – 03.04.2025</t>
        </is>
      </c>
      <c r="R212" s="232" t="inlineStr">
        <is>
          <t>16.06.2025 – 19.06.2025 (the issuance plan's basis: 07.05.2025)</t>
        </is>
      </c>
      <c r="S212" s="234">
        <f>IFERROR(INDEX('CoQ Register'!$D:$D,MATCH("P050032|R",'CoQ Register'!$S:$S,0)),"")</f>
        <v/>
      </c>
      <c r="T212" s="232" t="inlineStr">
        <is>
          <t>Conforms</t>
        </is>
      </c>
      <c r="U212" s="232" t="inlineStr">
        <is>
          <t>Conforms</t>
        </is>
      </c>
      <c r="V212" s="232" t="inlineStr">
        <is>
          <t>Conforms</t>
        </is>
      </c>
      <c r="W212" s="232" t="inlineStr">
        <is>
          <t>227-12-K-26, (11.09.2026) [FHM-K]</t>
        </is>
      </c>
      <c r="X212" s="232" t="inlineStr">
        <is>
          <t>227-12-K-26, (11.09.2026) [FHM-K]</t>
        </is>
      </c>
      <c r="Y212" s="232" t="inlineStr">
        <is>
          <t>— pending —</t>
        </is>
      </c>
      <c r="Z212" s="232" t="inlineStr">
        <is>
          <t>#8, #9, #11, #12 from the initial testing</t>
        </is>
      </c>
      <c r="AA212" s="232" t="inlineStr">
        <is>
          <t>P050032|R</t>
        </is>
      </c>
      <c r="AB212" s="239" t="inlineStr">
        <is>
          <t>registered — retest 1, issued 01.09.2026</t>
        </is>
      </c>
    </row>
    <row r="213">
      <c r="A213" s="232" t="n">
        <v>212</v>
      </c>
      <c r="B213" s="233" t="inlineStr">
        <is>
          <t>iCoA-PP_26-212</t>
        </is>
      </c>
      <c r="C213" s="238" t="inlineStr">
        <is>
          <t>yes</t>
        </is>
      </c>
      <c r="D213" s="234" t="n">
        <v>46266</v>
      </c>
      <c r="E213" s="234" t="n">
        <v>46266</v>
      </c>
      <c r="F213" s="234">
        <f>IFERROR(INDEX('Batch Dates'!$G:$G,MATCH(J213,'Batch Dates'!$C:$C,0)),IFERROR(INDEX('Batch Dates'!$G:$G,MATCH(I213,'Batch Dates'!$B:$B,0)),""))</f>
        <v/>
      </c>
      <c r="G213" s="232" t="inlineStr">
        <is>
          <t>legacy</t>
        </is>
      </c>
      <c r="H213" s="232" t="inlineStr">
        <is>
          <t>retest 1</t>
        </is>
      </c>
      <c r="I213" s="233" t="inlineStr">
        <is>
          <t>OPM052501</t>
        </is>
      </c>
      <c r="J213" s="232" t="inlineStr">
        <is>
          <t>P050132</t>
        </is>
      </c>
      <c r="K213" s="232" t="inlineStr">
        <is>
          <t>Orange Punch Mimosa</t>
        </is>
      </c>
      <c r="L213" s="232" t="inlineStr">
        <is>
          <t>Ident A + Ident B + Foreign matter</t>
        </is>
      </c>
      <c r="M213" s="237" t="inlineStr">
        <is>
          <t>—</t>
        </is>
      </c>
      <c r="N213" s="232">
        <f>IFERROR(INDEX('CoQ Register'!$B:$B,MATCH("P050132|R",'CoQ Register'!$S:$S,0)),"—")</f>
        <v/>
      </c>
      <c r="O213" s="237" t="inlineStr">
        <is>
          <t>—</t>
        </is>
      </c>
      <c r="P213" s="232" t="inlineStr">
        <is>
          <t>05.09.2026</t>
        </is>
      </c>
      <c r="Q213" s="232" t="inlineStr">
        <is>
          <t>11.08.2025 – 13.08.2025</t>
        </is>
      </c>
      <c r="R213" s="232" t="inlineStr">
        <is>
          <t>09.09.2025 – 15.09.2025 (the issuance plan's basis: 05.09.2025)</t>
        </is>
      </c>
      <c r="S213" s="234">
        <f>IFERROR(INDEX('CoQ Register'!$D:$D,MATCH("P050132|R",'CoQ Register'!$S:$S,0)),"")</f>
        <v/>
      </c>
      <c r="T213" s="232" t="inlineStr">
        <is>
          <t>Conforms</t>
        </is>
      </c>
      <c r="U213" s="232" t="inlineStr">
        <is>
          <t>Conforms</t>
        </is>
      </c>
      <c r="V213" s="232" t="inlineStr">
        <is>
          <t>Conforms</t>
        </is>
      </c>
      <c r="W213" s="232" t="inlineStr">
        <is>
          <t>227-11-K-26, (11.09.2026) [FHM-K]</t>
        </is>
      </c>
      <c r="X213" s="232" t="inlineStr">
        <is>
          <t>227-11-K-26, (11.09.2026) [FHM-K]</t>
        </is>
      </c>
      <c r="Y213" s="232" t="inlineStr">
        <is>
          <t>— pending —</t>
        </is>
      </c>
      <c r="Z213" s="232" t="inlineStr">
        <is>
          <t>#8, #9, #11, #12 from the initial testing</t>
        </is>
      </c>
      <c r="AA213" s="232" t="inlineStr">
        <is>
          <t>P050132|R</t>
        </is>
      </c>
      <c r="AB213" s="239" t="inlineStr">
        <is>
          <t>registered — retest 1, issued 01.09.2026</t>
        </is>
      </c>
    </row>
    <row r="214">
      <c r="A214" s="232" t="n">
        <v>213</v>
      </c>
      <c r="B214" s="233" t="inlineStr">
        <is>
          <t>iCoA-PP_26-213</t>
        </is>
      </c>
      <c r="C214" s="238" t="inlineStr">
        <is>
          <t>yes</t>
        </is>
      </c>
      <c r="D214" s="234" t="n">
        <v>46266</v>
      </c>
      <c r="E214" s="234" t="n">
        <v>46266</v>
      </c>
      <c r="F214" s="234">
        <f>IFERROR(INDEX('Batch Dates'!$G:$G,MATCH(J214,'Batch Dates'!$C:$C,0)),IFERROR(INDEX('Batch Dates'!$G:$G,MATCH(I214,'Batch Dates'!$B:$B,0)),""))</f>
        <v/>
      </c>
      <c r="G214" s="232" t="inlineStr">
        <is>
          <t>legacy</t>
        </is>
      </c>
      <c r="H214" s="232" t="inlineStr">
        <is>
          <t>retest 1</t>
        </is>
      </c>
      <c r="I214" s="233" t="inlineStr">
        <is>
          <t>PM072501</t>
        </is>
      </c>
      <c r="J214" s="232" t="inlineStr">
        <is>
          <t>P050272</t>
        </is>
      </c>
      <c r="K214" s="232" t="inlineStr">
        <is>
          <t>Permanent Market</t>
        </is>
      </c>
      <c r="L214" s="232" t="inlineStr">
        <is>
          <t>Ident A + Ident B + Foreign matter</t>
        </is>
      </c>
      <c r="M214" s="237" t="inlineStr">
        <is>
          <t>—</t>
        </is>
      </c>
      <c r="N214" s="232">
        <f>IFERROR(INDEX('CoQ Register'!$B:$B,MATCH("P050272|R",'CoQ Register'!$S:$S,0)),"—")</f>
        <v/>
      </c>
      <c r="O214" s="237" t="inlineStr">
        <is>
          <t>—</t>
        </is>
      </c>
      <c r="P214" s="232" t="inlineStr">
        <is>
          <t>21.01.2027</t>
        </is>
      </c>
      <c r="Q214" s="232" t="inlineStr">
        <is>
          <t>27.10.2025</t>
        </is>
      </c>
      <c r="R214" s="232" t="inlineStr">
        <is>
          <t>02.12.2025 – 03.12.2025 (the issuance plan's basis: 21.01.2026)</t>
        </is>
      </c>
      <c r="S214" s="234">
        <f>IFERROR(INDEX('CoQ Register'!$D:$D,MATCH("P050272|R",'CoQ Register'!$S:$S,0)),"")</f>
        <v/>
      </c>
      <c r="T214" s="232" t="inlineStr">
        <is>
          <t>Conforms</t>
        </is>
      </c>
      <c r="U214" s="232" t="inlineStr">
        <is>
          <t>Conforms</t>
        </is>
      </c>
      <c r="V214" s="232" t="inlineStr">
        <is>
          <t>Conforms</t>
        </is>
      </c>
      <c r="W214" s="232" t="inlineStr">
        <is>
          <t>227-9-K-26, (11.09.2026) [FHM-K]</t>
        </is>
      </c>
      <c r="X214" s="232" t="inlineStr">
        <is>
          <t>227-9-K-26, (11.09.2026) [FHM-K]</t>
        </is>
      </c>
      <c r="Y214" s="232" t="inlineStr">
        <is>
          <t>— pending —</t>
        </is>
      </c>
      <c r="Z214" s="232" t="inlineStr">
        <is>
          <t>#8, #9, #11, #12 from the initial testing</t>
        </is>
      </c>
      <c r="AA214" s="232" t="inlineStr">
        <is>
          <t>P050272|R</t>
        </is>
      </c>
      <c r="AB214" s="239" t="inlineStr">
        <is>
          <t>registered — retest 1, issued 01.09.2026</t>
        </is>
      </c>
    </row>
    <row r="215">
      <c r="A215" s="232" t="n">
        <v>214</v>
      </c>
      <c r="B215" s="233" t="inlineStr">
        <is>
          <t>iCoA-PP_26-214</t>
        </is>
      </c>
      <c r="C215" s="238" t="inlineStr">
        <is>
          <t>yes</t>
        </is>
      </c>
      <c r="D215" s="234" t="n">
        <v>46266</v>
      </c>
      <c r="E215" s="234" t="n">
        <v>46266</v>
      </c>
      <c r="F215" s="234">
        <f>IFERROR(INDEX('Batch Dates'!$G:$G,MATCH(J215,'Batch Dates'!$C:$C,0)),IFERROR(INDEX('Batch Dates'!$G:$G,MATCH(I215,'Batch Dates'!$B:$B,0)),""))</f>
        <v/>
      </c>
      <c r="G215" s="232" t="inlineStr">
        <is>
          <t>legacy</t>
        </is>
      </c>
      <c r="H215" s="232" t="inlineStr">
        <is>
          <t>retest 1</t>
        </is>
      </c>
      <c r="I215" s="233" t="inlineStr">
        <is>
          <t>WC072501</t>
        </is>
      </c>
      <c r="J215" s="232" t="inlineStr">
        <is>
          <t>P050262</t>
        </is>
      </c>
      <c r="K215" s="232" t="inlineStr">
        <is>
          <t>Wedding Crasher</t>
        </is>
      </c>
      <c r="L215" s="232" t="inlineStr">
        <is>
          <t>Ident A + Ident B + Foreign matter</t>
        </is>
      </c>
      <c r="M215" s="237" t="inlineStr">
        <is>
          <t>—</t>
        </is>
      </c>
      <c r="N215" s="232">
        <f>IFERROR(INDEX('CoQ Register'!$B:$B,MATCH("P050262|R",'CoQ Register'!$S:$S,0)),"—")</f>
        <v/>
      </c>
      <c r="O215" s="237" t="inlineStr">
        <is>
          <t>—</t>
        </is>
      </c>
      <c r="P215" s="232" t="inlineStr">
        <is>
          <t>02.12.2026</t>
        </is>
      </c>
      <c r="Q215" s="232" t="inlineStr">
        <is>
          <t>27.10.2025 – 28.10.2025</t>
        </is>
      </c>
      <c r="R215" s="232" t="inlineStr">
        <is>
          <t>01.12.2025 (the issuance plan's basis: 02.12.2025)</t>
        </is>
      </c>
      <c r="S215" s="234">
        <f>IFERROR(INDEX('CoQ Register'!$D:$D,MATCH("P050262|R",'CoQ Register'!$S:$S,0)),"")</f>
        <v/>
      </c>
      <c r="T215" s="232" t="inlineStr">
        <is>
          <t>Conforms</t>
        </is>
      </c>
      <c r="U215" s="232" t="inlineStr">
        <is>
          <t>Conforms</t>
        </is>
      </c>
      <c r="V215" s="232" t="inlineStr">
        <is>
          <t>Conforms</t>
        </is>
      </c>
      <c r="W215" s="232" t="inlineStr">
        <is>
          <t>227-3-K-26, (11.09.2026) [FHM-K]</t>
        </is>
      </c>
      <c r="X215" s="232" t="inlineStr">
        <is>
          <t>227-3-K-26, (11.09.2026) [FHM-K]</t>
        </is>
      </c>
      <c r="Y215" s="232" t="inlineStr">
        <is>
          <t>— pending —</t>
        </is>
      </c>
      <c r="Z215" s="232" t="inlineStr">
        <is>
          <t>#8, #9, #11, #12 from the initial testing</t>
        </is>
      </c>
      <c r="AA215" s="232" t="inlineStr">
        <is>
          <t>P050262|R</t>
        </is>
      </c>
      <c r="AB215" s="239" t="inlineStr">
        <is>
          <t>registered — retest 1, issued 01.09.2026</t>
        </is>
      </c>
    </row>
    <row r="216">
      <c r="A216" s="232" t="n">
        <v>215</v>
      </c>
      <c r="B216" s="233" t="inlineStr">
        <is>
          <t>iCoA-PP_26-215</t>
        </is>
      </c>
      <c r="C216" s="238" t="inlineStr">
        <is>
          <t>yes</t>
        </is>
      </c>
      <c r="D216" s="234" t="n">
        <v>46266</v>
      </c>
      <c r="E216" s="234" t="n">
        <v>46266</v>
      </c>
      <c r="F216" s="234">
        <f>IFERROR(INDEX('Batch Dates'!$G:$G,MATCH(J216,'Batch Dates'!$C:$C,0)),IFERROR(INDEX('Batch Dates'!$G:$G,MATCH(I216,'Batch Dates'!$B:$B,0)),""))</f>
        <v/>
      </c>
      <c r="G216" s="232" t="inlineStr">
        <is>
          <t>legacy</t>
        </is>
      </c>
      <c r="H216" s="232" t="inlineStr">
        <is>
          <t>retest 1</t>
        </is>
      </c>
      <c r="I216" s="233" t="inlineStr">
        <is>
          <t>WED102501</t>
        </is>
      </c>
      <c r="J216" s="232" t="inlineStr">
        <is>
          <t>P060102</t>
        </is>
      </c>
      <c r="K216" s="232" t="inlineStr">
        <is>
          <t>Wedding Cake</t>
        </is>
      </c>
      <c r="L216" s="232" t="inlineStr">
        <is>
          <t>Ident A + Ident B + Foreign matter</t>
        </is>
      </c>
      <c r="M216" s="237" t="inlineStr">
        <is>
          <t>—</t>
        </is>
      </c>
      <c r="N216" s="232">
        <f>IFERROR(INDEX('CoQ Register'!$B:$B,MATCH("P060102|R",'CoQ Register'!$S:$S,0)),"—")</f>
        <v/>
      </c>
      <c r="O216" s="237" t="inlineStr">
        <is>
          <t>—</t>
        </is>
      </c>
      <c r="P216" s="232" t="inlineStr">
        <is>
          <t>16.02.2027</t>
        </is>
      </c>
      <c r="Q216" s="232" t="inlineStr">
        <is>
          <t>08.01.2026</t>
        </is>
      </c>
      <c r="R216" s="232" t="inlineStr">
        <is>
          <t>16.02.2026</t>
        </is>
      </c>
      <c r="S216" s="234">
        <f>IFERROR(INDEX('CoQ Register'!$D:$D,MATCH("P060102|R",'CoQ Register'!$S:$S,0)),"")</f>
        <v/>
      </c>
      <c r="T216" s="232" t="inlineStr">
        <is>
          <t>Conforms</t>
        </is>
      </c>
      <c r="U216" s="232" t="inlineStr">
        <is>
          <t>Conforms</t>
        </is>
      </c>
      <c r="V216" s="232" t="inlineStr">
        <is>
          <t>Conforms</t>
        </is>
      </c>
      <c r="W216" s="232" t="inlineStr">
        <is>
          <t>227-4-K-26, (11.09.2026) [FHM-K]</t>
        </is>
      </c>
      <c r="X216" s="232" t="inlineStr">
        <is>
          <t>227-4-K-26, (11.09.2026) [FHM-K]</t>
        </is>
      </c>
      <c r="Y216" s="232" t="inlineStr">
        <is>
          <t>— pending —</t>
        </is>
      </c>
      <c r="Z216" s="232" t="inlineStr">
        <is>
          <t>#8, #9, #11, #12 from the initial testing</t>
        </is>
      </c>
      <c r="AA216" s="232" t="inlineStr">
        <is>
          <t>P060102|R</t>
        </is>
      </c>
      <c r="AB216" s="239" t="inlineStr">
        <is>
          <t>registered — retest 1, issued 01.09.2026</t>
        </is>
      </c>
    </row>
    <row r="217"/>
    <row r="218" ht="110" customHeight="1" s="70">
      <c r="A218"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8:AB218"/>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n">
        <v>46065</v>
      </c>
      <c r="G47" s="232" t="inlineStr">
        <is>
          <t>031-3-ГС-26</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no Total THC result on this certificate</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051-1-К/26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051-3-К/26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051-4-К/26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051-6-К/26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051-2-К/26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051-5-К/26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iCoA-PP_26-100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iCoA-PP_26-101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iCoA-PP_26-105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iCoA-PP_26-102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197-5-M-26</t>
        </is>
      </c>
      <c r="H90" s="232">
        <f>IFERROR(INDEX('iCoA Register'!$B:$B,MATCH("P060032|R",'iCoA Register'!$AA:$AA,0)),"—")</f>
        <v/>
      </c>
      <c r="I90" s="234">
        <f>IFERROR(INDEX('iCoA Register'!$D:$D,MATCH("P060032|R",'iCoA Register'!$AA:$AA,0)),"")</f>
        <v/>
      </c>
      <c r="J90" s="232" t="inlineStr">
        <is>
          <t>legacy</t>
        </is>
      </c>
      <c r="K90" s="232" t="inlineStr">
        <is>
          <t>retest — Tranche 1 (sampled 21–24.07.2026)</t>
        </is>
      </c>
      <c r="L90" s="233" t="inlineStr">
        <is>
          <t>CJ082501/2</t>
        </is>
      </c>
      <c r="M90" s="232" t="inlineStr">
        <is>
          <t>P060032</t>
        </is>
      </c>
      <c r="N90" s="232" t="inlineStr">
        <is>
          <t>Cap Junky</t>
        </is>
      </c>
      <c r="O90" s="232" t="inlineStr">
        <is>
          <t>197-5-K-26, (07.08.2026) [FHM-K]</t>
        </is>
      </c>
      <c r="P90" s="237" t="inlineStr">
        <is>
          <t>—</t>
        </is>
      </c>
      <c r="Q90" s="232" t="inlineStr">
        <is>
          <t>—</t>
        </is>
      </c>
      <c r="R90" s="232" t="inlineStr">
        <is>
          <t>CoQ reissue (assigned on issue)</t>
        </is>
      </c>
      <c r="S90" s="232" t="inlineStr">
        <is>
          <t>P060032|R</t>
        </is>
      </c>
      <c r="T90" s="239" t="inlineStr">
        <is>
          <t>registered — retest, Tranche 1 (sampled 21–24.07.2026), sampled 21.07.2026; issued 17.08.2026, 7 days after 197-5-M-26 of 10.08.2026; cites iCoA-PP_26-104 of 27.07.2026</t>
        </is>
      </c>
      <c r="U90" s="232">
        <f>IFERROR(INDEX('CoQ Register'!$B:$B,MATCH("P060032|I",'CoQ Register'!$S:$S,0)),"— initial certificate not on the register —")</f>
        <v/>
      </c>
      <c r="V90" s="240" t="n">
        <v>18.29</v>
      </c>
      <c r="W90" s="232" t="inlineStr">
        <is>
          <t>197-5-К/26</t>
        </is>
      </c>
      <c r="X90" s="232" t="inlineStr">
        <is>
          <t>17.00 ± 1.40 (IV)</t>
        </is>
      </c>
      <c r="Y90" s="232" t="inlineStr">
        <is>
          <t>15.60 – 18.39 %</t>
        </is>
      </c>
      <c r="Z90" s="232" t="inlineStr">
        <is>
          <t>CJ_THC17 : CBD1</t>
        </is>
      </c>
      <c r="AA90" s="232" t="inlineStr">
        <is>
          <t>QCSP_001_CJ-IV_v.01</t>
        </is>
      </c>
      <c r="AB90" s="241" t="inlineStr">
        <is>
          <t>for review — replaces the issued QCSP_001_CJ-IV_v.01 (was CJ_THC20 : CBD1, 18.00 – 22.00 %); now CJ_THC17 : CBD1 15.60 – 18.39 %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197-7-M-26</t>
        </is>
      </c>
      <c r="H91" s="232">
        <f>IFERROR(INDEX('iCoA Register'!$B:$B,MATCH("P060352|R",'iCoA Register'!$AA:$AA,0)),"—")</f>
        <v/>
      </c>
      <c r="I91" s="234">
        <f>IFERROR(INDEX('iCoA Register'!$D:$D,MATCH("P060352|R",'iCoA Register'!$AA:$AA,0)),"")</f>
        <v/>
      </c>
      <c r="J91" s="232" t="inlineStr">
        <is>
          <t>post-SOP</t>
        </is>
      </c>
      <c r="K91" s="232" t="inlineStr">
        <is>
          <t>retest — Tranche 1 (sampled 21–24.07.2026)</t>
        </is>
      </c>
      <c r="L91" s="233" t="inlineStr">
        <is>
          <t>FB012602*</t>
        </is>
      </c>
      <c r="M91" s="232" t="inlineStr">
        <is>
          <t>P060352</t>
        </is>
      </c>
      <c r="N91" s="232" t="inlineStr">
        <is>
          <t>Fat Bastard</t>
        </is>
      </c>
      <c r="O91" s="232" t="inlineStr">
        <is>
          <t>197-7-K-26, (07.08.2026) [FHM-K]</t>
        </is>
      </c>
      <c r="P91" s="237" t="inlineStr">
        <is>
          <t>—</t>
        </is>
      </c>
      <c r="Q91" s="232" t="inlineStr">
        <is>
          <t>—</t>
        </is>
      </c>
      <c r="R91" s="232" t="inlineStr">
        <is>
          <t>CoQ reissue (assigned on issue)</t>
        </is>
      </c>
      <c r="S91" s="232" t="inlineStr">
        <is>
          <t>P060352|R</t>
        </is>
      </c>
      <c r="T91" s="239" t="inlineStr">
        <is>
          <t>registered — retest, Tranche 1 (sampled 21–24.07.2026), sampled 22.07.2026; issued 17.08.2026, 7 days after 197-7-M-26 of 10.08.2026; cites iCoA-PP_26-109 of 27.07.2026</t>
        </is>
      </c>
      <c r="U91" s="232">
        <f>IFERROR(INDEX('CoQ Register'!$B:$B,MATCH("P060352|I",'CoQ Register'!$S:$S,0)),"— initial certificate not on the register —")</f>
        <v/>
      </c>
      <c r="V91" s="240" t="n">
        <v>18.86</v>
      </c>
      <c r="W91" s="232" t="inlineStr">
        <is>
          <t>197-7-К/26</t>
        </is>
      </c>
      <c r="X91" s="232" t="inlineStr">
        <is>
          <t>18.00 ± 1.80 (II)</t>
        </is>
      </c>
      <c r="Y91" s="232" t="inlineStr">
        <is>
          <t>16.20 – 19.79 %</t>
        </is>
      </c>
      <c r="Z91" s="232" t="inlineStr">
        <is>
          <t>FB_THC18 : CBD1</t>
        </is>
      </c>
      <c r="AA91" s="232" t="inlineStr">
        <is>
          <t>QCSP_001_FB-II_v.01</t>
        </is>
      </c>
      <c r="AB91" s="241" t="inlineStr">
        <is>
          <t>for review — replaces the issued QCSP_001_FB-II_v.01 (was FB_THC18 : CBD1, 17.15 – 18.85 %); now FB_THC18 : CBD1 16.20 – 19.79 %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197-8-M-26</t>
        </is>
      </c>
      <c r="H92" s="232">
        <f>IFERROR(INDEX('iCoA Register'!$B:$B,MATCH("P060402|R",'iCoA Register'!$AA:$AA,0)),"—")</f>
        <v/>
      </c>
      <c r="I92" s="234">
        <f>IFERROR(INDEX('iCoA Register'!$D:$D,MATCH("P060402|R",'iCoA Register'!$AA:$AA,0)),"")</f>
        <v/>
      </c>
      <c r="J92" s="232" t="inlineStr">
        <is>
          <t>post-SOP</t>
        </is>
      </c>
      <c r="K92" s="232" t="inlineStr">
        <is>
          <t>retest — Tranche 1 (sampled 21–24.07.2026)</t>
        </is>
      </c>
      <c r="L92" s="233" t="inlineStr">
        <is>
          <t>GG012603</t>
        </is>
      </c>
      <c r="M92" s="232" t="inlineStr">
        <is>
          <t>P060402</t>
        </is>
      </c>
      <c r="N92" s="232" t="inlineStr">
        <is>
          <t>Gorilla Glue</t>
        </is>
      </c>
      <c r="O92" s="232" t="inlineStr">
        <is>
          <t>197-8-K-26, (07.08.2026) [FHM-K]</t>
        </is>
      </c>
      <c r="P92" s="237" t="inlineStr">
        <is>
          <t>—</t>
        </is>
      </c>
      <c r="Q92" s="232" t="inlineStr">
        <is>
          <t>—</t>
        </is>
      </c>
      <c r="R92" s="232" t="inlineStr">
        <is>
          <t>CoQ reissue (assigned on issue)</t>
        </is>
      </c>
      <c r="S92" s="232" t="inlineStr">
        <is>
          <t>P060402|R</t>
        </is>
      </c>
      <c r="T92" s="239" t="inlineStr">
        <is>
          <t>registered — retest, Tranche 1 (sampled 21–24.07.2026), sampled 22.07.2026; issued 17.08.2026, 7 days after 197-8-M-26 of 10.08.2026; cites iCoA-PP_26-110 of 27.07.2026</t>
        </is>
      </c>
      <c r="U92" s="232">
        <f>IFERROR(INDEX('CoQ Register'!$B:$B,MATCH("P060402|I",'CoQ Register'!$S:$S,0)),"— initial certificate not on the register —")</f>
        <v/>
      </c>
      <c r="V92" s="240" t="n">
        <v>16.7</v>
      </c>
      <c r="W92" s="232" t="inlineStr">
        <is>
          <t>197-8-К/26</t>
        </is>
      </c>
      <c r="X92" s="232" t="inlineStr">
        <is>
          <t>18.00 ± 1.77 (I)</t>
        </is>
      </c>
      <c r="Y92" s="232" t="inlineStr">
        <is>
          <t>16.23 – 19.76 %</t>
        </is>
      </c>
      <c r="Z92" s="232" t="inlineStr">
        <is>
          <t>GG_THC18 : CBD1</t>
        </is>
      </c>
      <c r="AA92" s="232" t="inlineStr">
        <is>
          <t>QCSP_001_GG-I_v.01</t>
        </is>
      </c>
      <c r="AB92" s="241" t="inlineStr">
        <is>
          <t>for review — replaces the issued QCSP_001_GG-I_v.01 (was GG_THC18 : CBD1, 17.01 – 18.99 %); now GG_THC18 : CBD1 16.23 – 19.76 %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197-9-M-26</t>
        </is>
      </c>
      <c r="H93" s="232">
        <f>IFERROR(INDEX('iCoA Register'!$B:$B,MATCH("P050092|R",'iCoA Register'!$AA:$AA,0)),"—")</f>
        <v/>
      </c>
      <c r="I93" s="234">
        <f>IFERROR(INDEX('iCoA Register'!$D:$D,MATCH("P050092|R",'iCoA Register'!$AA:$AA,0)),"")</f>
        <v/>
      </c>
      <c r="J93" s="232" t="inlineStr">
        <is>
          <t>legacy</t>
        </is>
      </c>
      <c r="K93" s="232" t="inlineStr">
        <is>
          <t>retest — Tranche 1 (sampled 21–24.07.2026)</t>
        </is>
      </c>
      <c r="L93" s="233" t="inlineStr">
        <is>
          <t>GG1024_01</t>
        </is>
      </c>
      <c r="M93" s="232" t="inlineStr">
        <is>
          <t>P050092</t>
        </is>
      </c>
      <c r="N93" s="232" t="inlineStr">
        <is>
          <t>Gorilla Glue</t>
        </is>
      </c>
      <c r="O93" s="232" t="inlineStr">
        <is>
          <t>197-9-K-26, (07.08.2026) [FHM-K]</t>
        </is>
      </c>
      <c r="P93" s="237" t="inlineStr">
        <is>
          <t>—</t>
        </is>
      </c>
      <c r="Q93" s="232" t="inlineStr">
        <is>
          <t>—</t>
        </is>
      </c>
      <c r="R93" s="232" t="inlineStr">
        <is>
          <t>CoQ-PP-2026-0038</t>
        </is>
      </c>
      <c r="S93" s="232" t="inlineStr">
        <is>
          <t>P050092|R</t>
        </is>
      </c>
      <c r="T93" s="239" t="inlineStr">
        <is>
          <t>registered — retest, Tranche 1 (sampled 21–24.07.2026), sampled 22.07.2026; issued 17.08.2026, 7 days after 197-9-M-26 of 10.08.2026; cites iCoA-PP_26-106 of 27.07.2026</t>
        </is>
      </c>
      <c r="U93" s="232">
        <f>IFERROR(INDEX('CoQ Register'!$B:$B,MATCH("P050092|I",'CoQ Register'!$S:$S,0)),"— initial certificate not on the register —")</f>
        <v/>
      </c>
      <c r="V93" s="240" t="n">
        <v>18.67</v>
      </c>
      <c r="W93" s="232" t="inlineStr">
        <is>
          <t>197-9-К/26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197-10-M-26</t>
        </is>
      </c>
      <c r="H94" s="232">
        <f>IFERROR(INDEX('iCoA Register'!$B:$B,MATCH("P050152|R",'iCoA Register'!$AA:$AA,0)),"—")</f>
        <v/>
      </c>
      <c r="I94" s="234">
        <f>IFERROR(INDEX('iCoA Register'!$D:$D,MATCH("P050152|R",'iCoA Register'!$AA:$AA,0)),"")</f>
        <v/>
      </c>
      <c r="J94" s="232" t="inlineStr">
        <is>
          <t>legacy</t>
        </is>
      </c>
      <c r="K94" s="232" t="inlineStr">
        <is>
          <t>retest — Tranche 1 (sampled 21–24.07.2026)</t>
        </is>
      </c>
      <c r="L94" s="233" t="inlineStr">
        <is>
          <t>GP052501</t>
        </is>
      </c>
      <c r="M94" s="232" t="inlineStr">
        <is>
          <t>P050152</t>
        </is>
      </c>
      <c r="N94" s="232" t="inlineStr">
        <is>
          <t>Grape Pie</t>
        </is>
      </c>
      <c r="O94" s="232" t="inlineStr">
        <is>
          <t>197-10-K-26, (07.08.2026) [FHM-K]</t>
        </is>
      </c>
      <c r="P94" s="237" t="inlineStr">
        <is>
          <t>—</t>
        </is>
      </c>
      <c r="Q94" s="232" t="inlineStr">
        <is>
          <t>—</t>
        </is>
      </c>
      <c r="R94" s="232" t="inlineStr">
        <is>
          <t>CoQ reissue (assigned on issue)</t>
        </is>
      </c>
      <c r="S94" s="232" t="inlineStr">
        <is>
          <t>P050152|R</t>
        </is>
      </c>
      <c r="T94" s="239" t="inlineStr">
        <is>
          <t>registered — retest, Tranche 1 (sampled 21–24.07.2026), sampled 22.07.2026; issued 17.08.2026, 7 days after 197-10-M-26 of 10.08.2026; cites iCoA-PP_26-107 of 27.07.2026</t>
        </is>
      </c>
      <c r="U94" s="232">
        <f>IFERROR(INDEX('CoQ Register'!$B:$B,MATCH("P050152|I",'CoQ Register'!$S:$S,0)),"— initial certificate not on the register —")</f>
        <v/>
      </c>
      <c r="V94" s="240" t="n">
        <v>18.52</v>
      </c>
      <c r="W94" s="232" t="inlineStr">
        <is>
          <t>197-10-К/26</t>
        </is>
      </c>
      <c r="X94" s="232" t="inlineStr">
        <is>
          <t>20.00 ± 2.00 (III)</t>
        </is>
      </c>
      <c r="Y94" s="232" t="inlineStr">
        <is>
          <t>18.00 – 21.99 %</t>
        </is>
      </c>
      <c r="Z94" s="232" t="inlineStr">
        <is>
          <t>GP_THC20 : CBD1</t>
        </is>
      </c>
      <c r="AA94" s="232" t="inlineStr">
        <is>
          <t>QCSP_001_GP-III_v.01</t>
        </is>
      </c>
      <c r="AB94" s="241" t="inlineStr">
        <is>
          <t>for review — replaces the issued QCSP_001_GP-III_v.01 (was GP_THC24 : CBD1, 22.61 – 25.39 %); now GP_THC20 : CBD1 18.00 – 21.99 %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197-11-M-26</t>
        </is>
      </c>
      <c r="H95" s="232">
        <f>IFERROR(INDEX('iCoA Register'!$B:$B,MATCH("P050022|R5",'iCoA Register'!$AA:$AA,0)),"—")</f>
        <v/>
      </c>
      <c r="I95" s="234">
        <f>IFERROR(INDEX('iCoA Register'!$D:$D,MATCH("P050022|R5",'iCoA Register'!$AA:$AA,0)),"")</f>
        <v/>
      </c>
      <c r="J95" s="232" t="inlineStr">
        <is>
          <t>legacy</t>
        </is>
      </c>
      <c r="K95" s="232" t="inlineStr">
        <is>
          <t>retest — Tranche 1 (sampled 21–24.07.2026)</t>
        </is>
      </c>
      <c r="L95" s="233" t="inlineStr">
        <is>
          <t>GP0824_02</t>
        </is>
      </c>
      <c r="M95" s="232" t="inlineStr">
        <is>
          <t>P050022</t>
        </is>
      </c>
      <c r="N95" s="232" t="inlineStr">
        <is>
          <t>Grape Pie</t>
        </is>
      </c>
      <c r="O95" s="232" t="inlineStr">
        <is>
          <t>197-11-K-26, (07.08.2026) [FHM-K]</t>
        </is>
      </c>
      <c r="P95" s="237" t="inlineStr">
        <is>
          <t>—</t>
        </is>
      </c>
      <c r="Q95" s="232" t="inlineStr">
        <is>
          <t>—</t>
        </is>
      </c>
      <c r="R95" s="232" t="inlineStr">
        <is>
          <t>CoQ-PP-2026-0032</t>
        </is>
      </c>
      <c r="S95" s="232" t="inlineStr">
        <is>
          <t>P050022|R5</t>
        </is>
      </c>
      <c r="T95" s="239" t="inlineStr">
        <is>
          <t>registered — retest, Tranche 1 (sampled 21–24.07.2026), sampled 22.07.2026; issued 17.08.2026, 7 days after 197-11-M-26 of 10.08.2026; cites the campaign iCoA of 27.07.2026</t>
        </is>
      </c>
      <c r="U95" s="232">
        <f>IFERROR(INDEX('CoQ Register'!$B:$B,MATCH("P050022|I",'CoQ Register'!$S:$S,0)),"— initial certificate not on the register —")</f>
        <v/>
      </c>
      <c r="V95" s="240" t="n">
        <v>22.61</v>
      </c>
      <c r="W95" s="232" t="inlineStr">
        <is>
          <t>197-11-К/26</t>
        </is>
      </c>
      <c r="X95" s="232" t="inlineStr">
        <is>
          <t>24.00 ± 2.00 (II)</t>
        </is>
      </c>
      <c r="Y95" s="232" t="inlineStr">
        <is>
          <t>22.00 – 25.99 %</t>
        </is>
      </c>
      <c r="Z95" s="232" t="inlineStr">
        <is>
          <t>GP_THC24 : CBD1</t>
        </is>
      </c>
      <c r="AA95" s="232" t="inlineStr">
        <is>
          <t>QCSP_001_GP-II_v.01</t>
        </is>
      </c>
      <c r="AB95" s="241" t="inlineStr">
        <is>
          <t>for review — replaces the issued QCSP_001_GP-II_v.01 (was GP_THC26 : CBD1, 25.40 – 26.60 %); now GP_THC24 : CBD1 22.00 – 25.99 %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197-12-M-26</t>
        </is>
      </c>
      <c r="H96" s="232">
        <f>IFERROR(INDEX('iCoA Register'!$B:$B,MATCH("P050322|R",'iCoA Register'!$AA:$AA,0)),"—")</f>
        <v/>
      </c>
      <c r="I96" s="234">
        <f>IFERROR(INDEX('iCoA Register'!$D:$D,MATCH("P050322|R",'iCoA Register'!$AA:$AA,0)),"")</f>
        <v/>
      </c>
      <c r="J96" s="232" t="inlineStr">
        <is>
          <t>legacy</t>
        </is>
      </c>
      <c r="K96" s="232" t="inlineStr">
        <is>
          <t>retest — Tranche 1 (sampled 21–24.07.2026)</t>
        </is>
      </c>
      <c r="L96" s="233" t="inlineStr">
        <is>
          <t>GP082501/2</t>
        </is>
      </c>
      <c r="M96" s="232" t="inlineStr">
        <is>
          <t>P050322</t>
        </is>
      </c>
      <c r="N96" s="232" t="inlineStr">
        <is>
          <t>Grape Pie</t>
        </is>
      </c>
      <c r="O96" s="232" t="inlineStr">
        <is>
          <t>197-12-K-26, (07.08.2026) [FHM-K]</t>
        </is>
      </c>
      <c r="P96" s="237" t="inlineStr">
        <is>
          <t>—</t>
        </is>
      </c>
      <c r="Q96" s="232" t="inlineStr">
        <is>
          <t>—</t>
        </is>
      </c>
      <c r="R96" s="232" t="inlineStr">
        <is>
          <t>CoQ reissue (assigned on issue)</t>
        </is>
      </c>
      <c r="S96" s="232" t="inlineStr">
        <is>
          <t>P050322|R</t>
        </is>
      </c>
      <c r="T96" s="239" t="inlineStr">
        <is>
          <t>registered — retest, Tranche 1 (sampled 21–24.07.2026), sampled 23.07.2026; issued 17.08.2026, 7 days after 197-12-M-26 of 10.08.2026; cites iCoA-PP_26-111 of 27.07.2026</t>
        </is>
      </c>
      <c r="U96" s="232">
        <f>IFERROR(INDEX('CoQ Register'!$B:$B,MATCH("P050322|I",'CoQ Register'!$S:$S,0)),"— initial certificate not on the register —")</f>
        <v/>
      </c>
      <c r="V96" s="240" t="n">
        <v>15.7</v>
      </c>
      <c r="W96" s="232" t="inlineStr">
        <is>
          <t>197-12-К/26</t>
        </is>
      </c>
      <c r="X96" s="232" t="inlineStr">
        <is>
          <t>16.00 ± 1.60 (IV)</t>
        </is>
      </c>
      <c r="Y96" s="232" t="inlineStr">
        <is>
          <t>14.40 – 17.59 %</t>
        </is>
      </c>
      <c r="Z96" s="232" t="inlineStr">
        <is>
          <t>GP_THC16 : CBD1</t>
        </is>
      </c>
      <c r="AA96" s="232" t="inlineStr">
        <is>
          <t>QCSP_001_GP-IV_v.01</t>
        </is>
      </c>
      <c r="AB96" s="241" t="inlineStr">
        <is>
          <t>for review — replaces the issued QCSP_001_GP-IV_v.01 (was GP_THC20 : CBD1, 18.00 – 22.00 %); now GP_THC16 : CBD1 14.40 – 17.59 %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197-13-M-26</t>
        </is>
      </c>
      <c r="H97" s="232">
        <f>IFERROR(INDEX('iCoA Register'!$B:$B,MATCH("HPA1024|R",'iCoA Register'!$AA:$AA,0)),"—")</f>
        <v/>
      </c>
      <c r="I97" s="234">
        <f>IFERROR(INDEX('iCoA Register'!$D:$D,MATCH("HPA1024|R",'iCoA Register'!$AA:$AA,0)),"")</f>
        <v/>
      </c>
      <c r="J97" s="232" t="inlineStr">
        <is>
          <t>legacy</t>
        </is>
      </c>
      <c r="K97" s="232" t="inlineStr">
        <is>
          <t>retest — Tranche 1 (sampled 21–24.07.2026)</t>
        </is>
      </c>
      <c r="L97" s="233" t="inlineStr">
        <is>
          <t>HPA1024</t>
        </is>
      </c>
      <c r="M97" s="232" t="inlineStr">
        <is>
          <t>N/A — no P batch assigned</t>
        </is>
      </c>
      <c r="N97" s="232" t="inlineStr">
        <is>
          <t>High Pro Amnesia</t>
        </is>
      </c>
      <c r="O97" s="232" t="inlineStr">
        <is>
          <t>197-13-K-26, (07.08.2026) [FHM-K]</t>
        </is>
      </c>
      <c r="P97" s="237" t="inlineStr">
        <is>
          <t>—</t>
        </is>
      </c>
      <c r="Q97" s="232" t="inlineStr">
        <is>
          <t>—</t>
        </is>
      </c>
      <c r="R97" s="232" t="inlineStr">
        <is>
          <t>CoQ-PP-2026-0030</t>
        </is>
      </c>
      <c r="S97" s="232" t="inlineStr">
        <is>
          <t>HPA1024|R</t>
        </is>
      </c>
      <c r="T97" s="239" t="inlineStr">
        <is>
          <t>registered — retest, Tranche 1 (sampled 21–24.07.2026), sampled 23.07.2026; issued 17.08.2026, 7 days after 197-13-M-26 of 10.08.2026; cites iCoA-PP_26-112 of 27.07.2026</t>
        </is>
      </c>
      <c r="U97" s="232">
        <f>IFERROR(INDEX('CoQ Register'!$B:$B,MATCH("HPA1024|I",'CoQ Register'!$S:$S,0)),"— initial certificate not on the register —")</f>
        <v/>
      </c>
      <c r="V97" s="240" t="n">
        <v>17.31</v>
      </c>
      <c r="W97" s="232" t="inlineStr">
        <is>
          <t>197-13-К/26</t>
        </is>
      </c>
      <c r="X97" s="232" t="inlineStr">
        <is>
          <t>18.00 ± 1.80 (II)</t>
        </is>
      </c>
      <c r="Y97" s="232" t="inlineStr">
        <is>
          <t>16.20 – 19.79 %</t>
        </is>
      </c>
      <c r="Z97" s="232" t="inlineStr">
        <is>
          <t>HPA_THC18 : CBD1</t>
        </is>
      </c>
      <c r="AA97" s="232" t="inlineStr">
        <is>
          <t>QCSP_001_HPA-II_v.01</t>
        </is>
      </c>
      <c r="AB97" s="241" t="inlineStr">
        <is>
          <t>for review — replaces the issued QCSP_001_HPA-II_v.01 (was HPA_THC20 : CBD1, 19.01 – 20.99 %); now HPA_THC18 : CBD1 16.20 – 19.79 %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197-14-M-26</t>
        </is>
      </c>
      <c r="H98" s="232">
        <f>IFERROR(INDEX('iCoA Register'!$B:$B,MATCH("P050052|R",'iCoA Register'!$AA:$AA,0)),"—")</f>
        <v/>
      </c>
      <c r="I98" s="234">
        <f>IFERROR(INDEX('iCoA Register'!$D:$D,MATCH("P050052|R",'iCoA Register'!$AA:$AA,0)),"")</f>
        <v/>
      </c>
      <c r="J98" s="232" t="inlineStr">
        <is>
          <t>legacy</t>
        </is>
      </c>
      <c r="K98" s="232" t="inlineStr">
        <is>
          <t>retest — Tranche 1 (sampled 21–24.07.2026)</t>
        </is>
      </c>
      <c r="L98" s="233" t="inlineStr">
        <is>
          <t>HPA1024_01</t>
        </is>
      </c>
      <c r="M98" s="232" t="inlineStr">
        <is>
          <t>P050052</t>
        </is>
      </c>
      <c r="N98" s="232" t="inlineStr">
        <is>
          <t>High Pro Amnesia</t>
        </is>
      </c>
      <c r="O98" s="232" t="inlineStr">
        <is>
          <t>197-14-K-26, (07.08.2026) [FHM-K]</t>
        </is>
      </c>
      <c r="P98" s="237" t="inlineStr">
        <is>
          <t>—</t>
        </is>
      </c>
      <c r="Q98" s="232" t="inlineStr">
        <is>
          <t>—</t>
        </is>
      </c>
      <c r="R98" s="232" t="inlineStr">
        <is>
          <t>CoQ-PP-2026-0034</t>
        </is>
      </c>
      <c r="S98" s="232" t="inlineStr">
        <is>
          <t>P050052|R</t>
        </is>
      </c>
      <c r="T98" s="239" t="inlineStr">
        <is>
          <t>registered — retest, Tranche 1 (sampled 21–24.07.2026), sampled 23.07.2026; issued 17.08.2026, 7 days after 197-14-M-26 of 10.08.2026; cites iCoA-PP_26-113 of 27.07.2026</t>
        </is>
      </c>
      <c r="U98" s="232">
        <f>IFERROR(INDEX('CoQ Register'!$B:$B,MATCH("P050052|I",'CoQ Register'!$S:$S,0)),"— initial certificate not on the register —")</f>
        <v/>
      </c>
      <c r="V98" s="240" t="n">
        <v>21.61</v>
      </c>
      <c r="W98" s="232" t="inlineStr">
        <is>
          <t>197-14-К/26</t>
        </is>
      </c>
      <c r="X98" s="232" t="inlineStr">
        <is>
          <t>22.00 ± 2.20 (I)</t>
        </is>
      </c>
      <c r="Y98" s="232" t="inlineStr">
        <is>
          <t>19.80 – 24.19 %</t>
        </is>
      </c>
      <c r="Z98" s="232" t="inlineStr">
        <is>
          <t>HPA_THC22 : CBD1</t>
        </is>
      </c>
      <c r="AA98" s="232" t="inlineStr">
        <is>
          <t>QCSP_001_HPA-I_v.01</t>
        </is>
      </c>
      <c r="AB98" s="241" t="inlineStr">
        <is>
          <t>for review — replaces the issued QCSP_001_HPA-I_v.01 (was HPA_THC22 : CBD1, 21.00 – 23.00 %); now HPA_THC22 : CBD1 19.80 – 24.19 %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197-16-M-26</t>
        </is>
      </c>
      <c r="H99" s="232">
        <f>IFERROR(INDEX('iCoA Register'!$B:$B,MATCH("P060152|R",'iCoA Register'!$AA:$AA,0)),"—")</f>
        <v/>
      </c>
      <c r="I99" s="234">
        <f>IFERROR(INDEX('iCoA Register'!$D:$D,MATCH("P060152|R",'iCoA Register'!$AA:$AA,0)),"")</f>
        <v/>
      </c>
      <c r="J99" s="232" t="inlineStr">
        <is>
          <t>legacy</t>
        </is>
      </c>
      <c r="K99" s="232" t="inlineStr">
        <is>
          <t>retest — Tranche 1 (sampled 21–24.07.2026)</t>
        </is>
      </c>
      <c r="L99" s="233" t="inlineStr">
        <is>
          <t>J31102501</t>
        </is>
      </c>
      <c r="M99" s="232" t="inlineStr">
        <is>
          <t>P060152</t>
        </is>
      </c>
      <c r="N99" s="232" t="inlineStr">
        <is>
          <t>Jokerz 31</t>
        </is>
      </c>
      <c r="O99" s="232" t="inlineStr">
        <is>
          <t>197-16-K-26, (07.08.2026) [FHM-K]</t>
        </is>
      </c>
      <c r="P99" s="237" t="inlineStr">
        <is>
          <t>—</t>
        </is>
      </c>
      <c r="Q99" s="232" t="inlineStr">
        <is>
          <t>—</t>
        </is>
      </c>
      <c r="R99" s="232" t="inlineStr">
        <is>
          <t>CoQ reissue (assigned on issue)</t>
        </is>
      </c>
      <c r="S99" s="232" t="inlineStr">
        <is>
          <t>P060152|R</t>
        </is>
      </c>
      <c r="T99" s="239" t="inlineStr">
        <is>
          <t>registered — retest, Tranche 1 (sampled 21–24.07.2026), sampled 23.07.2026; issued 17.08.2026, 7 days after 197-16-M-26 of 10.08.2026; cites iCoA-PP_26-114 of 27.07.2026</t>
        </is>
      </c>
      <c r="U99" s="232">
        <f>IFERROR(INDEX('CoQ Register'!$B:$B,MATCH("P060152|I",'CoQ Register'!$S:$S,0)),"— initial certificate not on the register —")</f>
        <v/>
      </c>
      <c r="V99" s="240" t="n">
        <v>17.32</v>
      </c>
      <c r="W99" s="232" t="inlineStr">
        <is>
          <t>197-16-К/26</t>
        </is>
      </c>
      <c r="X99" s="232" t="inlineStr">
        <is>
          <t>18.00 ± 1.80 (III)</t>
        </is>
      </c>
      <c r="Y99" s="232" t="inlineStr">
        <is>
          <t>16.20 – 19.79 %</t>
        </is>
      </c>
      <c r="Z99" s="232" t="inlineStr">
        <is>
          <t>J31_THC18 : CBD1</t>
        </is>
      </c>
      <c r="AA99" s="232" t="inlineStr">
        <is>
          <t>QCSP_001_J31-III_v.01</t>
        </is>
      </c>
      <c r="AB99" s="235" t="inlineStr">
        <is>
          <t>for review — new</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197-15-M-26</t>
        </is>
      </c>
      <c r="H100" s="232">
        <f>IFERROR(INDEX('iCoA Register'!$B:$B,MATCH("P060212|R",'iCoA Register'!$AA:$AA,0)),"—")</f>
        <v/>
      </c>
      <c r="I100" s="234">
        <f>IFERROR(INDEX('iCoA Register'!$D:$D,MATCH("P060212|R",'iCoA Register'!$AA:$AA,0)),"")</f>
        <v/>
      </c>
      <c r="J100" s="232" t="inlineStr">
        <is>
          <t>legacy</t>
        </is>
      </c>
      <c r="K100" s="232" t="inlineStr">
        <is>
          <t>retest — Tranche 1 (sampled 21–24.07.2026)</t>
        </is>
      </c>
      <c r="L100" s="233" t="inlineStr">
        <is>
          <t>JD112501</t>
        </is>
      </c>
      <c r="M100" s="232" t="inlineStr">
        <is>
          <t>P060212</t>
        </is>
      </c>
      <c r="N100" s="232" t="inlineStr">
        <is>
          <t>Jelly Donutz</t>
        </is>
      </c>
      <c r="O100" s="232" t="inlineStr">
        <is>
          <t>197-15-K-26, (07.08.2026) [FHM-K]</t>
        </is>
      </c>
      <c r="P100" s="237" t="inlineStr">
        <is>
          <t>—</t>
        </is>
      </c>
      <c r="Q100" s="232" t="inlineStr">
        <is>
          <t>—</t>
        </is>
      </c>
      <c r="R100" s="232" t="inlineStr">
        <is>
          <t>CoQ reissue (assigned on issue)</t>
        </is>
      </c>
      <c r="S100" s="232" t="inlineStr">
        <is>
          <t>P060212|R</t>
        </is>
      </c>
      <c r="T100" s="239" t="inlineStr">
        <is>
          <t>registered — retest, Tranche 1 (sampled 21–24.07.2026), sampled 23.07.2026; issued 17.08.2026, 7 days after 197-15-M-26 of 10.08.2026; cites iCoA-PP_26-115 of 27.07.2026</t>
        </is>
      </c>
      <c r="U100" s="232">
        <f>IFERROR(INDEX('CoQ Register'!$B:$B,MATCH("P060212|I",'CoQ Register'!$S:$S,0)),"— initial certificate not on the register —")</f>
        <v/>
      </c>
      <c r="V100" s="240" t="n">
        <v>20.32</v>
      </c>
      <c r="W100" s="232" t="inlineStr">
        <is>
          <t>197-15-К/26</t>
        </is>
      </c>
      <c r="X100" s="232" t="inlineStr">
        <is>
          <t>22.00 ± 2.20 (I)</t>
        </is>
      </c>
      <c r="Y100" s="232" t="inlineStr">
        <is>
          <t>19.80 – 24.19 %</t>
        </is>
      </c>
      <c r="Z100" s="232" t="inlineStr">
        <is>
          <t>JD_THC22 : CBD1</t>
        </is>
      </c>
      <c r="AA100" s="232" t="inlineStr">
        <is>
          <t>QCSP_001_JD-I_v.01</t>
        </is>
      </c>
      <c r="AB100" s="241" t="inlineStr">
        <is>
          <t>for review — replaces the issued QCSP_001_JD-I_v.01 (was JD_THC20 : CBD1, 18.00 – 22.00 %); now JD_THC22 : CBD1 19.80 – 24.19 %</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197-17-M-26</t>
        </is>
      </c>
      <c r="H101" s="232">
        <f>IFERROR(INDEX('iCoA Register'!$B:$B,MATCH("OPM1024|R",'iCoA Register'!$AA:$AA,0)),"—")</f>
        <v/>
      </c>
      <c r="I101" s="234">
        <f>IFERROR(INDEX('iCoA Register'!$D:$D,MATCH("OPM1024|R",'iCoA Register'!$AA:$AA,0)),"")</f>
        <v/>
      </c>
      <c r="J101" s="232" t="inlineStr">
        <is>
          <t>legacy</t>
        </is>
      </c>
      <c r="K101" s="232" t="inlineStr">
        <is>
          <t>retest — Tranche 1 (sampled 21–24.07.2026)</t>
        </is>
      </c>
      <c r="L101" s="233" t="inlineStr">
        <is>
          <t>OPM1024</t>
        </is>
      </c>
      <c r="M101" s="232" t="inlineStr">
        <is>
          <t>N/A — no P batch assigned</t>
        </is>
      </c>
      <c r="N101" s="232" t="inlineStr">
        <is>
          <t>Orange Punch Mimosa</t>
        </is>
      </c>
      <c r="O101" s="232" t="inlineStr">
        <is>
          <t>197-17-K-26, (07.08.2026) [FHM-K]</t>
        </is>
      </c>
      <c r="P101" s="237" t="inlineStr">
        <is>
          <t>—</t>
        </is>
      </c>
      <c r="Q101" s="232" t="inlineStr">
        <is>
          <t>—</t>
        </is>
      </c>
      <c r="R101" s="232" t="inlineStr">
        <is>
          <t>CoQ-PP-2026-0031</t>
        </is>
      </c>
      <c r="S101" s="232" t="inlineStr">
        <is>
          <t>OPM1024|R</t>
        </is>
      </c>
      <c r="T101" s="239" t="inlineStr">
        <is>
          <t>registered — retest, Tranche 1 (sampled 21–24.07.2026), sampled 24.07.2026; issued 17.08.2026, 7 days after 197-17-M-26 of 10.08.2026; cites iCoA-PP_26-116 of 27.07.2026</t>
        </is>
      </c>
      <c r="U101" s="232">
        <f>IFERROR(INDEX('CoQ Register'!$B:$B,MATCH("OPM1024|I",'CoQ Register'!$S:$S,0)),"— initial certificate not on the register —")</f>
        <v/>
      </c>
      <c r="V101" s="240" t="n">
        <v>20.03</v>
      </c>
      <c r="W101" s="232" t="inlineStr">
        <is>
          <t>197-17-К/26</t>
        </is>
      </c>
      <c r="X101" s="232" t="inlineStr">
        <is>
          <t>20.00 ± 1.40 (I)</t>
        </is>
      </c>
      <c r="Y101" s="232" t="inlineStr">
        <is>
          <t>18.60 – 21.39 %</t>
        </is>
      </c>
      <c r="Z101" s="232" t="inlineStr">
        <is>
          <t>OPM_THC20 : CBD1</t>
        </is>
      </c>
      <c r="AA101" s="232" t="inlineStr">
        <is>
          <t>QCSP_001_OPM-I_v.01</t>
        </is>
      </c>
      <c r="AB101" s="241" t="inlineStr">
        <is>
          <t>for review — replaces the issued QCSP_001_OPM-I_v.01 (was OPM_THC22 : CBD1, 19.81 – 24.19 %); now OPM_THC20 : CBD1 18.60 – 21.39 %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197-18-M-26</t>
        </is>
      </c>
      <c r="H102" s="232">
        <f>IFERROR(INDEX('iCoA Register'!$B:$B,MATCH("P050062|R",'iCoA Register'!$AA:$AA,0)),"—")</f>
        <v/>
      </c>
      <c r="I102" s="234">
        <f>IFERROR(INDEX('iCoA Register'!$D:$D,MATCH("P050062|R",'iCoA Register'!$AA:$AA,0)),"")</f>
        <v/>
      </c>
      <c r="J102" s="232" t="inlineStr">
        <is>
          <t>legacy</t>
        </is>
      </c>
      <c r="K102" s="232" t="inlineStr">
        <is>
          <t>retest — Tranche 1 (sampled 21–24.07.2026)</t>
        </is>
      </c>
      <c r="L102" s="233" t="inlineStr">
        <is>
          <t>OPM1024_02</t>
        </is>
      </c>
      <c r="M102" s="232" t="inlineStr">
        <is>
          <t>P050062</t>
        </is>
      </c>
      <c r="N102" s="232" t="inlineStr">
        <is>
          <t>Orange Punch Mimosa</t>
        </is>
      </c>
      <c r="O102" s="232" t="inlineStr">
        <is>
          <t>197-18-K-26, (07.08.2026) [FHM-K]</t>
        </is>
      </c>
      <c r="P102" s="237" t="inlineStr">
        <is>
          <t>—</t>
        </is>
      </c>
      <c r="Q102" s="232" t="inlineStr">
        <is>
          <t>—</t>
        </is>
      </c>
      <c r="R102" s="232" t="inlineStr">
        <is>
          <t>CoQ-PP-2026-0035</t>
        </is>
      </c>
      <c r="S102" s="232" t="inlineStr">
        <is>
          <t>P050062|R</t>
        </is>
      </c>
      <c r="T102" s="239" t="inlineStr">
        <is>
          <t>registered — retest, Tranche 1 (sampled 21–24.07.2026), sampled 24.07.2026; issued 17.08.2026, 7 days after 197-18-M-26 of 10.08.2026; cites iCoA-PP_26-117 of 27.07.2026</t>
        </is>
      </c>
      <c r="U102" s="232">
        <f>IFERROR(INDEX('CoQ Register'!$B:$B,MATCH("P050062|I",'CoQ Register'!$S:$S,0)),"— initial certificate not on the register —")</f>
        <v/>
      </c>
      <c r="V102" s="240" t="n">
        <v>18.04</v>
      </c>
      <c r="W102" s="232" t="inlineStr">
        <is>
          <t>197-18-К/26</t>
        </is>
      </c>
      <c r="X102" s="232" t="inlineStr">
        <is>
          <t>17.00 ± 1.60 (II)</t>
        </is>
      </c>
      <c r="Y102" s="232" t="inlineStr">
        <is>
          <t>15.40 – 18.59 %</t>
        </is>
      </c>
      <c r="Z102" s="232" t="inlineStr">
        <is>
          <t>OPM_THC17 : CBD1</t>
        </is>
      </c>
      <c r="AA102" s="232" t="inlineStr">
        <is>
          <t>QCSP_001_OPM-II_v.01</t>
        </is>
      </c>
      <c r="AB102" s="241" t="inlineStr">
        <is>
          <t>for review — replaces the issued QCSP_001_OPM-II_v.01 (was OPM_THC18 : CBD1, 16.20 – 19.80 %); now OPM_THC17 : CBD1 15.40 – 18.59 %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197-19-M-26</t>
        </is>
      </c>
      <c r="H103" s="232">
        <f>IFERROR(INDEX('iCoA Register'!$B:$B,MATCH("P060242|R",'iCoA Register'!$AA:$AA,0)),"—")</f>
        <v/>
      </c>
      <c r="I103" s="234">
        <f>IFERROR(INDEX('iCoA Register'!$D:$D,MATCH("P060242|R",'iCoA Register'!$AA:$AA,0)),"")</f>
        <v/>
      </c>
      <c r="J103" s="232" t="inlineStr">
        <is>
          <t>legacy</t>
        </is>
      </c>
      <c r="K103" s="232" t="inlineStr">
        <is>
          <t>retest — Tranche 1 (sampled 21–24.07.2026)</t>
        </is>
      </c>
      <c r="L103" s="233" t="inlineStr">
        <is>
          <t>OPM122501</t>
        </is>
      </c>
      <c r="M103" s="232" t="inlineStr">
        <is>
          <t>P060242</t>
        </is>
      </c>
      <c r="N103" s="232" t="inlineStr">
        <is>
          <t>Orange Punch Mimosa</t>
        </is>
      </c>
      <c r="O103" s="232" t="inlineStr">
        <is>
          <t>197-19-K-26, (07.08.2026) [FHM-K]</t>
        </is>
      </c>
      <c r="P103" s="237" t="inlineStr">
        <is>
          <t>—</t>
        </is>
      </c>
      <c r="Q103" s="232" t="inlineStr">
        <is>
          <t>—</t>
        </is>
      </c>
      <c r="R103" s="232" t="inlineStr">
        <is>
          <t>CoQ reissue (assigned on issue)</t>
        </is>
      </c>
      <c r="S103" s="232" t="inlineStr">
        <is>
          <t>P060242|R</t>
        </is>
      </c>
      <c r="T103" s="239" t="inlineStr">
        <is>
          <t>registered — retest, Tranche 1 (sampled 21–24.07.2026), sampled 24.07.2026; issued 17.08.2026, 7 days after 197-19-M-26 of 10.08.2026; cites iCoA-PP_26-118 of 27.07.2026</t>
        </is>
      </c>
      <c r="U103" s="232">
        <f>IFERROR(INDEX('CoQ Register'!$B:$B,MATCH("P060242|I",'CoQ Register'!$S:$S,0)),"— initial certificate not on the register —")</f>
        <v/>
      </c>
      <c r="V103" s="240" t="n">
        <v>7.91</v>
      </c>
      <c r="W103" s="232" t="inlineStr">
        <is>
          <t>197-19-К/26</t>
        </is>
      </c>
      <c r="X103" s="232" t="inlineStr">
        <is>
          <t>8.00 ± 0.80 (V)</t>
        </is>
      </c>
      <c r="Y103" s="232" t="inlineStr">
        <is>
          <t>7.20 – 8.79 %</t>
        </is>
      </c>
      <c r="Z103" s="232" t="inlineStr">
        <is>
          <t>OPM_THC8 : CBD1</t>
        </is>
      </c>
      <c r="AA103" s="232" t="inlineStr">
        <is>
          <t>QCSP_001_OPM-V_v.01</t>
        </is>
      </c>
      <c r="AB103" s="241" t="inlineStr">
        <is>
          <t>for review — replaces the issued QCSP_001_OPM-V_v.01 (was OPM_THC8 : CBD1, 7.20 – 8.80 %); now OPM_THC8 : CBD1 7.20 – 8.79 %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197-20-M-26</t>
        </is>
      </c>
      <c r="H104" s="232">
        <f>IFERROR(INDEX('iCoA Register'!$B:$B,MATCH("P060062|R",'iCoA Register'!$AA:$AA,0)),"—")</f>
        <v/>
      </c>
      <c r="I104" s="234">
        <f>IFERROR(INDEX('iCoA Register'!$D:$D,MATCH("P060062|R",'iCoA Register'!$AA:$AA,0)),"")</f>
        <v/>
      </c>
      <c r="J104" s="232" t="inlineStr">
        <is>
          <t>legacy</t>
        </is>
      </c>
      <c r="K104" s="232" t="inlineStr">
        <is>
          <t>retest — Tranche 1 (sampled 21–24.07.2026)</t>
        </is>
      </c>
      <c r="L104" s="233" t="inlineStr">
        <is>
          <t>PM092501</t>
        </is>
      </c>
      <c r="M104" s="232" t="inlineStr">
        <is>
          <t>P060062</t>
        </is>
      </c>
      <c r="N104" s="232" t="inlineStr">
        <is>
          <t>Permanent Market</t>
        </is>
      </c>
      <c r="O104" s="232" t="inlineStr">
        <is>
          <t>197-20-K-26, (07.08.2026) [FHM-K]</t>
        </is>
      </c>
      <c r="P104" s="237" t="inlineStr">
        <is>
          <t>—</t>
        </is>
      </c>
      <c r="Q104" s="232" t="inlineStr">
        <is>
          <t>—</t>
        </is>
      </c>
      <c r="R104" s="232" t="inlineStr">
        <is>
          <t>CoQ reissue (assigned on issue)</t>
        </is>
      </c>
      <c r="S104" s="232" t="inlineStr">
        <is>
          <t>P060062|R</t>
        </is>
      </c>
      <c r="T104" s="239" t="inlineStr">
        <is>
          <t>registered — retest, Tranche 1 (sampled 21–24.07.2026), sampled 24.07.2026; issued 17.08.2026, 7 days after 197-20-M-26 of 10.08.2026; cites iCoA-PP_26-120 of 27.07.2026</t>
        </is>
      </c>
      <c r="U104" s="232">
        <f>IFERROR(INDEX('CoQ Register'!$B:$B,MATCH("P060062|I",'CoQ Register'!$S:$S,0)),"— initial certificate not on the register —")</f>
        <v/>
      </c>
      <c r="V104" s="240" t="n">
        <v>12.25</v>
      </c>
      <c r="W104" s="232" t="inlineStr">
        <is>
          <t>197-20-К/26</t>
        </is>
      </c>
      <c r="X104" s="232" t="inlineStr">
        <is>
          <t>12.00 ± 1.00 (II)</t>
        </is>
      </c>
      <c r="Y104" s="232" t="inlineStr">
        <is>
          <t>11.00 – 12.99 %</t>
        </is>
      </c>
      <c r="Z104" s="232" t="inlineStr">
        <is>
          <t>PM_THC12 : CBD1</t>
        </is>
      </c>
      <c r="AA104" s="232" t="inlineStr">
        <is>
          <t>QCSP_001_PM-II_v.01</t>
        </is>
      </c>
      <c r="AB104" s="241" t="inlineStr">
        <is>
          <t>for review — replaces the issued QCSP_001_PM-II_v.01 (was PM_THC10 : CBD1, 9.00 – 11.00 %); now PM_THC12 : CBD1 11.00 – 12.99 %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197-21-M-26</t>
        </is>
      </c>
      <c r="H105" s="232">
        <f>IFERROR(INDEX('iCoA Register'!$B:$B,MATCH("P060382|R",'iCoA Register'!$AA:$AA,0)),"—")</f>
        <v/>
      </c>
      <c r="I105" s="234">
        <f>IFERROR(INDEX('iCoA Register'!$D:$D,MATCH("P060382|R",'iCoA Register'!$AA:$AA,0)),"")</f>
        <v/>
      </c>
      <c r="J105" s="232" t="inlineStr">
        <is>
          <t>post-SOP</t>
        </is>
      </c>
      <c r="K105" s="232" t="inlineStr">
        <is>
          <t>retest — Tranche 1 (sampled 21–24.07.2026)</t>
        </is>
      </c>
      <c r="L105" s="233" t="inlineStr">
        <is>
          <t>SCR012603</t>
        </is>
      </c>
      <c r="M105" s="232" t="inlineStr">
        <is>
          <t>P060382</t>
        </is>
      </c>
      <c r="N105" s="232" t="inlineStr">
        <is>
          <t>Scrambler</t>
        </is>
      </c>
      <c r="O105" s="232" t="inlineStr">
        <is>
          <t>197-21-K-26, (07.08.2026) [FHM-K]</t>
        </is>
      </c>
      <c r="P105" s="237" t="inlineStr">
        <is>
          <t>—</t>
        </is>
      </c>
      <c r="Q105" s="232" t="inlineStr">
        <is>
          <t>—</t>
        </is>
      </c>
      <c r="R105" s="232" t="inlineStr">
        <is>
          <t>CoQ reissue (assigned on issue)</t>
        </is>
      </c>
      <c r="S105" s="232" t="inlineStr">
        <is>
          <t>P060382|R</t>
        </is>
      </c>
      <c r="T105" s="239" t="inlineStr">
        <is>
          <t>registered — retest, Tranche 1 (sampled 21–24.07.2026), sampled 24.07.2026; issued 17.08.2026, 7 days after 197-21-M-26 of 10.08.2026; cites iCoA-PP_26-119 of 27.07.2026</t>
        </is>
      </c>
      <c r="U105" s="232">
        <f>IFERROR(INDEX('CoQ Register'!$B:$B,MATCH("P060382|I",'CoQ Register'!$S:$S,0)),"— initial certificate not on the register —")</f>
        <v/>
      </c>
      <c r="V105" s="240" t="n">
        <v>17.84</v>
      </c>
      <c r="W105" s="232" t="inlineStr">
        <is>
          <t>197-21-К/26</t>
        </is>
      </c>
      <c r="X105" s="232" t="inlineStr">
        <is>
          <t>18.00 ± 1.80 (II)</t>
        </is>
      </c>
      <c r="Y105" s="232" t="inlineStr">
        <is>
          <t>16.20 – 19.79 %</t>
        </is>
      </c>
      <c r="Z105" s="232" t="inlineStr">
        <is>
          <t>SCR_THC18 : CBD1</t>
        </is>
      </c>
      <c r="AA105" s="232" t="inlineStr">
        <is>
          <t>QCSP_001_SCR-II_v.01</t>
        </is>
      </c>
      <c r="AB105" s="241" t="inlineStr">
        <is>
          <t>for review — replaces the issued QCSP_001_SCR-II_v.01 (was SCR_THC18 : CBD1, 16.20 – 19.80 %); now SCR_THC18 : CBD1 16.20 – 19.79 %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46265</v>
      </c>
      <c r="G106" s="232" t="inlineStr">
        <is>
          <t>534-1065-26</t>
        </is>
      </c>
      <c r="H106" s="232">
        <f>IFERROR(INDEX('iCoA Register'!$B:$B,MATCH("P050212|R2",'iCoA Register'!$AA:$AA,0)),"—")</f>
        <v/>
      </c>
      <c r="I106" s="234">
        <f>IFERROR(INDEX('iCoA Register'!$D:$D,MATCH("P050212|R2",'iCoA Register'!$AA:$AA,0)),"")</f>
        <v/>
      </c>
      <c r="J106" s="232" t="inlineStr">
        <is>
          <t>legacy</t>
        </is>
      </c>
      <c r="K106" s="232" t="inlineStr">
        <is>
          <t>retest — Tranche 1 (sampled 21–24.07.2026)</t>
        </is>
      </c>
      <c r="L106" s="233" t="inlineStr">
        <is>
          <t>CJ062501/2</t>
        </is>
      </c>
      <c r="M106" s="232" t="inlineStr">
        <is>
          <t>P050212</t>
        </is>
      </c>
      <c r="N106" s="232" t="inlineStr">
        <is>
          <t>Cap Junky</t>
        </is>
      </c>
      <c r="O106" s="232" t="inlineStr">
        <is>
          <t>197-4-K-26, (07.08.2026) [FHM-K]</t>
        </is>
      </c>
      <c r="P106" s="237" t="inlineStr">
        <is>
          <t>—</t>
        </is>
      </c>
      <c r="Q106" s="232" t="inlineStr">
        <is>
          <t>—</t>
        </is>
      </c>
      <c r="R106" s="232" t="inlineStr">
        <is>
          <t>CoQ reissue (assigned on issue)</t>
        </is>
      </c>
      <c r="S106" s="232" t="inlineStr">
        <is>
          <t>P050212|R2</t>
        </is>
      </c>
      <c r="T106" s="239" t="inlineStr">
        <is>
          <t>registered — retest, Tranche 1 (sampled 21–24.07.2026), sampled 21.07.2026; issued 07.09.2026, 7 days after 534-1065-26 of 31.08.2026; cites the campaign iCoA of 27.07.2026</t>
        </is>
      </c>
      <c r="U106" s="232">
        <f>IFERROR(INDEX('CoQ Register'!$B:$B,MATCH("P050212|I",'CoQ Register'!$S:$S,0)),"— initial certificate not on the register —")</f>
        <v/>
      </c>
      <c r="V106" s="240" t="n">
        <v>18.91</v>
      </c>
      <c r="W106" s="232" t="inlineStr">
        <is>
          <t>197-4-К/26</t>
        </is>
      </c>
      <c r="X106" s="232" t="inlineStr">
        <is>
          <t>20.00 ± 1.60 (III)</t>
        </is>
      </c>
      <c r="Y106" s="232" t="inlineStr">
        <is>
          <t>18.40 – 21.59 %</t>
        </is>
      </c>
      <c r="Z106" s="232" t="inlineStr">
        <is>
          <t>CJ_THC20 : CBD1</t>
        </is>
      </c>
      <c r="AA106" s="232" t="inlineStr">
        <is>
          <t>QCSP_001_CJ-III_v.01</t>
        </is>
      </c>
      <c r="AB106" s="241" t="inlineStr">
        <is>
          <t>for review — replaces the issued QCSP_001_CJ-III_v.01 (was CJ_THC24 : CBD1, 23.00 – 25.00 %); now CJ_THC20 : CBD1 18.40 – 21.59 %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iCoA-PP_26-123 of 17.08.2026</t>
        </is>
      </c>
      <c r="U107" s="232">
        <f>IFERROR(INDEX('CoQ Register'!$B:$B,MATCH("P060122|I",'CoQ Register'!$S:$S,0)),"— initial certificate not on the register —")</f>
        <v/>
      </c>
      <c r="V107" s="240" t="n">
        <v>12.09</v>
      </c>
      <c r="W107" s="232" t="inlineStr">
        <is>
          <t>220-1-К/26</t>
        </is>
      </c>
      <c r="X107" s="232" t="inlineStr">
        <is>
          <t>12.00 ± 1.20 (I)</t>
        </is>
      </c>
      <c r="Y107" s="232" t="inlineStr">
        <is>
          <t>10.80 – 13.19 %</t>
        </is>
      </c>
      <c r="Z107" s="232" t="inlineStr">
        <is>
          <t>ACC_THC12 : CBD1</t>
        </is>
      </c>
      <c r="AA107" s="232" t="inlineStr">
        <is>
          <t>QCSP_001_ACC-I_v.01</t>
        </is>
      </c>
      <c r="AB107" s="241" t="inlineStr">
        <is>
          <t>for review — replaces the issued QCSP_001_ACC-I_v.01 (was ACC_THC12 : CBD1, 10.80 – 13.20 %); now ACC_THC12 : CBD1 10.80 – 13.19 %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iCoA-PP_26-124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iCoA-PP_26-145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iCoA-PP_26-125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Register'!$B:$B,MATCH("P050222|R2",'iCoA Register'!$AA:$AA,0)),"—")</f>
        <v/>
      </c>
      <c r="I111" s="234">
        <f>IFERROR(INDEX('iCoA Register'!$D:$D,MATCH("P050222|R2",'iCoA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P050222|R2</t>
        </is>
      </c>
      <c r="T111" s="239" t="inlineStr">
        <is>
          <t>registered — retest, Tranche 2 (sampled 12–14.08.2026), sampled 12.08.2026; issued 18.09.2026, 7 days after 220-3-M-26 of 11.09.2026; cites the campaign iCoA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iCoA-PP_26-127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iCoA-PP_26-128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iCoA-PP_26-129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iCoA-PP_26-130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iCoA-PP_26-131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iCoA-PP_26-132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iCoA-PP_26-134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iCoA-PP_26-135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Register'!$B:$B,MATCH("P060182|R2",'iCoA Register'!$AA:$AA,0)),"—")</f>
        <v/>
      </c>
      <c r="I121" s="234">
        <f>IFERROR(INDEX('iCoA Register'!$D:$D,MATCH("P060182|R2",'iCoA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P060182|R2</t>
        </is>
      </c>
      <c r="T121" s="239" t="inlineStr">
        <is>
          <t>registered — retest, Tranche 2 (sampled 12–14.08.2026), sampled 13.08.2026; issued 18.09.2026, 7 days after 220-14-M-26 of 11.09.2026; cites the campaign iCoA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iCoA-PP_26-137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iCoA-PP_26-140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iCoA-PP_26-138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iCoA-PP_26-139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iCoA-PP_26-148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iCoA-PP_26-141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iCoA-PP_26-142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Register'!$B:$B,MATCH("P050042|R2",'iCoA Register'!$AA:$AA,0)),"—")</f>
        <v/>
      </c>
      <c r="I129" s="234">
        <f>IFERROR(INDEX('iCoA Register'!$D:$D,MATCH("P050042|R2",'iCoA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P050042|R2</t>
        </is>
      </c>
      <c r="T129" s="239" t="inlineStr">
        <is>
          <t>registered — retest, Tranche 2 (sampled 12–14.08.2026), sampled 13.08.2026; issued 18.09.2026, 7 days after 220-21-M-26 of 11.09.2026; cites the campaign iCoA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iCoA-PP_26-143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iCoA-PP_26-149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iCoA-PP_26-150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iCoA-PP_26-151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iCoA-PP_26-152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iCoA-PP_26-153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iCoA-PP_26-154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26.00 ± 2.60 (I)</t>
        </is>
      </c>
      <c r="Y166" s="232" t="inlineStr">
        <is>
          <t>23.40 – 28.59 %</t>
        </is>
      </c>
      <c r="Z166" s="232" t="inlineStr">
        <is>
          <t>WED_THC26 : CBD1</t>
        </is>
      </c>
      <c r="AA166" s="232" t="inlineStr">
        <is>
          <t>QCSP_001_WED-I_v.01</t>
        </is>
      </c>
      <c r="AB166" s="235" t="inlineStr">
        <is>
          <t>for review — new</t>
        </is>
      </c>
      <c r="AC166" s="235" t="inlineStr"/>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166/0274/25 —; 748/2025 —</t>
        </is>
      </c>
      <c r="G5" s="245" t="inlineStr">
        <is>
          <t>iCoA-PP_26-004 03.06.26 PP*</t>
        </is>
      </c>
      <c r="H5" s="245" t="inlineStr">
        <is>
          <t>iCoA-PP_26-004 03.06.26 PP*</t>
        </is>
      </c>
      <c r="I5" s="246" t="inlineStr">
        <is>
          <t>n/t</t>
        </is>
      </c>
      <c r="J5" s="246" t="inlineStr">
        <is>
          <t>n/t</t>
        </is>
      </c>
      <c r="K5" s="246" t="inlineStr">
        <is>
          <t>n/t</t>
        </is>
      </c>
      <c r="L5" s="246" t="inlineStr">
        <is>
          <t>n/t</t>
        </is>
      </c>
      <c r="M5" s="245" t="inlineStr">
        <is>
          <t>iCoA-PP_26-004 03.06.26 PP*</t>
        </is>
      </c>
      <c r="N5" s="245" t="inlineStr">
        <is>
          <t>ППК25008 29.01.25 CNP</t>
        </is>
      </c>
      <c r="O5" s="245" t="inlineStr">
        <is>
          <t>166/0274/25 24.02.25 IJZ</t>
        </is>
      </c>
      <c r="P5" s="246" t="inlineStr">
        <is>
          <t>748/2025 04.03.25 IJZ; also 220-9-М/26; n/t 10.1,10.3</t>
        </is>
      </c>
      <c r="Q5" s="245" t="inlineStr">
        <is>
          <t>748/2025 04.03.25 IJZ</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6" t="inlineStr">
        <is>
          <t>n/t</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6" t="inlineStr">
        <is>
          <t>n/t</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471-0862-25 16.05.25; 2471-2025 15.05.25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471-0862-25 22.05.25 IJZ-MB</t>
        </is>
      </c>
      <c r="P8" s="246" t="inlineStr">
        <is>
          <t>2471-2025 30.05.25 IJZ; also 197-11-М/26; n/t 10.1,10.3</t>
        </is>
      </c>
      <c r="Q8" s="245" t="inlineStr">
        <is>
          <t>2471-2025 30.05.25 IJZ</t>
        </is>
      </c>
      <c r="R8" s="245" t="inlineStr">
        <is>
          <t>2471-2025 30.05.25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407-0745-25 29.04.25;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407-0745-25 05.05.25 IJZ-MB</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1157/2058/25 17.11.25; 276-31-М/25 14.11.25; 5661/2025 21.11.25; 10802_2845/2 —</t>
        </is>
      </c>
      <c r="G26" s="245" t="inlineStr">
        <is>
          <t>iCoA-PP_26-023 03.06.26 PP*</t>
        </is>
      </c>
      <c r="H26" s="245" t="inlineStr">
        <is>
          <t>iCoA-PP_26-023 03.06.26 PP*</t>
        </is>
      </c>
      <c r="I26" s="246" t="inlineStr">
        <is>
          <t>n/t</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1009/1813/25 02.10.25; 4762/2025 01.10.25</t>
        </is>
      </c>
      <c r="G27" s="245" t="inlineStr">
        <is>
          <t>iCoA-PP_26-024 03.06.26 PP*</t>
        </is>
      </c>
      <c r="H27" s="245" t="inlineStr">
        <is>
          <t>iCoA-PP_26-024 03.06.26 PP*</t>
        </is>
      </c>
      <c r="I27" s="246" t="inlineStr">
        <is>
          <t>n/t</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iCoA-PP_26-029 03.06.26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iCoA-PP_26-029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ППК25370 24.11.25; 1219/2170/25 26.11.25; 5700/2025 24.11.25</t>
        </is>
      </c>
      <c r="G33" s="245" t="inlineStr">
        <is>
          <t>iCoA-PP_26-030 03.06.26 PP*</t>
        </is>
      </c>
      <c r="H33" s="245" t="inlineStr">
        <is>
          <t>iCoA-PP_26-030 03.06.26 PP*</t>
        </is>
      </c>
      <c r="I33" s="245" t="inlineStr">
        <is>
          <t>ППК25370 28.11.25 CNP</t>
        </is>
      </c>
      <c r="J33" s="245" t="inlineStr">
        <is>
          <t>ППК25370 28.11.25 CNP; also 220-7-К/26</t>
        </is>
      </c>
      <c r="K33" s="245" t="inlineStr">
        <is>
          <t>ППК25370 28.11.25 CNP; also 220-7-К/26</t>
        </is>
      </c>
      <c r="L33" s="245" t="inlineStr">
        <is>
          <t>ППК25370 28.11.25 CNP DAB</t>
        </is>
      </c>
      <c r="M33" s="245" t="inlineStr">
        <is>
          <t>iCoA-PP_26-030 03.06.26 PP*</t>
        </is>
      </c>
      <c r="N33" s="245" t="inlineStr">
        <is>
          <t>ППК25370 28.11.25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ППК25378 01.12.25; 1228/2194/25 01.12.25; 5886/2025 01.12.25</t>
        </is>
      </c>
      <c r="G34" s="245" t="inlineStr">
        <is>
          <t>iCoA-PP_26-031 03.06.26 PP*</t>
        </is>
      </c>
      <c r="H34" s="245" t="inlineStr">
        <is>
          <t>iCoA-PP_26-031 03.06.26 PP*</t>
        </is>
      </c>
      <c r="I34" s="245" t="inlineStr">
        <is>
          <t>ППК25378 12.12.25 CNP</t>
        </is>
      </c>
      <c r="J34" s="245" t="inlineStr">
        <is>
          <t>ППК25378 12.12.25 CNP; also 227-17-К/26</t>
        </is>
      </c>
      <c r="K34" s="245" t="inlineStr">
        <is>
          <t>ППК25378 12.12.25 CNP; also 227-17-К/26</t>
        </is>
      </c>
      <c r="L34" s="246" t="inlineStr">
        <is>
          <t>n/t</t>
        </is>
      </c>
      <c r="M34" s="245" t="inlineStr">
        <is>
          <t>iCoA-PP_26-031 03.06.26 PP*</t>
        </is>
      </c>
      <c r="N34" s="245" t="inlineStr">
        <is>
          <t>ППК25378 12.12.25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ППК25379 01.12.25; 1229/2195/25 01.12.25; 5887/2025 01.12.25</t>
        </is>
      </c>
      <c r="G35" s="245" t="inlineStr">
        <is>
          <t>iCoA-PP_26-032 03.06.26 PP*</t>
        </is>
      </c>
      <c r="H35" s="245" t="inlineStr">
        <is>
          <t>iCoA-PP_26-032 03.06.26 PP*</t>
        </is>
      </c>
      <c r="I35" s="245" t="inlineStr">
        <is>
          <t>ППК25379 12.12.25 CNP</t>
        </is>
      </c>
      <c r="J35" s="245" t="inlineStr">
        <is>
          <t>ППК25379 12.12.25 CNP; also 220-10-К/26</t>
        </is>
      </c>
      <c r="K35" s="245" t="inlineStr">
        <is>
          <t>ППК25379 12.12.25 CNP; also 220-10-К/26</t>
        </is>
      </c>
      <c r="L35" s="245" t="inlineStr">
        <is>
          <t>ППК25379 12.12.25 CNP DAB</t>
        </is>
      </c>
      <c r="M35" s="245" t="inlineStr">
        <is>
          <t>iCoA-PP_26-032 03.06.26 PP*</t>
        </is>
      </c>
      <c r="N35" s="245" t="inlineStr">
        <is>
          <t>ППК25379 12.12.25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ППК25380 01.12.25; 1226/2192/25 01.12.25; 5888/2025 01.12.25</t>
        </is>
      </c>
      <c r="G36" s="245" t="inlineStr">
        <is>
          <t>iCoA-PP_26-033 03.06.26 PP*</t>
        </is>
      </c>
      <c r="H36" s="245" t="inlineStr">
        <is>
          <t>iCoA-PP_26-033 03.06.26 PP*</t>
        </is>
      </c>
      <c r="I36" s="245" t="inlineStr">
        <is>
          <t>ППК25380 12.12.25 CNP</t>
        </is>
      </c>
      <c r="J36" s="245" t="inlineStr">
        <is>
          <t>ППК25380 12.12.25 CNP; also 220-12-К/26</t>
        </is>
      </c>
      <c r="K36" s="245" t="inlineStr">
        <is>
          <t>ППК25380 12.12.25 CNP; also 220-12-К/26</t>
        </is>
      </c>
      <c r="L36" s="245" t="inlineStr">
        <is>
          <t>ППК25380 12.12.25 CNP DAB</t>
        </is>
      </c>
      <c r="M36" s="245" t="inlineStr">
        <is>
          <t>iCoA-PP_26-033 03.06.26 PP*</t>
        </is>
      </c>
      <c r="N36" s="245" t="inlineStr">
        <is>
          <t>ППК25380 12.12.25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ППК25381 01.12.25; 1227/2193/25 —; 5889/2025 01.12.25</t>
        </is>
      </c>
      <c r="G37" s="245" t="inlineStr">
        <is>
          <t>iCoA-PP_26-034 03.06.26 PP*</t>
        </is>
      </c>
      <c r="H37" s="245" t="inlineStr">
        <is>
          <t>iCoA-PP_26-034 03.06.26 PP*</t>
        </is>
      </c>
      <c r="I37" s="245" t="inlineStr">
        <is>
          <t>ППК25381 12.12.25 CNP</t>
        </is>
      </c>
      <c r="J37" s="245" t="inlineStr">
        <is>
          <t>ППК25381 12.12.25 CNP; also 197-12-К/26</t>
        </is>
      </c>
      <c r="K37" s="245" t="inlineStr">
        <is>
          <t>ППК25381 12.12.25 CNP; also 197-12-К/26</t>
        </is>
      </c>
      <c r="L37" s="245" t="inlineStr">
        <is>
          <t>ППК25381 12.12.25 CNP DAB</t>
        </is>
      </c>
      <c r="M37" s="245" t="inlineStr">
        <is>
          <t>iCoA-PP_26-034 03.06.26 PP*</t>
        </is>
      </c>
      <c r="N37" s="245" t="inlineStr">
        <is>
          <t>ППК25381 12.12.25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ППК26005 08.01.26; 7/0010/26 12.01.25; 84/2026 08.01.26</t>
        </is>
      </c>
      <c r="G42" s="245" t="inlineStr">
        <is>
          <t>iCoA-PP_26-039 03.06.26 PP*</t>
        </is>
      </c>
      <c r="H42" s="245" t="inlineStr">
        <is>
          <t>iCoA-PP_26-039 03.06.26 PP*</t>
        </is>
      </c>
      <c r="I42" s="245" t="inlineStr">
        <is>
          <t>ППК26005 21.01.26 CNP</t>
        </is>
      </c>
      <c r="J42" s="245" t="inlineStr">
        <is>
          <t>ППК26005 21.01.26 CNP; also 227-30-К/26</t>
        </is>
      </c>
      <c r="K42" s="245" t="inlineStr">
        <is>
          <t>ППК26005 21.01.26 CNP; also 227-30-К/26</t>
        </is>
      </c>
      <c r="L42" s="246" t="inlineStr">
        <is>
          <t>n/t</t>
        </is>
      </c>
      <c r="M42" s="245" t="inlineStr">
        <is>
          <t>iCoA-PP_26-039 03.06.26 PP*</t>
        </is>
      </c>
      <c r="N42" s="245" t="inlineStr">
        <is>
          <t>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031-3-ГС/26 —</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5" t="inlineStr">
        <is>
          <t>031-3-ГС/26 12.02.26 FHM</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031-2-К/26 —; 031-2-ГС/26 —; 74/0117/26 —; 327/2026 —</t>
        </is>
      </c>
      <c r="G48" s="245" t="inlineStr">
        <is>
          <t>iCoA-PP_26-045 03.06.26 PP*</t>
        </is>
      </c>
      <c r="H48" s="245" t="inlineStr">
        <is>
          <t>iCoA-PP_26-045 03.06.26 PP*</t>
        </is>
      </c>
      <c r="I48" s="245" t="inlineStr">
        <is>
          <t>031-2-К/26 10.02.26 FHM-K</t>
        </is>
      </c>
      <c r="J48" s="246" t="inlineStr">
        <is>
          <t>n/t</t>
        </is>
      </c>
      <c r="K48" s="245" t="inlineStr">
        <is>
          <t>031-2-К/26 10.02.26 FHM-K</t>
        </is>
      </c>
      <c r="L48" s="245" t="inlineStr">
        <is>
          <t>031-2-К/26 10.02.26 FHM-K</t>
        </is>
      </c>
      <c r="M48" s="245" t="inlineStr">
        <is>
          <t>iCoA-PP_26-045 03.06.26 PP*</t>
        </is>
      </c>
      <c r="N48" s="245" t="inlineStr">
        <is>
          <t>031-2-ГС/26 11.02.26 FHM</t>
        </is>
      </c>
      <c r="O48" s="245" t="inlineStr">
        <is>
          <t>74/0117/26 09.02.26 IJZ</t>
        </is>
      </c>
      <c r="P48" s="246" t="inlineStr">
        <is>
          <t>327/2026 11.02.26 IJZ; also 220-25-М/26; n/t 10.1,10.3</t>
        </is>
      </c>
      <c r="Q48" s="245" t="inlineStr">
        <is>
          <t>327/2026 11.02.26 IJZ</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031-5-К/26 —; 031-5-ГС/26 —; 77/0120/26 —; 326/2026 —</t>
        </is>
      </c>
      <c r="G49" s="245" t="inlineStr">
        <is>
          <t>iCoA-PP_26-046 03.06.26 PP*</t>
        </is>
      </c>
      <c r="H49" s="245" t="inlineStr">
        <is>
          <t>iCoA-PP_26-046 03.06.26 PP*</t>
        </is>
      </c>
      <c r="I49" s="245" t="inlineStr">
        <is>
          <t>031-5-К/26 10.02.26 FHM-K</t>
        </is>
      </c>
      <c r="J49" s="246" t="inlineStr">
        <is>
          <t>n/t</t>
        </is>
      </c>
      <c r="K49" s="246" t="inlineStr">
        <is>
          <t>n/t</t>
        </is>
      </c>
      <c r="L49" s="246" t="inlineStr">
        <is>
          <t>n/t</t>
        </is>
      </c>
      <c r="M49" s="245" t="inlineStr">
        <is>
          <t>iCoA-PP_26-046 03.06.26 PP*</t>
        </is>
      </c>
      <c r="N49" s="245" t="inlineStr">
        <is>
          <t>031-5-ГС/26 12.02.26 FHM</t>
        </is>
      </c>
      <c r="O49" s="245" t="inlineStr">
        <is>
          <t>77/0120/26 09.02.26 IJZ</t>
        </is>
      </c>
      <c r="P49" s="246" t="inlineStr">
        <is>
          <t>326/2026 11.02.26 IJZ; also 220-1-М/26; n/t 10.1,10.3</t>
        </is>
      </c>
      <c r="Q49" s="245" t="inlineStr">
        <is>
          <t>326/2026 11.02.26 IJZ</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031-4-К/26 —; 031-4-ГС/26 —; 73/0116/26 —; 330/2026 —</t>
        </is>
      </c>
      <c r="G50" s="245" t="inlineStr">
        <is>
          <t>iCoA-PP_26-047 03.06.26 PP*</t>
        </is>
      </c>
      <c r="H50" s="245" t="inlineStr">
        <is>
          <t>iCoA-PP_26-047 03.06.26 PP*</t>
        </is>
      </c>
      <c r="I50" s="245" t="inlineStr">
        <is>
          <t>031-4-К/26 10.02.26 FHM-K</t>
        </is>
      </c>
      <c r="J50" s="246" t="inlineStr">
        <is>
          <t>n/t</t>
        </is>
      </c>
      <c r="K50" s="246" t="inlineStr">
        <is>
          <t>n/t</t>
        </is>
      </c>
      <c r="L50" s="246" t="inlineStr">
        <is>
          <t>n/t</t>
        </is>
      </c>
      <c r="M50" s="245" t="inlineStr">
        <is>
          <t>iCoA-PP_26-047 03.06.26 PP*</t>
        </is>
      </c>
      <c r="N50" s="245" t="inlineStr">
        <is>
          <t>031-4-ГС/26 12.02.26 FHM</t>
        </is>
      </c>
      <c r="O50" s="245" t="inlineStr">
        <is>
          <t>73/0116/26 09.02.26 IJZ; 73/0116/26 09.02.26 IJZ OOS</t>
        </is>
      </c>
      <c r="P50" s="246" t="inlineStr">
        <is>
          <t>330/2026 11.02.26 IJZ; also 220-6-М/26; n/t 10.1,10.3</t>
        </is>
      </c>
      <c r="Q50" s="245" t="inlineStr">
        <is>
          <t>330/2026 11.02.26 IJZ</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051-1-К/26 23.02.26; 051-1-ГС/26 —; 133/0230/26 —; 1056/2026 —</t>
        </is>
      </c>
      <c r="G52" s="245" t="inlineStr">
        <is>
          <t>iCoA-PP_26-052 03.06.26 PP*</t>
        </is>
      </c>
      <c r="H52" s="245" t="inlineStr">
        <is>
          <t>iCoA-PP_26-052 03.06.26 PP*</t>
        </is>
      </c>
      <c r="I52" s="245" t="inlineStr">
        <is>
          <t>051-1-К/26 04.03.26 FHM-K</t>
        </is>
      </c>
      <c r="J52" s="245" t="inlineStr">
        <is>
          <t>051-1-К/26 04.03.26 FHM-K; also 197-16-К/26</t>
        </is>
      </c>
      <c r="K52" s="245" t="inlineStr">
        <is>
          <t>051-1-К/26 04.03.26 FHM-K; also 197-16-К/26</t>
        </is>
      </c>
      <c r="L52" s="245" t="inlineStr">
        <is>
          <t>051-1-К/26 04.03.26 FHM-K; also 197-16-К/26</t>
        </is>
      </c>
      <c r="M52" s="245" t="inlineStr">
        <is>
          <t>iCoA-PP_26-052 03.06.26 PP*</t>
        </is>
      </c>
      <c r="N52" s="245" t="inlineStr">
        <is>
          <t>051-1-ГС/26 02.03.26 FHM-K</t>
        </is>
      </c>
      <c r="O52" s="245" t="inlineStr">
        <is>
          <t>133/0230/26 06.03.26 IJZ</t>
        </is>
      </c>
      <c r="P52" s="246" t="inlineStr">
        <is>
          <t>1056/2026 09.03.26 IJZ; also 197-16-М/26; n/t 10.1,10.3</t>
        </is>
      </c>
      <c r="Q52" s="245" t="inlineStr">
        <is>
          <t>1056/2026 09.03.26 IJZ</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051-3-К/26 23.02.26; 051-3-ГС/26 —</t>
        </is>
      </c>
      <c r="G53" s="245" t="inlineStr">
        <is>
          <t>iCoA-PP_26-053 03.06.26 PP*</t>
        </is>
      </c>
      <c r="H53" s="245" t="inlineStr">
        <is>
          <t>iCoA-PP_26-053 03.06.26 PP*</t>
        </is>
      </c>
      <c r="I53" s="245" t="inlineStr">
        <is>
          <t>051-3-К/26 04.03.26 FHM-K</t>
        </is>
      </c>
      <c r="J53" s="245" t="inlineStr">
        <is>
          <t>051-3-К/26 04.03.26 FHM-K; also 227-6-К/26</t>
        </is>
      </c>
      <c r="K53" s="245" t="inlineStr">
        <is>
          <t>051-3-К/26 04.03.26 FHM-K; also 227-6-К/26</t>
        </is>
      </c>
      <c r="L53" s="245" t="inlineStr">
        <is>
          <t>051-3-К/26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051-4-К/26 23.02.26; 051-4-ГС/26 —; 129/0226/26 —; 1058/2026 —</t>
        </is>
      </c>
      <c r="G54" s="245" t="inlineStr">
        <is>
          <t>iCoA-PP_26-054 03.06.26 PP*</t>
        </is>
      </c>
      <c r="H54" s="245" t="inlineStr">
        <is>
          <t>iCoA-PP_26-054 03.06.26 PP*</t>
        </is>
      </c>
      <c r="I54" s="245" t="inlineStr">
        <is>
          <t>051-4-К/26 04.03.26 FHM-K</t>
        </is>
      </c>
      <c r="J54" s="245" t="inlineStr">
        <is>
          <t>051-4-К/26 04.03.26 FHM-K; also 220-19-К/26</t>
        </is>
      </c>
      <c r="K54" s="245" t="inlineStr">
        <is>
          <t>051-4-К/26 04.03.26 FHM-K; also 220-19-К/26</t>
        </is>
      </c>
      <c r="L54" s="245" t="inlineStr">
        <is>
          <t>051-4-К/26 04.03.26 FHM-K; also 220-19-К/26</t>
        </is>
      </c>
      <c r="M54" s="245" t="inlineStr">
        <is>
          <t>iCoA-PP_26-054 03.06.26 PP*</t>
        </is>
      </c>
      <c r="N54" s="245" t="inlineStr">
        <is>
          <t>051-4-ГС/26 02.03.26 FHM-K</t>
        </is>
      </c>
      <c r="O54" s="245" t="inlineStr">
        <is>
          <t>129/0226/26 06.03.26 IJZ</t>
        </is>
      </c>
      <c r="P54" s="246" t="inlineStr">
        <is>
          <t>1058/2026 09.03.26 IJZ; also 220-19-М/26; n/t 10.1,10.3</t>
        </is>
      </c>
      <c r="Q54" s="245" t="inlineStr">
        <is>
          <t>1058/2026 09.03.26 IJZ</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051-6-К/26 23.02.26; 051-6-ГС/26 —; 1060/2026 —</t>
        </is>
      </c>
      <c r="G55" s="245" t="inlineStr">
        <is>
          <t>iCoA-PP_26-055 03.06.26 PP*</t>
        </is>
      </c>
      <c r="H55" s="245" t="inlineStr">
        <is>
          <t>iCoA-PP_26-055 03.06.26 PP*</t>
        </is>
      </c>
      <c r="I55" s="245" t="inlineStr">
        <is>
          <t>051-6-К/26 04.03.26 FHM-K</t>
        </is>
      </c>
      <c r="J55" s="245" t="inlineStr">
        <is>
          <t>051-6-К/26 04.03.26 FHM-K; also 220-14-К/26</t>
        </is>
      </c>
      <c r="K55" s="245" t="inlineStr">
        <is>
          <t>051-6-К/26 04.03.26 FHM-K; also 220-14-К/26</t>
        </is>
      </c>
      <c r="L55" s="245" t="inlineStr">
        <is>
          <t>051-6-К/26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051-2-К/26 23.02.26; 051-2-ГС/26 —</t>
        </is>
      </c>
      <c r="G56" s="245" t="inlineStr">
        <is>
          <t>iCoA-PP_26-056 03.06.26 PP*</t>
        </is>
      </c>
      <c r="H56" s="245" t="inlineStr">
        <is>
          <t>iCoA-PP_26-056 03.06.26 PP*</t>
        </is>
      </c>
      <c r="I56" s="245" t="inlineStr">
        <is>
          <t>051-2-К/26 04.03.26 FHM-K</t>
        </is>
      </c>
      <c r="J56" s="245" t="inlineStr">
        <is>
          <t>051-2-К/26 04.03.26 FHM-K; also 227-5-К/26</t>
        </is>
      </c>
      <c r="K56" s="245" t="inlineStr">
        <is>
          <t>051-2-К/26 04.03.26 FHM-K; also 227-5-К/26</t>
        </is>
      </c>
      <c r="L56" s="245" t="inlineStr">
        <is>
          <t>051-2-К/26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051-5-К/26 23.02.26; 051-5-ГС/26 —</t>
        </is>
      </c>
      <c r="G57" s="245" t="inlineStr">
        <is>
          <t>iCoA-PP_26-057 03.06.26 PP*</t>
        </is>
      </c>
      <c r="H57" s="245" t="inlineStr">
        <is>
          <t>iCoA-PP_26-057 03.06.26 PP*</t>
        </is>
      </c>
      <c r="I57" s="245" t="inlineStr">
        <is>
          <t>051-5-К/26 04.03.26 FHM-K</t>
        </is>
      </c>
      <c r="J57" s="245" t="inlineStr">
        <is>
          <t>051-5-К/26 04.03.26 FHM-K; also 227-14-К/26</t>
        </is>
      </c>
      <c r="K57" s="245" t="inlineStr">
        <is>
          <t>051-5-К/26 04.03.26 FHM-K; also 227-14-К/26</t>
        </is>
      </c>
      <c r="L57" s="245" t="inlineStr">
        <is>
          <t>051-5-К/26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135/0232/26 —;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5" t="inlineStr">
        <is>
          <t>135/0232/26 06.03.26 IJZ</t>
        </is>
      </c>
      <c r="P60" s="246" t="inlineStr">
        <is>
          <t>1059/2026 09.03.26 IJZ; also 220-24-М/26; n/t 10.1,10.3</t>
        </is>
      </c>
      <c r="Q60" s="245" t="inlineStr">
        <is>
          <t>1059/2026 09.03.26 IJZ</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361/0691/26 —</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5" t="inlineStr">
        <is>
          <t>361/0691/26 01.06.26 IJZ; 361/0691/26 01.06.26 IJZ OOS</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366/0696/26 —</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5" t="inlineStr">
        <is>
          <t>366/0696/26 01.06.26 IJZ; 366/0696/26 01.06.26 IJZ OOS</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365/0695/26 —</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5" t="inlineStr">
        <is>
          <t>365/0695/26 01.06.26 IJZ</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363/0693/26 —</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5" t="inlineStr">
        <is>
          <t>363/0693/26 01.06.26 IJZ</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364/0694/26 —</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5" t="inlineStr">
        <is>
          <t>364/0694/26 01.06.26 IJZ; 364/0694/26 01.06.26 IJZ undetermined</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404/0787/26 —;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5" t="inlineStr">
        <is>
          <t>404/0787/26 24.06.26 IJZ</t>
        </is>
      </c>
      <c r="P78" s="246" t="inlineStr">
        <is>
          <t>3659/2026 22.06.26 IJZ; also 197-8-М/26; n/t 10.1,10.3</t>
        </is>
      </c>
      <c r="Q78" s="245" t="inlineStr">
        <is>
          <t>3659/2026 22.06.26 IJZ</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iCoA-PP_26-098 27.07.26 PP</t>
        </is>
      </c>
      <c r="H86" s="245" t="inlineStr">
        <is>
          <t>iCoA-PP_26-098 27.07.26 PP</t>
        </is>
      </c>
      <c r="I86" s="245" t="inlineStr">
        <is>
          <t>197-1-К/26 07.08.26 FHM-K</t>
        </is>
      </c>
      <c r="J86" s="245" t="inlineStr">
        <is>
          <t>197-1-К/26 07.08.26 FHM-K</t>
        </is>
      </c>
      <c r="K86" s="245" t="inlineStr">
        <is>
          <t>197-1-К/26 07.08.26 FHM-K</t>
        </is>
      </c>
      <c r="L86" s="245" t="inlineStr">
        <is>
          <t>197-1-К/26 07.08.26 FHM-K</t>
        </is>
      </c>
      <c r="M86" s="245" t="inlineStr">
        <is>
          <t>iCoA-PP_26-098 27.07.26 PP</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iCoA-PP_26-099 27.07.26 PP</t>
        </is>
      </c>
      <c r="H87" s="245" t="inlineStr">
        <is>
          <t>iCoA-PP_26-099 27.07.26 PP</t>
        </is>
      </c>
      <c r="I87" s="245" t="inlineStr">
        <is>
          <t>197-2-К/26 07.08.26 FHM-K</t>
        </is>
      </c>
      <c r="J87" s="245" t="inlineStr">
        <is>
          <t>197-2-К/26 07.08.26 FHM-K</t>
        </is>
      </c>
      <c r="K87" s="245" t="inlineStr">
        <is>
          <t>197-2-К/26 07.08.26 FHM-K</t>
        </is>
      </c>
      <c r="L87" s="245" t="inlineStr">
        <is>
          <t>197-2-К/26 07.08.26 FHM-K</t>
        </is>
      </c>
      <c r="M87" s="245" t="inlineStr">
        <is>
          <t>iCoA-PP_26-099 27.07.26 PP</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361/0691/26 —; 197-6-М/26 29.07.26</t>
        </is>
      </c>
      <c r="G88" s="245" t="inlineStr">
        <is>
          <t>iCoA-PP_26-103 27.07.26 PP</t>
        </is>
      </c>
      <c r="H88" s="245" t="inlineStr">
        <is>
          <t>iCoA-PP_26-103 27.07.26 PP</t>
        </is>
      </c>
      <c r="I88" s="245" t="inlineStr">
        <is>
          <t>197-6-К/26 07.08.26 FHM-K</t>
        </is>
      </c>
      <c r="J88" s="245" t="inlineStr">
        <is>
          <t>197-6-К/26 07.08.26 FHM-K</t>
        </is>
      </c>
      <c r="K88" s="245" t="inlineStr">
        <is>
          <t>197-6-К/26 07.08.26 FHM-K</t>
        </is>
      </c>
      <c r="L88" s="245" t="inlineStr">
        <is>
          <t>197-6-К/26 07.08.26 FHM-K</t>
        </is>
      </c>
      <c r="M88" s="245" t="inlineStr">
        <is>
          <t>iCoA-PP_26-103 27.07.26 PP</t>
        </is>
      </c>
      <c r="N88" s="246" t="inlineStr">
        <is>
          <t>n/t (initial)</t>
        </is>
      </c>
      <c r="O88" s="245" t="inlineStr">
        <is>
          <t>361/0691/26 01.06.26 IJZ; 361/0691/26 01.06.26 IJZ OOS</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iCoA-PP_26-100 27.07.26 PP</t>
        </is>
      </c>
      <c r="H89" s="245" t="inlineStr">
        <is>
          <t>iCoA-PP_26-100 27.07.26 PP</t>
        </is>
      </c>
      <c r="I89" s="245" t="inlineStr">
        <is>
          <t>197-3-К/26 07.08.26 FHM-K</t>
        </is>
      </c>
      <c r="J89" s="245" t="inlineStr">
        <is>
          <t>197-3-К/26 07.08.26 FHM-K</t>
        </is>
      </c>
      <c r="K89" s="245" t="inlineStr">
        <is>
          <t>197-3-К/26 07.08.26 FHM-K</t>
        </is>
      </c>
      <c r="L89" s="245" t="inlineStr">
        <is>
          <t>197-3-К/26 07.08.26 FHM-K</t>
        </is>
      </c>
      <c r="M89" s="245" t="inlineStr">
        <is>
          <t>iCoA-PP_26-100 27.07.26 PP</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P060032 (CJ082501/2)</t>
        </is>
      </c>
      <c r="C90" s="245" t="inlineStr">
        <is>
          <t>retest (predicted)</t>
        </is>
      </c>
      <c r="D90" s="245" t="inlineStr">
        <is>
          <t>17.08.26</t>
        </is>
      </c>
      <c r="E90" s="245" t="inlineStr">
        <is>
          <t>21.07.26</t>
        </is>
      </c>
      <c r="F90" s="245" t="inlineStr">
        <is>
          <t>197-5-К/26 27.07.26; ППК26003 08.01.26; 4/0007/26 12.01.25; 197-5-М/26 29.07.26; 82/2026 08.01.26</t>
        </is>
      </c>
      <c r="G90" s="245" t="inlineStr">
        <is>
          <t>iCoA-PP_26-102 27.07.26 PP</t>
        </is>
      </c>
      <c r="H90" s="245" t="inlineStr">
        <is>
          <t>iCoA-PP_26-102 27.07.26 PP</t>
        </is>
      </c>
      <c r="I90" s="245" t="inlineStr">
        <is>
          <t>197-5-К/26 07.08.26 FHM-K</t>
        </is>
      </c>
      <c r="J90" s="245" t="inlineStr">
        <is>
          <t>197-5-К/26 07.08.26 FHM-K</t>
        </is>
      </c>
      <c r="K90" s="245" t="inlineStr">
        <is>
          <t>197-5-К/26 07.08.26 FHM-K</t>
        </is>
      </c>
      <c r="L90" s="245" t="inlineStr">
        <is>
          <t>197-5-К/26 07.08.26 FHM-K</t>
        </is>
      </c>
      <c r="M90" s="245" t="inlineStr">
        <is>
          <t>iCoA-PP_26-102 27.07.26 PP</t>
        </is>
      </c>
      <c r="N90" s="245" t="inlineStr">
        <is>
          <t>ППК26003 21.01.26 CNP (initial) DAB</t>
        </is>
      </c>
      <c r="O90" s="245" t="inlineStr">
        <is>
          <t>4/0007/26 20.01.26 IJZ-MB (initial)</t>
        </is>
      </c>
      <c r="P90" s="245" t="inlineStr">
        <is>
          <t>197-5-М/26 10.08.26 FHM-M</t>
        </is>
      </c>
      <c r="Q90" s="245" t="inlineStr">
        <is>
          <t>82/2026 02.02.26 IJZ (initial)</t>
        </is>
      </c>
      <c r="R90" s="245" t="inlineStr">
        <is>
          <t>82/2026 02.02.26 IJZ (initial)</t>
        </is>
      </c>
    </row>
    <row r="91">
      <c r="A91" s="245" t="inlineStr">
        <is>
          <t>CoQ-PP_26-090</t>
        </is>
      </c>
      <c r="B91" s="245" t="inlineStr">
        <is>
          <t>P060352 (FB012602)</t>
        </is>
      </c>
      <c r="C91" s="245" t="inlineStr">
        <is>
          <t>retest (predicted)</t>
        </is>
      </c>
      <c r="D91" s="245" t="inlineStr">
        <is>
          <t>17.08.26</t>
        </is>
      </c>
      <c r="E91" s="245" t="inlineStr">
        <is>
          <t>22.07.26</t>
        </is>
      </c>
      <c r="F91" s="245" t="inlineStr">
        <is>
          <t>197-7-К/26 27.07.26; 366/0696/26 —; 197-7-М/26 29.07.26</t>
        </is>
      </c>
      <c r="G91" s="245" t="inlineStr">
        <is>
          <t>iCoA-PP_26-107 27.07.26 PP</t>
        </is>
      </c>
      <c r="H91" s="245" t="inlineStr">
        <is>
          <t>iCoA-PP_26-107 27.07.26 PP</t>
        </is>
      </c>
      <c r="I91" s="245" t="inlineStr">
        <is>
          <t>197-7-К/26 07.08.26 FHM-K</t>
        </is>
      </c>
      <c r="J91" s="245" t="inlineStr">
        <is>
          <t>197-7-К/26 07.08.26 FHM-K</t>
        </is>
      </c>
      <c r="K91" s="245" t="inlineStr">
        <is>
          <t>197-7-К/26 07.08.26 FHM-K</t>
        </is>
      </c>
      <c r="L91" s="245" t="inlineStr">
        <is>
          <t>197-7-К/26 07.08.26 FHM-K</t>
        </is>
      </c>
      <c r="M91" s="245" t="inlineStr">
        <is>
          <t>iCoA-PP_26-107 27.07.26 PP</t>
        </is>
      </c>
      <c r="N91" s="246" t="inlineStr">
        <is>
          <t>n/t (initial)</t>
        </is>
      </c>
      <c r="O91" s="245" t="inlineStr">
        <is>
          <t>366/0696/26 01.06.26 IJZ; 366/0696/26 01.06.26 IJZ OOS</t>
        </is>
      </c>
      <c r="P91" s="245" t="inlineStr">
        <is>
          <t>197-7-М/26 10.08.26 FHM-M</t>
        </is>
      </c>
      <c r="Q91" s="246" t="inlineStr">
        <is>
          <t>n/t (initial)</t>
        </is>
      </c>
      <c r="R91" s="246" t="inlineStr">
        <is>
          <t>n/t (initial)</t>
        </is>
      </c>
    </row>
    <row r="92">
      <c r="A92" s="245" t="inlineStr">
        <is>
          <t>CoQ-PP_26-091</t>
        </is>
      </c>
      <c r="B92" s="245" t="inlineStr">
        <is>
          <t>P060402 (GG012603)</t>
        </is>
      </c>
      <c r="C92" s="245" t="inlineStr">
        <is>
          <t>retest (predicted)</t>
        </is>
      </c>
      <c r="D92" s="245" t="inlineStr">
        <is>
          <t>17.08.26</t>
        </is>
      </c>
      <c r="E92" s="245" t="inlineStr">
        <is>
          <t>22.07.26</t>
        </is>
      </c>
      <c r="F92" s="245" t="inlineStr">
        <is>
          <t>ППК26114 17.06.26; 197-8-К/26 27.07.26; 404/0787/26 —; 197-8-М/26 29.07.26; 3659/2026 —</t>
        </is>
      </c>
      <c r="G92" s="245" t="inlineStr">
        <is>
          <t>ППК26114 30.06.26 CNP (initial)</t>
        </is>
      </c>
      <c r="H92" s="245" t="inlineStr">
        <is>
          <t>ППК26114 30.06.26 CNP (initial)</t>
        </is>
      </c>
      <c r="I92" s="245" t="inlineStr">
        <is>
          <t>197-8-К/26 07.08.26 FHM-K</t>
        </is>
      </c>
      <c r="J92" s="245" t="inlineStr">
        <is>
          <t>197-8-К/26 07.08.26 FHM-K</t>
        </is>
      </c>
      <c r="K92" s="245" t="inlineStr">
        <is>
          <t>197-8-К/26 07.08.26 FHM-K</t>
        </is>
      </c>
      <c r="L92" s="245" t="inlineStr">
        <is>
          <t>197-8-К/26 07.08.26 FHM-K</t>
        </is>
      </c>
      <c r="M92" s="245" t="inlineStr">
        <is>
          <t>ППК26114 30.06.26 CNP (initial)</t>
        </is>
      </c>
      <c r="N92" s="245" t="inlineStr">
        <is>
          <t>ППК26114 30.06.26 CNP (initial)</t>
        </is>
      </c>
      <c r="O92" s="245" t="inlineStr">
        <is>
          <t>404/0787/26 24.06.26 IJZ</t>
        </is>
      </c>
      <c r="P92" s="245" t="inlineStr">
        <is>
          <t>197-8-М/26 10.08.26 FHM-M</t>
        </is>
      </c>
      <c r="Q92" s="245" t="inlineStr">
        <is>
          <t>3659/2026 22.06.26 IJZ</t>
        </is>
      </c>
      <c r="R92" s="245" t="inlineStr">
        <is>
          <t>3659/2026 22.06.26 IJZ (initial)</t>
        </is>
      </c>
    </row>
    <row r="93">
      <c r="A93" s="245" t="inlineStr">
        <is>
          <t>CoQ-PP_26-092</t>
        </is>
      </c>
      <c r="B93" s="245" t="inlineStr">
        <is>
          <t>P050092 (GG1024_01)</t>
        </is>
      </c>
      <c r="C93" s="245" t="inlineStr">
        <is>
          <t>retest</t>
        </is>
      </c>
      <c r="D93" s="245" t="inlineStr">
        <is>
          <t>17.08.26</t>
        </is>
      </c>
      <c r="E93" s="245" t="inlineStr">
        <is>
          <t>22.07.26</t>
        </is>
      </c>
      <c r="F93" s="245" t="inlineStr">
        <is>
          <t>197-9-К/26 27.07.26; ППК25104 08.04.25; 320/0587/25 08.04.25; 197-9-М/26 29.07.26; 1766/2025 08.04.25</t>
        </is>
      </c>
      <c r="G93" s="245" t="inlineStr">
        <is>
          <t>iCoA-PP_26-104 27.07.26 PP</t>
        </is>
      </c>
      <c r="H93" s="245" t="inlineStr">
        <is>
          <t>iCoA-PP_26-104 27.07.26 PP</t>
        </is>
      </c>
      <c r="I93" s="245" t="inlineStr">
        <is>
          <t>197-9-К/26 07.08.26 FHM-K</t>
        </is>
      </c>
      <c r="J93" s="245" t="inlineStr">
        <is>
          <t>197-9-К/26 07.08.26 FHM-K</t>
        </is>
      </c>
      <c r="K93" s="245" t="inlineStr">
        <is>
          <t>197-9-К/26 07.08.26 FHM-K</t>
        </is>
      </c>
      <c r="L93" s="245" t="inlineStr">
        <is>
          <t>197-9-К/26 07.08.26 FHM-K</t>
        </is>
      </c>
      <c r="M93" s="245" t="inlineStr">
        <is>
          <t>iCoA-PP_26-104 27.07.26 PP</t>
        </is>
      </c>
      <c r="N93" s="245" t="inlineStr">
        <is>
          <t>ППК25104 17.04.25 CNP (initial) DAB</t>
        </is>
      </c>
      <c r="O93" s="245" t="inlineStr">
        <is>
          <t>320/0587/25 14.04.25 IJZ-MB (initial); 320/0587/25 14.04.25 IJZ-MB OOS (initial)</t>
        </is>
      </c>
      <c r="P93" s="245" t="inlineStr">
        <is>
          <t>197-9-М/26 10.08.26 FHM-M</t>
        </is>
      </c>
      <c r="Q93" s="245" t="inlineStr">
        <is>
          <t>1766/2025 11.04.25 IJZ (initial)</t>
        </is>
      </c>
      <c r="R93" s="245" t="inlineStr">
        <is>
          <t>1766/2025 11.04.25 IJZ (initial)</t>
        </is>
      </c>
    </row>
    <row r="94">
      <c r="A94" s="245" t="inlineStr">
        <is>
          <t>CoQ-PP_26-093</t>
        </is>
      </c>
      <c r="B94" s="245" t="inlineStr">
        <is>
          <t>P050152 (GP052501)</t>
        </is>
      </c>
      <c r="C94" s="245" t="inlineStr">
        <is>
          <t>retest (predicted)</t>
        </is>
      </c>
      <c r="D94" s="245" t="inlineStr">
        <is>
          <t>17.08.26</t>
        </is>
      </c>
      <c r="E94" s="245" t="inlineStr">
        <is>
          <t>22.07.26</t>
        </is>
      </c>
      <c r="F94" s="245" t="inlineStr">
        <is>
          <t>197-10-К/26 27.07.26; ППК25279 05.09.25; 946/1684/25 11.09.25; 197-10-М/26 29.07.26; 4348/2025 05.09.25</t>
        </is>
      </c>
      <c r="G94" s="245" t="inlineStr">
        <is>
          <t>iCoA-PP_26-105 27.07.26 PP</t>
        </is>
      </c>
      <c r="H94" s="245" t="inlineStr">
        <is>
          <t>iCoA-PP_26-105 27.07.26 PP</t>
        </is>
      </c>
      <c r="I94" s="245" t="inlineStr">
        <is>
          <t>197-10-К/26 07.08.26 FHM-K</t>
        </is>
      </c>
      <c r="J94" s="245" t="inlineStr">
        <is>
          <t>197-10-К/26 07.08.26 FHM-K</t>
        </is>
      </c>
      <c r="K94" s="245" t="inlineStr">
        <is>
          <t>197-10-К/26 07.08.26 FHM-K</t>
        </is>
      </c>
      <c r="L94" s="245" t="inlineStr">
        <is>
          <t>197-10-К/26 07.08.26 FHM-K</t>
        </is>
      </c>
      <c r="M94" s="245" t="inlineStr">
        <is>
          <t>iCoA-PP_26-105 27.07.26 PP</t>
        </is>
      </c>
      <c r="N94" s="245" t="inlineStr">
        <is>
          <t>ППК25279 19.09.25 CNP (initial) DAB</t>
        </is>
      </c>
      <c r="O94" s="245" t="inlineStr">
        <is>
          <t>946/1684/25 17.09.25 IJZ-MB (initial); 946/1684/25 17.09.25 IJZ-MB OOS (initial)</t>
        </is>
      </c>
      <c r="P94" s="245" t="inlineStr">
        <is>
          <t>197-10-М/26 10.08.26 FHM-M</t>
        </is>
      </c>
      <c r="Q94" s="245" t="inlineStr">
        <is>
          <t>4348/2025 15.09.25 IJZ (initial)</t>
        </is>
      </c>
      <c r="R94" s="245" t="inlineStr">
        <is>
          <t>4348/2025 15.09.25 IJZ (initial)</t>
        </is>
      </c>
    </row>
    <row r="95">
      <c r="A95" s="245" t="inlineStr">
        <is>
          <t>CoQ-PP_26-094</t>
        </is>
      </c>
      <c r="B95" s="245" t="inlineStr">
        <is>
          <t>P050022 (GP0824_02)</t>
        </is>
      </c>
      <c r="C95" s="245" t="inlineStr">
        <is>
          <t>retest</t>
        </is>
      </c>
      <c r="D95" s="245" t="inlineStr">
        <is>
          <t>17.08.26</t>
        </is>
      </c>
      <c r="E95" s="245" t="inlineStr">
        <is>
          <t>22.07.26</t>
        </is>
      </c>
      <c r="F95" s="245" t="inlineStr">
        <is>
          <t>197-11-К/26 27.07.26; ППК25139 —; 627/1128/25 24.06.25; 197-11-М/26 29.07.26; 3176/2025 23.06.25</t>
        </is>
      </c>
      <c r="G95" s="245" t="inlineStr">
        <is>
          <t>iCoA-PP_26-106 27.07.26 PP</t>
        </is>
      </c>
      <c r="H95" s="245" t="inlineStr">
        <is>
          <t>iCoA-PP_26-106 27.07.26 PP</t>
        </is>
      </c>
      <c r="I95" s="245" t="inlineStr">
        <is>
          <t>197-11-К/26 07.08.26 FHM-K</t>
        </is>
      </c>
      <c r="J95" s="245" t="inlineStr">
        <is>
          <t>197-11-К/26 07.08.26 FHM-K</t>
        </is>
      </c>
      <c r="K95" s="245" t="inlineStr">
        <is>
          <t>197-11-К/26 07.08.26 FHM-K</t>
        </is>
      </c>
      <c r="L95" s="245" t="inlineStr">
        <is>
          <t>197-11-К/26 07.08.26 FHM-K</t>
        </is>
      </c>
      <c r="M95" s="245" t="inlineStr">
        <is>
          <t>iCoA-PP_26-106 27.07.26 PP</t>
        </is>
      </c>
      <c r="N95" s="245" t="inlineStr">
        <is>
          <t>ППК25139 22.05.25 CNP (initial) DAB; also ППК26059</t>
        </is>
      </c>
      <c r="O95" s="245" t="inlineStr">
        <is>
          <t>627/1128/25 02.07.25 IJZ-MB (initial)</t>
        </is>
      </c>
      <c r="P95" s="245" t="inlineStr">
        <is>
          <t>197-11-М/26 10.08.26 FHM-M</t>
        </is>
      </c>
      <c r="Q95" s="245" t="inlineStr">
        <is>
          <t>3176/2025 26.06.25 IJZ (initial)</t>
        </is>
      </c>
      <c r="R95" s="245" t="inlineStr">
        <is>
          <t>3176/2025 26.06.25 IJZ (initial)</t>
        </is>
      </c>
    </row>
    <row r="96">
      <c r="A96" s="245" t="inlineStr">
        <is>
          <t>CoQ-PP_26-095</t>
        </is>
      </c>
      <c r="B96" s="245" t="inlineStr">
        <is>
          <t>P050322 (GP082501/2)</t>
        </is>
      </c>
      <c r="C96" s="245" t="inlineStr">
        <is>
          <t>retest (predicted)</t>
        </is>
      </c>
      <c r="D96" s="245" t="inlineStr">
        <is>
          <t>17.08.26</t>
        </is>
      </c>
      <c r="E96" s="245" t="inlineStr">
        <is>
          <t>23.07.26</t>
        </is>
      </c>
      <c r="F96" s="245" t="inlineStr">
        <is>
          <t>197-12-К/26 27.07.26; ППК25381 01.12.25; 1227/2193/25 —; 197-12-М/26 29.07.26; 5889/2025 01.12.25</t>
        </is>
      </c>
      <c r="G96" s="245" t="inlineStr">
        <is>
          <t>iCoA-PP_26-109 27.07.26 PP</t>
        </is>
      </c>
      <c r="H96" s="245" t="inlineStr">
        <is>
          <t>iCoA-PP_26-109 27.07.26 PP</t>
        </is>
      </c>
      <c r="I96" s="245" t="inlineStr">
        <is>
          <t>197-12-К/26 07.08.26 FHM-K</t>
        </is>
      </c>
      <c r="J96" s="245" t="inlineStr">
        <is>
          <t>197-12-К/26 07.08.26 FHM-K</t>
        </is>
      </c>
      <c r="K96" s="245" t="inlineStr">
        <is>
          <t>197-12-К/26 07.08.26 FHM-K</t>
        </is>
      </c>
      <c r="L96" s="245" t="inlineStr">
        <is>
          <t>197-12-К/26 07.08.26 FHM-K</t>
        </is>
      </c>
      <c r="M96" s="245" t="inlineStr">
        <is>
          <t>iCoA-PP_26-109 27.07.26 PP</t>
        </is>
      </c>
      <c r="N96" s="245" t="inlineStr">
        <is>
          <t>ППК25381 12.12.25 CNP (initial)</t>
        </is>
      </c>
      <c r="O96" s="245" t="inlineStr">
        <is>
          <t>1227/2193/25 05.12.25 IJZ-MB (initial)</t>
        </is>
      </c>
      <c r="P96" s="245" t="inlineStr">
        <is>
          <t>197-12-М/26 10.08.26 FHM-M</t>
        </is>
      </c>
      <c r="Q96" s="245" t="inlineStr">
        <is>
          <t>5889/2025 12.12.25 IJZ (initial)</t>
        </is>
      </c>
      <c r="R96" s="245" t="inlineStr">
        <is>
          <t>5889/2025 12.12.25 IJZ (initial)</t>
        </is>
      </c>
    </row>
    <row r="97">
      <c r="A97" s="245" t="inlineStr">
        <is>
          <t>CoQ-PP_26-096</t>
        </is>
      </c>
      <c r="B97" s="245" t="inlineStr">
        <is>
          <t>HPA1024</t>
        </is>
      </c>
      <c r="C97" s="245" t="inlineStr">
        <is>
          <t>retest</t>
        </is>
      </c>
      <c r="D97" s="245" t="inlineStr">
        <is>
          <t>17.08.26</t>
        </is>
      </c>
      <c r="E97" s="245" t="inlineStr">
        <is>
          <t>23.07.26</t>
        </is>
      </c>
      <c r="F97" s="245" t="inlineStr">
        <is>
          <t>197-13-К/26 27.07.26; 197-13-М/26 29.07.26</t>
        </is>
      </c>
      <c r="G97" s="245" t="inlineStr">
        <is>
          <t>iCoA-PP_26-110 27.07.26 PP</t>
        </is>
      </c>
      <c r="H97" s="245" t="inlineStr">
        <is>
          <t>iCoA-PP_26-110 27.07.26 PP</t>
        </is>
      </c>
      <c r="I97" s="245" t="inlineStr">
        <is>
          <t>197-13-К/26 07.08.26 FHM-K</t>
        </is>
      </c>
      <c r="J97" s="245" t="inlineStr">
        <is>
          <t>197-13-К/26 07.08.26 FHM-K</t>
        </is>
      </c>
      <c r="K97" s="245" t="inlineStr">
        <is>
          <t>197-13-К/26 07.08.26 FHM-K</t>
        </is>
      </c>
      <c r="L97" s="245" t="inlineStr">
        <is>
          <t>197-13-К/26 07.08.26 FHM-K</t>
        </is>
      </c>
      <c r="M97" s="245" t="inlineStr">
        <is>
          <t>iCoA-PP_26-110 27.07.26 PP</t>
        </is>
      </c>
      <c r="N97" s="246" t="inlineStr">
        <is>
          <t>n/t (initial)</t>
        </is>
      </c>
      <c r="O97" s="245" t="inlineStr">
        <is>
          <t>iCoA-PP_26-005 03.06.26 PP (initial)</t>
        </is>
      </c>
      <c r="P97" s="245" t="inlineStr">
        <is>
          <t>197-13-М/26 10.08.26 FHM-M</t>
        </is>
      </c>
      <c r="Q97" s="245" t="inlineStr">
        <is>
          <t>iCoA-PP_26-005 03.06.26 PP (initial)</t>
        </is>
      </c>
      <c r="R97" s="245" t="inlineStr">
        <is>
          <t>iCoA-PP_26-005 03.06.26 PP (initial)</t>
        </is>
      </c>
    </row>
    <row r="98">
      <c r="A98" s="245" t="inlineStr">
        <is>
          <t>CoQ-PP_26-097</t>
        </is>
      </c>
      <c r="B98" s="245" t="inlineStr">
        <is>
          <t>P050052 (HPA1024_01)</t>
        </is>
      </c>
      <c r="C98" s="245" t="inlineStr">
        <is>
          <t>retest</t>
        </is>
      </c>
      <c r="D98" s="245" t="inlineStr">
        <is>
          <t>17.08.26</t>
        </is>
      </c>
      <c r="E98" s="245" t="inlineStr">
        <is>
          <t>23.07.26</t>
        </is>
      </c>
      <c r="F98" s="245" t="inlineStr">
        <is>
          <t>197-14-К/26 27.07.26; ППК25155 12.06.25; 587/1066/25 13.06.25; 197-14-М/26 29.07.26; 2995/2025 12.06.25</t>
        </is>
      </c>
      <c r="G98" s="245" t="inlineStr">
        <is>
          <t>iCoA-PP_26-111 27.07.26 PP</t>
        </is>
      </c>
      <c r="H98" s="245" t="inlineStr">
        <is>
          <t>iCoA-PP_26-111 27.07.26 PP</t>
        </is>
      </c>
      <c r="I98" s="245" t="inlineStr">
        <is>
          <t>197-14-К/26 07.08.26 FHM-K</t>
        </is>
      </c>
      <c r="J98" s="245" t="inlineStr">
        <is>
          <t>197-14-К/26 07.08.26 FHM-K</t>
        </is>
      </c>
      <c r="K98" s="245" t="inlineStr">
        <is>
          <t>197-14-К/26 07.08.26 FHM-K</t>
        </is>
      </c>
      <c r="L98" s="245" t="inlineStr">
        <is>
          <t>197-14-К/26 07.08.26 FHM-K</t>
        </is>
      </c>
      <c r="M98" s="245" t="inlineStr">
        <is>
          <t>iCoA-PP_26-111 27.07.26 PP</t>
        </is>
      </c>
      <c r="N98" s="245" t="inlineStr">
        <is>
          <t>ППК25155 24.06.25 CNP (initial) DAB</t>
        </is>
      </c>
      <c r="O98" s="245" t="inlineStr">
        <is>
          <t>587/1066/25 18.06.25 IJZ-MB (initial); 587/1066/25 18.06.25 IJZ-MB undetermined (initial)</t>
        </is>
      </c>
      <c r="P98" s="245" t="inlineStr">
        <is>
          <t>197-14-М/26 10.08.26 FHM-M</t>
        </is>
      </c>
      <c r="Q98" s="245" t="inlineStr">
        <is>
          <t>2995/2025 19.06.25 IJZ (initial)</t>
        </is>
      </c>
      <c r="R98" s="245" t="inlineStr">
        <is>
          <t>2995/2025 19.06.25 IJZ (initial)</t>
        </is>
      </c>
    </row>
    <row r="99">
      <c r="A99" s="245" t="inlineStr">
        <is>
          <t>CoQ-PP_26-098</t>
        </is>
      </c>
      <c r="B99" s="245" t="inlineStr">
        <is>
          <t>P060152 (J31102501)</t>
        </is>
      </c>
      <c r="C99" s="245" t="inlineStr">
        <is>
          <t>retest (predicted)</t>
        </is>
      </c>
      <c r="D99" s="245" t="inlineStr">
        <is>
          <t>17.08.26</t>
        </is>
      </c>
      <c r="E99" s="245" t="inlineStr">
        <is>
          <t>23.07.26</t>
        </is>
      </c>
      <c r="F99" s="245" t="inlineStr">
        <is>
          <t>197-16-К/26 27.07.26; 051-1-ГС/26 —; 133/0230/26 —; 197-16-М/26 27.07.26; 1056/2026 —</t>
        </is>
      </c>
      <c r="G99" s="245" t="inlineStr">
        <is>
          <t>iCoA-PP_26-112 27.07.26 PP</t>
        </is>
      </c>
      <c r="H99" s="245" t="inlineStr">
        <is>
          <t>iCoA-PP_26-112 27.07.26 PP</t>
        </is>
      </c>
      <c r="I99" s="245" t="inlineStr">
        <is>
          <t>197-16-К/26 07.08.26 FHM-K</t>
        </is>
      </c>
      <c r="J99" s="245" t="inlineStr">
        <is>
          <t>197-16-К/26 07.08.26 FHM-K</t>
        </is>
      </c>
      <c r="K99" s="245" t="inlineStr">
        <is>
          <t>197-16-К/26 07.08.26 FHM-K</t>
        </is>
      </c>
      <c r="L99" s="245" t="inlineStr">
        <is>
          <t>197-16-К/26 07.08.26 FHM-K</t>
        </is>
      </c>
      <c r="M99" s="245" t="inlineStr">
        <is>
          <t>iCoA-PP_26-112 27.07.26 PP</t>
        </is>
      </c>
      <c r="N99" s="245" t="inlineStr">
        <is>
          <t>051-1-ГС/26 02.03.26 FHM-K (initial)</t>
        </is>
      </c>
      <c r="O99" s="245" t="inlineStr">
        <is>
          <t>133/0230/26 06.03.26 IJZ</t>
        </is>
      </c>
      <c r="P99" s="245" t="inlineStr">
        <is>
          <t>197-16-М/26 10.08.26 FHM-M</t>
        </is>
      </c>
      <c r="Q99" s="245" t="inlineStr">
        <is>
          <t>1056/2026 09.03.26 IJZ</t>
        </is>
      </c>
      <c r="R99" s="245" t="inlineStr">
        <is>
          <t>1056/2026 09.03.26 IJZ (initial)</t>
        </is>
      </c>
    </row>
    <row r="100">
      <c r="A100" s="245" t="inlineStr">
        <is>
          <t>CoQ-PP_26-099</t>
        </is>
      </c>
      <c r="B100" s="245" t="inlineStr">
        <is>
          <t>P060212 (JD112501)</t>
        </is>
      </c>
      <c r="C100" s="245" t="inlineStr">
        <is>
          <t>retest (predicted)</t>
        </is>
      </c>
      <c r="D100" s="245" t="inlineStr">
        <is>
          <t>17.08.26</t>
        </is>
      </c>
      <c r="E100" s="245" t="inlineStr">
        <is>
          <t>23.07.26</t>
        </is>
      </c>
      <c r="F100" s="245" t="inlineStr">
        <is>
          <t>197-15-К/26 27.07.26; ППК26063 21.04.26; 307/0551/26 22.04.26; 197-15-М/26 29.07.26; 2361/2026 21.04.26</t>
        </is>
      </c>
      <c r="G100" s="245" t="inlineStr">
        <is>
          <t>iCoA-PP_26-113 27.07.26 PP</t>
        </is>
      </c>
      <c r="H100" s="245" t="inlineStr">
        <is>
          <t>iCoA-PP_26-113 27.07.26 PP</t>
        </is>
      </c>
      <c r="I100" s="245" t="inlineStr">
        <is>
          <t>197-15-К/26 07.08.26 FHM-K</t>
        </is>
      </c>
      <c r="J100" s="245" t="inlineStr">
        <is>
          <t>197-15-К/26 07.08.26 FHM-K</t>
        </is>
      </c>
      <c r="K100" s="245" t="inlineStr">
        <is>
          <t>197-15-К/26 07.08.26 FHM-K</t>
        </is>
      </c>
      <c r="L100" s="245" t="inlineStr">
        <is>
          <t>197-15-К/26 07.08.26 FHM-K</t>
        </is>
      </c>
      <c r="M100" s="245" t="inlineStr">
        <is>
          <t>iCoA-PP_26-113 27.07.26 PP</t>
        </is>
      </c>
      <c r="N100" s="245" t="inlineStr">
        <is>
          <t>ППК26063 11.05.26 CNP (initial) DAB</t>
        </is>
      </c>
      <c r="O100" s="245" t="inlineStr">
        <is>
          <t>307/0551/26 28.04.26 IJZ-MB (initial)</t>
        </is>
      </c>
      <c r="P100" s="245" t="inlineStr">
        <is>
          <t>197-15-М/26 10.08.26 FHM-M</t>
        </is>
      </c>
      <c r="Q100" s="245" t="inlineStr">
        <is>
          <t>2361/2026 30.04.26 IJZ (initial)</t>
        </is>
      </c>
      <c r="R100" s="245" t="inlineStr">
        <is>
          <t>2361/2026 30.04.26 IJZ (initial)</t>
        </is>
      </c>
    </row>
    <row r="101">
      <c r="A101" s="245" t="inlineStr">
        <is>
          <t>CoQ-PP_26-100</t>
        </is>
      </c>
      <c r="B101" s="245" t="inlineStr">
        <is>
          <t>OPM1024</t>
        </is>
      </c>
      <c r="C101" s="245" t="inlineStr">
        <is>
          <t>retest</t>
        </is>
      </c>
      <c r="D101" s="245" t="inlineStr">
        <is>
          <t>17.08.26</t>
        </is>
      </c>
      <c r="E101" s="245" t="inlineStr">
        <is>
          <t>24.07.26</t>
        </is>
      </c>
      <c r="F101" s="245" t="inlineStr">
        <is>
          <t>197-17-К/26 27.07.26; 197-17-М/26 29.07.26</t>
        </is>
      </c>
      <c r="G101" s="245" t="inlineStr">
        <is>
          <t>iCoA-PP_26-114 27.07.26 PP</t>
        </is>
      </c>
      <c r="H101" s="245" t="inlineStr">
        <is>
          <t>iCoA-PP_26-114 27.07.26 PP</t>
        </is>
      </c>
      <c r="I101" s="245" t="inlineStr">
        <is>
          <t>197-17-К/26 07.08.26 FHM-K</t>
        </is>
      </c>
      <c r="J101" s="245" t="inlineStr">
        <is>
          <t>197-17-К/26 07.08.26 FHM-K</t>
        </is>
      </c>
      <c r="K101" s="245" t="inlineStr">
        <is>
          <t>197-17-К/26 07.08.26 FHM-K</t>
        </is>
      </c>
      <c r="L101" s="245" t="inlineStr">
        <is>
          <t>197-17-К/26 07.08.26 FHM-K</t>
        </is>
      </c>
      <c r="M101" s="245" t="inlineStr">
        <is>
          <t>iCoA-PP_26-114 27.07.26 PP</t>
        </is>
      </c>
      <c r="N101" s="246" t="inlineStr">
        <is>
          <t>n/t (initial)</t>
        </is>
      </c>
      <c r="O101" s="245" t="inlineStr">
        <is>
          <t>iCoA-PP_26-006 03.06.26 PP (initial)</t>
        </is>
      </c>
      <c r="P101" s="245" t="inlineStr">
        <is>
          <t>197-17-М/26 10.08.26 FHM-M</t>
        </is>
      </c>
      <c r="Q101" s="245" t="inlineStr">
        <is>
          <t>iCoA-PP_26-006 03.06.26 PP (initial)</t>
        </is>
      </c>
      <c r="R101" s="245" t="inlineStr">
        <is>
          <t>iCoA-PP_26-006 03.06.26 PP (initial)</t>
        </is>
      </c>
    </row>
    <row r="102">
      <c r="A102" s="245" t="inlineStr">
        <is>
          <t>CoQ-PP_26-101</t>
        </is>
      </c>
      <c r="B102" s="245" t="inlineStr">
        <is>
          <t>P050062 (OPM1024_02)</t>
        </is>
      </c>
      <c r="C102" s="245" t="inlineStr">
        <is>
          <t>retest</t>
        </is>
      </c>
      <c r="D102" s="245" t="inlineStr">
        <is>
          <t>17.08.26</t>
        </is>
      </c>
      <c r="E102" s="245" t="inlineStr">
        <is>
          <t>24.07.26</t>
        </is>
      </c>
      <c r="F102" s="245" t="inlineStr">
        <is>
          <t>197-18-К/26 27.07.26; ППК25154 12.06.25; 588/1067/25 13.06.25; 197-18-М/26 29.07.26; 2994/2025 12.06.25</t>
        </is>
      </c>
      <c r="G102" s="245" t="inlineStr">
        <is>
          <t>iCoA-PP_26-115 27.07.26 PP</t>
        </is>
      </c>
      <c r="H102" s="245" t="inlineStr">
        <is>
          <t>iCoA-PP_26-115 27.07.26 PP</t>
        </is>
      </c>
      <c r="I102" s="245" t="inlineStr">
        <is>
          <t>197-18-К/26 07.08.26 FHM-K</t>
        </is>
      </c>
      <c r="J102" s="245" t="inlineStr">
        <is>
          <t>197-18-К/26 07.08.26 FHM-K</t>
        </is>
      </c>
      <c r="K102" s="245" t="inlineStr">
        <is>
          <t>197-18-К/26 07.08.26 FHM-K</t>
        </is>
      </c>
      <c r="L102" s="245" t="inlineStr">
        <is>
          <t>197-18-К/26 07.08.26 FHM-K</t>
        </is>
      </c>
      <c r="M102" s="245" t="inlineStr">
        <is>
          <t>iCoA-PP_26-115 27.07.26 PP</t>
        </is>
      </c>
      <c r="N102" s="245" t="inlineStr">
        <is>
          <t>ППК25154 24.06.25 CNP (initial) DAB</t>
        </is>
      </c>
      <c r="O102" s="245" t="inlineStr">
        <is>
          <t>588/1067/25 18.06.25 IJZ-MB (initial)</t>
        </is>
      </c>
      <c r="P102" s="245" t="inlineStr">
        <is>
          <t>197-18-М/26 10.08.26 FHM-M</t>
        </is>
      </c>
      <c r="Q102" s="245" t="inlineStr">
        <is>
          <t>2994/2025 19.06.25 IJZ (initial)</t>
        </is>
      </c>
      <c r="R102" s="245" t="inlineStr">
        <is>
          <t>2994/2025 19.06.25 IJZ (initial)</t>
        </is>
      </c>
    </row>
    <row r="103">
      <c r="A103" s="245" t="inlineStr">
        <is>
          <t>CoQ-PP_26-102</t>
        </is>
      </c>
      <c r="B103" s="245" t="inlineStr">
        <is>
          <t>P060242 (OPM122501)</t>
        </is>
      </c>
      <c r="C103" s="245" t="inlineStr">
        <is>
          <t>retest (predicted)</t>
        </is>
      </c>
      <c r="D103" s="245" t="inlineStr">
        <is>
          <t>17.08.26</t>
        </is>
      </c>
      <c r="E103" s="245" t="inlineStr">
        <is>
          <t>24.07.26</t>
        </is>
      </c>
      <c r="F103" s="245" t="inlineStr">
        <is>
          <t>197-19-К/26 27.07.26; 100-4-ГС/26 —; 229/0392/26 01.04.26; 197-19-М/26 29.07.26; 1627/2026 27.03.26</t>
        </is>
      </c>
      <c r="G103" s="245" t="inlineStr">
        <is>
          <t>iCoA-PP_26-116 27.07.26 PP</t>
        </is>
      </c>
      <c r="H103" s="245" t="inlineStr">
        <is>
          <t>iCoA-PP_26-116 27.07.26 PP</t>
        </is>
      </c>
      <c r="I103" s="245" t="inlineStr">
        <is>
          <t>197-19-К/26 07.08.26 FHM-K</t>
        </is>
      </c>
      <c r="J103" s="245" t="inlineStr">
        <is>
          <t>197-19-К/26 07.08.26 FHM-K</t>
        </is>
      </c>
      <c r="K103" s="245" t="inlineStr">
        <is>
          <t>197-19-К/26 07.08.26 FHM-K</t>
        </is>
      </c>
      <c r="L103" s="245" t="inlineStr">
        <is>
          <t>197-19-К/26 07.08.26 FHM-K</t>
        </is>
      </c>
      <c r="M103" s="245" t="inlineStr">
        <is>
          <t>iCoA-PP_26-116 27.07.26 PP</t>
        </is>
      </c>
      <c r="N103" s="245" t="inlineStr">
        <is>
          <t>100-4-ГС/26 09.04.26 FHM-K (initial)</t>
        </is>
      </c>
      <c r="O103" s="245" t="inlineStr">
        <is>
          <t>229/0392/26 07.04.26 IJZ-MB (initial)</t>
        </is>
      </c>
      <c r="P103" s="245" t="inlineStr">
        <is>
          <t>197-19-М/26 10.08.26 FHM-M</t>
        </is>
      </c>
      <c r="Q103" s="245" t="inlineStr">
        <is>
          <t>1627/2026 23.04.26 IJZ (initial)</t>
        </is>
      </c>
      <c r="R103" s="245" t="inlineStr">
        <is>
          <t>1627/2026 23.04.26 IJZ (initial)</t>
        </is>
      </c>
    </row>
    <row r="104">
      <c r="A104" s="245" t="inlineStr">
        <is>
          <t>CoQ-PP_26-103</t>
        </is>
      </c>
      <c r="B104" s="245" t="inlineStr">
        <is>
          <t>P060062 (PM092501)</t>
        </is>
      </c>
      <c r="C104" s="245" t="inlineStr">
        <is>
          <t>retest (predicted)</t>
        </is>
      </c>
      <c r="D104" s="245" t="inlineStr">
        <is>
          <t>17.08.26</t>
        </is>
      </c>
      <c r="E104" s="245" t="inlineStr">
        <is>
          <t>24.07.26</t>
        </is>
      </c>
      <c r="F104" s="245" t="inlineStr">
        <is>
          <t>197-20-К/26 27.07.26; ППК26004 08.01.26; 6/0009/26 12.01.25; 197-20-М/26 29.07.26; 83/2026 08.01.26</t>
        </is>
      </c>
      <c r="G104" s="245" t="inlineStr">
        <is>
          <t>iCoA-PP_26-118 27.07.26 PP</t>
        </is>
      </c>
      <c r="H104" s="245" t="inlineStr">
        <is>
          <t>iCoA-PP_26-118 27.07.26 PP</t>
        </is>
      </c>
      <c r="I104" s="245" t="inlineStr">
        <is>
          <t>197-20-К/26 07.08.26 FHM-K</t>
        </is>
      </c>
      <c r="J104" s="245" t="inlineStr">
        <is>
          <t>197-20-К/26 07.08.26 FHM-K</t>
        </is>
      </c>
      <c r="K104" s="245" t="inlineStr">
        <is>
          <t>197-20-К/26 07.08.26 FHM-K</t>
        </is>
      </c>
      <c r="L104" s="245" t="inlineStr">
        <is>
          <t>197-20-К/26 07.08.26 FHM-K</t>
        </is>
      </c>
      <c r="M104" s="245" t="inlineStr">
        <is>
          <t>iCoA-PP_26-118 27.07.26 PP</t>
        </is>
      </c>
      <c r="N104" s="245" t="inlineStr">
        <is>
          <t>ППК26004 21.01.26 CNP (initial) DAB</t>
        </is>
      </c>
      <c r="O104" s="245" t="inlineStr">
        <is>
          <t>6/0009/26 20.01.26 IJZ-MB (initial)</t>
        </is>
      </c>
      <c r="P104" s="245" t="inlineStr">
        <is>
          <t>197-20-М/26 10.08.26 FHM-M</t>
        </is>
      </c>
      <c r="Q104" s="245" t="inlineStr">
        <is>
          <t>83/2026 02.02.26 IJZ (initial)</t>
        </is>
      </c>
      <c r="R104" s="245" t="inlineStr">
        <is>
          <t>83/2026 02.02.26 IJZ (initial)</t>
        </is>
      </c>
    </row>
    <row r="105">
      <c r="A105" s="245" t="inlineStr">
        <is>
          <t>CoQ-PP_26-104</t>
        </is>
      </c>
      <c r="B105" s="245" t="inlineStr">
        <is>
          <t>P060382 (SCR012603)</t>
        </is>
      </c>
      <c r="C105" s="245" t="inlineStr">
        <is>
          <t>retest (predicted)</t>
        </is>
      </c>
      <c r="D105" s="245" t="inlineStr">
        <is>
          <t>17.08.26</t>
        </is>
      </c>
      <c r="E105" s="245" t="inlineStr">
        <is>
          <t>24.07.26</t>
        </is>
      </c>
      <c r="F105" s="245" t="inlineStr">
        <is>
          <t>197-21-К/26 27.07.26; 364/0694/26 —; 197-21-М/26 29.07.26</t>
        </is>
      </c>
      <c r="G105" s="245" t="inlineStr">
        <is>
          <t>iCoA-PP_26-117 27.07.26 PP</t>
        </is>
      </c>
      <c r="H105" s="245" t="inlineStr">
        <is>
          <t>iCoA-PP_26-117 27.07.26 PP</t>
        </is>
      </c>
      <c r="I105" s="245" t="inlineStr">
        <is>
          <t>197-21-К/26 07.08.26 FHM-K</t>
        </is>
      </c>
      <c r="J105" s="245" t="inlineStr">
        <is>
          <t>197-21-К/26 07.08.26 FHM-K</t>
        </is>
      </c>
      <c r="K105" s="245" t="inlineStr">
        <is>
          <t>197-21-К/26 07.08.26 FHM-K</t>
        </is>
      </c>
      <c r="L105" s="245" t="inlineStr">
        <is>
          <t>197-21-К/26 07.08.26 FHM-K</t>
        </is>
      </c>
      <c r="M105" s="245" t="inlineStr">
        <is>
          <t>iCoA-PP_26-117 27.07.26 PP</t>
        </is>
      </c>
      <c r="N105" s="246" t="inlineStr">
        <is>
          <t>n/t (initial)</t>
        </is>
      </c>
      <c r="O105" s="245" t="inlineStr">
        <is>
          <t>364/0694/26 01.06.26 IJZ; 364/0694/26 01.06.26 IJZ undetermined</t>
        </is>
      </c>
      <c r="P105" s="245" t="inlineStr">
        <is>
          <t>197-21-М/26 10.08.26 FHM-M</t>
        </is>
      </c>
      <c r="Q105" s="246" t="inlineStr">
        <is>
          <t>n/t (initial)</t>
        </is>
      </c>
      <c r="R105" s="246" t="inlineStr">
        <is>
          <t>n/t (initial)</t>
        </is>
      </c>
    </row>
    <row r="106">
      <c r="A106" s="245" t="inlineStr">
        <is>
          <t>CoQ-PP_26-105</t>
        </is>
      </c>
      <c r="B106" s="245" t="inlineStr">
        <is>
          <t>P050212 (CJ062501-2)</t>
        </is>
      </c>
      <c r="C106" s="245" t="inlineStr">
        <is>
          <t>retest (predicted)</t>
        </is>
      </c>
      <c r="D106" s="245" t="inlineStr">
        <is>
          <t>07.09.26</t>
        </is>
      </c>
      <c r="E106" s="245" t="inlineStr">
        <is>
          <t>21.07.26</t>
        </is>
      </c>
      <c r="F106" s="245" t="inlineStr">
        <is>
          <t>197-4-К/26 27.07.26; ППК25322 10.10.25; 534/1065/26 —; 197-4-М/26 29.07.26; 4908/2025 10.10.25</t>
        </is>
      </c>
      <c r="G106" s="245" t="inlineStr">
        <is>
          <t>iCoA-PP_26-101 27.07.26 PP</t>
        </is>
      </c>
      <c r="H106" s="245" t="inlineStr">
        <is>
          <t>iCoA-PP_26-101 27.07.26 PP</t>
        </is>
      </c>
      <c r="I106" s="245" t="inlineStr">
        <is>
          <t>197-4-К/26 07.08.26 FHM-K</t>
        </is>
      </c>
      <c r="J106" s="245" t="inlineStr">
        <is>
          <t>197-4-К/26 07.08.26 FHM-K</t>
        </is>
      </c>
      <c r="K106" s="245" t="inlineStr">
        <is>
          <t>197-4-К/26 07.08.26 FHM-K</t>
        </is>
      </c>
      <c r="L106" s="245" t="inlineStr">
        <is>
          <t>197-4-К/26 07.08.26 FHM-K</t>
        </is>
      </c>
      <c r="M106" s="245" t="inlineStr">
        <is>
          <t>iCoA-PP_26-101 27.07.26 PP</t>
        </is>
      </c>
      <c r="N106" s="245" t="inlineStr">
        <is>
          <t>ППК25322 23.10.25 CNP (initial) DAB</t>
        </is>
      </c>
      <c r="O106" s="245" t="inlineStr">
        <is>
          <t>534/1065/26 31.08.26 IJZ-MB</t>
        </is>
      </c>
      <c r="P106" s="245" t="inlineStr">
        <is>
          <t>197-4-М/26 10.08.26 FHM-M</t>
        </is>
      </c>
      <c r="Q106" s="245" t="inlineStr">
        <is>
          <t>4908/2025 24.10.25 IJZ (initial)</t>
        </is>
      </c>
      <c r="R106" s="245" t="inlineStr">
        <is>
          <t>4908/2025 24.10.25 IJZ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77/0120/26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5" t="inlineStr">
        <is>
          <t>77/0120/26 09.02.26 IJZ</t>
        </is>
      </c>
      <c r="P107" s="245" t="inlineStr">
        <is>
          <t>220-1-М/26 11.09.26 FHM-M</t>
        </is>
      </c>
      <c r="Q107" s="245" t="inlineStr">
        <is>
          <t>326/2026 11.02.26 IJZ</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iCoA-PP_26-122 17.08.26 PP</t>
        </is>
      </c>
      <c r="H108" s="245" t="inlineStr">
        <is>
          <t>iCoA-PP_26-122 17.08.26 PP</t>
        </is>
      </c>
      <c r="I108" s="245" t="inlineStr">
        <is>
          <t>220-2-К/26 25.08.26 FHM-K</t>
        </is>
      </c>
      <c r="J108" s="245" t="inlineStr">
        <is>
          <t>220-2-К/26 25.08.26 FHM-K</t>
        </is>
      </c>
      <c r="K108" s="245" t="inlineStr">
        <is>
          <t>220-2-К/26 25.08.26 FHM-K</t>
        </is>
      </c>
      <c r="L108" s="245" t="inlineStr">
        <is>
          <t>220-2-К/26 25.08.26 FHM-K</t>
        </is>
      </c>
      <c r="M108" s="245" t="inlineStr">
        <is>
          <t>iCoA-PP_26-122 17.08.26 PP</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363/0693/26 —;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5" t="inlineStr">
        <is>
          <t>363/0693/26 01.06.26 IJZ</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73/0116/26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5" t="inlineStr">
        <is>
          <t>73/0116/26 09.02.26 IJZ; 73/0116/26 09.02.26 IJZ OOS</t>
        </is>
      </c>
      <c r="P110" s="245" t="inlineStr">
        <is>
          <t>220-6-М/26 11.09.26 FHM-M</t>
        </is>
      </c>
      <c r="Q110" s="245" t="inlineStr">
        <is>
          <t>330/2026 11.02.26 IJZ</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535/1066/26 —; 220-3-М/26 17.08.26; 4907/2025 10.10.25</t>
        </is>
      </c>
      <c r="G111" s="245" t="inlineStr">
        <is>
          <t>iCoA-PP_26-124 17.08.26 PP</t>
        </is>
      </c>
      <c r="H111" s="245" t="inlineStr">
        <is>
          <t>iCoA-PP_26-124 17.08.26 PP</t>
        </is>
      </c>
      <c r="I111" s="245" t="inlineStr">
        <is>
          <t>220-3-К/26 25.08.26 FHM-K</t>
        </is>
      </c>
      <c r="J111" s="245" t="inlineStr">
        <is>
          <t>220-3-К/26 25.08.26 FHM-K</t>
        </is>
      </c>
      <c r="K111" s="245" t="inlineStr">
        <is>
          <t>220-3-К/26 25.08.26 FHM-K</t>
        </is>
      </c>
      <c r="L111" s="245" t="inlineStr">
        <is>
          <t>220-3-К/26 25.08.26 FHM-K</t>
        </is>
      </c>
      <c r="M111" s="245" t="inlineStr">
        <is>
          <t>iCoA-PP_26-124 17.08.26 PP</t>
        </is>
      </c>
      <c r="N111" s="245" t="inlineStr">
        <is>
          <t>ППК25321 23.10.25 CNP (initial) DAB</t>
        </is>
      </c>
      <c r="O111" s="245" t="inlineStr">
        <is>
          <t>535/1066/26 31.08.26 IJZ-MB</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iCoA-PP_26-125 17.08.26 PP</t>
        </is>
      </c>
      <c r="H112" s="245" t="inlineStr">
        <is>
          <t>iCoA-PP_26-125 17.08.26 PP</t>
        </is>
      </c>
      <c r="I112" s="245" t="inlineStr">
        <is>
          <t>220-4-К/26 25.08.26 FHM-K</t>
        </is>
      </c>
      <c r="J112" s="245" t="inlineStr">
        <is>
          <t>220-4-К/26 25.08.26 FHM-K</t>
        </is>
      </c>
      <c r="K112" s="245" t="inlineStr">
        <is>
          <t>220-4-К/26 25.08.26 FHM-K</t>
        </is>
      </c>
      <c r="L112" s="245" t="inlineStr">
        <is>
          <t>220-4-К/26 25.08.26 FHM-K</t>
        </is>
      </c>
      <c r="M112" s="245" t="inlineStr">
        <is>
          <t>iCoA-PP_26-125 17.08.26 PP</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iCoA-PP_26-126 17.08.26 PP</t>
        </is>
      </c>
      <c r="H113" s="245" t="inlineStr">
        <is>
          <t>iCoA-PP_26-126 17.08.26 PP</t>
        </is>
      </c>
      <c r="I113" s="245" t="inlineStr">
        <is>
          <t>220-5-К/26 25.08.26 FHM-K</t>
        </is>
      </c>
      <c r="J113" s="245" t="inlineStr">
        <is>
          <t>220-5-К/26 25.08.26 FHM-K</t>
        </is>
      </c>
      <c r="K113" s="245" t="inlineStr">
        <is>
          <t>220-5-К/26 25.08.26 FHM-K</t>
        </is>
      </c>
      <c r="L113" s="245" t="inlineStr">
        <is>
          <t>220-5-К/26 25.08.26 FHM-K</t>
        </is>
      </c>
      <c r="M113" s="245" t="inlineStr">
        <is>
          <t>iCoA-PP_26-126 17.08.26 PP</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ППК25370 24.11.25; 1219/2170/25 26.11.25; 220-7-М/26 17.08.26; 5700/2025 24.11.25</t>
        </is>
      </c>
      <c r="G114" s="245" t="inlineStr">
        <is>
          <t>iCoA-PP_26-127 17.08.26 PP</t>
        </is>
      </c>
      <c r="H114" s="245" t="inlineStr">
        <is>
          <t>iCoA-PP_26-127 17.08.26 PP</t>
        </is>
      </c>
      <c r="I114" s="245" t="inlineStr">
        <is>
          <t>220-7-К/26 25.08.26 FHM-K</t>
        </is>
      </c>
      <c r="J114" s="245" t="inlineStr">
        <is>
          <t>220-7-К/26 25.08.26 FHM-K</t>
        </is>
      </c>
      <c r="K114" s="245" t="inlineStr">
        <is>
          <t>220-7-К/26 25.08.26 FHM-K</t>
        </is>
      </c>
      <c r="L114" s="245" t="inlineStr">
        <is>
          <t>220-7-К/26 25.08.26 FHM-K</t>
        </is>
      </c>
      <c r="M114" s="245" t="inlineStr">
        <is>
          <t>iCoA-PP_26-127 17.08.26 PP</t>
        </is>
      </c>
      <c r="N114" s="245" t="inlineStr">
        <is>
          <t>ППК25370 28.11.25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iCoA-PP_26-128 17.08.26 PP</t>
        </is>
      </c>
      <c r="H115" s="245" t="inlineStr">
        <is>
          <t>iCoA-PP_26-128 17.08.26 PP</t>
        </is>
      </c>
      <c r="I115" s="245" t="inlineStr">
        <is>
          <t>220-8-К/26 25.08.26 FHM-K</t>
        </is>
      </c>
      <c r="J115" s="245" t="inlineStr">
        <is>
          <t>220-8-К/26 25.08.26 FHM-K</t>
        </is>
      </c>
      <c r="K115" s="245" t="inlineStr">
        <is>
          <t>220-8-К/26 25.08.26 FHM-K</t>
        </is>
      </c>
      <c r="L115" s="245" t="inlineStr">
        <is>
          <t>220-8-К/26 25.08.26 FHM-K</t>
        </is>
      </c>
      <c r="M115" s="245" t="inlineStr">
        <is>
          <t>iCoA-PP_26-128 17.08.26 PP</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166/0274/25 —; 220-9-М/26 17.08.26; 748/2025 —</t>
        </is>
      </c>
      <c r="G116" s="245" t="inlineStr">
        <is>
          <t>iCoA-PP_26-129 17.08.26 PP</t>
        </is>
      </c>
      <c r="H116" s="245" t="inlineStr">
        <is>
          <t>iCoA-PP_26-129 17.08.26 PP</t>
        </is>
      </c>
      <c r="I116" s="245" t="inlineStr">
        <is>
          <t>220-9-К/26 25.08.26 FHM-K</t>
        </is>
      </c>
      <c r="J116" s="245" t="inlineStr">
        <is>
          <t>220-9-К/26 25.08.26 FHM-K</t>
        </is>
      </c>
      <c r="K116" s="245" t="inlineStr">
        <is>
          <t>220-9-К/26 25.08.26 FHM-K</t>
        </is>
      </c>
      <c r="L116" s="245" t="inlineStr">
        <is>
          <t>220-9-К/26 25.08.26 FHM-K</t>
        </is>
      </c>
      <c r="M116" s="245" t="inlineStr">
        <is>
          <t>iCoA-PP_26-129 17.08.26 PP</t>
        </is>
      </c>
      <c r="N116" s="245" t="inlineStr">
        <is>
          <t>ППК25008 29.01.25 CNP (initial)</t>
        </is>
      </c>
      <c r="O116" s="245" t="inlineStr">
        <is>
          <t>166/0274/25 24.02.25 IJZ</t>
        </is>
      </c>
      <c r="P116" s="245" t="inlineStr">
        <is>
          <t>220-9-М/26 11.09.26 FHM-M</t>
        </is>
      </c>
      <c r="Q116" s="245" t="inlineStr">
        <is>
          <t>748/2025 04.03.25 IJZ</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ППК25379 01.12.25; 1229/2195/25 01.12.25; 220-10-М/26 17.08.26; 5887/2025 01.12.25</t>
        </is>
      </c>
      <c r="G117" s="245" t="inlineStr">
        <is>
          <t>iCoA-PP_26-130 17.08.26 PP</t>
        </is>
      </c>
      <c r="H117" s="245" t="inlineStr">
        <is>
          <t>iCoA-PP_26-130 17.08.26 PP</t>
        </is>
      </c>
      <c r="I117" s="245" t="inlineStr">
        <is>
          <t>220-10-К/26 25.08.26 FHM-K</t>
        </is>
      </c>
      <c r="J117" s="245" t="inlineStr">
        <is>
          <t>220-10-К/26 25.08.26 FHM-K</t>
        </is>
      </c>
      <c r="K117" s="245" t="inlineStr">
        <is>
          <t>220-10-К/26 25.08.26 FHM-K</t>
        </is>
      </c>
      <c r="L117" s="245" t="inlineStr">
        <is>
          <t>220-10-К/26 25.08.26 FHM-K</t>
        </is>
      </c>
      <c r="M117" s="245" t="inlineStr">
        <is>
          <t>iCoA-PP_26-130 17.08.26 PP</t>
        </is>
      </c>
      <c r="N117" s="245" t="inlineStr">
        <is>
          <t>ППК25379 12.12.25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iCoA-PP_26-131 17.08.26 PP</t>
        </is>
      </c>
      <c r="H118" s="245" t="inlineStr">
        <is>
          <t>iCoA-PP_26-131 17.08.26 PP</t>
        </is>
      </c>
      <c r="I118" s="245" t="inlineStr">
        <is>
          <t>220-11-К/26 25.08.26 FHM-K</t>
        </is>
      </c>
      <c r="J118" s="245" t="inlineStr">
        <is>
          <t>220-11-К/26 25.08.26 FHM-K</t>
        </is>
      </c>
      <c r="K118" s="245" t="inlineStr">
        <is>
          <t>220-11-К/26 25.08.26 FHM-K</t>
        </is>
      </c>
      <c r="L118" s="245" t="inlineStr">
        <is>
          <t>220-11-К/26 25.08.26 FHM-K</t>
        </is>
      </c>
      <c r="M118" s="245" t="inlineStr">
        <is>
          <t>iCoA-PP_26-131 17.08.26 PP</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ППК25380 01.12.25; 1226/2192/25 01.12.25; 220-12-М/26 17.08.26; 5888/2025 01.12.25</t>
        </is>
      </c>
      <c r="G119" s="245" t="inlineStr">
        <is>
          <t>iCoA-PP_26-132 17.08.26 PP</t>
        </is>
      </c>
      <c r="H119" s="245" t="inlineStr">
        <is>
          <t>iCoA-PP_26-132 17.08.26 PP</t>
        </is>
      </c>
      <c r="I119" s="245" t="inlineStr">
        <is>
          <t>220-12-К/26 25.08.26 FHM-K</t>
        </is>
      </c>
      <c r="J119" s="245" t="inlineStr">
        <is>
          <t>220-12-К/26 25.08.26 FHM-K</t>
        </is>
      </c>
      <c r="K119" s="245" t="inlineStr">
        <is>
          <t>220-12-К/26 25.08.26 FHM-K</t>
        </is>
      </c>
      <c r="L119" s="245" t="inlineStr">
        <is>
          <t>220-12-К/26 25.08.26 FHM-K</t>
        </is>
      </c>
      <c r="M119" s="245" t="inlineStr">
        <is>
          <t>iCoA-PP_26-132 17.08.26 PP</t>
        </is>
      </c>
      <c r="N119" s="245" t="inlineStr">
        <is>
          <t>ППК25380 12.12.25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iCoA-PP_26-133 17.08.26 PP</t>
        </is>
      </c>
      <c r="H120" s="245" t="inlineStr">
        <is>
          <t>iCoA-PP_26-133 17.08.26 PP</t>
        </is>
      </c>
      <c r="I120" s="245" t="inlineStr">
        <is>
          <t>220-13-К/26 25.08.26 FHM-K</t>
        </is>
      </c>
      <c r="J120" s="245" t="inlineStr">
        <is>
          <t>220-13-К/26 25.08.26 FHM-K</t>
        </is>
      </c>
      <c r="K120" s="245" t="inlineStr">
        <is>
          <t>220-13-К/26 25.08.26 FHM-K</t>
        </is>
      </c>
      <c r="L120" s="245" t="inlineStr">
        <is>
          <t>220-13-К/26 25.08.26 FHM-K</t>
        </is>
      </c>
      <c r="M120" s="245" t="inlineStr">
        <is>
          <t>iCoA-PP_26-133 17.08.26 PP</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iCoA-PP_26-135 17.08.26 PP</t>
        </is>
      </c>
      <c r="H122" s="245" t="inlineStr">
        <is>
          <t>iCoA-PP_26-135 17.08.26 PP</t>
        </is>
      </c>
      <c r="I122" s="245" t="inlineStr">
        <is>
          <t>220-15-К/26 25.08.26 FHM-K</t>
        </is>
      </c>
      <c r="J122" s="245" t="inlineStr">
        <is>
          <t>220-15-К/26 25.08.26 FHM-K</t>
        </is>
      </c>
      <c r="K122" s="245" t="inlineStr">
        <is>
          <t>220-15-К/26 25.08.26 FHM-K</t>
        </is>
      </c>
      <c r="L122" s="245" t="inlineStr">
        <is>
          <t>220-15-К/26 25.08.26 FHM-K</t>
        </is>
      </c>
      <c r="M122" s="245" t="inlineStr">
        <is>
          <t>iCoA-PP_26-135 17.08.26 PP</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ППК26111 17.06.26; 220-16-К/26 17.08.26; 365/0695/26 —; 220-16-М/26 17.08.26</t>
        </is>
      </c>
      <c r="G123" s="245" t="inlineStr">
        <is>
          <t>ППК26111 30.06.26 CNP*</t>
        </is>
      </c>
      <c r="H123" s="245" t="inlineStr">
        <is>
          <t>ППК26111 30.06.26 CNP*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5" t="inlineStr">
        <is>
          <t>365/0695/26 01.06.26 IJZ</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ППК26113 17.06.26; 220-17-К/26 17.08.26; 220-17-М/26 17.08.26; 3660/2026 —</t>
        </is>
      </c>
      <c r="G124" s="245" t="inlineStr">
        <is>
          <t>ППК26113 30.06.26 CNP (initial)</t>
        </is>
      </c>
      <c r="H124" s="245" t="inlineStr">
        <is>
          <t>ППК26113 30.06.26 CNP (initial)</t>
        </is>
      </c>
      <c r="I124" s="245" t="inlineStr">
        <is>
          <t>220-17-К/26 26.08.26 FHM-K</t>
        </is>
      </c>
      <c r="J124" s="245" t="inlineStr">
        <is>
          <t>220-17-К/26 26.08.26 FHM-K</t>
        </is>
      </c>
      <c r="K124" s="245" t="inlineStr">
        <is>
          <t>220-17-К/26 26.08.26 FHM-K</t>
        </is>
      </c>
      <c r="L124" s="245" t="inlineStr">
        <is>
          <t>220-17-К/26 26.08.26 FHM-K</t>
        </is>
      </c>
      <c r="M124" s="245" t="inlineStr">
        <is>
          <t>ППК26113 30.06.26 CNP (initial)</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ППК26111 17.06.26; 220-18-К/26 17.08.26; 220-18-М/26 17.08.26; 3662/2026 —</t>
        </is>
      </c>
      <c r="G125" s="245" t="inlineStr">
        <is>
          <t>ППК26111 30.06.26 CNP (initial)</t>
        </is>
      </c>
      <c r="H125" s="245" t="inlineStr">
        <is>
          <t>ППК26111 30.06.26 CNP (initial)</t>
        </is>
      </c>
      <c r="I125" s="245" t="inlineStr">
        <is>
          <t>220-18-К/26 26.08.26 FHM-K</t>
        </is>
      </c>
      <c r="J125" s="245" t="inlineStr">
        <is>
          <t>220-18-К/26 26.08.26 FHM-K</t>
        </is>
      </c>
      <c r="K125" s="245" t="inlineStr">
        <is>
          <t>220-18-К/26 26.08.26 FHM-K</t>
        </is>
      </c>
      <c r="L125" s="245" t="inlineStr">
        <is>
          <t>220-18-К/26 26.08.26 FHM-K</t>
        </is>
      </c>
      <c r="M125" s="245" t="inlineStr">
        <is>
          <t>ППК26111 30.06.26 CNP (initial)</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129/0226/26 —; 220-19-М/26 17.08.26; 1058/2026 —</t>
        </is>
      </c>
      <c r="G127" s="245" t="inlineStr">
        <is>
          <t>iCoA-PP_26-139 17.08.26 PP</t>
        </is>
      </c>
      <c r="H127" s="245" t="inlineStr">
        <is>
          <t>iCoA-PP_26-139 17.08.26 PP</t>
        </is>
      </c>
      <c r="I127" s="245" t="inlineStr">
        <is>
          <t>220-19-К/26 26.08.26 FHM-K</t>
        </is>
      </c>
      <c r="J127" s="245" t="inlineStr">
        <is>
          <t>220-19-К/26 26.08.26 FHM-K</t>
        </is>
      </c>
      <c r="K127" s="245" t="inlineStr">
        <is>
          <t>220-19-К/26 26.08.26 FHM-K</t>
        </is>
      </c>
      <c r="L127" s="245" t="inlineStr">
        <is>
          <t>220-19-К/26 26.08.26 FHM-K</t>
        </is>
      </c>
      <c r="M127" s="245" t="inlineStr">
        <is>
          <t>iCoA-PP_26-139 17.08.26 PP</t>
        </is>
      </c>
      <c r="N127" s="245" t="inlineStr">
        <is>
          <t>051-4-ГС/26 02.03.26 FHM-K (initial)</t>
        </is>
      </c>
      <c r="O127" s="245" t="inlineStr">
        <is>
          <t>129/0226/26 06.03.26 IJZ</t>
        </is>
      </c>
      <c r="P127" s="245" t="inlineStr">
        <is>
          <t>220-19-М/26 11.09.26 FHM-M</t>
        </is>
      </c>
      <c r="Q127" s="245" t="inlineStr">
        <is>
          <t>1058/2026 09.03.26 IJZ</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iCoA-PP_26-140 17.08.26 PP</t>
        </is>
      </c>
      <c r="H128" s="245" t="inlineStr">
        <is>
          <t>iCoA-PP_26-140 17.08.26 PP</t>
        </is>
      </c>
      <c r="I128" s="245" t="inlineStr">
        <is>
          <t>220-20-К/26 26.08.26 FHM-K</t>
        </is>
      </c>
      <c r="J128" s="245" t="inlineStr">
        <is>
          <t>220-20-К/26 26.08.26 FHM-K</t>
        </is>
      </c>
      <c r="K128" s="245" t="inlineStr">
        <is>
          <t>220-20-К/26 26.08.26 FHM-K</t>
        </is>
      </c>
      <c r="L128" s="245" t="inlineStr">
        <is>
          <t>220-20-К/26 26.08.26 FHM-K</t>
        </is>
      </c>
      <c r="M128" s="245" t="inlineStr">
        <is>
          <t>iCoA-PP_26-140 17.08.26 PP</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iCoA-PP_26-142 17.08.26 PP</t>
        </is>
      </c>
      <c r="H129" s="245" t="inlineStr">
        <is>
          <t>iCoA-PP_26-142 17.08.26 PP</t>
        </is>
      </c>
      <c r="I129" s="245" t="inlineStr">
        <is>
          <t>220-21-К/26 26.08.26 FHM-K</t>
        </is>
      </c>
      <c r="J129" s="245" t="inlineStr">
        <is>
          <t>220-21-К/26 26.08.26 FHM-K</t>
        </is>
      </c>
      <c r="K129" s="245" t="inlineStr">
        <is>
          <t>220-21-К/26 26.08.26 FHM-K</t>
        </is>
      </c>
      <c r="L129" s="245" t="inlineStr">
        <is>
          <t>220-21-К/26 26.08.26 FHM-K</t>
        </is>
      </c>
      <c r="M129" s="245" t="inlineStr">
        <is>
          <t>iCoA-PP_26-142 17.08.26 PP</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iCoA-PP_26-141 17.08.26 PP</t>
        </is>
      </c>
      <c r="H130" s="245" t="inlineStr">
        <is>
          <t>iCoA-PP_26-141 17.08.26 PP</t>
        </is>
      </c>
      <c r="I130" s="245" t="inlineStr">
        <is>
          <t>220-22-К/26 26.08.26 FHM-K</t>
        </is>
      </c>
      <c r="J130" s="245" t="inlineStr">
        <is>
          <t>220-22-К/26 26.08.26 FHM-K</t>
        </is>
      </c>
      <c r="K130" s="245" t="inlineStr">
        <is>
          <t>220-22-К/26 26.08.26 FHM-K</t>
        </is>
      </c>
      <c r="L130" s="245" t="inlineStr">
        <is>
          <t>220-22-К/26 26.08.26 FHM-K</t>
        </is>
      </c>
      <c r="M130" s="245" t="inlineStr">
        <is>
          <t>iCoA-PP_26-141 17.08.26 PP</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iCoA-PP_26-147 17.08.26 PP</t>
        </is>
      </c>
      <c r="H131" s="245" t="inlineStr">
        <is>
          <t>iCoA-PP_26-147 17.08.26 PP</t>
        </is>
      </c>
      <c r="I131" s="245" t="inlineStr">
        <is>
          <t>220-23-К/26 26.08.26 FHM-K</t>
        </is>
      </c>
      <c r="J131" s="245" t="inlineStr">
        <is>
          <t>220-23-К/26 26.08.26 FHM-K</t>
        </is>
      </c>
      <c r="K131" s="245" t="inlineStr">
        <is>
          <t>220-23-К/26 26.08.26 FHM-K</t>
        </is>
      </c>
      <c r="L131" s="245" t="inlineStr">
        <is>
          <t>220-23-К/26 26.08.26 FHM-K</t>
        </is>
      </c>
      <c r="M131" s="245" t="inlineStr">
        <is>
          <t>iCoA-PP_26-147 17.08.26 PP</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135/0232/26 —; 220-24-М/26 17.08.26; 1059/2026 —</t>
        </is>
      </c>
      <c r="G132" s="245" t="inlineStr">
        <is>
          <t>iCoA-PP_26-148 17.08.26 PP</t>
        </is>
      </c>
      <c r="H132" s="245" t="inlineStr">
        <is>
          <t>iCoA-PP_26-148 17.08.26 PP</t>
        </is>
      </c>
      <c r="I132" s="245" t="inlineStr">
        <is>
          <t>220-24-К/26 26.08.26 FHM-K</t>
        </is>
      </c>
      <c r="J132" s="245" t="inlineStr">
        <is>
          <t>220-24-К/26 26.08.26 FHM-K</t>
        </is>
      </c>
      <c r="K132" s="245" t="inlineStr">
        <is>
          <t>220-24-К/26 26.08.26 FHM-K</t>
        </is>
      </c>
      <c r="L132" s="245" t="inlineStr">
        <is>
          <t>220-24-К/26 26.08.26 FHM-K</t>
        </is>
      </c>
      <c r="M132" s="245" t="inlineStr">
        <is>
          <t>iCoA-PP_26-148 17.08.26 PP</t>
        </is>
      </c>
      <c r="N132" s="245" t="inlineStr">
        <is>
          <t>ППК26030 05.03.26 CNP (initial) DAB</t>
        </is>
      </c>
      <c r="O132" s="245" t="inlineStr">
        <is>
          <t>135/0232/26 06.03.26 IJZ</t>
        </is>
      </c>
      <c r="P132" s="245" t="inlineStr">
        <is>
          <t>220-24-М/26 11.09.26 FHM-M</t>
        </is>
      </c>
      <c r="Q132" s="245" t="inlineStr">
        <is>
          <t>1059/2026 09.03.26 IJZ</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74/0117/26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5" t="inlineStr">
        <is>
          <t>74/0117/26 09.02.26 IJZ</t>
        </is>
      </c>
      <c r="P133" s="245" t="inlineStr">
        <is>
          <t>220-25-М/26 11.09.26 FHM-M</t>
        </is>
      </c>
      <c r="Q133" s="245" t="inlineStr">
        <is>
          <t>327/2026 11.02.26 IJZ</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iCoA-PP_26-150 17.08.26 PP</t>
        </is>
      </c>
      <c r="H134" s="245" t="inlineStr">
        <is>
          <t>iCoA-PP_26-150 17.08.26 PP</t>
        </is>
      </c>
      <c r="I134" s="245" t="inlineStr">
        <is>
          <t>220-26-К/26 26.08.26 FHM-K</t>
        </is>
      </c>
      <c r="J134" s="245" t="inlineStr">
        <is>
          <t>220-26-К/26 26.08.26 FHM-K</t>
        </is>
      </c>
      <c r="K134" s="245" t="inlineStr">
        <is>
          <t>220-26-К/26 26.08.26 FHM-K</t>
        </is>
      </c>
      <c r="L134" s="245" t="inlineStr">
        <is>
          <t>220-26-К/26 26.08.26 FHM-K</t>
        </is>
      </c>
      <c r="M134" s="245" t="inlineStr">
        <is>
          <t>iCoA-PP_26-150 17.08.26 PP</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iCoA-PP_26-151 17.08.26 PP</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iCoA-PP_26-151 17.08.26 PP</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iCoA-PP_26-152 17.08.26 PP</t>
        </is>
      </c>
      <c r="H136" s="245" t="inlineStr">
        <is>
          <t>iCoA-PP_26-152 17.08.26 PP</t>
        </is>
      </c>
      <c r="I136" s="245" t="inlineStr">
        <is>
          <t>220-28-К/26 26.08.26 FHM-K</t>
        </is>
      </c>
      <c r="J136" s="245" t="inlineStr">
        <is>
          <t>220-28-К/26 26.08.26 FHM-K</t>
        </is>
      </c>
      <c r="K136" s="245" t="inlineStr">
        <is>
          <t>220-28-К/26 26.08.26 FHM-K</t>
        </is>
      </c>
      <c r="L136" s="245" t="inlineStr">
        <is>
          <t>220-28-К/26 26.08.26 FHM-K</t>
        </is>
      </c>
      <c r="M136" s="245" t="inlineStr">
        <is>
          <t>iCoA-PP_26-152 17.08.26 PP</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ППК26005 08.01.26; 552/1083/26 26.08.26; 227-30-М/26 —; 84/2026 08.01.26</t>
        </is>
      </c>
      <c r="G137" s="245" t="inlineStr">
        <is>
          <t>iCoA-PP_26-173 24.08.26 PP</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iCoA-PP_26-173 24.08.26 PP</t>
        </is>
      </c>
      <c r="N137" s="245" t="inlineStr">
        <is>
          <t>ППК26005 21.01.26 CNP (initial)</t>
        </is>
      </c>
      <c r="O137" s="245" t="inlineStr">
        <is>
          <t>552/1083/26 01.09.26 IJZ-MB</t>
        </is>
      </c>
      <c r="P137" s="245" t="inlineStr">
        <is>
          <t>227-30-М/26 16.09.26 FHM-M; 227-30-М/26 16.09.26 FHM-M (initial)</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561/1092/26 26.08.26; 227-29-М/26 —; 3177/2025 23.06.25</t>
        </is>
      </c>
      <c r="G138" s="245" t="inlineStr">
        <is>
          <t>iCoA-PP_26-174 24.08.26 PP</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iCoA-PP_26-174 24.08.26 PP</t>
        </is>
      </c>
      <c r="N138" s="245" t="inlineStr">
        <is>
          <t>ППК25176 10.07.25 CNP (initial) DAB</t>
        </is>
      </c>
      <c r="O138" s="245" t="inlineStr">
        <is>
          <t>561/1092/26 01.09.26 IJZ-MB</t>
        </is>
      </c>
      <c r="P138" s="245" t="inlineStr">
        <is>
          <t>227-29-М/26 16.09.26 FHM-M; 227-29-М/26 16.09.26 FHM-M (initial)</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 559/1090/26 26.08.26; 227-1-М/26 —</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5" t="inlineStr">
        <is>
          <t>559/1090/26 01.09.26 IJZ-MB</t>
        </is>
      </c>
      <c r="P139" s="245" t="inlineStr">
        <is>
          <t>227-1-М/26 16.09.26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543/1074/26 25.08.26; 227-25-М/26 —;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543/1074/26 31.08.26 IJZ-MB</t>
        </is>
      </c>
      <c r="P140" s="245" t="inlineStr">
        <is>
          <t>227-25-М/26 16.09.26 FHM-M; 227-25-М/26 16.09.26 FHM-M (initial)</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558/1089/26 26.08.26; 227-28-М/26 —; 4349/2025 05.09.25</t>
        </is>
      </c>
      <c r="G141" s="245" t="inlineStr">
        <is>
          <t>iCoA-PP_26-176 24.08.26 PP</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iCoA-PP_26-176 24.08.26 PP</t>
        </is>
      </c>
      <c r="N141" s="245" t="inlineStr">
        <is>
          <t>ППК25281 17.09.25 CNP (initial) DAB</t>
        </is>
      </c>
      <c r="O141" s="245" t="inlineStr">
        <is>
          <t>558/1089/26 01.09.26 IJZ-MB</t>
        </is>
      </c>
      <c r="P141" s="245" t="inlineStr">
        <is>
          <t>227-28-М/26 16.09.26 FHM-M; 227-28-М/26 16.09.26 FHM-M (initial)</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556/1087/26 26.08.26; 227-27-М/26 —;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556/1087/26 01.09.26 IJZ-MB</t>
        </is>
      </c>
      <c r="P142" s="245" t="inlineStr">
        <is>
          <t>227-27-М/26 16.09.26 FHM-M; 227-27-М/26 16.09.26 FHM-M (initial)</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565/1096/26 26.08.26; 227-26-М/26 —; 750/2025 13.02.25</t>
        </is>
      </c>
      <c r="G143" s="245" t="inlineStr">
        <is>
          <t>iCoA-PP_26-178 24.08.26 PP</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iCoA-PP_26-178 24.08.26 PP</t>
        </is>
      </c>
      <c r="N143" s="245" t="inlineStr">
        <is>
          <t>ППК25052 26.02.25 CNP (initial) DAB</t>
        </is>
      </c>
      <c r="O143" s="245" t="inlineStr">
        <is>
          <t>565/1096/26 01.09.26 IJZ-MB</t>
        </is>
      </c>
      <c r="P143" s="245" t="inlineStr">
        <is>
          <t>227-26-М/26 16.09.26 FHM-M; 227-26-М/26 16.09.26 FHM-M (initial)</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ППК26112 17.06.26; 227-24-К/26 24.08.26; 537/1068/26 25.08.26; 227-24-М/26 —</t>
        </is>
      </c>
      <c r="G144" s="245" t="inlineStr">
        <is>
          <t>ППК26112 30.06.26 CNP (initial)</t>
        </is>
      </c>
      <c r="H144" s="245" t="inlineStr">
        <is>
          <t>ППК26112 30.06.26 CNP (initial)</t>
        </is>
      </c>
      <c r="I144" s="245" t="inlineStr">
        <is>
          <t>227-24-К/26 11.09.26 FHM-K</t>
        </is>
      </c>
      <c r="J144" s="245" t="inlineStr">
        <is>
          <t>227-24-К/26 11.09.26 FHM-K</t>
        </is>
      </c>
      <c r="K144" s="245" t="inlineStr">
        <is>
          <t>227-24-К/26 11.09.26 FHM-K</t>
        </is>
      </c>
      <c r="L144" s="245" t="inlineStr">
        <is>
          <t>227-24-К/26 11.09.26 FHM-K</t>
        </is>
      </c>
      <c r="M144" s="245" t="inlineStr">
        <is>
          <t>ППК26112 30.06.26 CNP (initial)</t>
        </is>
      </c>
      <c r="N144" s="245" t="inlineStr">
        <is>
          <t>ППК26112 30.06.26 CNP (initial)</t>
        </is>
      </c>
      <c r="O144" s="245" t="inlineStr">
        <is>
          <t>537/1068/26 31.08.26 IJZ-MB</t>
        </is>
      </c>
      <c r="P144" s="245" t="inlineStr">
        <is>
          <t>227-24-М/26 16.09.26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ППК26110 17.06.26; 227-23-К/26 24.08.26; 538/1069/26 25.08.26; 227-23-М/26 —</t>
        </is>
      </c>
      <c r="G145" s="245" t="inlineStr">
        <is>
          <t>ППК26110 30.06.26 CNP (initial)</t>
        </is>
      </c>
      <c r="H145" s="245" t="inlineStr">
        <is>
          <t>ППК26110 30.06.26 CNP (initial)</t>
        </is>
      </c>
      <c r="I145" s="245" t="inlineStr">
        <is>
          <t>227-23-К/26 11.09.26 FHM-K</t>
        </is>
      </c>
      <c r="J145" s="245" t="inlineStr">
        <is>
          <t>227-23-К/26 11.09.26 FHM-K</t>
        </is>
      </c>
      <c r="K145" s="245" t="inlineStr">
        <is>
          <t>227-23-К/26 11.09.26 FHM-K</t>
        </is>
      </c>
      <c r="L145" s="245" t="inlineStr">
        <is>
          <t>227-23-К/26 11.09.26 FHM-K</t>
        </is>
      </c>
      <c r="M145" s="245" t="inlineStr">
        <is>
          <t>ППК26110 30.06.26 CNP (initial)</t>
        </is>
      </c>
      <c r="N145" s="245" t="inlineStr">
        <is>
          <t>ППК26110 30.06.26 CNP (initial)</t>
        </is>
      </c>
      <c r="O145" s="245" t="inlineStr">
        <is>
          <t>538/1069/26 31.08.26 IJZ-MB</t>
        </is>
      </c>
      <c r="P145" s="245" t="inlineStr">
        <is>
          <t>227-23-М/26 16.09.26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542/1073/26 25.08.26; 227-22-М/26 —;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542/1073/26 31.08.26 IJZ-MB</t>
        </is>
      </c>
      <c r="P146" s="245" t="inlineStr">
        <is>
          <t>227-22-М/26 16.09.26 FHM-M; 227-22-М/26 16.09.26 FHM-M (initial)</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541/1072/26 25.08.26; 227-21-М/26 —;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541/1072/26 31.08.26 IJZ-MB</t>
        </is>
      </c>
      <c r="P147" s="245" t="inlineStr">
        <is>
          <t>227-21-М/26 16.09.26 FHM-M; 227-21-М/26 16.09.26 FHM-M (initial)</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564/1095/26 26.08.26; 227-19-М/26 —; 2472/2025 15.05.25</t>
        </is>
      </c>
      <c r="G148" s="245" t="inlineStr">
        <is>
          <t>iCoA-PP_26-163 24.08.26 PP</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iCoA-PP_26-163 24.08.26 PP</t>
        </is>
      </c>
      <c r="N148" s="245" t="inlineStr">
        <is>
          <t>ППК25140 22.05.25 CNP (initial) DAB</t>
        </is>
      </c>
      <c r="O148" s="245" t="inlineStr">
        <is>
          <t>564/1095/26 01.09.26 IJZ-MB</t>
        </is>
      </c>
      <c r="P148" s="245" t="inlineStr">
        <is>
          <t>227-19-М/26 16.09.26 FHM-M; 227-19-М/26 16.09.26 FHM-M (initial)</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545/1076/26 25.08.26; 227-20-М/26 —;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545/1076/26 31.08.26 IJZ-MB</t>
        </is>
      </c>
      <c r="P149" s="245" t="inlineStr">
        <is>
          <t>227-20-М/26 16.09.26 FHM-M; 227-20-М/26 16.09.26 FHM-M (initial)</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557/1088/26 26.08.26; 4762/2025 01.10.25</t>
        </is>
      </c>
      <c r="G150" s="245" t="inlineStr">
        <is>
          <t>iCoA-PP_26-165 24.08.26 PP</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iCoA-PP_26-165 24.08.26 PP</t>
        </is>
      </c>
      <c r="N150" s="245" t="inlineStr">
        <is>
          <t>iCoA-PP_26-024 03.06.26 PP (initial); also ППК26058</t>
        </is>
      </c>
      <c r="O150" s="245" t="inlineStr">
        <is>
          <t>557/1088/26 01.09.26 IJZ-MB; also 1155/2056/25</t>
        </is>
      </c>
      <c r="P150" s="245" t="inlineStr">
        <is>
          <t>4762/2025 08.10.25 IJZ (initial); awaiting FHM-M 10.1,10.3</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ППК25378 01.12.25; 553/1084/26 26.08.26; 227-17-М/26 —; 5886/2025 01.12.25</t>
        </is>
      </c>
      <c r="G151" s="245" t="inlineStr">
        <is>
          <t>iCoA-PP_26-166 24.08.26 PP</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iCoA-PP_26-166 24.08.26 PP</t>
        </is>
      </c>
      <c r="N151" s="245" t="inlineStr">
        <is>
          <t>ППК25378 12.12.25 CNP (initial)</t>
        </is>
      </c>
      <c r="O151" s="245" t="inlineStr">
        <is>
          <t>553/1084/26 01.09.26 IJZ-MB</t>
        </is>
      </c>
      <c r="P151" s="245" t="inlineStr">
        <is>
          <t>227-17-М/26 16.09.26 FHM-M; 227-17-М/26 16.09.26 FHM-M (initial)</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562/1093/26 26.08.26; 227-2-М/26 —; 1767/2025 08.04.25</t>
        </is>
      </c>
      <c r="G152" s="245" t="inlineStr">
        <is>
          <t>iCoA-PP_26-154 24.08.26 PP</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iCoA-PP_26-154 24.08.26 PP</t>
        </is>
      </c>
      <c r="N152" s="245" t="inlineStr">
        <is>
          <t>ППК25105 17.04.25 CNP (initial) DAB</t>
        </is>
      </c>
      <c r="O152" s="245" t="inlineStr">
        <is>
          <t>562/1093/26 01.09.26 IJZ-MB</t>
        </is>
      </c>
      <c r="P152" s="245" t="inlineStr">
        <is>
          <t>227-2-М/26 16.09.26 FHM-M; 227-2-М/26 16.09.26 FHM-M (initial)</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 550/1081/26 26.08.26; 227-16-М/26 —</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5" t="inlineStr">
        <is>
          <t>550/1081/26 01.09.26 IJZ-MB</t>
        </is>
      </c>
      <c r="P153" s="245" t="inlineStr">
        <is>
          <t>227-16-М/26 16.09.26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 547/1078/26 25.08.26; 227-14-М/26 —</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5" t="inlineStr">
        <is>
          <t>547/1078/26 31.08.26 IJZ-MB</t>
        </is>
      </c>
      <c r="P154" s="245" t="inlineStr">
        <is>
          <t>227-14-М/26 16.09.26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544/1075/26 25.08.26; 227-13-М/26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544/1075/26 31.08.26 IJZ-MB</t>
        </is>
      </c>
      <c r="P155" s="245" t="inlineStr">
        <is>
          <t>227-13-М/26 16.09.26 FHM-M; 227-13-М/26 16.09.26 FHM-M (initial); also 1625/2026</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540/1071/26 25.08.26; 227-15-М/26 —;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540/1071/26 31.08.26 IJZ-MB</t>
        </is>
      </c>
      <c r="P156" s="245" t="inlineStr">
        <is>
          <t>227-15-М/26 16.09.26 FHM-M; 227-15-М/26 16.09.26 FHM-M (initial)</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563/1094/26 26.08.26; 227-12-М/26 —; 2157/2025 28.04.25</t>
        </is>
      </c>
      <c r="G157" s="245" t="inlineStr">
        <is>
          <t>iCoA-PP_26-171 24.08.26 PP</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iCoA-PP_26-171 24.08.26 PP</t>
        </is>
      </c>
      <c r="N157" s="245" t="inlineStr">
        <is>
          <t>ППК25118 06.05.25 CNP (initial) DAB</t>
        </is>
      </c>
      <c r="O157" s="245" t="inlineStr">
        <is>
          <t>563/1094/26 01.09.26 IJZ-MB</t>
        </is>
      </c>
      <c r="P157" s="245" t="inlineStr">
        <is>
          <t>227-12-М/26 16.09.26 FHM-M; 227-12-М/26 16.09.26 FHM-M (initial)</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560/1091/26 25.08.26; 227-11-М/26 —; 4157/2025 25.08.25</t>
        </is>
      </c>
      <c r="G158" s="245" t="inlineStr">
        <is>
          <t>iCoA-PP_26-172 24.08.26 PP</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iCoA-PP_26-172 24.08.26 PP</t>
        </is>
      </c>
      <c r="N158" s="245" t="inlineStr">
        <is>
          <t>ППК25257 05.09.25 CNP (initial) DAB</t>
        </is>
      </c>
      <c r="O158" s="245" t="inlineStr">
        <is>
          <t>560/1091/26 01.09.26 IJZ-MB</t>
        </is>
      </c>
      <c r="P158" s="245" t="inlineStr">
        <is>
          <t>227-11-М/26 16.09.26 FHM-M; 227-11-М/26 16.09.26 FHM-M (initial)</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 546/1077/26 25.08.26; 227-10-М/26 —</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5" t="inlineStr">
        <is>
          <t>546/1077/26 31.08.26 IJZ-MB</t>
        </is>
      </c>
      <c r="P159" s="245" t="inlineStr">
        <is>
          <t>227-10-М/26 16.09.26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554/1085/26 26.08.26; 227-9-М/26 —; 5698/2025 24.11.25</t>
        </is>
      </c>
      <c r="G160" s="245" t="inlineStr">
        <is>
          <t>iCoA-PP_26-156 24.08.26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iCoA-PP_26-156 24.08.26 PP</t>
        </is>
      </c>
      <c r="N160" s="245" t="inlineStr">
        <is>
          <t>ППК25368 28.11.25 CNP (initial) DAB</t>
        </is>
      </c>
      <c r="O160" s="245" t="inlineStr">
        <is>
          <t>554/1085/26 01.09.26 IJZ-MB</t>
        </is>
      </c>
      <c r="P160" s="245" t="inlineStr">
        <is>
          <t>227-9-М/26 16.09.26 FHM-M; 227-9-М/26 16.09.26 FHM-M (initial)</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 539/1070/26 25.08.26; 227-8-М/26 —</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5" t="inlineStr">
        <is>
          <t>539/1070/26 31.08.26 IJZ-MB</t>
        </is>
      </c>
      <c r="P161" s="245" t="inlineStr">
        <is>
          <t>227-8-М/26 16.09.26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ППК26116 17.06.26; 227-7-К/26 24.08.26; 536/1067/26 25.08.26; 227-7-М/26 —</t>
        </is>
      </c>
      <c r="G162" s="245" t="inlineStr">
        <is>
          <t>ППК26116 06.07.26 CNP (initial)</t>
        </is>
      </c>
      <c r="H162" s="245" t="inlineStr">
        <is>
          <t>ППК26116 06.07.26 CNP (initial)</t>
        </is>
      </c>
      <c r="I162" s="245" t="inlineStr">
        <is>
          <t>227-7-К/26 11.09.26 FHM-K</t>
        </is>
      </c>
      <c r="J162" s="245" t="inlineStr">
        <is>
          <t>227-7-К/26 11.09.26 FHM-K</t>
        </is>
      </c>
      <c r="K162" s="245" t="inlineStr">
        <is>
          <t>227-7-К/26 11.09.26 FHM-K</t>
        </is>
      </c>
      <c r="L162" s="245" t="inlineStr">
        <is>
          <t>227-7-К/26 11.09.26 FHM-K</t>
        </is>
      </c>
      <c r="M162" s="245" t="inlineStr">
        <is>
          <t>ППК26116 06.07.26 CNP (initial)</t>
        </is>
      </c>
      <c r="N162" s="245" t="inlineStr">
        <is>
          <t>ППК26116 06.07.26 CNP (initial)</t>
        </is>
      </c>
      <c r="O162" s="245" t="inlineStr">
        <is>
          <t>536/1067/26 31.08.26 IJZ-MB</t>
        </is>
      </c>
      <c r="P162" s="245" t="inlineStr">
        <is>
          <t>227-7-М/26 16.09.26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 549/1080/26 25.08.26; 227-6-М/26 —</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5" t="inlineStr">
        <is>
          <t>549/1080/26 31.08.26 IJZ-MB</t>
        </is>
      </c>
      <c r="P163" s="245" t="inlineStr">
        <is>
          <t>227-6-М/26 16.09.26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 227-5-М/26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227-5-М/26 16.09.26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555/1086/26 26.08.26; 227-3-М/26 —;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555/1086/26 01.09.26 IJZ-MB</t>
        </is>
      </c>
      <c r="P165" s="245" t="inlineStr">
        <is>
          <t>227-3-М/26 16.09.26 FHM-M; 227-3-М/26 16.09.26 FHM-M (initial)</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 031-3-ГС/26 —; 551/1082/26 26.08.26; 227-4-М/26 —</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5" t="inlineStr">
        <is>
          <t>031-3-ГС/26 12.02.26 FHM</t>
        </is>
      </c>
      <c r="O166" s="245" t="inlineStr">
        <is>
          <t>551/1082/26 01.09.26 IJZ-MB</t>
        </is>
      </c>
      <c r="P166" s="245" t="inlineStr">
        <is>
          <t>227-4-М/26 16.09.26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1.2</v>
      </c>
      <c r="F2" s="240" t="n">
        <v>10.8</v>
      </c>
      <c r="G2" s="240" t="n">
        <v>13.19</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8">
      <c r="A58" s="233" t="inlineStr">
        <is>
          <t>Wedding Cake</t>
        </is>
      </c>
      <c r="B58" s="232" t="inlineStr">
        <is>
          <t>WED</t>
        </is>
      </c>
      <c r="C58" s="232" t="inlineStr">
        <is>
          <t>Finished</t>
        </is>
      </c>
      <c r="D58" s="240" t="n">
        <v>26</v>
      </c>
      <c r="E58" s="240" t="n">
        <v>2.6</v>
      </c>
      <c r="F58" s="240" t="n">
        <v>23.4</v>
      </c>
      <c r="G58" s="240" t="n">
        <v>28.59</v>
      </c>
      <c r="H58" s="232" t="n">
        <v>1</v>
      </c>
      <c r="I58" s="232" t="n">
        <v>1</v>
      </c>
      <c r="J58" s="232" t="inlineStr">
        <is>
          <t>25.15–25.15</t>
        </is>
      </c>
      <c r="K58" s="232" t="inlineStr">
        <is>
          <t>all results</t>
        </is>
      </c>
      <c r="L58" s="235" t="inlineStr">
        <is>
          <t>25.15</t>
        </is>
      </c>
    </row>
    <row r="60" ht="60" customHeight="1" s="70">
      <c r="A60"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5" t="inlineStr">
        <is>
          <t>Conforms | Одговара</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replaces the issued QCSP_001_BG-II_v.01 (was BG_THC23:CBD1, 23.00% ± 2.22%); now BG_THC22 : CBD1 19.80 – 24.19 %</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not tested</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7.8</t>
        </is>
      </c>
      <c r="BH5" s="245" t="inlineStr">
        <is>
          <t>ППК25008</t>
        </is>
      </c>
      <c r="BI5" s="245" t="inlineStr">
        <is>
          <t>29.01.2025</t>
        </is>
      </c>
      <c r="BJ5" s="245" t="inlineStr">
        <is>
          <t>CNP</t>
        </is>
      </c>
      <c r="BK5" s="245" t="inlineStr">
        <is>
          <t>1.1 × 10⁴ CFU/g</t>
        </is>
      </c>
      <c r="BL5" s="245" t="inlineStr">
        <is>
          <t>166/0274/25</t>
        </is>
      </c>
      <c r="BM5" s="245" t="inlineStr">
        <is>
          <t>24.02.2025</t>
        </is>
      </c>
      <c r="BN5" s="245" t="inlineStr">
        <is>
          <t>IPH — Institute of Public Health</t>
        </is>
      </c>
      <c r="BO5" s="245" t="inlineStr">
        <is>
          <t>&lt; 10</t>
        </is>
      </c>
      <c r="BP5" s="245" t="inlineStr">
        <is>
          <t>166/0274/25</t>
        </is>
      </c>
      <c r="BQ5" s="245" t="inlineStr">
        <is>
          <t>24.02.2025</t>
        </is>
      </c>
      <c r="BR5" s="245" t="inlineStr">
        <is>
          <t>IPH — Institute of Public Health</t>
        </is>
      </c>
      <c r="BS5" s="245" t="inlineStr">
        <is>
          <t>&lt; 10² and &gt; 10 CFU/g</t>
        </is>
      </c>
      <c r="BT5" s="245" t="inlineStr">
        <is>
          <t>166/0274/25</t>
        </is>
      </c>
      <c r="BU5" s="245" t="inlineStr">
        <is>
          <t>24.02.2025</t>
        </is>
      </c>
      <c r="BV5" s="245" t="inlineStr">
        <is>
          <t>IPH — Institute of Public Health</t>
        </is>
      </c>
      <c r="BW5" s="245" t="inlineStr">
        <is>
          <t>Absent | Отсутна</t>
        </is>
      </c>
      <c r="BX5" s="245" t="inlineStr">
        <is>
          <t>166/0274/25</t>
        </is>
      </c>
      <c r="BY5" s="245" t="inlineStr">
        <is>
          <t>24.02.2025</t>
        </is>
      </c>
      <c r="BZ5" s="245" t="inlineStr">
        <is>
          <t>IPH — Institute of Public Health</t>
        </is>
      </c>
      <c r="CA5" s="245" t="inlineStr">
        <is>
          <t>Absent | Отсутна</t>
        </is>
      </c>
      <c r="CB5" s="245" t="inlineStr">
        <is>
          <t>166/0274/25</t>
        </is>
      </c>
      <c r="CC5" s="245" t="inlineStr">
        <is>
          <t>24.02.2025</t>
        </is>
      </c>
      <c r="CD5" s="245" t="inlineStr">
        <is>
          <t>IPH — Institute of Public Health</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5" t="inlineStr">
        <is>
          <t>&lt; 2</t>
        </is>
      </c>
      <c r="CR5" s="245" t="inlineStr">
        <is>
          <t>748/2025</t>
        </is>
      </c>
      <c r="CS5" s="245" t="inlineStr">
        <is>
          <t>04.03.2025</t>
        </is>
      </c>
      <c r="CT5" s="245" t="inlineStr">
        <is>
          <t>IPH — Institute of Public Health</t>
        </is>
      </c>
      <c r="CU5" s="248" t="inlineStr">
        <is>
          <t>not tested</t>
        </is>
      </c>
      <c r="CV5" s="245" t="inlineStr">
        <is>
          <t>—</t>
        </is>
      </c>
      <c r="CW5" s="245" t="inlineStr">
        <is>
          <t>—</t>
        </is>
      </c>
      <c r="CX5" s="245" t="inlineStr">
        <is>
          <t>—</t>
        </is>
      </c>
      <c r="CY5" s="245" t="inlineStr">
        <is>
          <t>0.052</t>
        </is>
      </c>
      <c r="CZ5" s="245" t="inlineStr">
        <is>
          <t>748/2025</t>
        </is>
      </c>
      <c r="DA5" s="245" t="inlineStr">
        <is>
          <t>04.03.2025</t>
        </is>
      </c>
      <c r="DB5" s="245" t="inlineStr">
        <is>
          <t>IPH — Institute of Public Health</t>
        </is>
      </c>
      <c r="DC5" s="245" t="inlineStr">
        <is>
          <t>0.016</t>
        </is>
      </c>
      <c r="DD5" s="245" t="inlineStr">
        <is>
          <t>748/2025</t>
        </is>
      </c>
      <c r="DE5" s="245" t="inlineStr">
        <is>
          <t>04.03.2025</t>
        </is>
      </c>
      <c r="DF5" s="245" t="inlineStr">
        <is>
          <t>IPH — Institute of Public Health</t>
        </is>
      </c>
      <c r="DG5" s="245" t="inlineStr">
        <is>
          <t>0.04</t>
        </is>
      </c>
      <c r="DH5" s="245" t="inlineStr">
        <is>
          <t>748/2025</t>
        </is>
      </c>
      <c r="DI5" s="245" t="inlineStr">
        <is>
          <t>04.03.2025</t>
        </is>
      </c>
      <c r="DJ5" s="245" t="inlineStr">
        <is>
          <t>IPH — Institute of Public Health</t>
        </is>
      </c>
      <c r="DK5" s="245" t="inlineStr">
        <is>
          <t>0.004</t>
        </is>
      </c>
      <c r="DL5" s="245" t="inlineStr">
        <is>
          <t>748/2025</t>
        </is>
      </c>
      <c r="DM5" s="245" t="inlineStr">
        <is>
          <t>04.03.2025</t>
        </is>
      </c>
      <c r="DN5" s="245" t="inlineStr">
        <is>
          <t>IPH — Institute of Public Health</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8" t="inlineStr">
        <is>
          <t>not tested</t>
        </is>
      </c>
      <c r="AN6" s="245" t="inlineStr">
        <is>
          <t>—</t>
        </is>
      </c>
      <c r="AO6" s="245" t="inlineStr">
        <is>
          <t>—</t>
        </is>
      </c>
      <c r="AP6" s="245" t="inlineStr">
        <is>
          <t>—</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8" t="inlineStr">
        <is>
          <t>not tested</t>
        </is>
      </c>
      <c r="AN7" s="245" t="inlineStr">
        <is>
          <t>—</t>
        </is>
      </c>
      <c r="AO7" s="245" t="inlineStr">
        <is>
          <t>—</t>
        </is>
      </c>
      <c r="AP7" s="245" t="inlineStr">
        <is>
          <t>—</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700</t>
        </is>
      </c>
      <c r="BL8" s="245" t="inlineStr">
        <is>
          <t>471-0862-25</t>
        </is>
      </c>
      <c r="BM8" s="245" t="inlineStr">
        <is>
          <t>22.05.2025</t>
        </is>
      </c>
      <c r="BN8" s="245" t="inlineStr">
        <is>
          <t>IPH — Institute of Public Health</t>
        </is>
      </c>
      <c r="BO8" s="245" t="inlineStr">
        <is>
          <t>&lt; 10</t>
        </is>
      </c>
      <c r="BP8" s="245" t="inlineStr">
        <is>
          <t>471-0862-25</t>
        </is>
      </c>
      <c r="BQ8" s="245" t="inlineStr">
        <is>
          <t>22.05.2025</t>
        </is>
      </c>
      <c r="BR8" s="245" t="inlineStr">
        <is>
          <t>IPH — Institute of Public Health</t>
        </is>
      </c>
      <c r="BS8" s="245" t="inlineStr">
        <is>
          <t>&lt; 10² and &gt; 10</t>
        </is>
      </c>
      <c r="BT8" s="245" t="inlineStr">
        <is>
          <t>471-0862-25</t>
        </is>
      </c>
      <c r="BU8" s="245" t="inlineStr">
        <is>
          <t>22.05.2025</t>
        </is>
      </c>
      <c r="BV8" s="245" t="inlineStr">
        <is>
          <t>IPH — Institute of Public Health</t>
        </is>
      </c>
      <c r="BW8" s="245" t="inlineStr">
        <is>
          <t>Absent | Отсутна</t>
        </is>
      </c>
      <c r="BX8" s="245" t="inlineStr">
        <is>
          <t>471-0862-25</t>
        </is>
      </c>
      <c r="BY8" s="245" t="inlineStr">
        <is>
          <t>22.05.2025</t>
        </is>
      </c>
      <c r="BZ8" s="245" t="inlineStr">
        <is>
          <t>IPH — Institute of Public Health</t>
        </is>
      </c>
      <c r="CA8" s="245" t="inlineStr">
        <is>
          <t>Absent | Отсутна</t>
        </is>
      </c>
      <c r="CB8" s="245" t="inlineStr">
        <is>
          <t>471-0862-25</t>
        </is>
      </c>
      <c r="CC8" s="245" t="inlineStr">
        <is>
          <t>22.05.2025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2471-2025</t>
        </is>
      </c>
      <c r="CS8" s="245" t="inlineStr">
        <is>
          <t>30.05.2025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2471-2025</t>
        </is>
      </c>
      <c r="DA8" s="245" t="inlineStr">
        <is>
          <t>30.05.2025</t>
        </is>
      </c>
      <c r="DB8" s="245" t="inlineStr">
        <is>
          <t>IPH — Institute of Public Health</t>
        </is>
      </c>
      <c r="DC8" s="245" t="inlineStr">
        <is>
          <t>ND</t>
        </is>
      </c>
      <c r="DD8" s="245" t="inlineStr">
        <is>
          <t>2471-2025</t>
        </is>
      </c>
      <c r="DE8" s="245" t="inlineStr">
        <is>
          <t>30.05.2025</t>
        </is>
      </c>
      <c r="DF8" s="245" t="inlineStr">
        <is>
          <t>IPH — Institute of Public Health</t>
        </is>
      </c>
      <c r="DG8" s="245" t="inlineStr">
        <is>
          <t>ND</t>
        </is>
      </c>
      <c r="DH8" s="245" t="inlineStr">
        <is>
          <t>2471-2025</t>
        </is>
      </c>
      <c r="DI8" s="245" t="inlineStr">
        <is>
          <t>30.05.2025</t>
        </is>
      </c>
      <c r="DJ8" s="245" t="inlineStr">
        <is>
          <t>IPH — Institute of Public Health</t>
        </is>
      </c>
      <c r="DK8" s="245" t="inlineStr">
        <is>
          <t>ND</t>
        </is>
      </c>
      <c r="DL8" s="245" t="inlineStr">
        <is>
          <t>2471-2025</t>
        </is>
      </c>
      <c r="DM8" s="245" t="inlineStr">
        <is>
          <t>30.05.2025</t>
        </is>
      </c>
      <c r="DN8" s="245" t="inlineStr">
        <is>
          <t>IPH — Institute of Public Health</t>
        </is>
      </c>
      <c r="DO8" s="245" t="inlineStr">
        <is>
          <t>ND</t>
        </is>
      </c>
      <c r="DP8" s="245" t="inlineStr">
        <is>
          <t>2471-2025</t>
        </is>
      </c>
      <c r="DQ8" s="245" t="inlineStr">
        <is>
          <t>30.05.2025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iCoA-PP_26-008</t>
        </is>
      </c>
      <c r="AG9" s="245" t="inlineStr">
        <is>
          <t>03.06.2026</t>
        </is>
      </c>
      <c r="AH9" s="245" t="inlineStr">
        <is>
          <t>Purely Plant GmbH (in-house)</t>
        </is>
      </c>
      <c r="AI9" s="245" t="inlineStr">
        <is>
          <t>Conforms | Одговара</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iCoA-PP_26-009</t>
        </is>
      </c>
      <c r="AG10" s="245" t="inlineStr">
        <is>
          <t>03.06.2026</t>
        </is>
      </c>
      <c r="AH10" s="245" t="inlineStr">
        <is>
          <t>Purely Plant GmbH (in-house)</t>
        </is>
      </c>
      <c r="AI10" s="245" t="inlineStr">
        <is>
          <t>Conforms | Одговара</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replaces the issued QCSP_001_OPM-III_v.01 (was OPM_THC16:CBD1, 16.00% ± 3.00%); now OPM_THC14 : CBD1 12.60 – 15.39 %</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10</t>
        </is>
      </c>
      <c r="BL11" s="245" t="inlineStr">
        <is>
          <t>407-0745-25</t>
        </is>
      </c>
      <c r="BM11" s="245" t="inlineStr">
        <is>
          <t>05.05.2025</t>
        </is>
      </c>
      <c r="BN11" s="245" t="inlineStr">
        <is>
          <t>IPH — Institute of Public Health</t>
        </is>
      </c>
      <c r="BO11" s="245" t="inlineStr">
        <is>
          <t>&lt; 10</t>
        </is>
      </c>
      <c r="BP11" s="245" t="inlineStr">
        <is>
          <t>407-0745-25</t>
        </is>
      </c>
      <c r="BQ11" s="245" t="inlineStr">
        <is>
          <t>05.05.2025</t>
        </is>
      </c>
      <c r="BR11" s="245" t="inlineStr">
        <is>
          <t>IPH — Institute of Public Health</t>
        </is>
      </c>
      <c r="BS11" s="245" t="inlineStr">
        <is>
          <t>&lt; 10² and &gt; 10</t>
        </is>
      </c>
      <c r="BT11" s="245" t="inlineStr">
        <is>
          <t>407-0745-25</t>
        </is>
      </c>
      <c r="BU11" s="245" t="inlineStr">
        <is>
          <t>05.05.2025</t>
        </is>
      </c>
      <c r="BV11" s="245" t="inlineStr">
        <is>
          <t>IPH — Institute of Public Health</t>
        </is>
      </c>
      <c r="BW11" s="245" t="inlineStr">
        <is>
          <t>Absent | Отсутна</t>
        </is>
      </c>
      <c r="BX11" s="245" t="inlineStr">
        <is>
          <t>407-0745-25</t>
        </is>
      </c>
      <c r="BY11" s="245" t="inlineStr">
        <is>
          <t>05.05.2025</t>
        </is>
      </c>
      <c r="BZ11" s="245" t="inlineStr">
        <is>
          <t>IPH — Institute of Public Health</t>
        </is>
      </c>
      <c r="CA11" s="245" t="inlineStr">
        <is>
          <t>Absent | Отсутна</t>
        </is>
      </c>
      <c r="CB11" s="245" t="inlineStr">
        <is>
          <t>407-0745-25</t>
        </is>
      </c>
      <c r="CC11" s="245" t="inlineStr">
        <is>
          <t>05.05.2025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iCoA-PP_26-015</t>
        </is>
      </c>
      <c r="AG17" s="245" t="inlineStr">
        <is>
          <t>03.06.2026</t>
        </is>
      </c>
      <c r="AH17" s="245" t="inlineStr">
        <is>
          <t>Purely Plant GmbH (in-house)</t>
        </is>
      </c>
      <c r="AI17" s="245" t="inlineStr">
        <is>
          <t>Conforms | Одговара</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iCoA-PP_26-087</t>
        </is>
      </c>
      <c r="AG19" s="245" t="inlineStr">
        <is>
          <t>03.06.2026</t>
        </is>
      </c>
      <c r="AH19" s="245" t="inlineStr">
        <is>
          <t>Purely Plant GmbH (in-house)</t>
        </is>
      </c>
      <c r="AI19" s="245" t="inlineStr">
        <is>
          <t>Conforms | Одговара</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replaces the issued QCSP_001_OPM-III_v.01 (was OPM_THC16:CBD1, 16.00% ± 3.00%); now OPM_THC14 : CBD1 12.60 – 15.39 %</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iCoA-PP_26-017</t>
        </is>
      </c>
      <c r="AG20" s="245" t="inlineStr">
        <is>
          <t>03.06.2026</t>
        </is>
      </c>
      <c r="AH20" s="245" t="inlineStr">
        <is>
          <t>Purely Plant GmbH (in-house)</t>
        </is>
      </c>
      <c r="AI20" s="245" t="inlineStr">
        <is>
          <t>Conforms | Одговара</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5" t="inlineStr">
        <is>
          <t>Conforms | Одговара</t>
        </is>
      </c>
      <c r="AF22" s="245" t="inlineStr">
        <is>
          <t>iCoA-PP_26-019</t>
        </is>
      </c>
      <c r="AG22" s="245" t="inlineStr">
        <is>
          <t>03.06.2026</t>
        </is>
      </c>
      <c r="AH22" s="245" t="inlineStr">
        <is>
          <t>Purely Plant GmbH (in-house)</t>
        </is>
      </c>
      <c r="AI22" s="245" t="inlineStr">
        <is>
          <t>Conforms | Одговара</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5" t="inlineStr">
        <is>
          <t>Conforms | Одговара</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iCoA-PP_26-021</t>
        </is>
      </c>
      <c r="AG24" s="245" t="inlineStr">
        <is>
          <t>03.06.2026</t>
        </is>
      </c>
      <c r="AH24" s="245" t="inlineStr">
        <is>
          <t>Purely Plant GmbH (in-house)</t>
        </is>
      </c>
      <c r="AI24" s="245" t="inlineStr">
        <is>
          <t>Conforms | Одговара</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8" t="inlineStr">
        <is>
          <t>not tested</t>
        </is>
      </c>
      <c r="AN26" s="245" t="inlineStr">
        <is>
          <t>—</t>
        </is>
      </c>
      <c r="AO26" s="245" t="inlineStr">
        <is>
          <t>—</t>
        </is>
      </c>
      <c r="AP26" s="245" t="inlineStr">
        <is>
          <t>—</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iCoA-PP_26-024</t>
        </is>
      </c>
      <c r="AG27" s="245" t="inlineStr">
        <is>
          <t>03.06.2026</t>
        </is>
      </c>
      <c r="AH27" s="245" t="inlineStr">
        <is>
          <t>Purely Plant GmbH (in-house)</t>
        </is>
      </c>
      <c r="AI27" s="245" t="inlineStr">
        <is>
          <t>Conforms | Одговара</t>
        </is>
      </c>
      <c r="AJ27" s="245" t="inlineStr">
        <is>
          <t>iCoA-PP_26-024</t>
        </is>
      </c>
      <c r="AK27" s="245" t="inlineStr">
        <is>
          <t>03.06.2026</t>
        </is>
      </c>
      <c r="AL27" s="245" t="inlineStr">
        <is>
          <t>Purely Plant GmbH (in-house)</t>
        </is>
      </c>
      <c r="AM27" s="248" t="inlineStr">
        <is>
          <t>not tested</t>
        </is>
      </c>
      <c r="AN27" s="245" t="inlineStr">
        <is>
          <t>—</t>
        </is>
      </c>
      <c r="AO27" s="245" t="inlineStr">
        <is>
          <t>—</t>
        </is>
      </c>
      <c r="AP27" s="245" t="inlineStr">
        <is>
          <t>—</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5" t="inlineStr">
        <is>
          <t>Conforms | Одговара</t>
        </is>
      </c>
      <c r="AF30" s="245" t="inlineStr">
        <is>
          <t>iCoA-PP_26-027</t>
        </is>
      </c>
      <c r="AG30" s="245" t="inlineStr">
        <is>
          <t>03.06.2026</t>
        </is>
      </c>
      <c r="AH30" s="245" t="inlineStr">
        <is>
          <t>Purely Plant GmbH (in-house)</t>
        </is>
      </c>
      <c r="AI30" s="245" t="inlineStr">
        <is>
          <t>Conforms | Одговара</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5" t="inlineStr">
        <is>
          <t>Conforms | Одговара</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replaces the issued QCSP_001_WC-II_v.01 (was WC_THC22.5:CBD1, 22.50% ± 2.50%); now WC_THC22 : CBD1 20.60 – 23.39 %</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5" t="inlineStr">
        <is>
          <t>Conforms | Одговара</t>
        </is>
      </c>
      <c r="AF31" s="245" t="inlineStr">
        <is>
          <t>iCoA-PP_26-028</t>
        </is>
      </c>
      <c r="AG31" s="245" t="inlineStr">
        <is>
          <t>03.06.2026</t>
        </is>
      </c>
      <c r="AH31" s="245" t="inlineStr">
        <is>
          <t>Purely Plant GmbH (in-house)</t>
        </is>
      </c>
      <c r="AI31" s="245" t="inlineStr">
        <is>
          <t>Conforms | Одговара</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5" t="inlineStr">
        <is>
          <t>Conforms | Одговара</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replaces the issued QCSP_001_PM-III_v.01 (was PM_THC16.5:CBD1, 16.50% ± 2.50%); now PM_THC10 : CBD1 9.00 – 10.99 %</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5" t="inlineStr">
        <is>
          <t>Conforms | Одговара</t>
        </is>
      </c>
      <c r="AF32" s="245" t="inlineStr">
        <is>
          <t>iCoA-PP_26-029</t>
        </is>
      </c>
      <c r="AG32" s="245" t="inlineStr">
        <is>
          <t>03.06.2026</t>
        </is>
      </c>
      <c r="AH32" s="245" t="inlineStr">
        <is>
          <t>Purely Plant GmbH (in-house)</t>
        </is>
      </c>
      <c r="AI32" s="245" t="inlineStr">
        <is>
          <t>Conforms | Одговара</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5" t="inlineStr">
        <is>
          <t>Conforms | Одговара</t>
        </is>
      </c>
      <c r="BD32" s="245" t="inlineStr">
        <is>
          <t>iCoA-PP_26-029</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ППК25370</t>
        </is>
      </c>
      <c r="AO33" s="245" t="inlineStr">
        <is>
          <t>28.11.2025</t>
        </is>
      </c>
      <c r="AP33" s="245" t="inlineStr">
        <is>
          <t>CNP</t>
        </is>
      </c>
      <c r="AQ33" s="245" t="inlineStr">
        <is>
          <t>8.02</t>
        </is>
      </c>
      <c r="AR33" s="245" t="inlineStr">
        <is>
          <t>ППК25370</t>
        </is>
      </c>
      <c r="AS33" s="245" t="inlineStr">
        <is>
          <t>28.11.2025</t>
        </is>
      </c>
      <c r="AT33" s="245" t="inlineStr">
        <is>
          <t>CNP</t>
        </is>
      </c>
      <c r="AU33" s="245" t="inlineStr">
        <is>
          <t>0.04</t>
        </is>
      </c>
      <c r="AV33" s="245" t="inlineStr">
        <is>
          <t>ППК25370</t>
        </is>
      </c>
      <c r="AW33" s="245" t="inlineStr">
        <is>
          <t>28.11.2025</t>
        </is>
      </c>
      <c r="AX33" s="245" t="inlineStr">
        <is>
          <t>CNP</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ППК25370</t>
        </is>
      </c>
      <c r="BI33" s="245" t="inlineStr">
        <is>
          <t>28.11.2025</t>
        </is>
      </c>
      <c r="BJ33" s="245" t="inlineStr">
        <is>
          <t>CNP</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iCoA-PP_26-031</t>
        </is>
      </c>
      <c r="AG34" s="245" t="inlineStr">
        <is>
          <t>03.06.2026</t>
        </is>
      </c>
      <c r="AH34" s="245" t="inlineStr">
        <is>
          <t>Purely Plant GmbH (in-house)</t>
        </is>
      </c>
      <c r="AI34" s="245" t="inlineStr">
        <is>
          <t>Conforms | Одговара</t>
        </is>
      </c>
      <c r="AJ34" s="245" t="inlineStr">
        <is>
          <t>iCoA-PP_26-031</t>
        </is>
      </c>
      <c r="AK34" s="245" t="inlineStr">
        <is>
          <t>03.06.2026</t>
        </is>
      </c>
      <c r="AL34" s="245" t="inlineStr">
        <is>
          <t>Purely Plant GmbH (in-house)</t>
        </is>
      </c>
      <c r="AM34" s="245" t="inlineStr">
        <is>
          <t>Conforms | Одговара</t>
        </is>
      </c>
      <c r="AN34" s="245" t="inlineStr">
        <is>
          <t>ППК25378</t>
        </is>
      </c>
      <c r="AO34" s="245" t="inlineStr">
        <is>
          <t>12.12.2025</t>
        </is>
      </c>
      <c r="AP34" s="245" t="inlineStr">
        <is>
          <t>UKIM Faculty of Pharmacy — Center for Natural Products</t>
        </is>
      </c>
      <c r="AQ34" s="245" t="inlineStr">
        <is>
          <t>21.36</t>
        </is>
      </c>
      <c r="AR34" s="245" t="inlineStr">
        <is>
          <t>ППК25378</t>
        </is>
      </c>
      <c r="AS34" s="245" t="inlineStr">
        <is>
          <t>12.12.2025</t>
        </is>
      </c>
      <c r="AT34" s="245" t="inlineStr">
        <is>
          <t>UKIM Faculty of Pharmacy — Center for Natural Products</t>
        </is>
      </c>
      <c r="AU34" s="245" t="inlineStr">
        <is>
          <t>0.11</t>
        </is>
      </c>
      <c r="AV34" s="245" t="inlineStr">
        <is>
          <t>ППК25378</t>
        </is>
      </c>
      <c r="AW34" s="245" t="inlineStr">
        <is>
          <t>12.12.2025</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iCoA-PP_26-031</t>
        </is>
      </c>
      <c r="BE34" s="245" t="inlineStr">
        <is>
          <t>03.06.2026</t>
        </is>
      </c>
      <c r="BF34" s="245" t="inlineStr">
        <is>
          <t>Purely Plant GmbH (in-house)</t>
        </is>
      </c>
      <c r="BG34" s="245" t="inlineStr">
        <is>
          <t>6.62</t>
        </is>
      </c>
      <c r="BH34" s="245" t="inlineStr">
        <is>
          <t>ППК25378</t>
        </is>
      </c>
      <c r="BI34" s="245" t="inlineStr">
        <is>
          <t>12.12.2025</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ППК25379</t>
        </is>
      </c>
      <c r="AO35" s="245" t="inlineStr">
        <is>
          <t>12.12.2025</t>
        </is>
      </c>
      <c r="AP35" s="245" t="inlineStr">
        <is>
          <t>CNP</t>
        </is>
      </c>
      <c r="AQ35" s="245" t="inlineStr">
        <is>
          <t>19.81</t>
        </is>
      </c>
      <c r="AR35" s="245" t="inlineStr">
        <is>
          <t>ППК25379</t>
        </is>
      </c>
      <c r="AS35" s="245" t="inlineStr">
        <is>
          <t>12.12.2025</t>
        </is>
      </c>
      <c r="AT35" s="245" t="inlineStr">
        <is>
          <t>CNP</t>
        </is>
      </c>
      <c r="AU35" s="245" t="inlineStr">
        <is>
          <t>0.10</t>
        </is>
      </c>
      <c r="AV35" s="245" t="inlineStr">
        <is>
          <t>ППК25379</t>
        </is>
      </c>
      <c r="AW35" s="245" t="inlineStr">
        <is>
          <t>12.12.2025</t>
        </is>
      </c>
      <c r="AX35" s="245" t="inlineStr">
        <is>
          <t>CNP</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ППК25379</t>
        </is>
      </c>
      <c r="BI35" s="245" t="inlineStr">
        <is>
          <t>12.12.2025</t>
        </is>
      </c>
      <c r="BJ35" s="245" t="inlineStr">
        <is>
          <t>CNP</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ППК25380</t>
        </is>
      </c>
      <c r="AO36" s="245" t="inlineStr">
        <is>
          <t>12.12.2025</t>
        </is>
      </c>
      <c r="AP36" s="245" t="inlineStr">
        <is>
          <t>CNP</t>
        </is>
      </c>
      <c r="AQ36" s="245" t="inlineStr">
        <is>
          <t>21.29</t>
        </is>
      </c>
      <c r="AR36" s="245" t="inlineStr">
        <is>
          <t>ППК25380</t>
        </is>
      </c>
      <c r="AS36" s="245" t="inlineStr">
        <is>
          <t>12.12.2025</t>
        </is>
      </c>
      <c r="AT36" s="245" t="inlineStr">
        <is>
          <t>CNP</t>
        </is>
      </c>
      <c r="AU36" s="245" t="inlineStr">
        <is>
          <t>0.08</t>
        </is>
      </c>
      <c r="AV36" s="245" t="inlineStr">
        <is>
          <t>ППК25380</t>
        </is>
      </c>
      <c r="AW36" s="245" t="inlineStr">
        <is>
          <t>12.12.2025</t>
        </is>
      </c>
      <c r="AX36" s="245" t="inlineStr">
        <is>
          <t>CNP</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ППК25380</t>
        </is>
      </c>
      <c r="BI36" s="245" t="inlineStr">
        <is>
          <t>12.12.2025</t>
        </is>
      </c>
      <c r="BJ36" s="245" t="inlineStr">
        <is>
          <t>CNP</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ППК25381</t>
        </is>
      </c>
      <c r="AO37" s="245" t="inlineStr">
        <is>
          <t>12.12.2025</t>
        </is>
      </c>
      <c r="AP37" s="245" t="inlineStr">
        <is>
          <t>CNP</t>
        </is>
      </c>
      <c r="AQ37" s="245" t="inlineStr">
        <is>
          <t>14.83</t>
        </is>
      </c>
      <c r="AR37" s="245" t="inlineStr">
        <is>
          <t>ППК25381</t>
        </is>
      </c>
      <c r="AS37" s="245" t="inlineStr">
        <is>
          <t>12.12.2025</t>
        </is>
      </c>
      <c r="AT37" s="245" t="inlineStr">
        <is>
          <t>CNP</t>
        </is>
      </c>
      <c r="AU37" s="245" t="inlineStr">
        <is>
          <t>0.11</t>
        </is>
      </c>
      <c r="AV37" s="245" t="inlineStr">
        <is>
          <t>ППК25381</t>
        </is>
      </c>
      <c r="AW37" s="245" t="inlineStr">
        <is>
          <t>12.12.2025</t>
        </is>
      </c>
      <c r="AX37" s="245" t="inlineStr">
        <is>
          <t>CNP</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ППК25381</t>
        </is>
      </c>
      <c r="BI37" s="245" t="inlineStr">
        <is>
          <t>12.12.2025</t>
        </is>
      </c>
      <c r="BJ37" s="245" t="inlineStr">
        <is>
          <t>CNP</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replaces the issued QCSP_001_WC-II_v.01 (was WC_THC22.5:CBD1, 22.50% ± 2.50%); now WC_THC22 : CBD1 20.60 – 23.39 %</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ППК26005</t>
        </is>
      </c>
      <c r="T42" s="245" t="inlineStr">
        <is>
          <t>II</t>
        </is>
      </c>
      <c r="U42" s="245" t="inlineStr">
        <is>
          <t>16.20 – 19.79 %</t>
        </is>
      </c>
      <c r="V42" s="245" t="inlineStr">
        <is>
          <t>AB_THC18 : CBD1</t>
        </is>
      </c>
      <c r="W42" s="245" t="inlineStr">
        <is>
          <t>QCSP_001_AB-II_v.01</t>
        </is>
      </c>
      <c r="X42" s="245" t="inlineStr">
        <is>
          <t>for review — replaces the issued QCSP_001_AB-II_v.01 (was AB_THC22.5:CBD1, 22.50% ± 2.50%); now AB_THC18 : CBD1 16.20 – 19.79 %</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iCoA-PP_26-039</t>
        </is>
      </c>
      <c r="AG42" s="245" t="inlineStr">
        <is>
          <t>03.06.2026</t>
        </is>
      </c>
      <c r="AH42" s="245" t="inlineStr">
        <is>
          <t>Purely Plant GmbH (in-house)</t>
        </is>
      </c>
      <c r="AI42" s="245" t="inlineStr">
        <is>
          <t>Conforms | Одговара</t>
        </is>
      </c>
      <c r="AJ42" s="245" t="inlineStr">
        <is>
          <t>iCoA-PP_26-039</t>
        </is>
      </c>
      <c r="AK42" s="245" t="inlineStr">
        <is>
          <t>03.06.2026</t>
        </is>
      </c>
      <c r="AL42" s="245" t="inlineStr">
        <is>
          <t>Purely Plant GmbH (in-house)</t>
        </is>
      </c>
      <c r="AM42" s="245" t="inlineStr">
        <is>
          <t>Conforms | Одговара</t>
        </is>
      </c>
      <c r="AN42" s="245" t="inlineStr">
        <is>
          <t>ППК26005</t>
        </is>
      </c>
      <c r="AO42" s="245" t="inlineStr">
        <is>
          <t>21.01.2026</t>
        </is>
      </c>
      <c r="AP42" s="245" t="inlineStr">
        <is>
          <t>UKIM Faculty of Pharmacy — Center for Natural Products</t>
        </is>
      </c>
      <c r="AQ42" s="245" t="inlineStr">
        <is>
          <t>16.93</t>
        </is>
      </c>
      <c r="AR42" s="245" t="inlineStr">
        <is>
          <t>ППК26005</t>
        </is>
      </c>
      <c r="AS42" s="245" t="inlineStr">
        <is>
          <t>21.01.2026</t>
        </is>
      </c>
      <c r="AT42" s="245" t="inlineStr">
        <is>
          <t>UKIM Faculty of Pharmacy — Center for Natural Products</t>
        </is>
      </c>
      <c r="AU42" s="245" t="inlineStr">
        <is>
          <t>0.07</t>
        </is>
      </c>
      <c r="AV42" s="245" t="inlineStr">
        <is>
          <t>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iCoA-PP_26-039</t>
        </is>
      </c>
      <c r="BE42" s="245" t="inlineStr">
        <is>
          <t>03.06.2026</t>
        </is>
      </c>
      <c r="BF42" s="245" t="inlineStr">
        <is>
          <t>Purely Plant GmbH (in-house)</t>
        </is>
      </c>
      <c r="BG42" s="245" t="inlineStr">
        <is>
          <t>6.77</t>
        </is>
      </c>
      <c r="BH42" s="245" t="inlineStr">
        <is>
          <t>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iCoA-PP_26-042</t>
        </is>
      </c>
      <c r="AG45" s="245" t="inlineStr">
        <is>
          <t>03.06.2026</t>
        </is>
      </c>
      <c r="AH45" s="245" t="inlineStr">
        <is>
          <t>Purely Plant GmbH (in-house)</t>
        </is>
      </c>
      <c r="AI45" s="245" t="inlineStr">
        <is>
          <t>Conforms | Одговара</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5" t="inlineStr">
        <is>
          <t>Conforms | Одговара</t>
        </is>
      </c>
      <c r="AF47" s="245" t="inlineStr">
        <is>
          <t>iCoA-PP_26-044</t>
        </is>
      </c>
      <c r="AG47" s="245" t="inlineStr">
        <is>
          <t>03.06.2026</t>
        </is>
      </c>
      <c r="AH47" s="245" t="inlineStr">
        <is>
          <t>Purely Plant GmbH (in-house)</t>
        </is>
      </c>
      <c r="AI47" s="245" t="inlineStr">
        <is>
          <t>Conforms | Одговара</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5" t="inlineStr">
        <is>
          <t>Conforms | Одговара</t>
        </is>
      </c>
      <c r="BD47" s="245" t="inlineStr">
        <is>
          <t>iCoA-PP_26-044</t>
        </is>
      </c>
      <c r="BE47" s="245" t="inlineStr">
        <is>
          <t>03.06.2026</t>
        </is>
      </c>
      <c r="BF47" s="245" t="inlineStr">
        <is>
          <t>Purely Plant GmbH (in-house)</t>
        </is>
      </c>
      <c r="BG47" s="245" t="inlineStr">
        <is>
          <t>6,8 %</t>
        </is>
      </c>
      <c r="BH47" s="245" t="inlineStr">
        <is>
          <t>031-3-ГС/26</t>
        </is>
      </c>
      <c r="BI47" s="245" t="inlineStr">
        <is>
          <t>12.02.2026</t>
        </is>
      </c>
      <c r="BJ47" s="245" t="inlineStr">
        <is>
          <t>Farmahem</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5" t="inlineStr">
        <is>
          <t>Conforms | Одговара</t>
        </is>
      </c>
      <c r="AF48" s="245" t="inlineStr">
        <is>
          <t>iCoA-PP_26-045</t>
        </is>
      </c>
      <c r="AG48" s="245" t="inlineStr">
        <is>
          <t>03.06.2026</t>
        </is>
      </c>
      <c r="AH48" s="245" t="inlineStr">
        <is>
          <t>Purely Plant GmbH (in-house)</t>
        </is>
      </c>
      <c r="AI48" s="245" t="inlineStr">
        <is>
          <t>Conforms | Одговара</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031-2-К/26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031-2-К/26</t>
        </is>
      </c>
      <c r="AW48" s="245" t="inlineStr">
        <is>
          <t>10.02.2026</t>
        </is>
      </c>
      <c r="AX48" s="245" t="inlineStr">
        <is>
          <t>FHM</t>
        </is>
      </c>
      <c r="AY48" s="245" t="inlineStr">
        <is>
          <t>&lt; LOQ** %w/w</t>
        </is>
      </c>
      <c r="AZ48" s="245" t="inlineStr">
        <is>
          <t>031-2-К/26</t>
        </is>
      </c>
      <c r="BA48" s="245" t="inlineStr">
        <is>
          <t>10.02.2026</t>
        </is>
      </c>
      <c r="BB48" s="245" t="inlineStr">
        <is>
          <t>FHM</t>
        </is>
      </c>
      <c r="BC48" s="245" t="inlineStr">
        <is>
          <t>Conforms | Одговара</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5" t="inlineStr">
        <is>
          <t>5 × 10¹</t>
        </is>
      </c>
      <c r="BL48" s="245" t="inlineStr">
        <is>
          <t>74/0117/26</t>
        </is>
      </c>
      <c r="BM48" s="245" t="inlineStr">
        <is>
          <t>09.02.2026</t>
        </is>
      </c>
      <c r="BN48" s="245" t="inlineStr">
        <is>
          <t>IPH — Institute of Public Health</t>
        </is>
      </c>
      <c r="BO48" s="245" t="inlineStr">
        <is>
          <t>5 × 10¹</t>
        </is>
      </c>
      <c r="BP48" s="245" t="inlineStr">
        <is>
          <t>74/0117/26</t>
        </is>
      </c>
      <c r="BQ48" s="245" t="inlineStr">
        <is>
          <t>09.02.2026</t>
        </is>
      </c>
      <c r="BR48" s="245" t="inlineStr">
        <is>
          <t>IPH — Institute of Public Health</t>
        </is>
      </c>
      <c r="BS48" s="245" t="inlineStr">
        <is>
          <t>&lt; 10</t>
        </is>
      </c>
      <c r="BT48" s="245" t="inlineStr">
        <is>
          <t>74/0117/26</t>
        </is>
      </c>
      <c r="BU48" s="245" t="inlineStr">
        <is>
          <t>09.02.2026</t>
        </is>
      </c>
      <c r="BV48" s="245" t="inlineStr">
        <is>
          <t>IPH — Institute of Public Health</t>
        </is>
      </c>
      <c r="BW48" s="245" t="inlineStr">
        <is>
          <t>Absent | Отсутна</t>
        </is>
      </c>
      <c r="BX48" s="245" t="inlineStr">
        <is>
          <t>74/0117/26</t>
        </is>
      </c>
      <c r="BY48" s="245" t="inlineStr">
        <is>
          <t>09.02.2026</t>
        </is>
      </c>
      <c r="BZ48" s="245" t="inlineStr">
        <is>
          <t>IPH — Institute of Public Health</t>
        </is>
      </c>
      <c r="CA48" s="245" t="inlineStr">
        <is>
          <t>Absent | Отсутна</t>
        </is>
      </c>
      <c r="CB48" s="245" t="inlineStr">
        <is>
          <t>74/0117/26</t>
        </is>
      </c>
      <c r="CC48" s="245" t="inlineStr">
        <is>
          <t>09.02.2026</t>
        </is>
      </c>
      <c r="CD48" s="245" t="inlineStr">
        <is>
          <t>IPH — Institute of Public Health</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5" t="inlineStr">
        <is>
          <t>&lt; 2</t>
        </is>
      </c>
      <c r="CR48" s="245" t="inlineStr">
        <is>
          <t>327/2026</t>
        </is>
      </c>
      <c r="CS48" s="245" t="inlineStr">
        <is>
          <t>11.02.2026</t>
        </is>
      </c>
      <c r="CT48" s="245" t="inlineStr">
        <is>
          <t>IPH — Institute of Public Health</t>
        </is>
      </c>
      <c r="CU48" s="248" t="inlineStr">
        <is>
          <t>not tested</t>
        </is>
      </c>
      <c r="CV48" s="245" t="inlineStr">
        <is>
          <t>—</t>
        </is>
      </c>
      <c r="CW48" s="245" t="inlineStr">
        <is>
          <t>—</t>
        </is>
      </c>
      <c r="CX48" s="245" t="inlineStr">
        <is>
          <t>—</t>
        </is>
      </c>
      <c r="CY48" s="245" t="inlineStr">
        <is>
          <t>0.078</t>
        </is>
      </c>
      <c r="CZ48" s="245" t="inlineStr">
        <is>
          <t>327/2026</t>
        </is>
      </c>
      <c r="DA48" s="245" t="inlineStr">
        <is>
          <t>11.02.2026</t>
        </is>
      </c>
      <c r="DB48" s="245" t="inlineStr">
        <is>
          <t>IPH — Institute of Public Health</t>
        </is>
      </c>
      <c r="DC48" s="245" t="inlineStr">
        <is>
          <t>ND</t>
        </is>
      </c>
      <c r="DD48" s="245" t="inlineStr">
        <is>
          <t>327/2026</t>
        </is>
      </c>
      <c r="DE48" s="245" t="inlineStr">
        <is>
          <t>11.02.2026</t>
        </is>
      </c>
      <c r="DF48" s="245" t="inlineStr">
        <is>
          <t>IPH — Institute of Public Health</t>
        </is>
      </c>
      <c r="DG48" s="245" t="inlineStr">
        <is>
          <t>0.0187</t>
        </is>
      </c>
      <c r="DH48" s="245" t="inlineStr">
        <is>
          <t>327/2026</t>
        </is>
      </c>
      <c r="DI48" s="245" t="inlineStr">
        <is>
          <t>11.02.2026</t>
        </is>
      </c>
      <c r="DJ48" s="245" t="inlineStr">
        <is>
          <t>IPH — Institute of Public Health</t>
        </is>
      </c>
      <c r="DK48" s="245" t="inlineStr">
        <is>
          <t>ND</t>
        </is>
      </c>
      <c r="DL48" s="245" t="inlineStr">
        <is>
          <t>327/2026</t>
        </is>
      </c>
      <c r="DM48" s="245" t="inlineStr">
        <is>
          <t>11.02.2026</t>
        </is>
      </c>
      <c r="DN48" s="245" t="inlineStr">
        <is>
          <t>IPH — Institute of Public Health</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5" t="inlineStr">
        <is>
          <t>Conforms | Одговара</t>
        </is>
      </c>
      <c r="AF49" s="245" t="inlineStr">
        <is>
          <t>iCoA-PP_26-046</t>
        </is>
      </c>
      <c r="AG49" s="245" t="inlineStr">
        <is>
          <t>03.06.2026</t>
        </is>
      </c>
      <c r="AH49" s="245" t="inlineStr">
        <is>
          <t>Purely Plant GmbH (in-house)</t>
        </is>
      </c>
      <c r="AI49" s="245" t="inlineStr">
        <is>
          <t>Conforms | Одговара</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031-5-К/26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5" t="inlineStr">
        <is>
          <t>Conforms | Одговара</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5" t="inlineStr">
        <is>
          <t>1 × 10³</t>
        </is>
      </c>
      <c r="BL49" s="245" t="inlineStr">
        <is>
          <t>77/0120/26</t>
        </is>
      </c>
      <c r="BM49" s="245" t="inlineStr">
        <is>
          <t>09.02.2026</t>
        </is>
      </c>
      <c r="BN49" s="245" t="inlineStr">
        <is>
          <t>IPH — Institute of Public Health</t>
        </is>
      </c>
      <c r="BO49" s="245" t="inlineStr">
        <is>
          <t>1.6 × 10³</t>
        </is>
      </c>
      <c r="BP49" s="245" t="inlineStr">
        <is>
          <t>77/0120/26</t>
        </is>
      </c>
      <c r="BQ49" s="245" t="inlineStr">
        <is>
          <t>09.02.2026</t>
        </is>
      </c>
      <c r="BR49" s="245" t="inlineStr">
        <is>
          <t>IPH — Institute of Public Health</t>
        </is>
      </c>
      <c r="BS49" s="245" t="inlineStr">
        <is>
          <t>&lt; 10</t>
        </is>
      </c>
      <c r="BT49" s="245" t="inlineStr">
        <is>
          <t>77/0120/26</t>
        </is>
      </c>
      <c r="BU49" s="245" t="inlineStr">
        <is>
          <t>09.02.2026</t>
        </is>
      </c>
      <c r="BV49" s="245" t="inlineStr">
        <is>
          <t>IPH — Institute of Public Health</t>
        </is>
      </c>
      <c r="BW49" s="245" t="inlineStr">
        <is>
          <t>Absent | Отсутна</t>
        </is>
      </c>
      <c r="BX49" s="245" t="inlineStr">
        <is>
          <t>77/0120/26</t>
        </is>
      </c>
      <c r="BY49" s="245" t="inlineStr">
        <is>
          <t>09.02.2026</t>
        </is>
      </c>
      <c r="BZ49" s="245" t="inlineStr">
        <is>
          <t>IPH — Institute of Public Health</t>
        </is>
      </c>
      <c r="CA49" s="245" t="inlineStr">
        <is>
          <t>Absent | Отсутна</t>
        </is>
      </c>
      <c r="CB49" s="245" t="inlineStr">
        <is>
          <t>77/0120/26</t>
        </is>
      </c>
      <c r="CC49" s="245" t="inlineStr">
        <is>
          <t>09.02.2026</t>
        </is>
      </c>
      <c r="CD49" s="245" t="inlineStr">
        <is>
          <t>IPH — Institute of Public Health</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5" t="inlineStr">
        <is>
          <t>2.3</t>
        </is>
      </c>
      <c r="CR49" s="245" t="inlineStr">
        <is>
          <t>326/2026</t>
        </is>
      </c>
      <c r="CS49" s="245" t="inlineStr">
        <is>
          <t>11.02.2026</t>
        </is>
      </c>
      <c r="CT49" s="245" t="inlineStr">
        <is>
          <t>IPH — Institute of Public Health</t>
        </is>
      </c>
      <c r="CU49" s="248" t="inlineStr">
        <is>
          <t>not tested</t>
        </is>
      </c>
      <c r="CV49" s="245" t="inlineStr">
        <is>
          <t>—</t>
        </is>
      </c>
      <c r="CW49" s="245" t="inlineStr">
        <is>
          <t>—</t>
        </is>
      </c>
      <c r="CX49" s="245" t="inlineStr">
        <is>
          <t>—</t>
        </is>
      </c>
      <c r="CY49" s="245" t="inlineStr">
        <is>
          <t>0.078</t>
        </is>
      </c>
      <c r="CZ49" s="245" t="inlineStr">
        <is>
          <t>326/2026</t>
        </is>
      </c>
      <c r="DA49" s="245" t="inlineStr">
        <is>
          <t>11.02.2026</t>
        </is>
      </c>
      <c r="DB49" s="245" t="inlineStr">
        <is>
          <t>IPH — Institute of Public Health</t>
        </is>
      </c>
      <c r="DC49" s="245" t="inlineStr">
        <is>
          <t>ND</t>
        </is>
      </c>
      <c r="DD49" s="245" t="inlineStr">
        <is>
          <t>326/2026</t>
        </is>
      </c>
      <c r="DE49" s="245" t="inlineStr">
        <is>
          <t>11.02.2026</t>
        </is>
      </c>
      <c r="DF49" s="245" t="inlineStr">
        <is>
          <t>IPH — Institute of Public Health</t>
        </is>
      </c>
      <c r="DG49" s="245" t="inlineStr">
        <is>
          <t>0.022</t>
        </is>
      </c>
      <c r="DH49" s="245" t="inlineStr">
        <is>
          <t>326/2026</t>
        </is>
      </c>
      <c r="DI49" s="245" t="inlineStr">
        <is>
          <t>11.02.2026</t>
        </is>
      </c>
      <c r="DJ49" s="245" t="inlineStr">
        <is>
          <t>IPH — Institute of Public Health</t>
        </is>
      </c>
      <c r="DK49" s="245" t="inlineStr">
        <is>
          <t>ND</t>
        </is>
      </c>
      <c r="DL49" s="245" t="inlineStr">
        <is>
          <t>326/2026</t>
        </is>
      </c>
      <c r="DM49" s="245" t="inlineStr">
        <is>
          <t>11.02.2026</t>
        </is>
      </c>
      <c r="DN49" s="245" t="inlineStr">
        <is>
          <t>IPH — Institute of Public Health</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5" t="inlineStr">
        <is>
          <t>Conforms | Одговара</t>
        </is>
      </c>
      <c r="AF50" s="245" t="inlineStr">
        <is>
          <t>iCoA-PP_26-047</t>
        </is>
      </c>
      <c r="AG50" s="245" t="inlineStr">
        <is>
          <t>03.06.2026</t>
        </is>
      </c>
      <c r="AH50" s="245" t="inlineStr">
        <is>
          <t>Purely Plant GmbH (in-house)</t>
        </is>
      </c>
      <c r="AI50" s="245" t="inlineStr">
        <is>
          <t>Conforms | Одговара</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031-4-К/26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5" t="inlineStr">
        <is>
          <t>Conforms | Одговара</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5" t="inlineStr">
        <is>
          <t>3.1 × 10⁴</t>
        </is>
      </c>
      <c r="BL50" s="245" t="inlineStr">
        <is>
          <t>73/0116/26</t>
        </is>
      </c>
      <c r="BM50" s="245" t="inlineStr">
        <is>
          <t>09.02.2026</t>
        </is>
      </c>
      <c r="BN50" s="245" t="inlineStr">
        <is>
          <t>IPH — Institute of Public Health</t>
        </is>
      </c>
      <c r="BO50" s="245" t="inlineStr">
        <is>
          <t>3.9 × 10⁴</t>
        </is>
      </c>
      <c r="BP50" s="245" t="inlineStr">
        <is>
          <t>73/0116/26</t>
        </is>
      </c>
      <c r="BQ50" s="245" t="inlineStr">
        <is>
          <t>09.02.2026</t>
        </is>
      </c>
      <c r="BR50" s="245" t="inlineStr">
        <is>
          <t>IPH — Institute of Public Health</t>
        </is>
      </c>
      <c r="BS50" s="245" t="inlineStr">
        <is>
          <t>&lt; 10³ and &gt; 10²</t>
        </is>
      </c>
      <c r="BT50" s="245" t="inlineStr">
        <is>
          <t>73/0116/26</t>
        </is>
      </c>
      <c r="BU50" s="245" t="inlineStr">
        <is>
          <t>09.02.2026</t>
        </is>
      </c>
      <c r="BV50" s="245" t="inlineStr">
        <is>
          <t>IPH — Institute of Public Health</t>
        </is>
      </c>
      <c r="BW50" s="245" t="inlineStr">
        <is>
          <t>Absent | Отсутна</t>
        </is>
      </c>
      <c r="BX50" s="245" t="inlineStr">
        <is>
          <t>73/0116/26</t>
        </is>
      </c>
      <c r="BY50" s="245" t="inlineStr">
        <is>
          <t>09.02.2026</t>
        </is>
      </c>
      <c r="BZ50" s="245" t="inlineStr">
        <is>
          <t>IPH — Institute of Public Health</t>
        </is>
      </c>
      <c r="CA50" s="245" t="inlineStr">
        <is>
          <t>Absent | Отсутна</t>
        </is>
      </c>
      <c r="CB50" s="245" t="inlineStr">
        <is>
          <t>73/0116/26</t>
        </is>
      </c>
      <c r="CC50" s="245" t="inlineStr">
        <is>
          <t>09.02.2026</t>
        </is>
      </c>
      <c r="CD50" s="245" t="inlineStr">
        <is>
          <t>IPH — Institute of Public Health</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5" t="inlineStr">
        <is>
          <t>2.1</t>
        </is>
      </c>
      <c r="CR50" s="245" t="inlineStr">
        <is>
          <t>330/2026</t>
        </is>
      </c>
      <c r="CS50" s="245" t="inlineStr">
        <is>
          <t>11.02.2026</t>
        </is>
      </c>
      <c r="CT50" s="245" t="inlineStr">
        <is>
          <t>IPH — Institute of Public Health</t>
        </is>
      </c>
      <c r="CU50" s="248" t="inlineStr">
        <is>
          <t>not tested</t>
        </is>
      </c>
      <c r="CV50" s="245" t="inlineStr">
        <is>
          <t>—</t>
        </is>
      </c>
      <c r="CW50" s="245" t="inlineStr">
        <is>
          <t>—</t>
        </is>
      </c>
      <c r="CX50" s="245" t="inlineStr">
        <is>
          <t>—</t>
        </is>
      </c>
      <c r="CY50" s="245" t="inlineStr">
        <is>
          <t>0.07</t>
        </is>
      </c>
      <c r="CZ50" s="245" t="inlineStr">
        <is>
          <t>330/2026</t>
        </is>
      </c>
      <c r="DA50" s="245" t="inlineStr">
        <is>
          <t>11.02.2026</t>
        </is>
      </c>
      <c r="DB50" s="245" t="inlineStr">
        <is>
          <t>IPH — Institute of Public Health</t>
        </is>
      </c>
      <c r="DC50" s="245" t="inlineStr">
        <is>
          <t>ND</t>
        </is>
      </c>
      <c r="DD50" s="245" t="inlineStr">
        <is>
          <t>330/2026</t>
        </is>
      </c>
      <c r="DE50" s="245" t="inlineStr">
        <is>
          <t>11.02.2026</t>
        </is>
      </c>
      <c r="DF50" s="245" t="inlineStr">
        <is>
          <t>IPH — Institute of Public Health</t>
        </is>
      </c>
      <c r="DG50" s="245" t="inlineStr">
        <is>
          <t>0.0942</t>
        </is>
      </c>
      <c r="DH50" s="245" t="inlineStr">
        <is>
          <t>330/2026</t>
        </is>
      </c>
      <c r="DI50" s="245" t="inlineStr">
        <is>
          <t>11.02.2026</t>
        </is>
      </c>
      <c r="DJ50" s="245" t="inlineStr">
        <is>
          <t>IPH — Institute of Public Health</t>
        </is>
      </c>
      <c r="DK50" s="245" t="inlineStr">
        <is>
          <t>ND</t>
        </is>
      </c>
      <c r="DL50" s="245" t="inlineStr">
        <is>
          <t>330/2026</t>
        </is>
      </c>
      <c r="DM50" s="245" t="inlineStr">
        <is>
          <t>11.02.2026</t>
        </is>
      </c>
      <c r="DN50" s="245" t="inlineStr">
        <is>
          <t>IPH — Institute of Public Health</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5" t="inlineStr">
        <is>
          <t>Conforms | Одговара</t>
        </is>
      </c>
      <c r="AF51" s="245" t="inlineStr">
        <is>
          <t>iCoA-PP_26-048</t>
        </is>
      </c>
      <c r="AG51" s="245" t="inlineStr">
        <is>
          <t>03.06.2026</t>
        </is>
      </c>
      <c r="AH51" s="245" t="inlineStr">
        <is>
          <t>Purely Plant GmbH (in-house)</t>
        </is>
      </c>
      <c r="AI51" s="245" t="inlineStr">
        <is>
          <t>Conforms | Одговара</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5" t="inlineStr">
        <is>
          <t>Conforms | Одговара</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051-1-К/26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051-1-К/26</t>
        </is>
      </c>
      <c r="AO52" s="245" t="inlineStr">
        <is>
          <t>04.03.2026</t>
        </is>
      </c>
      <c r="AP52" s="245" t="inlineStr">
        <is>
          <t>Farmahem</t>
        </is>
      </c>
      <c r="AQ52" s="245" t="inlineStr">
        <is>
          <t>19.14</t>
        </is>
      </c>
      <c r="AR52" s="245" t="inlineStr">
        <is>
          <t>051-1-К/26</t>
        </is>
      </c>
      <c r="AS52" s="245" t="inlineStr">
        <is>
          <t>04.03.2026</t>
        </is>
      </c>
      <c r="AT52" s="245" t="inlineStr">
        <is>
          <t>Farmahem</t>
        </is>
      </c>
      <c r="AU52" s="245" t="inlineStr">
        <is>
          <t>&lt; LOQ (&lt;0.20)</t>
        </is>
      </c>
      <c r="AV52" s="245" t="inlineStr">
        <is>
          <t>051-1-К/26</t>
        </is>
      </c>
      <c r="AW52" s="245" t="inlineStr">
        <is>
          <t>04.03.2026</t>
        </is>
      </c>
      <c r="AX52" s="245" t="inlineStr">
        <is>
          <t>Farmahem</t>
        </is>
      </c>
      <c r="AY52" s="245" t="inlineStr">
        <is>
          <t>&lt; LOQ</t>
        </is>
      </c>
      <c r="AZ52" s="245" t="inlineStr">
        <is>
          <t>051-1-К/26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5" t="inlineStr">
        <is>
          <t>1.6 × 10²</t>
        </is>
      </c>
      <c r="BL52" s="245" t="inlineStr">
        <is>
          <t>133/0230/26</t>
        </is>
      </c>
      <c r="BM52" s="245" t="inlineStr">
        <is>
          <t>06.03.2026</t>
        </is>
      </c>
      <c r="BN52" s="245" t="inlineStr">
        <is>
          <t>IPH — Institute of Public Health</t>
        </is>
      </c>
      <c r="BO52" s="245" t="inlineStr">
        <is>
          <t>1.9 × 10²</t>
        </is>
      </c>
      <c r="BP52" s="245" t="inlineStr">
        <is>
          <t>133/0230/26</t>
        </is>
      </c>
      <c r="BQ52" s="245" t="inlineStr">
        <is>
          <t>06.03.2026</t>
        </is>
      </c>
      <c r="BR52" s="245" t="inlineStr">
        <is>
          <t>IPH — Institute of Public Health</t>
        </is>
      </c>
      <c r="BS52" s="245" t="inlineStr">
        <is>
          <t>&lt; 10</t>
        </is>
      </c>
      <c r="BT52" s="245" t="inlineStr">
        <is>
          <t>133/0230/26</t>
        </is>
      </c>
      <c r="BU52" s="245" t="inlineStr">
        <is>
          <t>06.03.2026</t>
        </is>
      </c>
      <c r="BV52" s="245" t="inlineStr">
        <is>
          <t>IPH — Institute of Public Health</t>
        </is>
      </c>
      <c r="BW52" s="245" t="inlineStr">
        <is>
          <t>Absent | Отсутна</t>
        </is>
      </c>
      <c r="BX52" s="245" t="inlineStr">
        <is>
          <t>133/0230/26</t>
        </is>
      </c>
      <c r="BY52" s="245" t="inlineStr">
        <is>
          <t>06.03.2026</t>
        </is>
      </c>
      <c r="BZ52" s="245" t="inlineStr">
        <is>
          <t>IPH — Institute of Public Health</t>
        </is>
      </c>
      <c r="CA52" s="245" t="inlineStr">
        <is>
          <t>Absent | Отсутна</t>
        </is>
      </c>
      <c r="CB52" s="245" t="inlineStr">
        <is>
          <t>133/0230/26</t>
        </is>
      </c>
      <c r="CC52" s="245" t="inlineStr">
        <is>
          <t>06.03.2026</t>
        </is>
      </c>
      <c r="CD52" s="245" t="inlineStr">
        <is>
          <t>IPH — Institute of Public Health</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5" t="inlineStr">
        <is>
          <t>&lt; 2</t>
        </is>
      </c>
      <c r="CR52" s="245" t="inlineStr">
        <is>
          <t>1056/2026</t>
        </is>
      </c>
      <c r="CS52" s="245" t="inlineStr">
        <is>
          <t>09.03.2026</t>
        </is>
      </c>
      <c r="CT52" s="245" t="inlineStr">
        <is>
          <t>IPH — Institute of Public Health</t>
        </is>
      </c>
      <c r="CU52" s="248" t="inlineStr">
        <is>
          <t>not tested</t>
        </is>
      </c>
      <c r="CV52" s="245" t="inlineStr">
        <is>
          <t>—</t>
        </is>
      </c>
      <c r="CW52" s="245" t="inlineStr">
        <is>
          <t>—</t>
        </is>
      </c>
      <c r="CX52" s="245" t="inlineStr">
        <is>
          <t>—</t>
        </is>
      </c>
      <c r="CY52" s="245" t="inlineStr">
        <is>
          <t>0.061</t>
        </is>
      </c>
      <c r="CZ52" s="245" t="inlineStr">
        <is>
          <t>1056/2026</t>
        </is>
      </c>
      <c r="DA52" s="245" t="inlineStr">
        <is>
          <t>09.03.2026</t>
        </is>
      </c>
      <c r="DB52" s="245" t="inlineStr">
        <is>
          <t>IPH — Institute of Public Health</t>
        </is>
      </c>
      <c r="DC52" s="245" t="inlineStr">
        <is>
          <t>ND</t>
        </is>
      </c>
      <c r="DD52" s="245" t="inlineStr">
        <is>
          <t>1056/2026</t>
        </is>
      </c>
      <c r="DE52" s="245" t="inlineStr">
        <is>
          <t>09.03.2026</t>
        </is>
      </c>
      <c r="DF52" s="245" t="inlineStr">
        <is>
          <t>IPH — Institute of Public Health</t>
        </is>
      </c>
      <c r="DG52" s="245" t="inlineStr">
        <is>
          <t>ND</t>
        </is>
      </c>
      <c r="DH52" s="245" t="inlineStr">
        <is>
          <t>1056/2026</t>
        </is>
      </c>
      <c r="DI52" s="245" t="inlineStr">
        <is>
          <t>09.03.2026</t>
        </is>
      </c>
      <c r="DJ52" s="245" t="inlineStr">
        <is>
          <t>IPH — Institute of Public Health</t>
        </is>
      </c>
      <c r="DK52" s="245" t="inlineStr">
        <is>
          <t>ND</t>
        </is>
      </c>
      <c r="DL52" s="245" t="inlineStr">
        <is>
          <t>1056/2026</t>
        </is>
      </c>
      <c r="DM52" s="245" t="inlineStr">
        <is>
          <t>09.03.2026</t>
        </is>
      </c>
      <c r="DN52" s="245" t="inlineStr">
        <is>
          <t>IPH — Institute of Public Health</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051-3-К/26</t>
        </is>
      </c>
      <c r="T53" s="245" t="inlineStr">
        <is>
          <t>I</t>
        </is>
      </c>
      <c r="U53" s="245" t="inlineStr">
        <is>
          <t>11.00 – 12.99 %</t>
        </is>
      </c>
      <c r="V53" s="245" t="inlineStr">
        <is>
          <t>SJ_THC12 : CBD1</t>
        </is>
      </c>
      <c r="W53" s="245" t="inlineStr">
        <is>
          <t>QCSP_001_SJ-I_v.01</t>
        </is>
      </c>
      <c r="X53" s="245" t="inlineStr">
        <is>
          <t>for review — replaces the issued QCSP_001_SJ-I_v.01 (was SJ_THC27:CBD1, 27.00% ± 3.00%); now SJ_THC12 : CBD1 11.00 – 12.99 %</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5" t="inlineStr">
        <is>
          <t>Conforms | Одговара</t>
        </is>
      </c>
      <c r="AF53" s="245" t="inlineStr">
        <is>
          <t>iCoA-PP_26-053</t>
        </is>
      </c>
      <c r="AG53" s="245" t="inlineStr">
        <is>
          <t>03.06.2026</t>
        </is>
      </c>
      <c r="AH53" s="245" t="inlineStr">
        <is>
          <t>Purely Plant GmbH (in-house)</t>
        </is>
      </c>
      <c r="AI53" s="245" t="inlineStr">
        <is>
          <t>Conforms | Одговара</t>
        </is>
      </c>
      <c r="AJ53" s="245" t="inlineStr">
        <is>
          <t>iCoA-PP_26-053</t>
        </is>
      </c>
      <c r="AK53" s="245" t="inlineStr">
        <is>
          <t>03.06.2026</t>
        </is>
      </c>
      <c r="AL53" s="245" t="inlineStr">
        <is>
          <t>Purely Plant GmbH (in-house)</t>
        </is>
      </c>
      <c r="AM53" s="245" t="inlineStr">
        <is>
          <t>Conforms | Одговара</t>
        </is>
      </c>
      <c r="AN53" s="245" t="inlineStr">
        <is>
          <t>051-3-К/26</t>
        </is>
      </c>
      <c r="AO53" s="245" t="inlineStr">
        <is>
          <t>04.03.2026</t>
        </is>
      </c>
      <c r="AP53" s="245" t="inlineStr">
        <is>
          <t>Farmahem</t>
        </is>
      </c>
      <c r="AQ53" s="245" t="inlineStr">
        <is>
          <t>11.20</t>
        </is>
      </c>
      <c r="AR53" s="245" t="inlineStr">
        <is>
          <t>051-3-К/26</t>
        </is>
      </c>
      <c r="AS53" s="245" t="inlineStr">
        <is>
          <t>04.03.2026</t>
        </is>
      </c>
      <c r="AT53" s="245" t="inlineStr">
        <is>
          <t>Farmahem</t>
        </is>
      </c>
      <c r="AU53" s="245" t="inlineStr">
        <is>
          <t>&lt; LOQ (&lt;0.20)</t>
        </is>
      </c>
      <c r="AV53" s="245" t="inlineStr">
        <is>
          <t>051-3-К/26</t>
        </is>
      </c>
      <c r="AW53" s="245" t="inlineStr">
        <is>
          <t>04.03.2026</t>
        </is>
      </c>
      <c r="AX53" s="245" t="inlineStr">
        <is>
          <t>Farmahem</t>
        </is>
      </c>
      <c r="AY53" s="245" t="inlineStr">
        <is>
          <t>&lt; LOQ</t>
        </is>
      </c>
      <c r="AZ53" s="245" t="inlineStr">
        <is>
          <t>051-3-К/26</t>
        </is>
      </c>
      <c r="BA53" s="245" t="inlineStr">
        <is>
          <t>04.03.2026</t>
        </is>
      </c>
      <c r="BB53" s="245" t="inlineStr">
        <is>
          <t>Farmahem</t>
        </is>
      </c>
      <c r="BC53" s="245" t="inlineStr">
        <is>
          <t>Conforms | Одговара</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051-4-К/26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051-4-К/26</t>
        </is>
      </c>
      <c r="AO54" s="245" t="inlineStr">
        <is>
          <t>04.03.2026</t>
        </is>
      </c>
      <c r="AP54" s="245" t="inlineStr">
        <is>
          <t>Farmahem</t>
        </is>
      </c>
      <c r="AQ54" s="245" t="inlineStr">
        <is>
          <t>17.04</t>
        </is>
      </c>
      <c r="AR54" s="245" t="inlineStr">
        <is>
          <t>051-4-К/26</t>
        </is>
      </c>
      <c r="AS54" s="245" t="inlineStr">
        <is>
          <t>04.03.2026</t>
        </is>
      </c>
      <c r="AT54" s="245" t="inlineStr">
        <is>
          <t>Farmahem</t>
        </is>
      </c>
      <c r="AU54" s="245" t="inlineStr">
        <is>
          <t>&lt; LOQ (&lt;0.20)</t>
        </is>
      </c>
      <c r="AV54" s="245" t="inlineStr">
        <is>
          <t>051-4-К/26</t>
        </is>
      </c>
      <c r="AW54" s="245" t="inlineStr">
        <is>
          <t>04.03.2026</t>
        </is>
      </c>
      <c r="AX54" s="245" t="inlineStr">
        <is>
          <t>Farmahem</t>
        </is>
      </c>
      <c r="AY54" s="245" t="inlineStr">
        <is>
          <t>&lt; LOQ</t>
        </is>
      </c>
      <c r="AZ54" s="245" t="inlineStr">
        <is>
          <t>051-4-К/26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5" t="inlineStr">
        <is>
          <t>3.8 × 10³</t>
        </is>
      </c>
      <c r="BL54" s="245" t="inlineStr">
        <is>
          <t>129/0226/26</t>
        </is>
      </c>
      <c r="BM54" s="245" t="inlineStr">
        <is>
          <t>06.03.2026</t>
        </is>
      </c>
      <c r="BN54" s="245" t="inlineStr">
        <is>
          <t>IPH — Institute of Public Health</t>
        </is>
      </c>
      <c r="BO54" s="245" t="inlineStr">
        <is>
          <t>6.8 × 10³</t>
        </is>
      </c>
      <c r="BP54" s="245" t="inlineStr">
        <is>
          <t>129/0226/26</t>
        </is>
      </c>
      <c r="BQ54" s="245" t="inlineStr">
        <is>
          <t>06.03.2026</t>
        </is>
      </c>
      <c r="BR54" s="245" t="inlineStr">
        <is>
          <t>IPH — Institute of Public Health</t>
        </is>
      </c>
      <c r="BS54" s="245" t="inlineStr">
        <is>
          <t>&lt; 10³ and &gt; 10²</t>
        </is>
      </c>
      <c r="BT54" s="245" t="inlineStr">
        <is>
          <t>129/0226/26</t>
        </is>
      </c>
      <c r="BU54" s="245" t="inlineStr">
        <is>
          <t>06.03.2026</t>
        </is>
      </c>
      <c r="BV54" s="245" t="inlineStr">
        <is>
          <t>IPH — Institute of Public Health</t>
        </is>
      </c>
      <c r="BW54" s="245" t="inlineStr">
        <is>
          <t>Absent | Отсутна</t>
        </is>
      </c>
      <c r="BX54" s="245" t="inlineStr">
        <is>
          <t>129/0226/26</t>
        </is>
      </c>
      <c r="BY54" s="245" t="inlineStr">
        <is>
          <t>06.03.2026</t>
        </is>
      </c>
      <c r="BZ54" s="245" t="inlineStr">
        <is>
          <t>IPH — Institute of Public Health</t>
        </is>
      </c>
      <c r="CA54" s="245" t="inlineStr">
        <is>
          <t>Absent | Отсутна</t>
        </is>
      </c>
      <c r="CB54" s="245" t="inlineStr">
        <is>
          <t>129/0226/26</t>
        </is>
      </c>
      <c r="CC54" s="245" t="inlineStr">
        <is>
          <t>06.03.2026</t>
        </is>
      </c>
      <c r="CD54" s="245" t="inlineStr">
        <is>
          <t>IPH — Institute of Public Health</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5" t="inlineStr">
        <is>
          <t>2.8</t>
        </is>
      </c>
      <c r="CR54" s="245" t="inlineStr">
        <is>
          <t>1058/2026</t>
        </is>
      </c>
      <c r="CS54" s="245" t="inlineStr">
        <is>
          <t>09.03.2026</t>
        </is>
      </c>
      <c r="CT54" s="245" t="inlineStr">
        <is>
          <t>IPH — Institute of Public Health</t>
        </is>
      </c>
      <c r="CU54" s="248" t="inlineStr">
        <is>
          <t>not tested</t>
        </is>
      </c>
      <c r="CV54" s="245" t="inlineStr">
        <is>
          <t>—</t>
        </is>
      </c>
      <c r="CW54" s="245" t="inlineStr">
        <is>
          <t>—</t>
        </is>
      </c>
      <c r="CX54" s="245" t="inlineStr">
        <is>
          <t>—</t>
        </is>
      </c>
      <c r="CY54" s="245" t="inlineStr">
        <is>
          <t>ND</t>
        </is>
      </c>
      <c r="CZ54" s="245" t="inlineStr">
        <is>
          <t>1058/2026</t>
        </is>
      </c>
      <c r="DA54" s="245" t="inlineStr">
        <is>
          <t>09.03.2026</t>
        </is>
      </c>
      <c r="DB54" s="245" t="inlineStr">
        <is>
          <t>IPH — Institute of Public Health</t>
        </is>
      </c>
      <c r="DC54" s="245" t="inlineStr">
        <is>
          <t>ND</t>
        </is>
      </c>
      <c r="DD54" s="245" t="inlineStr">
        <is>
          <t>1058/2026</t>
        </is>
      </c>
      <c r="DE54" s="245" t="inlineStr">
        <is>
          <t>09.03.2026</t>
        </is>
      </c>
      <c r="DF54" s="245" t="inlineStr">
        <is>
          <t>IPH — Institute of Public Health</t>
        </is>
      </c>
      <c r="DG54" s="245" t="inlineStr">
        <is>
          <t>ND</t>
        </is>
      </c>
      <c r="DH54" s="245" t="inlineStr">
        <is>
          <t>1058/2026</t>
        </is>
      </c>
      <c r="DI54" s="245" t="inlineStr">
        <is>
          <t>09.03.2026</t>
        </is>
      </c>
      <c r="DJ54" s="245" t="inlineStr">
        <is>
          <t>IPH — Institute of Public Health</t>
        </is>
      </c>
      <c r="DK54" s="245" t="inlineStr">
        <is>
          <t>ND</t>
        </is>
      </c>
      <c r="DL54" s="245" t="inlineStr">
        <is>
          <t>1058/2026</t>
        </is>
      </c>
      <c r="DM54" s="245" t="inlineStr">
        <is>
          <t>09.03.2026</t>
        </is>
      </c>
      <c r="DN54" s="245" t="inlineStr">
        <is>
          <t>IPH — Institute of Public Health</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051-6-К/26</t>
        </is>
      </c>
      <c r="T55" s="245" t="inlineStr">
        <is>
          <t>I</t>
        </is>
      </c>
      <c r="U55" s="245" t="inlineStr">
        <is>
          <t>11.00 – 12.99 %</t>
        </is>
      </c>
      <c r="V55" s="245" t="inlineStr">
        <is>
          <t>GRC_THC12 : CBD1</t>
        </is>
      </c>
      <c r="W55" s="245" t="inlineStr">
        <is>
          <t>QCSP_001_GRC-I_v.01</t>
        </is>
      </c>
      <c r="X55" s="245" t="inlineStr">
        <is>
          <t>for review — replaces the issued QCSP_001_GRC-I_v.01 (was GRC_THC27.5:CBD1, 27.50% ± 2.50%); now GRC_THC12 : CBD1 11.00 – 12.99 %</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5" t="inlineStr">
        <is>
          <t>Conforms | Одговара</t>
        </is>
      </c>
      <c r="AF55" s="245" t="inlineStr">
        <is>
          <t>iCoA-PP_26-055</t>
        </is>
      </c>
      <c r="AG55" s="245" t="inlineStr">
        <is>
          <t>03.06.2026</t>
        </is>
      </c>
      <c r="AH55" s="245" t="inlineStr">
        <is>
          <t>Purely Plant GmbH (in-house)</t>
        </is>
      </c>
      <c r="AI55" s="245" t="inlineStr">
        <is>
          <t>Conforms | Одговара</t>
        </is>
      </c>
      <c r="AJ55" s="245" t="inlineStr">
        <is>
          <t>iCoA-PP_26-055</t>
        </is>
      </c>
      <c r="AK55" s="245" t="inlineStr">
        <is>
          <t>03.06.2026</t>
        </is>
      </c>
      <c r="AL55" s="245" t="inlineStr">
        <is>
          <t>Purely Plant GmbH (in-house)</t>
        </is>
      </c>
      <c r="AM55" s="245" t="inlineStr">
        <is>
          <t>Conforms | Одговара</t>
        </is>
      </c>
      <c r="AN55" s="245" t="inlineStr">
        <is>
          <t>051-6-К/26</t>
        </is>
      </c>
      <c r="AO55" s="245" t="inlineStr">
        <is>
          <t>04.03.2026</t>
        </is>
      </c>
      <c r="AP55" s="245" t="inlineStr">
        <is>
          <t>Farmahem</t>
        </is>
      </c>
      <c r="AQ55" s="245" t="inlineStr">
        <is>
          <t>11.53</t>
        </is>
      </c>
      <c r="AR55" s="245" t="inlineStr">
        <is>
          <t>051-6-К/26</t>
        </is>
      </c>
      <c r="AS55" s="245" t="inlineStr">
        <is>
          <t>04.03.2026</t>
        </is>
      </c>
      <c r="AT55" s="245" t="inlineStr">
        <is>
          <t>Farmahem</t>
        </is>
      </c>
      <c r="AU55" s="245" t="inlineStr">
        <is>
          <t>&lt; LOQ (&lt;0.20)</t>
        </is>
      </c>
      <c r="AV55" s="245" t="inlineStr">
        <is>
          <t>051-6-К/26</t>
        </is>
      </c>
      <c r="AW55" s="245" t="inlineStr">
        <is>
          <t>04.03.2026</t>
        </is>
      </c>
      <c r="AX55" s="245" t="inlineStr">
        <is>
          <t>Farmahem</t>
        </is>
      </c>
      <c r="AY55" s="245" t="inlineStr">
        <is>
          <t>&lt; LOQ</t>
        </is>
      </c>
      <c r="AZ55" s="245" t="inlineStr">
        <is>
          <t>051-6-К/26</t>
        </is>
      </c>
      <c r="BA55" s="245" t="inlineStr">
        <is>
          <t>04.03.2026</t>
        </is>
      </c>
      <c r="BB55" s="245" t="inlineStr">
        <is>
          <t>Farmahem</t>
        </is>
      </c>
      <c r="BC55" s="245" t="inlineStr">
        <is>
          <t>Conforms | Одговара</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051-2-К/26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5" t="inlineStr">
        <is>
          <t>Conforms | Одговара</t>
        </is>
      </c>
      <c r="AF56" s="245" t="inlineStr">
        <is>
          <t>iCoA-PP_26-056</t>
        </is>
      </c>
      <c r="AG56" s="245" t="inlineStr">
        <is>
          <t>03.06.2026</t>
        </is>
      </c>
      <c r="AH56" s="245" t="inlineStr">
        <is>
          <t>Purely Plant GmbH (in-house)</t>
        </is>
      </c>
      <c r="AI56" s="245" t="inlineStr">
        <is>
          <t>Conforms | Одговара</t>
        </is>
      </c>
      <c r="AJ56" s="245" t="inlineStr">
        <is>
          <t>iCoA-PP_26-056</t>
        </is>
      </c>
      <c r="AK56" s="245" t="inlineStr">
        <is>
          <t>03.06.2026</t>
        </is>
      </c>
      <c r="AL56" s="245" t="inlineStr">
        <is>
          <t>Purely Plant GmbH (in-house)</t>
        </is>
      </c>
      <c r="AM56" s="245" t="inlineStr">
        <is>
          <t>Conforms | Одговара</t>
        </is>
      </c>
      <c r="AN56" s="245" t="inlineStr">
        <is>
          <t>051-2-К/26</t>
        </is>
      </c>
      <c r="AO56" s="245" t="inlineStr">
        <is>
          <t>04.03.2026</t>
        </is>
      </c>
      <c r="AP56" s="245" t="inlineStr">
        <is>
          <t>Farmahem</t>
        </is>
      </c>
      <c r="AQ56" s="245" t="inlineStr">
        <is>
          <t>9.20</t>
        </is>
      </c>
      <c r="AR56" s="245" t="inlineStr">
        <is>
          <t>051-2-К/26</t>
        </is>
      </c>
      <c r="AS56" s="245" t="inlineStr">
        <is>
          <t>04.03.2026</t>
        </is>
      </c>
      <c r="AT56" s="245" t="inlineStr">
        <is>
          <t>Farmahem</t>
        </is>
      </c>
      <c r="AU56" s="245" t="inlineStr">
        <is>
          <t>&lt; LOQ (&lt;0.20)</t>
        </is>
      </c>
      <c r="AV56" s="245" t="inlineStr">
        <is>
          <t>051-2-К/26</t>
        </is>
      </c>
      <c r="AW56" s="245" t="inlineStr">
        <is>
          <t>04.03.2026</t>
        </is>
      </c>
      <c r="AX56" s="245" t="inlineStr">
        <is>
          <t>Farmahem</t>
        </is>
      </c>
      <c r="AY56" s="245" t="inlineStr">
        <is>
          <t>&lt; LOQ</t>
        </is>
      </c>
      <c r="AZ56" s="245" t="inlineStr">
        <is>
          <t>051-2-К/26</t>
        </is>
      </c>
      <c r="BA56" s="245" t="inlineStr">
        <is>
          <t>04.03.2026</t>
        </is>
      </c>
      <c r="BB56" s="245" t="inlineStr">
        <is>
          <t>Farmahem</t>
        </is>
      </c>
      <c r="BC56" s="245" t="inlineStr">
        <is>
          <t>Conforms | Одговара</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051-5-К/26</t>
        </is>
      </c>
      <c r="T57" s="245" t="inlineStr">
        <is>
          <t>I</t>
        </is>
      </c>
      <c r="U57" s="245" t="inlineStr">
        <is>
          <t>24.20 – 27.79 %</t>
        </is>
      </c>
      <c r="V57" s="245" t="inlineStr">
        <is>
          <t>J31_THC26 : CBD1</t>
        </is>
      </c>
      <c r="W57" s="245" t="inlineStr">
        <is>
          <t>QCSP_001_J31-I_v.01</t>
        </is>
      </c>
      <c r="X57" s="245" t="inlineStr">
        <is>
          <t>for review — replaces the issued QCSP_001_J31-I_v.01 (was J31_THC27:CBD1, 27.00% ± 3.25%); now J31_THC26 : CBD1 24.20 – 27.79 %</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5" t="inlineStr">
        <is>
          <t>Conforms | Одговара</t>
        </is>
      </c>
      <c r="AF57" s="245" t="inlineStr">
        <is>
          <t>iCoA-PP_26-057</t>
        </is>
      </c>
      <c r="AG57" s="245" t="inlineStr">
        <is>
          <t>03.06.2026</t>
        </is>
      </c>
      <c r="AH57" s="245" t="inlineStr">
        <is>
          <t>Purely Plant GmbH (in-house)</t>
        </is>
      </c>
      <c r="AI57" s="245" t="inlineStr">
        <is>
          <t>Conforms | Одговара</t>
        </is>
      </c>
      <c r="AJ57" s="245" t="inlineStr">
        <is>
          <t>iCoA-PP_26-057</t>
        </is>
      </c>
      <c r="AK57" s="245" t="inlineStr">
        <is>
          <t>03.06.2026</t>
        </is>
      </c>
      <c r="AL57" s="245" t="inlineStr">
        <is>
          <t>Purely Plant GmbH (in-house)</t>
        </is>
      </c>
      <c r="AM57" s="245" t="inlineStr">
        <is>
          <t>Conforms | Одговара</t>
        </is>
      </c>
      <c r="AN57" s="245" t="inlineStr">
        <is>
          <t>051-5-К/26</t>
        </is>
      </c>
      <c r="AO57" s="245" t="inlineStr">
        <is>
          <t>04.03.2026</t>
        </is>
      </c>
      <c r="AP57" s="245" t="inlineStr">
        <is>
          <t>Farmahem</t>
        </is>
      </c>
      <c r="AQ57" s="245" t="inlineStr">
        <is>
          <t>25.27</t>
        </is>
      </c>
      <c r="AR57" s="245" t="inlineStr">
        <is>
          <t>051-5-К/26</t>
        </is>
      </c>
      <c r="AS57" s="245" t="inlineStr">
        <is>
          <t>04.03.2026</t>
        </is>
      </c>
      <c r="AT57" s="245" t="inlineStr">
        <is>
          <t>Farmahem</t>
        </is>
      </c>
      <c r="AU57" s="245" t="inlineStr">
        <is>
          <t>&lt; LOQ (&lt;0.20)</t>
        </is>
      </c>
      <c r="AV57" s="245" t="inlineStr">
        <is>
          <t>051-5-К/26</t>
        </is>
      </c>
      <c r="AW57" s="245" t="inlineStr">
        <is>
          <t>04.03.2026</t>
        </is>
      </c>
      <c r="AX57" s="245" t="inlineStr">
        <is>
          <t>Farmahem</t>
        </is>
      </c>
      <c r="AY57" s="245" t="inlineStr">
        <is>
          <t>&lt; LOQ</t>
        </is>
      </c>
      <c r="AZ57" s="245" t="inlineStr">
        <is>
          <t>051-5-К/26</t>
        </is>
      </c>
      <c r="BA57" s="245" t="inlineStr">
        <is>
          <t>04.03.2026</t>
        </is>
      </c>
      <c r="BB57" s="245" t="inlineStr">
        <is>
          <t>Farmahem</t>
        </is>
      </c>
      <c r="BC57" s="245" t="inlineStr">
        <is>
          <t>Conforms | Одговара</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5" t="inlineStr">
        <is>
          <t>Conforms | Одговара</t>
        </is>
      </c>
      <c r="AF59" s="245" t="inlineStr">
        <is>
          <t>iCoA-PP_26-059</t>
        </is>
      </c>
      <c r="AG59" s="245" t="inlineStr">
        <is>
          <t>03.06.2026</t>
        </is>
      </c>
      <c r="AH59" s="245" t="inlineStr">
        <is>
          <t>Purely Plant GmbH (in-house)</t>
        </is>
      </c>
      <c r="AI59" s="245" t="inlineStr">
        <is>
          <t>Conforms | Одговара</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5" t="inlineStr">
        <is>
          <t>Conforms | Одговара</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5" t="inlineStr">
        <is>
          <t>10</t>
        </is>
      </c>
      <c r="BL60" s="245" t="inlineStr">
        <is>
          <t>135/0232/26</t>
        </is>
      </c>
      <c r="BM60" s="245" t="inlineStr">
        <is>
          <t>06.03.2026</t>
        </is>
      </c>
      <c r="BN60" s="245" t="inlineStr">
        <is>
          <t>IPH — Institute of Public Health</t>
        </is>
      </c>
      <c r="BO60" s="245" t="inlineStr">
        <is>
          <t>&lt; 10</t>
        </is>
      </c>
      <c r="BP60" s="245" t="inlineStr">
        <is>
          <t>135/0232/26</t>
        </is>
      </c>
      <c r="BQ60" s="245" t="inlineStr">
        <is>
          <t>06.03.2026</t>
        </is>
      </c>
      <c r="BR60" s="245" t="inlineStr">
        <is>
          <t>IPH — Institute of Public Health</t>
        </is>
      </c>
      <c r="BS60" s="245" t="inlineStr">
        <is>
          <t>&lt; 10</t>
        </is>
      </c>
      <c r="BT60" s="245" t="inlineStr">
        <is>
          <t>135/0232/26</t>
        </is>
      </c>
      <c r="BU60" s="245" t="inlineStr">
        <is>
          <t>06.03.2026</t>
        </is>
      </c>
      <c r="BV60" s="245" t="inlineStr">
        <is>
          <t>IPH — Institute of Public Health</t>
        </is>
      </c>
      <c r="BW60" s="245" t="inlineStr">
        <is>
          <t>Absent | Отсутна</t>
        </is>
      </c>
      <c r="BX60" s="245" t="inlineStr">
        <is>
          <t>135/0232/26</t>
        </is>
      </c>
      <c r="BY60" s="245" t="inlineStr">
        <is>
          <t>06.03.2026</t>
        </is>
      </c>
      <c r="BZ60" s="245" t="inlineStr">
        <is>
          <t>IPH — Institute of Public Health</t>
        </is>
      </c>
      <c r="CA60" s="245" t="inlineStr">
        <is>
          <t>Absent | Отсутна</t>
        </is>
      </c>
      <c r="CB60" s="245" t="inlineStr">
        <is>
          <t>135/0232/26</t>
        </is>
      </c>
      <c r="CC60" s="245" t="inlineStr">
        <is>
          <t>06.03.2026</t>
        </is>
      </c>
      <c r="CD60" s="245" t="inlineStr">
        <is>
          <t>IPH — Institute of Public Health</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5" t="inlineStr">
        <is>
          <t>2.2</t>
        </is>
      </c>
      <c r="CR60" s="245" t="inlineStr">
        <is>
          <t>1059/2026</t>
        </is>
      </c>
      <c r="CS60" s="245" t="inlineStr">
        <is>
          <t>09.03.2026</t>
        </is>
      </c>
      <c r="CT60" s="245" t="inlineStr">
        <is>
          <t>IPH — Institute of Public Health</t>
        </is>
      </c>
      <c r="CU60" s="248" t="inlineStr">
        <is>
          <t>not tested</t>
        </is>
      </c>
      <c r="CV60" s="245" t="inlineStr">
        <is>
          <t>—</t>
        </is>
      </c>
      <c r="CW60" s="245" t="inlineStr">
        <is>
          <t>—</t>
        </is>
      </c>
      <c r="CX60" s="245" t="inlineStr">
        <is>
          <t>—</t>
        </is>
      </c>
      <c r="CY60" s="245" t="inlineStr">
        <is>
          <t>ND</t>
        </is>
      </c>
      <c r="CZ60" s="245" t="inlineStr">
        <is>
          <t>1059/2026</t>
        </is>
      </c>
      <c r="DA60" s="245" t="inlineStr">
        <is>
          <t>09.03.2026</t>
        </is>
      </c>
      <c r="DB60" s="245" t="inlineStr">
        <is>
          <t>IPH — Institute of Public Health</t>
        </is>
      </c>
      <c r="DC60" s="245" t="inlineStr">
        <is>
          <t>ND</t>
        </is>
      </c>
      <c r="DD60" s="245" t="inlineStr">
        <is>
          <t>1059/2026</t>
        </is>
      </c>
      <c r="DE60" s="245" t="inlineStr">
        <is>
          <t>09.03.2026</t>
        </is>
      </c>
      <c r="DF60" s="245" t="inlineStr">
        <is>
          <t>IPH — Institute of Public Health</t>
        </is>
      </c>
      <c r="DG60" s="245" t="inlineStr">
        <is>
          <t>ND</t>
        </is>
      </c>
      <c r="DH60" s="245" t="inlineStr">
        <is>
          <t>1059/2026</t>
        </is>
      </c>
      <c r="DI60" s="245" t="inlineStr">
        <is>
          <t>09.03.2026</t>
        </is>
      </c>
      <c r="DJ60" s="245" t="inlineStr">
        <is>
          <t>IPH — Institute of Public Health</t>
        </is>
      </c>
      <c r="DK60" s="245" t="inlineStr">
        <is>
          <t>ND</t>
        </is>
      </c>
      <c r="DL60" s="245" t="inlineStr">
        <is>
          <t>1059/2026</t>
        </is>
      </c>
      <c r="DM60" s="245" t="inlineStr">
        <is>
          <t>09.03.2026</t>
        </is>
      </c>
      <c r="DN60" s="245" t="inlineStr">
        <is>
          <t>IPH — Institute of Public Health</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5" t="inlineStr">
        <is>
          <t>Conforms | Одговара</t>
        </is>
      </c>
      <c r="AF62" s="245" t="inlineStr">
        <is>
          <t>iCoA-PP_26-062</t>
        </is>
      </c>
      <c r="AG62" s="245" t="inlineStr">
        <is>
          <t>03.06.2026</t>
        </is>
      </c>
      <c r="AH62" s="245" t="inlineStr">
        <is>
          <t>Purely Plant GmbH (in-house)</t>
        </is>
      </c>
      <c r="AI62" s="245" t="inlineStr">
        <is>
          <t>Conforms | Одговара</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5" t="inlineStr">
        <is>
          <t>Conforms | Одговара</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5" t="inlineStr">
        <is>
          <t>Conforms | Одговара</t>
        </is>
      </c>
      <c r="AF63" s="245" t="inlineStr">
        <is>
          <t>iCoA-PP_26-070</t>
        </is>
      </c>
      <c r="AG63" s="245" t="inlineStr">
        <is>
          <t>03.06.2026</t>
        </is>
      </c>
      <c r="AH63" s="245" t="inlineStr">
        <is>
          <t>Purely Plant GmbH (in-house)</t>
        </is>
      </c>
      <c r="AI63" s="245" t="inlineStr">
        <is>
          <t>Conforms | Одговара</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5" t="inlineStr">
        <is>
          <t>Conforms | Одговара</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5" t="inlineStr">
        <is>
          <t>Conforms | Одговара</t>
        </is>
      </c>
      <c r="AF64" s="245" t="inlineStr">
        <is>
          <t>iCoA-PP_26-071</t>
        </is>
      </c>
      <c r="AG64" s="245" t="inlineStr">
        <is>
          <t>03.06.2026</t>
        </is>
      </c>
      <c r="AH64" s="245" t="inlineStr">
        <is>
          <t>Purely Plant GmbH (in-house)</t>
        </is>
      </c>
      <c r="AI64" s="245" t="inlineStr">
        <is>
          <t>Conforms | Одговара</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5" t="inlineStr">
        <is>
          <t>Conforms | Одговара</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5" t="inlineStr">
        <is>
          <t>Conforms | Одговара</t>
        </is>
      </c>
      <c r="AF66" s="245" t="inlineStr">
        <is>
          <t>iCoA-PP_26-073</t>
        </is>
      </c>
      <c r="AG66" s="245" t="inlineStr">
        <is>
          <t>03.06.2026</t>
        </is>
      </c>
      <c r="AH66" s="245" t="inlineStr">
        <is>
          <t>Purely Plant GmbH (in-house)</t>
        </is>
      </c>
      <c r="AI66" s="245" t="inlineStr">
        <is>
          <t>Conforms | Одговара</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5" t="inlineStr">
        <is>
          <t>Conforms | Одговара</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5" t="inlineStr">
        <is>
          <t>Conforms | Одговара</t>
        </is>
      </c>
      <c r="AF67" s="245" t="inlineStr">
        <is>
          <t>iCoA-PP_26-074</t>
        </is>
      </c>
      <c r="AG67" s="245" t="inlineStr">
        <is>
          <t>03.06.2026</t>
        </is>
      </c>
      <c r="AH67" s="245" t="inlineStr">
        <is>
          <t>Purely Plant GmbH (in-house)</t>
        </is>
      </c>
      <c r="AI67" s="245" t="inlineStr">
        <is>
          <t>Conforms | Одговара</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5" t="inlineStr">
        <is>
          <t>Conforms | Одговара</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5" t="inlineStr">
        <is>
          <t>Conforms | Одговара</t>
        </is>
      </c>
      <c r="AF68" s="245" t="inlineStr">
        <is>
          <t>iCoA-PP_26-075</t>
        </is>
      </c>
      <c r="AG68" s="245" t="inlineStr">
        <is>
          <t>03.06.2026</t>
        </is>
      </c>
      <c r="AH68" s="245" t="inlineStr">
        <is>
          <t>Purely Plant GmbH (in-house)</t>
        </is>
      </c>
      <c r="AI68" s="245" t="inlineStr">
        <is>
          <t>Conforms | Одговара</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5" t="inlineStr">
        <is>
          <t>Conforms | Одговара</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5" t="inlineStr">
        <is>
          <t>7.8 × 10⁴</t>
        </is>
      </c>
      <c r="BL69" s="245" t="inlineStr">
        <is>
          <t>361/0691/26</t>
        </is>
      </c>
      <c r="BM69" s="245" t="inlineStr">
        <is>
          <t>01.06.2026</t>
        </is>
      </c>
      <c r="BN69" s="245" t="inlineStr">
        <is>
          <t>IPH — Institute of Public Health</t>
        </is>
      </c>
      <c r="BO69" s="245" t="inlineStr">
        <is>
          <t>2.2 × 10⁴</t>
        </is>
      </c>
      <c r="BP69" s="245" t="inlineStr">
        <is>
          <t>361/0691/26</t>
        </is>
      </c>
      <c r="BQ69" s="245" t="inlineStr">
        <is>
          <t>01.06.2026</t>
        </is>
      </c>
      <c r="BR69" s="245" t="inlineStr">
        <is>
          <t>IPH — Institute of Public Health</t>
        </is>
      </c>
      <c r="BS69" s="245" t="inlineStr">
        <is>
          <t>&lt; 10</t>
        </is>
      </c>
      <c r="BT69" s="245" t="inlineStr">
        <is>
          <t>361/0691/26</t>
        </is>
      </c>
      <c r="BU69" s="245" t="inlineStr">
        <is>
          <t>01.06.2026</t>
        </is>
      </c>
      <c r="BV69" s="245" t="inlineStr">
        <is>
          <t>IPH — Institute of Public Health</t>
        </is>
      </c>
      <c r="BW69" s="245" t="inlineStr">
        <is>
          <t>Absent | Отсутна</t>
        </is>
      </c>
      <c r="BX69" s="245" t="inlineStr">
        <is>
          <t>361/0691/26</t>
        </is>
      </c>
      <c r="BY69" s="245" t="inlineStr">
        <is>
          <t>01.06.2026</t>
        </is>
      </c>
      <c r="BZ69" s="245" t="inlineStr">
        <is>
          <t>IPH — Institute of Public Health</t>
        </is>
      </c>
      <c r="CA69" s="245" t="inlineStr">
        <is>
          <t>Absent | Отсутна</t>
        </is>
      </c>
      <c r="CB69" s="245" t="inlineStr">
        <is>
          <t>361/0691/26</t>
        </is>
      </c>
      <c r="CC69" s="245" t="inlineStr">
        <is>
          <t>01.06.2026</t>
        </is>
      </c>
      <c r="CD69" s="245" t="inlineStr">
        <is>
          <t>IPH — Institute of Public Health</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5" t="inlineStr">
        <is>
          <t>6.3 × 10⁴</t>
        </is>
      </c>
      <c r="BL71" s="245" t="inlineStr">
        <is>
          <t>366/0696/26</t>
        </is>
      </c>
      <c r="BM71" s="245" t="inlineStr">
        <is>
          <t>01.06.2026</t>
        </is>
      </c>
      <c r="BN71" s="245" t="inlineStr">
        <is>
          <t>IPH — Institute of Public Health</t>
        </is>
      </c>
      <c r="BO71" s="245" t="inlineStr">
        <is>
          <t>2.2 × 10⁴</t>
        </is>
      </c>
      <c r="BP71" s="245" t="inlineStr">
        <is>
          <t>366/0696/26</t>
        </is>
      </c>
      <c r="BQ71" s="245" t="inlineStr">
        <is>
          <t>01.06.2026</t>
        </is>
      </c>
      <c r="BR71" s="245" t="inlineStr">
        <is>
          <t>IPH — Institute of Public Health</t>
        </is>
      </c>
      <c r="BS71" s="245" t="inlineStr">
        <is>
          <t>&lt; 10</t>
        </is>
      </c>
      <c r="BT71" s="245" t="inlineStr">
        <is>
          <t>366/0696/26</t>
        </is>
      </c>
      <c r="BU71" s="245" t="inlineStr">
        <is>
          <t>01.06.2026</t>
        </is>
      </c>
      <c r="BV71" s="245" t="inlineStr">
        <is>
          <t>IPH — Institute of Public Health</t>
        </is>
      </c>
      <c r="BW71" s="245" t="inlineStr">
        <is>
          <t>Absent | Отсутна</t>
        </is>
      </c>
      <c r="BX71" s="245" t="inlineStr">
        <is>
          <t>366/0696/26</t>
        </is>
      </c>
      <c r="BY71" s="245" t="inlineStr">
        <is>
          <t>01.06.2026</t>
        </is>
      </c>
      <c r="BZ71" s="245" t="inlineStr">
        <is>
          <t>IPH — Institute of Public Health</t>
        </is>
      </c>
      <c r="CA71" s="245" t="inlineStr">
        <is>
          <t>Absent | Отсутна</t>
        </is>
      </c>
      <c r="CB71" s="245" t="inlineStr">
        <is>
          <t>366/0696/26</t>
        </is>
      </c>
      <c r="CC71" s="245" t="inlineStr">
        <is>
          <t>01.06.2026</t>
        </is>
      </c>
      <c r="CD71" s="245" t="inlineStr">
        <is>
          <t>IPH — Institute of Public Health</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5" t="inlineStr">
        <is>
          <t>2 × 10²</t>
        </is>
      </c>
      <c r="BL72" s="245" t="inlineStr">
        <is>
          <t>365/0695/26</t>
        </is>
      </c>
      <c r="BM72" s="245" t="inlineStr">
        <is>
          <t>01.06.2026</t>
        </is>
      </c>
      <c r="BN72" s="245" t="inlineStr">
        <is>
          <t>IPH — Institute of Public Health</t>
        </is>
      </c>
      <c r="BO72" s="245" t="inlineStr">
        <is>
          <t>1 × 10²</t>
        </is>
      </c>
      <c r="BP72" s="245" t="inlineStr">
        <is>
          <t>365/0695/26</t>
        </is>
      </c>
      <c r="BQ72" s="245" t="inlineStr">
        <is>
          <t>01.06.2026</t>
        </is>
      </c>
      <c r="BR72" s="245" t="inlineStr">
        <is>
          <t>IPH — Institute of Public Health</t>
        </is>
      </c>
      <c r="BS72" s="245" t="inlineStr">
        <is>
          <t>&lt; 10</t>
        </is>
      </c>
      <c r="BT72" s="245" t="inlineStr">
        <is>
          <t>365/0695/26</t>
        </is>
      </c>
      <c r="BU72" s="245" t="inlineStr">
        <is>
          <t>01.06.2026</t>
        </is>
      </c>
      <c r="BV72" s="245" t="inlineStr">
        <is>
          <t>IPH — Institute of Public Health</t>
        </is>
      </c>
      <c r="BW72" s="245" t="inlineStr">
        <is>
          <t>Absent | Отсутна</t>
        </is>
      </c>
      <c r="BX72" s="245" t="inlineStr">
        <is>
          <t>365/0695/26</t>
        </is>
      </c>
      <c r="BY72" s="245" t="inlineStr">
        <is>
          <t>01.06.2026</t>
        </is>
      </c>
      <c r="BZ72" s="245" t="inlineStr">
        <is>
          <t>IPH — Institute of Public Health</t>
        </is>
      </c>
      <c r="CA72" s="245" t="inlineStr">
        <is>
          <t>Absent | Отсутна</t>
        </is>
      </c>
      <c r="CB72" s="245" t="inlineStr">
        <is>
          <t>365/0695/26</t>
        </is>
      </c>
      <c r="CC72" s="245" t="inlineStr">
        <is>
          <t>01.06.2026</t>
        </is>
      </c>
      <c r="CD72" s="245" t="inlineStr">
        <is>
          <t>IPH — Institute of Public Health</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5" t="inlineStr">
        <is>
          <t>Conforms | Одговара</t>
        </is>
      </c>
      <c r="AF73" s="245" t="inlineStr">
        <is>
          <t>iCoA-PP_26-082</t>
        </is>
      </c>
      <c r="AG73" s="245" t="inlineStr">
        <is>
          <t>03.06.2026</t>
        </is>
      </c>
      <c r="AH73" s="245" t="inlineStr">
        <is>
          <t>Purely Plant GmbH (in-house)</t>
        </is>
      </c>
      <c r="AI73" s="245" t="inlineStr">
        <is>
          <t>Conforms | Одговара</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5" t="inlineStr">
        <is>
          <t>Conforms | Одговара</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5" t="inlineStr">
        <is>
          <t>2.7 × 10³</t>
        </is>
      </c>
      <c r="BL73" s="245" t="inlineStr">
        <is>
          <t>363/0693/26</t>
        </is>
      </c>
      <c r="BM73" s="245" t="inlineStr">
        <is>
          <t>01.06.2026</t>
        </is>
      </c>
      <c r="BN73" s="245" t="inlineStr">
        <is>
          <t>IPH — Institute of Public Health</t>
        </is>
      </c>
      <c r="BO73" s="245" t="inlineStr">
        <is>
          <t>1.6 × 10¹</t>
        </is>
      </c>
      <c r="BP73" s="245" t="inlineStr">
        <is>
          <t>363/0693/26</t>
        </is>
      </c>
      <c r="BQ73" s="245" t="inlineStr">
        <is>
          <t>01.06.2026</t>
        </is>
      </c>
      <c r="BR73" s="245" t="inlineStr">
        <is>
          <t>IPH — Institute of Public Health</t>
        </is>
      </c>
      <c r="BS73" s="245" t="inlineStr">
        <is>
          <t>&lt; 10</t>
        </is>
      </c>
      <c r="BT73" s="245" t="inlineStr">
        <is>
          <t>363/0693/26</t>
        </is>
      </c>
      <c r="BU73" s="245" t="inlineStr">
        <is>
          <t>01.06.2026</t>
        </is>
      </c>
      <c r="BV73" s="245" t="inlineStr">
        <is>
          <t>IPH — Institute of Public Health</t>
        </is>
      </c>
      <c r="BW73" s="245" t="inlineStr">
        <is>
          <t>Absent | Отсутна</t>
        </is>
      </c>
      <c r="BX73" s="245" t="inlineStr">
        <is>
          <t>363/0693/26</t>
        </is>
      </c>
      <c r="BY73" s="245" t="inlineStr">
        <is>
          <t>01.06.2026</t>
        </is>
      </c>
      <c r="BZ73" s="245" t="inlineStr">
        <is>
          <t>IPH — Institute of Public Health</t>
        </is>
      </c>
      <c r="CA73" s="245" t="inlineStr">
        <is>
          <t>Absent | Отсутна</t>
        </is>
      </c>
      <c r="CB73" s="245" t="inlineStr">
        <is>
          <t>363/0693/26</t>
        </is>
      </c>
      <c r="CC73" s="245" t="inlineStr">
        <is>
          <t>01.06.2026</t>
        </is>
      </c>
      <c r="CD73" s="245" t="inlineStr">
        <is>
          <t>IPH — Institute of Public Health</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5" t="inlineStr">
        <is>
          <t>Conforms | Одговара</t>
        </is>
      </c>
      <c r="AF74" s="245" t="inlineStr">
        <is>
          <t>iCoA-PP_26-086</t>
        </is>
      </c>
      <c r="AG74" s="245" t="inlineStr">
        <is>
          <t>03.06.2026</t>
        </is>
      </c>
      <c r="AH74" s="245" t="inlineStr">
        <is>
          <t>Purely Plant GmbH (in-house)</t>
        </is>
      </c>
      <c r="AI74" s="245" t="inlineStr">
        <is>
          <t>Conforms | Одговара</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5" t="inlineStr">
        <is>
          <t>Conforms | Одговара</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5" t="inlineStr">
        <is>
          <t>5.4 × 10⁴</t>
        </is>
      </c>
      <c r="BL75" s="245" t="inlineStr">
        <is>
          <t>364/0694/26</t>
        </is>
      </c>
      <c r="BM75" s="245" t="inlineStr">
        <is>
          <t>01.06.2026</t>
        </is>
      </c>
      <c r="BN75" s="245" t="inlineStr">
        <is>
          <t>IPH — Institute of Public Health</t>
        </is>
      </c>
      <c r="BO75" s="245" t="inlineStr">
        <is>
          <t>1.8 × 10⁴</t>
        </is>
      </c>
      <c r="BP75" s="245" t="inlineStr">
        <is>
          <t>364/0694/26</t>
        </is>
      </c>
      <c r="BQ75" s="245" t="inlineStr">
        <is>
          <t>01.06.2026</t>
        </is>
      </c>
      <c r="BR75" s="245" t="inlineStr">
        <is>
          <t>IPH — Institute of Public Health</t>
        </is>
      </c>
      <c r="BS75" s="245" t="inlineStr">
        <is>
          <t>&lt; 10</t>
        </is>
      </c>
      <c r="BT75" s="245" t="inlineStr">
        <is>
          <t>364/0694/26</t>
        </is>
      </c>
      <c r="BU75" s="245" t="inlineStr">
        <is>
          <t>01.06.2026</t>
        </is>
      </c>
      <c r="BV75" s="245" t="inlineStr">
        <is>
          <t>IPH — Institute of Public Health</t>
        </is>
      </c>
      <c r="BW75" s="245" t="inlineStr">
        <is>
          <t>Absent | Отсутна</t>
        </is>
      </c>
      <c r="BX75" s="245" t="inlineStr">
        <is>
          <t>364/0694/26</t>
        </is>
      </c>
      <c r="BY75" s="245" t="inlineStr">
        <is>
          <t>01.06.2026</t>
        </is>
      </c>
      <c r="BZ75" s="245" t="inlineStr">
        <is>
          <t>IPH — Institute of Public Health</t>
        </is>
      </c>
      <c r="CA75" s="245" t="inlineStr">
        <is>
          <t>Absent | Отсутна</t>
        </is>
      </c>
      <c r="CB75" s="245" t="inlineStr">
        <is>
          <t>364/0694/26</t>
        </is>
      </c>
      <c r="CC75" s="245" t="inlineStr">
        <is>
          <t>01.06.2026</t>
        </is>
      </c>
      <c r="CD75" s="245" t="inlineStr">
        <is>
          <t>IPH — Institute of Public Health</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replaces the issued QCSP_001_JD-III_v.01 (was JD_THC20:CBD1, 20.00% ± 2.00%); now JD_THC15 : CBD1 13.80 – 16.19 %</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5" t="inlineStr">
        <is>
          <t>5 × 10³</t>
        </is>
      </c>
      <c r="BL78" s="245" t="inlineStr">
        <is>
          <t>404/0787/26</t>
        </is>
      </c>
      <c r="BM78" s="245" t="inlineStr">
        <is>
          <t>24.06.2026</t>
        </is>
      </c>
      <c r="BN78" s="245" t="inlineStr">
        <is>
          <t>IPH — Institute of Public Health</t>
        </is>
      </c>
      <c r="BO78" s="245" t="inlineStr">
        <is>
          <t>4.1 × 10³</t>
        </is>
      </c>
      <c r="BP78" s="245" t="inlineStr">
        <is>
          <t>404/0787/26</t>
        </is>
      </c>
      <c r="BQ78" s="245" t="inlineStr">
        <is>
          <t>24.06.2026</t>
        </is>
      </c>
      <c r="BR78" s="245" t="inlineStr">
        <is>
          <t>IPH — Institute of Public Health</t>
        </is>
      </c>
      <c r="BS78" s="245" t="inlineStr">
        <is>
          <t>&lt; 10</t>
        </is>
      </c>
      <c r="BT78" s="245" t="inlineStr">
        <is>
          <t>404/0787/26</t>
        </is>
      </c>
      <c r="BU78" s="245" t="inlineStr">
        <is>
          <t>24.06.2026</t>
        </is>
      </c>
      <c r="BV78" s="245" t="inlineStr">
        <is>
          <t>IPH — Institute of Public Health</t>
        </is>
      </c>
      <c r="BW78" s="245" t="inlineStr">
        <is>
          <t>Absent | Отсутна</t>
        </is>
      </c>
      <c r="BX78" s="245" t="inlineStr">
        <is>
          <t>404/0787/26</t>
        </is>
      </c>
      <c r="BY78" s="245" t="inlineStr">
        <is>
          <t>24.06.2026</t>
        </is>
      </c>
      <c r="BZ78" s="245" t="inlineStr">
        <is>
          <t>IPH — Institute of Public Health</t>
        </is>
      </c>
      <c r="CA78" s="245" t="inlineStr">
        <is>
          <t>Absent | Отсутна</t>
        </is>
      </c>
      <c r="CB78" s="245" t="inlineStr">
        <is>
          <t>404/0787/26</t>
        </is>
      </c>
      <c r="CC78" s="245" t="inlineStr">
        <is>
          <t>24.06.2026</t>
        </is>
      </c>
      <c r="CD78" s="245" t="inlineStr">
        <is>
          <t>IPH — Institute of Public Health</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5" t="inlineStr">
        <is>
          <t>&lt; 2</t>
        </is>
      </c>
      <c r="CR78" s="245" t="inlineStr">
        <is>
          <t>3659/2026</t>
        </is>
      </c>
      <c r="CS78" s="245" t="inlineStr">
        <is>
          <t>22.06.2026</t>
        </is>
      </c>
      <c r="CT78" s="245" t="inlineStr">
        <is>
          <t>IPH — Institute of Public Health</t>
        </is>
      </c>
      <c r="CU78" s="248" t="inlineStr">
        <is>
          <t>not tested</t>
        </is>
      </c>
      <c r="CV78" s="245" t="inlineStr">
        <is>
          <t>—</t>
        </is>
      </c>
      <c r="CW78" s="245" t="inlineStr">
        <is>
          <t>—</t>
        </is>
      </c>
      <c r="CX78" s="245" t="inlineStr">
        <is>
          <t>—</t>
        </is>
      </c>
      <c r="CY78" s="245" t="inlineStr">
        <is>
          <t>0.059</t>
        </is>
      </c>
      <c r="CZ78" s="245" t="inlineStr">
        <is>
          <t>3659/2026</t>
        </is>
      </c>
      <c r="DA78" s="245" t="inlineStr">
        <is>
          <t>22.06.2026</t>
        </is>
      </c>
      <c r="DB78" s="245" t="inlineStr">
        <is>
          <t>IPH — Institute of Public Health</t>
        </is>
      </c>
      <c r="DC78" s="245" t="inlineStr">
        <is>
          <t>0.03</t>
        </is>
      </c>
      <c r="DD78" s="245" t="inlineStr">
        <is>
          <t>3659/2026</t>
        </is>
      </c>
      <c r="DE78" s="245" t="inlineStr">
        <is>
          <t>22.06.2026</t>
        </is>
      </c>
      <c r="DF78" s="245" t="inlineStr">
        <is>
          <t>IPH — Institute of Public Health</t>
        </is>
      </c>
      <c r="DG78" s="245" t="inlineStr">
        <is>
          <t>0.05</t>
        </is>
      </c>
      <c r="DH78" s="245" t="inlineStr">
        <is>
          <t>3659/2026</t>
        </is>
      </c>
      <c r="DI78" s="245" t="inlineStr">
        <is>
          <t>22.06.2026</t>
        </is>
      </c>
      <c r="DJ78" s="245" t="inlineStr">
        <is>
          <t>IPH — Institute of Public Health</t>
        </is>
      </c>
      <c r="DK78" s="245" t="inlineStr">
        <is>
          <t>0.015</t>
        </is>
      </c>
      <c r="DL78" s="245" t="inlineStr">
        <is>
          <t>3659/2026</t>
        </is>
      </c>
      <c r="DM78" s="245" t="inlineStr">
        <is>
          <t>22.06.2026</t>
        </is>
      </c>
      <c r="DN78" s="245" t="inlineStr">
        <is>
          <t>IPH — Institute of Public Health</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replaces the issued QCSP_001_FB-I_v.01 (was FB_THC27.5:CBD1, 27.50% ± 2.63%); now FB_THC22 : CBD1 19.80 – 24.19 %</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replaces the issued QCSP_001_SCR-I_v.01 (was SCR_THC27.5:CBD1, 27.50% ± 2.38%); now SCR_THC22 : CBD1 19.80 – 24.19 %</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5" t="inlineStr">
        <is>
          <t>Conforms | Одговара</t>
        </is>
      </c>
      <c r="AF85" s="245" t="inlineStr">
        <is>
          <t>iCoA-PP_26-120</t>
        </is>
      </c>
      <c r="AG85" s="245" t="inlineStr">
        <is>
          <t>13.08.2026</t>
        </is>
      </c>
      <c r="AH85" s="245" t="inlineStr">
        <is>
          <t>Purely Plant GmbH (in-house)</t>
        </is>
      </c>
      <c r="AI85" s="245" t="inlineStr">
        <is>
          <t>Conforms | Одговара</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5" t="inlineStr">
        <is>
          <t>Conforms | Одговара</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5" t="inlineStr">
        <is>
          <t>Conforms | Одговара</t>
        </is>
      </c>
      <c r="AF86" s="245" t="inlineStr">
        <is>
          <t>iCoA-PP_26-098</t>
        </is>
      </c>
      <c r="AG86" s="245" t="inlineStr">
        <is>
          <t>27.07.2026</t>
        </is>
      </c>
      <c r="AH86" s="245" t="inlineStr">
        <is>
          <t>Purely Plant GmbH (in-house)</t>
        </is>
      </c>
      <c r="AI86" s="245" t="inlineStr">
        <is>
          <t>Conforms | Одговара</t>
        </is>
      </c>
      <c r="AJ86" s="245" t="inlineStr">
        <is>
          <t>iCoA-PP_26-098</t>
        </is>
      </c>
      <c r="AK86" s="245" t="inlineStr">
        <is>
          <t>27.07.2026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5" t="inlineStr">
        <is>
          <t>Conforms | Одговара</t>
        </is>
      </c>
      <c r="BD86" s="245" t="inlineStr">
        <is>
          <t>iCoA-PP_26-098</t>
        </is>
      </c>
      <c r="BE86" s="245" t="inlineStr">
        <is>
          <t>27.07.2026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5" t="inlineStr">
        <is>
          <t>Conforms | Одговара</t>
        </is>
      </c>
      <c r="AF87" s="245" t="inlineStr">
        <is>
          <t>iCoA-PP_26-099</t>
        </is>
      </c>
      <c r="AG87" s="245" t="inlineStr">
        <is>
          <t>27.07.2026</t>
        </is>
      </c>
      <c r="AH87" s="245" t="inlineStr">
        <is>
          <t>Purely Plant GmbH (in-house)</t>
        </is>
      </c>
      <c r="AI87" s="245" t="inlineStr">
        <is>
          <t>Conforms | Одговара</t>
        </is>
      </c>
      <c r="AJ87" s="245" t="inlineStr">
        <is>
          <t>iCoA-PP_26-099</t>
        </is>
      </c>
      <c r="AK87" s="245" t="inlineStr">
        <is>
          <t>27.07.2026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5" t="inlineStr">
        <is>
          <t>Conforms | Одговара</t>
        </is>
      </c>
      <c r="BD87" s="245" t="inlineStr">
        <is>
          <t>iCoA-PP_26-099</t>
        </is>
      </c>
      <c r="BE87" s="245" t="inlineStr">
        <is>
          <t>27.07.2026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replaces the issued QCSP_001_CC-I_v.01 (was CC_THC28:CBD1, 28.00% ± 2.25%); now CC_THC17 : CBD1 15.35 – 18.64 %</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5" t="inlineStr">
        <is>
          <t>Conforms | Одговара</t>
        </is>
      </c>
      <c r="AF88" s="245" t="inlineStr">
        <is>
          <t>iCoA-PP_26-103</t>
        </is>
      </c>
      <c r="AG88" s="245" t="inlineStr">
        <is>
          <t>27.07.2026</t>
        </is>
      </c>
      <c r="AH88" s="245" t="inlineStr">
        <is>
          <t>Purely Plant GmbH (in-house)</t>
        </is>
      </c>
      <c r="AI88" s="245" t="inlineStr">
        <is>
          <t>Conforms | Одговара</t>
        </is>
      </c>
      <c r="AJ88" s="245" t="inlineStr">
        <is>
          <t>iCoA-PP_26-103</t>
        </is>
      </c>
      <c r="AK88" s="245" t="inlineStr">
        <is>
          <t>27.07.2026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5" t="inlineStr">
        <is>
          <t>Conforms | Одговара</t>
        </is>
      </c>
      <c r="BD88" s="245" t="inlineStr">
        <is>
          <t>iCoA-PP_26-103</t>
        </is>
      </c>
      <c r="BE88" s="245" t="inlineStr">
        <is>
          <t>27.07.2026</t>
        </is>
      </c>
      <c r="BF88" s="245" t="inlineStr">
        <is>
          <t>Purely Plant GmbH (in-house)</t>
        </is>
      </c>
      <c r="BG88" s="245" t="inlineStr">
        <is>
          <t>carried from the initial testing — not tested</t>
        </is>
      </c>
      <c r="BH88" s="245" t="inlineStr">
        <is>
          <t>—</t>
        </is>
      </c>
      <c r="BI88" s="245" t="inlineStr">
        <is>
          <t>—</t>
        </is>
      </c>
      <c r="BJ88" s="245" t="inlineStr">
        <is>
          <t>—</t>
        </is>
      </c>
      <c r="BK88" s="245" t="inlineStr">
        <is>
          <t>7.8 × 10⁴</t>
        </is>
      </c>
      <c r="BL88" s="245" t="inlineStr">
        <is>
          <t>361/0691/26</t>
        </is>
      </c>
      <c r="BM88" s="245" t="inlineStr">
        <is>
          <t>01.06.2026</t>
        </is>
      </c>
      <c r="BN88" s="245" t="inlineStr">
        <is>
          <t>IPH — Institute of Public Health</t>
        </is>
      </c>
      <c r="BO88" s="245" t="inlineStr">
        <is>
          <t>2.2 × 10⁴</t>
        </is>
      </c>
      <c r="BP88" s="245" t="inlineStr">
        <is>
          <t>361/0691/26</t>
        </is>
      </c>
      <c r="BQ88" s="245" t="inlineStr">
        <is>
          <t>01.06.2026</t>
        </is>
      </c>
      <c r="BR88" s="245" t="inlineStr">
        <is>
          <t>IPH — Institute of Public Health</t>
        </is>
      </c>
      <c r="BS88" s="245" t="inlineStr">
        <is>
          <t>&lt; 10</t>
        </is>
      </c>
      <c r="BT88" s="245" t="inlineStr">
        <is>
          <t>361/0691/26</t>
        </is>
      </c>
      <c r="BU88" s="245" t="inlineStr">
        <is>
          <t>01.06.2026</t>
        </is>
      </c>
      <c r="BV88" s="245" t="inlineStr">
        <is>
          <t>IPH — Institute of Public Health</t>
        </is>
      </c>
      <c r="BW88" s="245" t="inlineStr">
        <is>
          <t>Absent | Отсутна</t>
        </is>
      </c>
      <c r="BX88" s="245" t="inlineStr">
        <is>
          <t>361/0691/26</t>
        </is>
      </c>
      <c r="BY88" s="245" t="inlineStr">
        <is>
          <t>01.06.2026</t>
        </is>
      </c>
      <c r="BZ88" s="245" t="inlineStr">
        <is>
          <t>IPH — Institute of Public Health</t>
        </is>
      </c>
      <c r="CA88" s="245" t="inlineStr">
        <is>
          <t>Absent | Отсутна</t>
        </is>
      </c>
      <c r="CB88" s="245" t="inlineStr">
        <is>
          <t>361/0691/26</t>
        </is>
      </c>
      <c r="CC88" s="245" t="inlineStr">
        <is>
          <t>01.06.2026</t>
        </is>
      </c>
      <c r="CD88" s="245" t="inlineStr">
        <is>
          <t>IPH — Institute of Public Health</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 not tested</t>
        </is>
      </c>
      <c r="CZ88" s="245" t="inlineStr">
        <is>
          <t>—</t>
        </is>
      </c>
      <c r="DA88" s="245" t="inlineStr">
        <is>
          <t>—</t>
        </is>
      </c>
      <c r="DB88" s="245" t="inlineStr">
        <is>
          <t>—</t>
        </is>
      </c>
      <c r="DC88" s="245" t="inlineStr">
        <is>
          <t>carried from the initial testing — not tested</t>
        </is>
      </c>
      <c r="DD88" s="245" t="inlineStr">
        <is>
          <t>—</t>
        </is>
      </c>
      <c r="DE88" s="245" t="inlineStr">
        <is>
          <t>—</t>
        </is>
      </c>
      <c r="DF88" s="245" t="inlineStr">
        <is>
          <t>—</t>
        </is>
      </c>
      <c r="DG88" s="245" t="inlineStr">
        <is>
          <t>carried from the initial testing — not tested</t>
        </is>
      </c>
      <c r="DH88" s="245" t="inlineStr">
        <is>
          <t>—</t>
        </is>
      </c>
      <c r="DI88" s="245" t="inlineStr">
        <is>
          <t>—</t>
        </is>
      </c>
      <c r="DJ88" s="245" t="inlineStr">
        <is>
          <t>—</t>
        </is>
      </c>
      <c r="DK88" s="245" t="inlineStr">
        <is>
          <t>carried from the initial testing — not tested</t>
        </is>
      </c>
      <c r="DL88" s="245" t="inlineStr">
        <is>
          <t>—</t>
        </is>
      </c>
      <c r="DM88" s="245" t="inlineStr">
        <is>
          <t>—</t>
        </is>
      </c>
      <c r="DN88" s="245" t="inlineStr">
        <is>
          <t>—</t>
        </is>
      </c>
      <c r="DO88" s="245" t="inlineStr">
        <is>
          <t>carried from the initial testing — not tested</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5" t="inlineStr">
        <is>
          <t>Conforms | Одговара</t>
        </is>
      </c>
      <c r="AF89" s="245" t="inlineStr">
        <is>
          <t>iCoA-PP_26-100</t>
        </is>
      </c>
      <c r="AG89" s="245" t="inlineStr">
        <is>
          <t>27.07.2026</t>
        </is>
      </c>
      <c r="AH89" s="245" t="inlineStr">
        <is>
          <t>Purely Plant GmbH (in-house)</t>
        </is>
      </c>
      <c r="AI89" s="245" t="inlineStr">
        <is>
          <t>Conforms | Одговара</t>
        </is>
      </c>
      <c r="AJ89" s="245" t="inlineStr">
        <is>
          <t>iCoA-PP_26-100</t>
        </is>
      </c>
      <c r="AK89" s="245" t="inlineStr">
        <is>
          <t>27.07.2026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5" t="inlineStr">
        <is>
          <t>Conforms | Одговара</t>
        </is>
      </c>
      <c r="BD89" s="245" t="inlineStr">
        <is>
          <t>iCoA-PP_26-100</t>
        </is>
      </c>
      <c r="BE89" s="245" t="inlineStr">
        <is>
          <t>27.07.2026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CoQ-PP_26-039 of 06.06.2026</t>
        </is>
      </c>
      <c r="F90" s="245" t="inlineStr">
        <is>
          <t>(assigned on issue)</t>
        </is>
      </c>
      <c r="G90" s="245" t="inlineStr">
        <is>
          <t>CJ082501/2</t>
        </is>
      </c>
      <c r="H90" s="245" t="inlineStr">
        <is>
          <t>P060032</t>
        </is>
      </c>
      <c r="I90" s="245" t="inlineStr">
        <is>
          <t>Cap Junky</t>
        </is>
      </c>
      <c r="J90" s="245" t="inlineStr">
        <is>
          <t>10.12.2025</t>
        </is>
      </c>
      <c r="K90" s="245" t="inlineStr">
        <is>
          <t>29.01.2026</t>
        </is>
      </c>
      <c r="L90" s="245" t="inlineStr">
        <is>
          <t>10.12.2025</t>
        </is>
      </c>
      <c r="M90" s="245" t="inlineStr">
        <is>
          <t>29.01.2026</t>
        </is>
      </c>
      <c r="N90" s="245" t="inlineStr">
        <is>
          <t>iCoA-PP_26-102</t>
        </is>
      </c>
      <c r="O90" s="245" t="inlineStr">
        <is>
          <t>27.07.2026</t>
        </is>
      </c>
      <c r="P90" s="245" t="inlineStr">
        <is>
          <t>21.07.2026</t>
        </is>
      </c>
      <c r="Q90" s="245" t="inlineStr">
        <is>
          <t>Tranche 1</t>
        </is>
      </c>
      <c r="R90" s="245" t="inlineStr">
        <is>
          <t>18.29</t>
        </is>
      </c>
      <c r="S90" s="245" t="inlineStr">
        <is>
          <t>197-5-К/26</t>
        </is>
      </c>
      <c r="T90" s="245" t="inlineStr">
        <is>
          <t>IV</t>
        </is>
      </c>
      <c r="U90" s="245" t="inlineStr">
        <is>
          <t>15.60 – 18.39 %</t>
        </is>
      </c>
      <c r="V90" s="245" t="inlineStr">
        <is>
          <t>CJ_THC17 : CBD1</t>
        </is>
      </c>
      <c r="W90" s="245" t="inlineStr">
        <is>
          <t>QCSP_001_CJ-IV_v.01</t>
        </is>
      </c>
      <c r="X90" s="245" t="inlineStr">
        <is>
          <t>for review — replaces the issued QCSP_001_CJ-IV_v.01 (was CJ_THC20 : CBD1, 18.00 – 22.00 %); now CJ_THC17 : CBD1 15.60 – 18.39 %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5" t="inlineStr">
        <is>
          <t>Conforms | Одговара</t>
        </is>
      </c>
      <c r="AF90" s="245" t="inlineStr">
        <is>
          <t>iCoA-PP_26-102</t>
        </is>
      </c>
      <c r="AG90" s="245" t="inlineStr">
        <is>
          <t>27.07.2026</t>
        </is>
      </c>
      <c r="AH90" s="245" t="inlineStr">
        <is>
          <t>Purely Plant GmbH (in-house)</t>
        </is>
      </c>
      <c r="AI90" s="245" t="inlineStr">
        <is>
          <t>Conforms | Одговара</t>
        </is>
      </c>
      <c r="AJ90" s="245" t="inlineStr">
        <is>
          <t>iCoA-PP_26-102</t>
        </is>
      </c>
      <c r="AK90" s="245" t="inlineStr">
        <is>
          <t>27.07.2026</t>
        </is>
      </c>
      <c r="AL90" s="245" t="inlineStr">
        <is>
          <t>Purely Plant GmbH (in-house)</t>
        </is>
      </c>
      <c r="AM90" s="245" t="inlineStr">
        <is>
          <t>Conforms | Одговара</t>
        </is>
      </c>
      <c r="AN90" s="245" t="inlineStr">
        <is>
          <t>197-5-К/26</t>
        </is>
      </c>
      <c r="AO90" s="245" t="inlineStr">
        <is>
          <t>07.08.2026</t>
        </is>
      </c>
      <c r="AP90" s="245" t="inlineStr">
        <is>
          <t>Farmahem</t>
        </is>
      </c>
      <c r="AQ90" s="245" t="inlineStr">
        <is>
          <t>18.29</t>
        </is>
      </c>
      <c r="AR90" s="245" t="inlineStr">
        <is>
          <t>197-5-К/26</t>
        </is>
      </c>
      <c r="AS90" s="245" t="inlineStr">
        <is>
          <t>07.08.2026</t>
        </is>
      </c>
      <c r="AT90" s="245" t="inlineStr">
        <is>
          <t>Farmahem</t>
        </is>
      </c>
      <c r="AU90" s="245" t="inlineStr">
        <is>
          <t>&lt; LOQ</t>
        </is>
      </c>
      <c r="AV90" s="245" t="inlineStr">
        <is>
          <t>197-5-К/26</t>
        </is>
      </c>
      <c r="AW90" s="245" t="inlineStr">
        <is>
          <t>07.08.2026</t>
        </is>
      </c>
      <c r="AX90" s="245" t="inlineStr">
        <is>
          <t>Farmahem</t>
        </is>
      </c>
      <c r="AY90" s="245" t="inlineStr">
        <is>
          <t>&lt; LOQ</t>
        </is>
      </c>
      <c r="AZ90" s="245" t="inlineStr">
        <is>
          <t>197-5-К/26</t>
        </is>
      </c>
      <c r="BA90" s="245" t="inlineStr">
        <is>
          <t>07.08.2026</t>
        </is>
      </c>
      <c r="BB90" s="245" t="inlineStr">
        <is>
          <t>Farmahem</t>
        </is>
      </c>
      <c r="BC90" s="245" t="inlineStr">
        <is>
          <t>Conforms | Одговара</t>
        </is>
      </c>
      <c r="BD90" s="245" t="inlineStr">
        <is>
          <t>iCoA-PP_26-102</t>
        </is>
      </c>
      <c r="BE90" s="245" t="inlineStr">
        <is>
          <t>27.07.2026</t>
        </is>
      </c>
      <c r="BF90" s="245" t="inlineStr">
        <is>
          <t>Purely Plant GmbH (in-house)</t>
        </is>
      </c>
      <c r="BG90" s="245" t="inlineStr">
        <is>
          <t>7.37</t>
        </is>
      </c>
      <c r="BH90" s="245" t="inlineStr">
        <is>
          <t>ППК26003</t>
        </is>
      </c>
      <c r="BI90" s="245" t="inlineStr">
        <is>
          <t>21.01.2026</t>
        </is>
      </c>
      <c r="BJ90" s="245" t="inlineStr">
        <is>
          <t>UKIM Faculty of Pharmacy — Center for Natural Products</t>
        </is>
      </c>
      <c r="BK90" s="245" t="inlineStr">
        <is>
          <t>9.5 × 10²</t>
        </is>
      </c>
      <c r="BL90" s="245" t="inlineStr">
        <is>
          <t>4/0007/26</t>
        </is>
      </c>
      <c r="BM90" s="245" t="inlineStr">
        <is>
          <t>20.01.2026</t>
        </is>
      </c>
      <c r="BN90" s="245" t="inlineStr">
        <is>
          <t>IPH — Institute of Public Health</t>
        </is>
      </c>
      <c r="BO90" s="245" t="inlineStr">
        <is>
          <t>1.2 × 10³</t>
        </is>
      </c>
      <c r="BP90" s="245" t="inlineStr">
        <is>
          <t>4/0007/26</t>
        </is>
      </c>
      <c r="BQ90" s="245" t="inlineStr">
        <is>
          <t>20.01.2026</t>
        </is>
      </c>
      <c r="BR90" s="245" t="inlineStr">
        <is>
          <t>IPH — Institute of Public Health</t>
        </is>
      </c>
      <c r="BS90" s="245" t="inlineStr">
        <is>
          <t>&lt; 10</t>
        </is>
      </c>
      <c r="BT90" s="245" t="inlineStr">
        <is>
          <t>4/0007/26</t>
        </is>
      </c>
      <c r="BU90" s="245" t="inlineStr">
        <is>
          <t>20.01.2026</t>
        </is>
      </c>
      <c r="BV90" s="245" t="inlineStr">
        <is>
          <t>IPH — Institute of Public Health</t>
        </is>
      </c>
      <c r="BW90" s="245" t="inlineStr">
        <is>
          <t>Absent | Отсутна</t>
        </is>
      </c>
      <c r="BX90" s="245" t="inlineStr">
        <is>
          <t>4/0007/26</t>
        </is>
      </c>
      <c r="BY90" s="245" t="inlineStr">
        <is>
          <t>20.01.2026</t>
        </is>
      </c>
      <c r="BZ90" s="245" t="inlineStr">
        <is>
          <t>IPH — Institute of Public Health</t>
        </is>
      </c>
      <c r="CA90" s="245" t="inlineStr">
        <is>
          <t>Absent | Отсутна</t>
        </is>
      </c>
      <c r="CB90" s="245" t="inlineStr">
        <is>
          <t>4/0007/26</t>
        </is>
      </c>
      <c r="CC90" s="245" t="inlineStr">
        <is>
          <t>20.01.2026</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197-5-М/26</t>
        </is>
      </c>
      <c r="CO90" s="245" t="inlineStr">
        <is>
          <t>10.08.2026</t>
        </is>
      </c>
      <c r="CP90" s="245" t="inlineStr">
        <is>
          <t>Farmahem</t>
        </is>
      </c>
      <c r="CQ90" s="245" t="inlineStr">
        <is>
          <t>ND</t>
        </is>
      </c>
      <c r="CR90" s="245" t="inlineStr">
        <is>
          <t>197-5-М/26</t>
        </is>
      </c>
      <c r="CS90" s="245" t="inlineStr">
        <is>
          <t>10.08.2026</t>
        </is>
      </c>
      <c r="CT90" s="245" t="inlineStr">
        <is>
          <t>Farmahem</t>
        </is>
      </c>
      <c r="CU90" s="245" t="inlineStr">
        <is>
          <t>ND</t>
        </is>
      </c>
      <c r="CV90" s="245" t="inlineStr">
        <is>
          <t>197-5-М/26</t>
        </is>
      </c>
      <c r="CW90" s="245" t="inlineStr">
        <is>
          <t>10.08.2026</t>
        </is>
      </c>
      <c r="CX90" s="245" t="inlineStr">
        <is>
          <t>Farmahem</t>
        </is>
      </c>
      <c r="CY90" s="245" t="inlineStr">
        <is>
          <t>0.073</t>
        </is>
      </c>
      <c r="CZ90" s="245" t="inlineStr">
        <is>
          <t>82/2026</t>
        </is>
      </c>
      <c r="DA90" s="245" t="inlineStr">
        <is>
          <t>02.02.2026</t>
        </is>
      </c>
      <c r="DB90" s="245" t="inlineStr">
        <is>
          <t>IPH — Institute of Public Health</t>
        </is>
      </c>
      <c r="DC90" s="245" t="inlineStr">
        <is>
          <t>ND</t>
        </is>
      </c>
      <c r="DD90" s="245" t="inlineStr">
        <is>
          <t>82/2026</t>
        </is>
      </c>
      <c r="DE90" s="245" t="inlineStr">
        <is>
          <t>02.02.2026</t>
        </is>
      </c>
      <c r="DF90" s="245" t="inlineStr">
        <is>
          <t>IPH — Institute of Public Health</t>
        </is>
      </c>
      <c r="DG90" s="245" t="inlineStr">
        <is>
          <t>ND</t>
        </is>
      </c>
      <c r="DH90" s="245" t="inlineStr">
        <is>
          <t>82/2026</t>
        </is>
      </c>
      <c r="DI90" s="245" t="inlineStr">
        <is>
          <t>02.02.2026</t>
        </is>
      </c>
      <c r="DJ90" s="245" t="inlineStr">
        <is>
          <t>IPH — Institute of Public Health</t>
        </is>
      </c>
      <c r="DK90" s="245" t="inlineStr">
        <is>
          <t>ND</t>
        </is>
      </c>
      <c r="DL90" s="245" t="inlineStr">
        <is>
          <t>82/2026</t>
        </is>
      </c>
      <c r="DM90" s="245" t="inlineStr">
        <is>
          <t>02.02.2026</t>
        </is>
      </c>
      <c r="DN90" s="245" t="inlineStr">
        <is>
          <t>IPH — Institute of Public Health</t>
        </is>
      </c>
      <c r="DO90" s="245" t="inlineStr">
        <is>
          <t>ND</t>
        </is>
      </c>
      <c r="DP90" s="245" t="inlineStr">
        <is>
          <t>82/2026</t>
        </is>
      </c>
      <c r="DQ90" s="245" t="inlineStr">
        <is>
          <t>02.02.2026</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CoQ-PP_26-070 of 06.06.2026</t>
        </is>
      </c>
      <c r="F91" s="245" t="inlineStr">
        <is>
          <t>(assigned on issue)</t>
        </is>
      </c>
      <c r="G91" s="245" t="inlineStr">
        <is>
          <t>FB012602</t>
        </is>
      </c>
      <c r="H91" s="245" t="inlineStr">
        <is>
          <t>P060352</t>
        </is>
      </c>
      <c r="I91" s="245" t="inlineStr">
        <is>
          <t>Fat Bastard</t>
        </is>
      </c>
      <c r="J91" s="245" t="inlineStr">
        <is>
          <t>16.04.2026</t>
        </is>
      </c>
      <c r="K91" s="245" t="inlineStr">
        <is>
          <t>23.05.2026</t>
        </is>
      </c>
      <c r="L91" s="245" t="inlineStr">
        <is>
          <t>16.04.2026</t>
        </is>
      </c>
      <c r="M91" s="245" t="inlineStr">
        <is>
          <t>23.05.2026</t>
        </is>
      </c>
      <c r="N91" s="245" t="inlineStr">
        <is>
          <t>iCoA-PP_26-107</t>
        </is>
      </c>
      <c r="O91" s="245" t="inlineStr">
        <is>
          <t>27.07.2026</t>
        </is>
      </c>
      <c r="P91" s="245" t="inlineStr">
        <is>
          <t>22.07.2026</t>
        </is>
      </c>
      <c r="Q91" s="245" t="inlineStr">
        <is>
          <t>Tranche 1</t>
        </is>
      </c>
      <c r="R91" s="245" t="inlineStr">
        <is>
          <t>18.86</t>
        </is>
      </c>
      <c r="S91" s="245" t="inlineStr">
        <is>
          <t>197-7-К/26</t>
        </is>
      </c>
      <c r="T91" s="245" t="inlineStr">
        <is>
          <t>II</t>
        </is>
      </c>
      <c r="U91" s="245" t="inlineStr">
        <is>
          <t>16.20 – 19.79 %</t>
        </is>
      </c>
      <c r="V91" s="245" t="inlineStr">
        <is>
          <t>FB_THC18 : CBD1</t>
        </is>
      </c>
      <c r="W91" s="245" t="inlineStr">
        <is>
          <t>QCSP_001_FB-II_v.01</t>
        </is>
      </c>
      <c r="X91" s="245" t="inlineStr">
        <is>
          <t>for review — replaces the issued QCSP_001_FB-II_v.01 (was FB_THC18 : CBD1, 17.15 – 18.85 %); now FB_THC18 : CBD1 16.20 – 19.79 %</t>
        </is>
      </c>
      <c r="Y91" s="245" t="inlineStr">
        <is>
          <t>HYBRID</t>
        </is>
      </c>
      <c r="Z91" s="245" t="inlineStr">
        <is>
          <t>THC</t>
        </is>
      </c>
      <c r="AA91" s="245" t="inlineStr">
        <is>
          <t>MACHINE TRIMMED</t>
        </is>
      </c>
      <c r="AB91" s="245" t="inlineStr">
        <is>
          <t>BALANCED</t>
        </is>
      </c>
      <c r="AC91" s="245" t="inlineStr">
        <is>
          <t>Triplex Alu Bag | Триплекс Aлу Kеса, PET 12 · ALU 7 · PE 80, 300 × 500 mm, net. 400.0 g ±3%</t>
        </is>
      </c>
      <c r="AD91" s="245" t="inlineStr">
        <is>
          <t>10.08.2026</t>
        </is>
      </c>
      <c r="AE91" s="245" t="inlineStr">
        <is>
          <t>Conforms | Одговара</t>
        </is>
      </c>
      <c r="AF91" s="245" t="inlineStr">
        <is>
          <t>iCoA-PP_26-107</t>
        </is>
      </c>
      <c r="AG91" s="245" t="inlineStr">
        <is>
          <t>27.07.2026</t>
        </is>
      </c>
      <c r="AH91" s="245" t="inlineStr">
        <is>
          <t>Purely Plant GmbH (in-house)</t>
        </is>
      </c>
      <c r="AI91" s="245" t="inlineStr">
        <is>
          <t>Conforms | Одговара</t>
        </is>
      </c>
      <c r="AJ91" s="245" t="inlineStr">
        <is>
          <t>iCoA-PP_26-107</t>
        </is>
      </c>
      <c r="AK91" s="245" t="inlineStr">
        <is>
          <t>27.07.2026</t>
        </is>
      </c>
      <c r="AL91" s="245" t="inlineStr">
        <is>
          <t>Purely Plant GmbH (in-house)</t>
        </is>
      </c>
      <c r="AM91" s="245" t="inlineStr">
        <is>
          <t>Conforms | Одговара</t>
        </is>
      </c>
      <c r="AN91" s="245" t="inlineStr">
        <is>
          <t>197-7-К/26</t>
        </is>
      </c>
      <c r="AO91" s="245" t="inlineStr">
        <is>
          <t>07.08.2026</t>
        </is>
      </c>
      <c r="AP91" s="245" t="inlineStr">
        <is>
          <t>Farmahem</t>
        </is>
      </c>
      <c r="AQ91" s="245" t="inlineStr">
        <is>
          <t>18.86</t>
        </is>
      </c>
      <c r="AR91" s="245" t="inlineStr">
        <is>
          <t>197-7-К/26</t>
        </is>
      </c>
      <c r="AS91" s="245" t="inlineStr">
        <is>
          <t>07.08.2026</t>
        </is>
      </c>
      <c r="AT91" s="245" t="inlineStr">
        <is>
          <t>Farmahem</t>
        </is>
      </c>
      <c r="AU91" s="245" t="inlineStr">
        <is>
          <t>0.22</t>
        </is>
      </c>
      <c r="AV91" s="245" t="inlineStr">
        <is>
          <t>197-7-К/26</t>
        </is>
      </c>
      <c r="AW91" s="245" t="inlineStr">
        <is>
          <t>07.08.2026</t>
        </is>
      </c>
      <c r="AX91" s="245" t="inlineStr">
        <is>
          <t>Farmahem</t>
        </is>
      </c>
      <c r="AY91" s="245" t="inlineStr">
        <is>
          <t>&lt; LOQ</t>
        </is>
      </c>
      <c r="AZ91" s="245" t="inlineStr">
        <is>
          <t>197-7-К/26</t>
        </is>
      </c>
      <c r="BA91" s="245" t="inlineStr">
        <is>
          <t>07.08.2026</t>
        </is>
      </c>
      <c r="BB91" s="245" t="inlineStr">
        <is>
          <t>Farmahem</t>
        </is>
      </c>
      <c r="BC91" s="245" t="inlineStr">
        <is>
          <t>Conforms | Одговара</t>
        </is>
      </c>
      <c r="BD91" s="245" t="inlineStr">
        <is>
          <t>iCoA-PP_26-107</t>
        </is>
      </c>
      <c r="BE91" s="245" t="inlineStr">
        <is>
          <t>27.07.2026</t>
        </is>
      </c>
      <c r="BF91" s="245" t="inlineStr">
        <is>
          <t>Purely Plant GmbH (in-house)</t>
        </is>
      </c>
      <c r="BG91" s="245" t="inlineStr">
        <is>
          <t>carried from the initial testing — not tested</t>
        </is>
      </c>
      <c r="BH91" s="245" t="inlineStr">
        <is>
          <t>—</t>
        </is>
      </c>
      <c r="BI91" s="245" t="inlineStr">
        <is>
          <t>—</t>
        </is>
      </c>
      <c r="BJ91" s="245" t="inlineStr">
        <is>
          <t>—</t>
        </is>
      </c>
      <c r="BK91" s="245" t="inlineStr">
        <is>
          <t>6.3 × 10⁴</t>
        </is>
      </c>
      <c r="BL91" s="245" t="inlineStr">
        <is>
          <t>366/0696/26</t>
        </is>
      </c>
      <c r="BM91" s="245" t="inlineStr">
        <is>
          <t>01.06.2026</t>
        </is>
      </c>
      <c r="BN91" s="245" t="inlineStr">
        <is>
          <t>IPH — Institute of Public Health</t>
        </is>
      </c>
      <c r="BO91" s="245" t="inlineStr">
        <is>
          <t>2.2 × 10⁴</t>
        </is>
      </c>
      <c r="BP91" s="245" t="inlineStr">
        <is>
          <t>366/0696/26</t>
        </is>
      </c>
      <c r="BQ91" s="245" t="inlineStr">
        <is>
          <t>01.06.2026</t>
        </is>
      </c>
      <c r="BR91" s="245" t="inlineStr">
        <is>
          <t>IPH — Institute of Public Health</t>
        </is>
      </c>
      <c r="BS91" s="245" t="inlineStr">
        <is>
          <t>&lt; 10</t>
        </is>
      </c>
      <c r="BT91" s="245" t="inlineStr">
        <is>
          <t>366/0696/26</t>
        </is>
      </c>
      <c r="BU91" s="245" t="inlineStr">
        <is>
          <t>01.06.2026</t>
        </is>
      </c>
      <c r="BV91" s="245" t="inlineStr">
        <is>
          <t>IPH — Institute of Public Health</t>
        </is>
      </c>
      <c r="BW91" s="245" t="inlineStr">
        <is>
          <t>Absent | Отсутна</t>
        </is>
      </c>
      <c r="BX91" s="245" t="inlineStr">
        <is>
          <t>366/0696/26</t>
        </is>
      </c>
      <c r="BY91" s="245" t="inlineStr">
        <is>
          <t>01.06.2026</t>
        </is>
      </c>
      <c r="BZ91" s="245" t="inlineStr">
        <is>
          <t>IPH — Institute of Public Health</t>
        </is>
      </c>
      <c r="CA91" s="245" t="inlineStr">
        <is>
          <t>Absent | Отсутна</t>
        </is>
      </c>
      <c r="CB91" s="245" t="inlineStr">
        <is>
          <t>366/0696/26</t>
        </is>
      </c>
      <c r="CC91" s="245" t="inlineStr">
        <is>
          <t>01.06.2026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197-7-М/26</t>
        </is>
      </c>
      <c r="CO91" s="245" t="inlineStr">
        <is>
          <t>10.08.2026</t>
        </is>
      </c>
      <c r="CP91" s="245" t="inlineStr">
        <is>
          <t>Farmahem</t>
        </is>
      </c>
      <c r="CQ91" s="245" t="inlineStr">
        <is>
          <t>ND</t>
        </is>
      </c>
      <c r="CR91" s="245" t="inlineStr">
        <is>
          <t>197-7-М/26</t>
        </is>
      </c>
      <c r="CS91" s="245" t="inlineStr">
        <is>
          <t>10.08.2026</t>
        </is>
      </c>
      <c r="CT91" s="245" t="inlineStr">
        <is>
          <t>Farmahem</t>
        </is>
      </c>
      <c r="CU91" s="245" t="inlineStr">
        <is>
          <t>ND</t>
        </is>
      </c>
      <c r="CV91" s="245" t="inlineStr">
        <is>
          <t>197-7-М/26</t>
        </is>
      </c>
      <c r="CW91" s="245" t="inlineStr">
        <is>
          <t>10.08.2026</t>
        </is>
      </c>
      <c r="CX91" s="245" t="inlineStr">
        <is>
          <t>Farmahem</t>
        </is>
      </c>
      <c r="CY91" s="245" t="inlineStr">
        <is>
          <t>carried from the initial testing — not tested</t>
        </is>
      </c>
      <c r="CZ91" s="245" t="inlineStr">
        <is>
          <t>—</t>
        </is>
      </c>
      <c r="DA91" s="245" t="inlineStr">
        <is>
          <t>—</t>
        </is>
      </c>
      <c r="DB91" s="245" t="inlineStr">
        <is>
          <t>—</t>
        </is>
      </c>
      <c r="DC91" s="245" t="inlineStr">
        <is>
          <t>carried from the initial testing — not tested</t>
        </is>
      </c>
      <c r="DD91" s="245" t="inlineStr">
        <is>
          <t>—</t>
        </is>
      </c>
      <c r="DE91" s="245" t="inlineStr">
        <is>
          <t>—</t>
        </is>
      </c>
      <c r="DF91" s="245" t="inlineStr">
        <is>
          <t>—</t>
        </is>
      </c>
      <c r="DG91" s="245" t="inlineStr">
        <is>
          <t>carried from the initial testing — not tested</t>
        </is>
      </c>
      <c r="DH91" s="245" t="inlineStr">
        <is>
          <t>—</t>
        </is>
      </c>
      <c r="DI91" s="245" t="inlineStr">
        <is>
          <t>—</t>
        </is>
      </c>
      <c r="DJ91" s="245" t="inlineStr">
        <is>
          <t>—</t>
        </is>
      </c>
      <c r="DK91" s="245" t="inlineStr">
        <is>
          <t>carried from the initial testing — not tested</t>
        </is>
      </c>
      <c r="DL91" s="245" t="inlineStr">
        <is>
          <t>—</t>
        </is>
      </c>
      <c r="DM91" s="245" t="inlineStr">
        <is>
          <t>—</t>
        </is>
      </c>
      <c r="DN91" s="245" t="inlineStr">
        <is>
          <t>—</t>
        </is>
      </c>
      <c r="DO91" s="245" t="inlineStr">
        <is>
          <t>carried from the initial testing — not tested</t>
        </is>
      </c>
      <c r="DP91" s="245" t="inlineStr">
        <is>
          <t>—</t>
        </is>
      </c>
      <c r="DQ91" s="245" t="inlineStr">
        <is>
          <t>—</t>
        </is>
      </c>
      <c r="DR91" s="245" t="inlineStr">
        <is>
          <t>—</t>
        </is>
      </c>
    </row>
    <row r="92">
      <c r="A92" s="245" t="inlineStr">
        <is>
          <t>CoQ-PP_26-091</t>
        </is>
      </c>
      <c r="B92" s="245" t="inlineStr">
        <is>
          <t>reissue — 12-month retest</t>
        </is>
      </c>
      <c r="C92" s="245" t="inlineStr">
        <is>
          <t>issuable</t>
        </is>
      </c>
      <c r="D92" s="245" t="inlineStr">
        <is>
          <t>17.08.2026</t>
        </is>
      </c>
      <c r="E92" s="245" t="inlineStr">
        <is>
          <t>CoQ-PP_26-077 of 07.07.2026</t>
        </is>
      </c>
      <c r="F92" s="245" t="inlineStr">
        <is>
          <t>(assigned on issue)</t>
        </is>
      </c>
      <c r="G92" s="245" t="inlineStr">
        <is>
          <t>GG012603</t>
        </is>
      </c>
      <c r="H92" s="245" t="inlineStr">
        <is>
          <t>P060402</t>
        </is>
      </c>
      <c r="I92" s="245" t="inlineStr">
        <is>
          <t>Gorilla Glue</t>
        </is>
      </c>
      <c r="J92" s="245" t="inlineStr">
        <is>
          <t>04.05.2026</t>
        </is>
      </c>
      <c r="K92" s="245" t="inlineStr">
        <is>
          <t>24.05.2026</t>
        </is>
      </c>
      <c r="L92" s="245" t="inlineStr">
        <is>
          <t>04.05.2026</t>
        </is>
      </c>
      <c r="M92" s="245" t="inlineStr">
        <is>
          <t>24.05.2026</t>
        </is>
      </c>
      <c r="N92" s="245" t="inlineStr">
        <is>
          <t>iCoA-PP_26-108</t>
        </is>
      </c>
      <c r="O92" s="245" t="inlineStr">
        <is>
          <t>27.07.2026</t>
        </is>
      </c>
      <c r="P92" s="245" t="inlineStr">
        <is>
          <t>22.07.2026</t>
        </is>
      </c>
      <c r="Q92" s="245" t="inlineStr">
        <is>
          <t>Tranche 1</t>
        </is>
      </c>
      <c r="R92" s="245" t="inlineStr">
        <is>
          <t>16.70</t>
        </is>
      </c>
      <c r="S92" s="245" t="inlineStr">
        <is>
          <t>197-8-К/26</t>
        </is>
      </c>
      <c r="T92" s="245" t="inlineStr">
        <is>
          <t>I</t>
        </is>
      </c>
      <c r="U92" s="245" t="inlineStr">
        <is>
          <t>16.23 – 19.76 %</t>
        </is>
      </c>
      <c r="V92" s="245" t="inlineStr">
        <is>
          <t>GG_THC18 : CBD1</t>
        </is>
      </c>
      <c r="W92" s="245" t="inlineStr">
        <is>
          <t>QCSP_001_GG-I_v.01</t>
        </is>
      </c>
      <c r="X92" s="245" t="inlineStr">
        <is>
          <t>for review — replaces the issued QCSP_001_GG-I_v.01 (was GG_THC18 : CBD1, 17.01 – 18.99 %); now GG_THC18 : CBD1 16.23 – 19.76 %</t>
        </is>
      </c>
      <c r="Y92" s="245" t="inlineStr">
        <is>
          <t>INDICA</t>
        </is>
      </c>
      <c r="Z92" s="245" t="inlineStr">
        <is>
          <t>THC</t>
        </is>
      </c>
      <c r="AA92" s="245" t="inlineStr">
        <is>
          <t>MACHINE TRIMMED</t>
        </is>
      </c>
      <c r="AB92" s="245" t="inlineStr">
        <is>
          <t>—</t>
        </is>
      </c>
      <c r="AC92" s="245" t="inlineStr">
        <is>
          <t>Triplex Alu Bag | Триплекс Aлу Kеса, PET 12 · ALU 7 · PE 80, 300 × 500 mm, net. 400.0 g ±3%</t>
        </is>
      </c>
      <c r="AD92" s="245" t="inlineStr">
        <is>
          <t>10.08.2026</t>
        </is>
      </c>
      <c r="AE92" s="245" t="inlineStr">
        <is>
          <t>Conforms | Одговара</t>
        </is>
      </c>
      <c r="AF92" s="245" t="inlineStr">
        <is>
          <t>ППК26114</t>
        </is>
      </c>
      <c r="AG92" s="245" t="inlineStr">
        <is>
          <t>30.06.2026</t>
        </is>
      </c>
      <c r="AH92" s="245" t="inlineStr">
        <is>
          <t>UKIM Faculty of Pharmacy — Center for Natural Products</t>
        </is>
      </c>
      <c r="AI92" s="245" t="inlineStr">
        <is>
          <t>Conforms | Одговара</t>
        </is>
      </c>
      <c r="AJ92" s="245" t="inlineStr">
        <is>
          <t>ППК26114</t>
        </is>
      </c>
      <c r="AK92" s="245" t="inlineStr">
        <is>
          <t>30.06.2026</t>
        </is>
      </c>
      <c r="AL92" s="245" t="inlineStr">
        <is>
          <t>UKIM Faculty of Pharmacy — Center for Natural Products</t>
        </is>
      </c>
      <c r="AM92" s="245" t="inlineStr">
        <is>
          <t>Conforms | Одговара</t>
        </is>
      </c>
      <c r="AN92" s="245" t="inlineStr">
        <is>
          <t>197-8-К/26</t>
        </is>
      </c>
      <c r="AO92" s="245" t="inlineStr">
        <is>
          <t>07.08.2026</t>
        </is>
      </c>
      <c r="AP92" s="245" t="inlineStr">
        <is>
          <t>Farmahem</t>
        </is>
      </c>
      <c r="AQ92" s="245" t="inlineStr">
        <is>
          <t>16.70</t>
        </is>
      </c>
      <c r="AR92" s="245" t="inlineStr">
        <is>
          <t>197-8-К/26</t>
        </is>
      </c>
      <c r="AS92" s="245" t="inlineStr">
        <is>
          <t>07.08.2026</t>
        </is>
      </c>
      <c r="AT92" s="245" t="inlineStr">
        <is>
          <t>Farmahem</t>
        </is>
      </c>
      <c r="AU92" s="245" t="inlineStr">
        <is>
          <t>&lt; LOQ</t>
        </is>
      </c>
      <c r="AV92" s="245" t="inlineStr">
        <is>
          <t>197-8-К/26</t>
        </is>
      </c>
      <c r="AW92" s="245" t="inlineStr">
        <is>
          <t>07.08.2026</t>
        </is>
      </c>
      <c r="AX92" s="245" t="inlineStr">
        <is>
          <t>Farmahem</t>
        </is>
      </c>
      <c r="AY92" s="245" t="inlineStr">
        <is>
          <t>&lt; LOQ</t>
        </is>
      </c>
      <c r="AZ92" s="245" t="inlineStr">
        <is>
          <t>197-8-К/26</t>
        </is>
      </c>
      <c r="BA92" s="245" t="inlineStr">
        <is>
          <t>07.08.2026</t>
        </is>
      </c>
      <c r="BB92" s="245" t="inlineStr">
        <is>
          <t>Farmahem</t>
        </is>
      </c>
      <c r="BC92" s="245" t="inlineStr">
        <is>
          <t>Conforms | Одговара</t>
        </is>
      </c>
      <c r="BD92" s="245" t="inlineStr">
        <is>
          <t>ППК26114</t>
        </is>
      </c>
      <c r="BE92" s="245" t="inlineStr">
        <is>
          <t>30.06.2026</t>
        </is>
      </c>
      <c r="BF92" s="245" t="inlineStr">
        <is>
          <t>UKIM Faculty of Pharmacy — Center for Natural Products</t>
        </is>
      </c>
      <c r="BG92" s="245" t="inlineStr">
        <is>
          <t>6.48</t>
        </is>
      </c>
      <c r="BH92" s="245" t="inlineStr">
        <is>
          <t>ППК26114</t>
        </is>
      </c>
      <c r="BI92" s="245" t="inlineStr">
        <is>
          <t>30.06.2026</t>
        </is>
      </c>
      <c r="BJ92" s="245" t="inlineStr">
        <is>
          <t>UKIM Faculty of Pharmacy — Center for Natural Products</t>
        </is>
      </c>
      <c r="BK92" s="245" t="inlineStr">
        <is>
          <t>5 × 10³</t>
        </is>
      </c>
      <c r="BL92" s="245" t="inlineStr">
        <is>
          <t>404/0787/26</t>
        </is>
      </c>
      <c r="BM92" s="245" t="inlineStr">
        <is>
          <t>24.06.2026</t>
        </is>
      </c>
      <c r="BN92" s="245" t="inlineStr">
        <is>
          <t>IPH — Institute of Public Health</t>
        </is>
      </c>
      <c r="BO92" s="245" t="inlineStr">
        <is>
          <t>4.1 × 10³</t>
        </is>
      </c>
      <c r="BP92" s="245" t="inlineStr">
        <is>
          <t>404/0787/26</t>
        </is>
      </c>
      <c r="BQ92" s="245" t="inlineStr">
        <is>
          <t>24.06.2026</t>
        </is>
      </c>
      <c r="BR92" s="245" t="inlineStr">
        <is>
          <t>IPH — Institute of Public Health</t>
        </is>
      </c>
      <c r="BS92" s="245" t="inlineStr">
        <is>
          <t>&lt; 10</t>
        </is>
      </c>
      <c r="BT92" s="245" t="inlineStr">
        <is>
          <t>404/0787/26</t>
        </is>
      </c>
      <c r="BU92" s="245" t="inlineStr">
        <is>
          <t>24.06.2026</t>
        </is>
      </c>
      <c r="BV92" s="245" t="inlineStr">
        <is>
          <t>IPH — Institute of Public Health</t>
        </is>
      </c>
      <c r="BW92" s="245" t="inlineStr">
        <is>
          <t>Absent | Отсутна</t>
        </is>
      </c>
      <c r="BX92" s="245" t="inlineStr">
        <is>
          <t>404/0787/26</t>
        </is>
      </c>
      <c r="BY92" s="245" t="inlineStr">
        <is>
          <t>24.06.2026</t>
        </is>
      </c>
      <c r="BZ92" s="245" t="inlineStr">
        <is>
          <t>IPH — Institute of Public Health</t>
        </is>
      </c>
      <c r="CA92" s="245" t="inlineStr">
        <is>
          <t>Absent | Отсутна</t>
        </is>
      </c>
      <c r="CB92" s="245" t="inlineStr">
        <is>
          <t>404/0787/26</t>
        </is>
      </c>
      <c r="CC92" s="245" t="inlineStr">
        <is>
          <t>24.06.2026</t>
        </is>
      </c>
      <c r="CD92" s="245" t="inlineStr">
        <is>
          <t>IPH — Institute of Public Health</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197-8-М/26</t>
        </is>
      </c>
      <c r="CO92" s="245" t="inlineStr">
        <is>
          <t>10.08.2026</t>
        </is>
      </c>
      <c r="CP92" s="245" t="inlineStr">
        <is>
          <t>Farmahem</t>
        </is>
      </c>
      <c r="CQ92" s="245" t="inlineStr">
        <is>
          <t>ND</t>
        </is>
      </c>
      <c r="CR92" s="245" t="inlineStr">
        <is>
          <t>197-8-М/26</t>
        </is>
      </c>
      <c r="CS92" s="245" t="inlineStr">
        <is>
          <t>10.08.2026</t>
        </is>
      </c>
      <c r="CT92" s="245" t="inlineStr">
        <is>
          <t>Farmahem</t>
        </is>
      </c>
      <c r="CU92" s="245" t="inlineStr">
        <is>
          <t>ND</t>
        </is>
      </c>
      <c r="CV92" s="245" t="inlineStr">
        <is>
          <t>197-8-М/26</t>
        </is>
      </c>
      <c r="CW92" s="245" t="inlineStr">
        <is>
          <t>10.08.2026</t>
        </is>
      </c>
      <c r="CX92" s="245" t="inlineStr">
        <is>
          <t>Farmahem</t>
        </is>
      </c>
      <c r="CY92" s="245" t="inlineStr">
        <is>
          <t>0.059</t>
        </is>
      </c>
      <c r="CZ92" s="245" t="inlineStr">
        <is>
          <t>3659/2026</t>
        </is>
      </c>
      <c r="DA92" s="245" t="inlineStr">
        <is>
          <t>22.06.2026</t>
        </is>
      </c>
      <c r="DB92" s="245" t="inlineStr">
        <is>
          <t>IPH — Institute of Public Health</t>
        </is>
      </c>
      <c r="DC92" s="245" t="inlineStr">
        <is>
          <t>0.03</t>
        </is>
      </c>
      <c r="DD92" s="245" t="inlineStr">
        <is>
          <t>3659/2026</t>
        </is>
      </c>
      <c r="DE92" s="245" t="inlineStr">
        <is>
          <t>22.06.2026</t>
        </is>
      </c>
      <c r="DF92" s="245" t="inlineStr">
        <is>
          <t>IPH — Institute of Public Health</t>
        </is>
      </c>
      <c r="DG92" s="245" t="inlineStr">
        <is>
          <t>0.05</t>
        </is>
      </c>
      <c r="DH92" s="245" t="inlineStr">
        <is>
          <t>3659/2026</t>
        </is>
      </c>
      <c r="DI92" s="245" t="inlineStr">
        <is>
          <t>22.06.2026</t>
        </is>
      </c>
      <c r="DJ92" s="245" t="inlineStr">
        <is>
          <t>IPH — Institute of Public Health</t>
        </is>
      </c>
      <c r="DK92" s="245" t="inlineStr">
        <is>
          <t>0.015</t>
        </is>
      </c>
      <c r="DL92" s="245" t="inlineStr">
        <is>
          <t>3659/2026</t>
        </is>
      </c>
      <c r="DM92" s="245" t="inlineStr">
        <is>
          <t>22.06.2026</t>
        </is>
      </c>
      <c r="DN92" s="245" t="inlineStr">
        <is>
          <t>IPH — Institute of Public Health</t>
        </is>
      </c>
      <c r="DO92" s="245" t="inlineStr">
        <is>
          <t>&lt; 0,01 mg/kg — all 22 residues</t>
        </is>
      </c>
      <c r="DP92" s="245" t="inlineStr">
        <is>
          <t>3659/2026</t>
        </is>
      </c>
      <c r="DQ92" s="245" t="inlineStr">
        <is>
          <t>22.06.2026</t>
        </is>
      </c>
      <c r="DR92" s="245" t="inlineStr">
        <is>
          <t>IJZ</t>
        </is>
      </c>
    </row>
    <row r="93">
      <c r="A93" s="245" t="inlineStr">
        <is>
          <t>CoQ-PP_26-092</t>
        </is>
      </c>
      <c r="B93" s="245" t="inlineStr">
        <is>
          <t>reissue — 12-month retest</t>
        </is>
      </c>
      <c r="C93" s="245" t="inlineStr">
        <is>
          <t>issuable</t>
        </is>
      </c>
      <c r="D93" s="245" t="inlineStr">
        <is>
          <t>17.08.2026</t>
        </is>
      </c>
      <c r="E93" s="245" t="inlineStr">
        <is>
          <t>CoQ-PP_26-015 of 06.06.2026</t>
        </is>
      </c>
      <c r="F93" s="245" t="inlineStr">
        <is>
          <t>CoQ-PP-2026-0038</t>
        </is>
      </c>
      <c r="G93" s="245" t="inlineStr">
        <is>
          <t>GG1024_01</t>
        </is>
      </c>
      <c r="H93" s="245" t="inlineStr">
        <is>
          <t>P050092</t>
        </is>
      </c>
      <c r="I93" s="245" t="inlineStr">
        <is>
          <t>Gorilla Glue</t>
        </is>
      </c>
      <c r="J93" s="245" t="inlineStr">
        <is>
          <t>17.03.2025 – 18.03.2025</t>
        </is>
      </c>
      <c r="K93" s="245" t="inlineStr">
        <is>
          <t>31.07.2025 – 05.08.2025</t>
        </is>
      </c>
      <c r="L93" s="245" t="inlineStr">
        <is>
          <t>17.03.2025</t>
        </is>
      </c>
      <c r="M93" s="245" t="inlineStr">
        <is>
          <t>31.07.2025</t>
        </is>
      </c>
      <c r="N93" s="245" t="inlineStr">
        <is>
          <t>iCoA-PP_26-104</t>
        </is>
      </c>
      <c r="O93" s="245" t="inlineStr">
        <is>
          <t>27.07.2026</t>
        </is>
      </c>
      <c r="P93" s="245" t="inlineStr">
        <is>
          <t>22.07.2026</t>
        </is>
      </c>
      <c r="Q93" s="245" t="inlineStr">
        <is>
          <t>Tranche 1</t>
        </is>
      </c>
      <c r="R93" s="245" t="inlineStr">
        <is>
          <t>18.67</t>
        </is>
      </c>
      <c r="S93" s="245" t="inlineStr">
        <is>
          <t>197-9-К/26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5" t="inlineStr">
        <is>
          <t>Conforms | Одговара</t>
        </is>
      </c>
      <c r="AF93" s="245" t="inlineStr">
        <is>
          <t>iCoA-PP_26-104</t>
        </is>
      </c>
      <c r="AG93" s="245" t="inlineStr">
        <is>
          <t>27.07.2026</t>
        </is>
      </c>
      <c r="AH93" s="245" t="inlineStr">
        <is>
          <t>Purely Plant GmbH (in-house)</t>
        </is>
      </c>
      <c r="AI93" s="245" t="inlineStr">
        <is>
          <t>Conforms | Одговара</t>
        </is>
      </c>
      <c r="AJ93" s="245" t="inlineStr">
        <is>
          <t>iCoA-PP_26-104</t>
        </is>
      </c>
      <c r="AK93" s="245" t="inlineStr">
        <is>
          <t>27.07.2026</t>
        </is>
      </c>
      <c r="AL93" s="245" t="inlineStr">
        <is>
          <t>Purely Plant GmbH (in-house)</t>
        </is>
      </c>
      <c r="AM93" s="245" t="inlineStr">
        <is>
          <t>Conforms | Одговара</t>
        </is>
      </c>
      <c r="AN93" s="245" t="inlineStr">
        <is>
          <t>197-9-К/26</t>
        </is>
      </c>
      <c r="AO93" s="245" t="inlineStr">
        <is>
          <t>07.08.2026</t>
        </is>
      </c>
      <c r="AP93" s="245" t="inlineStr">
        <is>
          <t>Farmahem</t>
        </is>
      </c>
      <c r="AQ93" s="245" t="inlineStr">
        <is>
          <t>18.67</t>
        </is>
      </c>
      <c r="AR93" s="245" t="inlineStr">
        <is>
          <t>197-9-К/26</t>
        </is>
      </c>
      <c r="AS93" s="245" t="inlineStr">
        <is>
          <t>07.08.2026</t>
        </is>
      </c>
      <c r="AT93" s="245" t="inlineStr">
        <is>
          <t>Farmahem</t>
        </is>
      </c>
      <c r="AU93" s="245" t="inlineStr">
        <is>
          <t>&lt; LOQ</t>
        </is>
      </c>
      <c r="AV93" s="245" t="inlineStr">
        <is>
          <t>197-9-К/26</t>
        </is>
      </c>
      <c r="AW93" s="245" t="inlineStr">
        <is>
          <t>07.08.2026</t>
        </is>
      </c>
      <c r="AX93" s="245" t="inlineStr">
        <is>
          <t>Farmahem</t>
        </is>
      </c>
      <c r="AY93" s="245" t="inlineStr">
        <is>
          <t>0.20</t>
        </is>
      </c>
      <c r="AZ93" s="245" t="inlineStr">
        <is>
          <t>197-9-К/26</t>
        </is>
      </c>
      <c r="BA93" s="245" t="inlineStr">
        <is>
          <t>07.08.2026</t>
        </is>
      </c>
      <c r="BB93" s="245" t="inlineStr">
        <is>
          <t>Farmahem</t>
        </is>
      </c>
      <c r="BC93" s="245" t="inlineStr">
        <is>
          <t>Conforms | Одговара</t>
        </is>
      </c>
      <c r="BD93" s="245" t="inlineStr">
        <is>
          <t>iCoA-PP_26-104</t>
        </is>
      </c>
      <c r="BE93" s="245" t="inlineStr">
        <is>
          <t>27.07.2026</t>
        </is>
      </c>
      <c r="BF93" s="245" t="inlineStr">
        <is>
          <t>Purely Plant GmbH (in-house)</t>
        </is>
      </c>
      <c r="BG93" s="245" t="inlineStr">
        <is>
          <t>7.54</t>
        </is>
      </c>
      <c r="BH93" s="245" t="inlineStr">
        <is>
          <t>ППК25104</t>
        </is>
      </c>
      <c r="BI93" s="245" t="inlineStr">
        <is>
          <t>17.04.2025</t>
        </is>
      </c>
      <c r="BJ93" s="245" t="inlineStr">
        <is>
          <t>UKIM Faculty of Pharmacy — Center for Natural Products</t>
        </is>
      </c>
      <c r="BK93" s="245" t="inlineStr">
        <is>
          <t>5.1 × 10⁴</t>
        </is>
      </c>
      <c r="BL93" s="245" t="inlineStr">
        <is>
          <t>320/0587/25</t>
        </is>
      </c>
      <c r="BM93" s="245" t="inlineStr">
        <is>
          <t>14.04.2025</t>
        </is>
      </c>
      <c r="BN93" s="245" t="inlineStr">
        <is>
          <t>IPH — Institute of Public Health</t>
        </is>
      </c>
      <c r="BO93" s="245" t="inlineStr">
        <is>
          <t>4.2 × 10⁴</t>
        </is>
      </c>
      <c r="BP93" s="245" t="inlineStr">
        <is>
          <t>320/0587/25</t>
        </is>
      </c>
      <c r="BQ93" s="245" t="inlineStr">
        <is>
          <t>14.04.2025</t>
        </is>
      </c>
      <c r="BR93" s="245" t="inlineStr">
        <is>
          <t>IPH — Institute of Public Health</t>
        </is>
      </c>
      <c r="BS93" s="245" t="inlineStr">
        <is>
          <t>&lt; 10</t>
        </is>
      </c>
      <c r="BT93" s="245" t="inlineStr">
        <is>
          <t>320/0587/25</t>
        </is>
      </c>
      <c r="BU93" s="245" t="inlineStr">
        <is>
          <t>14.04.2025</t>
        </is>
      </c>
      <c r="BV93" s="245" t="inlineStr">
        <is>
          <t>IPH — Institute of Public Health</t>
        </is>
      </c>
      <c r="BW93" s="245" t="inlineStr">
        <is>
          <t>Absent | Отсутна</t>
        </is>
      </c>
      <c r="BX93" s="245" t="inlineStr">
        <is>
          <t>320/0587/25</t>
        </is>
      </c>
      <c r="BY93" s="245" t="inlineStr">
        <is>
          <t>14.04.2025</t>
        </is>
      </c>
      <c r="BZ93" s="245" t="inlineStr">
        <is>
          <t>IPH — Institute of Public Health</t>
        </is>
      </c>
      <c r="CA93" s="245" t="inlineStr">
        <is>
          <t>Absent | Отсутна</t>
        </is>
      </c>
      <c r="CB93" s="245" t="inlineStr">
        <is>
          <t>320/0587/25</t>
        </is>
      </c>
      <c r="CC93" s="245" t="inlineStr">
        <is>
          <t>14.04.2025</t>
        </is>
      </c>
      <c r="CD93" s="245" t="inlineStr">
        <is>
          <t>IPH — Institute of Public Health</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197-9-М/26</t>
        </is>
      </c>
      <c r="CO93" s="245" t="inlineStr">
        <is>
          <t>10.08.2026</t>
        </is>
      </c>
      <c r="CP93" s="245" t="inlineStr">
        <is>
          <t>Farmahem</t>
        </is>
      </c>
      <c r="CQ93" s="245" t="inlineStr">
        <is>
          <t>ND</t>
        </is>
      </c>
      <c r="CR93" s="245" t="inlineStr">
        <is>
          <t>197-9-М/26</t>
        </is>
      </c>
      <c r="CS93" s="245" t="inlineStr">
        <is>
          <t>10.08.2026</t>
        </is>
      </c>
      <c r="CT93" s="245" t="inlineStr">
        <is>
          <t>Farmahem</t>
        </is>
      </c>
      <c r="CU93" s="245" t="inlineStr">
        <is>
          <t>ND</t>
        </is>
      </c>
      <c r="CV93" s="245" t="inlineStr">
        <is>
          <t>197-9-М/26</t>
        </is>
      </c>
      <c r="CW93" s="245" t="inlineStr">
        <is>
          <t>10.08.2026</t>
        </is>
      </c>
      <c r="CX93" s="245" t="inlineStr">
        <is>
          <t>Farmahem</t>
        </is>
      </c>
      <c r="CY93" s="245" t="inlineStr">
        <is>
          <t>0.02</t>
        </is>
      </c>
      <c r="CZ93" s="245" t="inlineStr">
        <is>
          <t>1766/2025</t>
        </is>
      </c>
      <c r="DA93" s="245" t="inlineStr">
        <is>
          <t>11.04.2025</t>
        </is>
      </c>
      <c r="DB93" s="245" t="inlineStr">
        <is>
          <t>IPH — Institute of Public Health</t>
        </is>
      </c>
      <c r="DC93" s="245" t="inlineStr">
        <is>
          <t>0.007</t>
        </is>
      </c>
      <c r="DD93" s="245" t="inlineStr">
        <is>
          <t>1766/2025</t>
        </is>
      </c>
      <c r="DE93" s="245" t="inlineStr">
        <is>
          <t>11.04.2025</t>
        </is>
      </c>
      <c r="DF93" s="245" t="inlineStr">
        <is>
          <t>IPH — Institute of Public Health</t>
        </is>
      </c>
      <c r="DG93" s="245" t="inlineStr">
        <is>
          <t>0.015</t>
        </is>
      </c>
      <c r="DH93" s="245" t="inlineStr">
        <is>
          <t>1766/2025</t>
        </is>
      </c>
      <c r="DI93" s="245" t="inlineStr">
        <is>
          <t>11.04.2025</t>
        </is>
      </c>
      <c r="DJ93" s="245" t="inlineStr">
        <is>
          <t>IPH — Institute of Public Health</t>
        </is>
      </c>
      <c r="DK93" s="245" t="inlineStr">
        <is>
          <t>0.005</t>
        </is>
      </c>
      <c r="DL93" s="245" t="inlineStr">
        <is>
          <t>1766/2025</t>
        </is>
      </c>
      <c r="DM93" s="245" t="inlineStr">
        <is>
          <t>11.04.2025</t>
        </is>
      </c>
      <c r="DN93" s="245" t="inlineStr">
        <is>
          <t>IPH — Institute of Public Health</t>
        </is>
      </c>
      <c r="DO93" s="245" t="inlineStr">
        <is>
          <t>ND</t>
        </is>
      </c>
      <c r="DP93" s="245" t="inlineStr">
        <is>
          <t>1766/2025</t>
        </is>
      </c>
      <c r="DQ93" s="245" t="inlineStr">
        <is>
          <t>11.04.2025</t>
        </is>
      </c>
      <c r="DR93" s="245" t="inlineStr">
        <is>
          <t>IPH — Institute of Public Health</t>
        </is>
      </c>
    </row>
    <row r="94">
      <c r="A94" s="245" t="inlineStr">
        <is>
          <t>CoQ-PP_26-093</t>
        </is>
      </c>
      <c r="B94" s="245" t="inlineStr">
        <is>
          <t>reissue — 12-month retest</t>
        </is>
      </c>
      <c r="C94" s="245" t="inlineStr">
        <is>
          <t>issuable</t>
        </is>
      </c>
      <c r="D94" s="245" t="inlineStr">
        <is>
          <t>17.08.2026</t>
        </is>
      </c>
      <c r="E94" s="245" t="inlineStr">
        <is>
          <t>CoQ-PP_26-020 of 06.06.2026</t>
        </is>
      </c>
      <c r="F94" s="245" t="inlineStr">
        <is>
          <t>(assigned on issue)</t>
        </is>
      </c>
      <c r="G94" s="245" t="inlineStr">
        <is>
          <t>GP052501</t>
        </is>
      </c>
      <c r="H94" s="245" t="inlineStr">
        <is>
          <t>P050152</t>
        </is>
      </c>
      <c r="I94" s="245" t="inlineStr">
        <is>
          <t>Grape Pie</t>
        </is>
      </c>
      <c r="J94" s="245" t="inlineStr">
        <is>
          <t>]</t>
        </is>
      </c>
      <c r="K94" s="245" t="inlineStr">
        <is>
          <t>25.09.2025</t>
        </is>
      </c>
      <c r="L94" s="245" t="inlineStr">
        <is>
          <t>—</t>
        </is>
      </c>
      <c r="M94" s="245" t="inlineStr">
        <is>
          <t>25.09.2025</t>
        </is>
      </c>
      <c r="N94" s="245" t="inlineStr">
        <is>
          <t>iCoA-PP_26-105</t>
        </is>
      </c>
      <c r="O94" s="245" t="inlineStr">
        <is>
          <t>27.07.2026</t>
        </is>
      </c>
      <c r="P94" s="245" t="inlineStr">
        <is>
          <t>22.07.2026</t>
        </is>
      </c>
      <c r="Q94" s="245" t="inlineStr">
        <is>
          <t>Tranche 1</t>
        </is>
      </c>
      <c r="R94" s="245" t="inlineStr">
        <is>
          <t>18.52</t>
        </is>
      </c>
      <c r="S94" s="245" t="inlineStr">
        <is>
          <t>197-10-К/26</t>
        </is>
      </c>
      <c r="T94" s="245" t="inlineStr">
        <is>
          <t>III</t>
        </is>
      </c>
      <c r="U94" s="245" t="inlineStr">
        <is>
          <t>18.00 – 21.99 %</t>
        </is>
      </c>
      <c r="V94" s="245" t="inlineStr">
        <is>
          <t>GP_THC20 : CBD1</t>
        </is>
      </c>
      <c r="W94" s="245" t="inlineStr">
        <is>
          <t>QCSP_001_GP-III_v.01</t>
        </is>
      </c>
      <c r="X94" s="245" t="inlineStr">
        <is>
          <t>for review — replaces the issued QCSP_001_GP-III_v.01 (was GP_THC24 : CBD1, 22.61 – 25.39 %); now GP_THC20 : CBD1 18.00 – 21.99 %</t>
        </is>
      </c>
      <c r="Y94" s="245" t="inlineStr">
        <is>
          <t>HYBRID</t>
        </is>
      </c>
      <c r="Z94" s="245" t="inlineStr">
        <is>
          <t>THC</t>
        </is>
      </c>
      <c r="AA94" s="245" t="inlineStr">
        <is>
          <t>MACHINE TRIMMED</t>
        </is>
      </c>
      <c r="AB94" s="245" t="inlineStr">
        <is>
          <t>INDICA-DOMINANT</t>
        </is>
      </c>
      <c r="AC94" s="245" t="inlineStr">
        <is>
          <t>Triplex Alu Bag | Триплекс Aлу Kеса, PET 12 · ALU 7 · PE 80, 300 × 500 mm, net. 400.0 g ±3%</t>
        </is>
      </c>
      <c r="AD94" s="245" t="inlineStr">
        <is>
          <t>10.08.2026</t>
        </is>
      </c>
      <c r="AE94" s="245" t="inlineStr">
        <is>
          <t>Conforms | Одговара</t>
        </is>
      </c>
      <c r="AF94" s="245" t="inlineStr">
        <is>
          <t>iCoA-PP_26-105</t>
        </is>
      </c>
      <c r="AG94" s="245" t="inlineStr">
        <is>
          <t>27.07.2026</t>
        </is>
      </c>
      <c r="AH94" s="245" t="inlineStr">
        <is>
          <t>Purely Plant GmbH (in-house)</t>
        </is>
      </c>
      <c r="AI94" s="245" t="inlineStr">
        <is>
          <t>Conforms | Одговара</t>
        </is>
      </c>
      <c r="AJ94" s="245" t="inlineStr">
        <is>
          <t>iCoA-PP_26-105</t>
        </is>
      </c>
      <c r="AK94" s="245" t="inlineStr">
        <is>
          <t>27.07.2026</t>
        </is>
      </c>
      <c r="AL94" s="245" t="inlineStr">
        <is>
          <t>Purely Plant GmbH (in-house)</t>
        </is>
      </c>
      <c r="AM94" s="245" t="inlineStr">
        <is>
          <t>Conforms | Одговара</t>
        </is>
      </c>
      <c r="AN94" s="245" t="inlineStr">
        <is>
          <t>197-10-К/26</t>
        </is>
      </c>
      <c r="AO94" s="245" t="inlineStr">
        <is>
          <t>07.08.2026</t>
        </is>
      </c>
      <c r="AP94" s="245" t="inlineStr">
        <is>
          <t>Farmahem</t>
        </is>
      </c>
      <c r="AQ94" s="245" t="inlineStr">
        <is>
          <t>18.52</t>
        </is>
      </c>
      <c r="AR94" s="245" t="inlineStr">
        <is>
          <t>197-10-К/26</t>
        </is>
      </c>
      <c r="AS94" s="245" t="inlineStr">
        <is>
          <t>07.08.2026</t>
        </is>
      </c>
      <c r="AT94" s="245" t="inlineStr">
        <is>
          <t>Farmahem</t>
        </is>
      </c>
      <c r="AU94" s="245" t="inlineStr">
        <is>
          <t>&lt; LOQ</t>
        </is>
      </c>
      <c r="AV94" s="245" t="inlineStr">
        <is>
          <t>197-10-К/26</t>
        </is>
      </c>
      <c r="AW94" s="245" t="inlineStr">
        <is>
          <t>07.08.2026</t>
        </is>
      </c>
      <c r="AX94" s="245" t="inlineStr">
        <is>
          <t>Farmahem</t>
        </is>
      </c>
      <c r="AY94" s="245" t="inlineStr">
        <is>
          <t>&lt; LOQ</t>
        </is>
      </c>
      <c r="AZ94" s="245" t="inlineStr">
        <is>
          <t>197-10-К/26</t>
        </is>
      </c>
      <c r="BA94" s="245" t="inlineStr">
        <is>
          <t>07.08.2026</t>
        </is>
      </c>
      <c r="BB94" s="245" t="inlineStr">
        <is>
          <t>Farmahem</t>
        </is>
      </c>
      <c r="BC94" s="245" t="inlineStr">
        <is>
          <t>Conforms | Одговара</t>
        </is>
      </c>
      <c r="BD94" s="245" t="inlineStr">
        <is>
          <t>iCoA-PP_26-105</t>
        </is>
      </c>
      <c r="BE94" s="245" t="inlineStr">
        <is>
          <t>27.07.2026</t>
        </is>
      </c>
      <c r="BF94" s="245" t="inlineStr">
        <is>
          <t>Purely Plant GmbH (in-house)</t>
        </is>
      </c>
      <c r="BG94" s="245" t="inlineStr">
        <is>
          <t>7.30</t>
        </is>
      </c>
      <c r="BH94" s="245" t="inlineStr">
        <is>
          <t>ППК25279</t>
        </is>
      </c>
      <c r="BI94" s="245" t="inlineStr">
        <is>
          <t>19.09.2025</t>
        </is>
      </c>
      <c r="BJ94" s="245" t="inlineStr">
        <is>
          <t>UKIM Faculty of Pharmacy — Center for Natural Products</t>
        </is>
      </c>
      <c r="BK94" s="245" t="inlineStr">
        <is>
          <t>2.1 × 10⁴</t>
        </is>
      </c>
      <c r="BL94" s="245" t="inlineStr">
        <is>
          <t>946/1684/25</t>
        </is>
      </c>
      <c r="BM94" s="245" t="inlineStr">
        <is>
          <t>17.09.2025</t>
        </is>
      </c>
      <c r="BN94" s="245" t="inlineStr">
        <is>
          <t>IPH — Institute of Public Health</t>
        </is>
      </c>
      <c r="BO94" s="245" t="inlineStr">
        <is>
          <t>3.6 × 10⁴</t>
        </is>
      </c>
      <c r="BP94" s="245" t="inlineStr">
        <is>
          <t>946/1684/25</t>
        </is>
      </c>
      <c r="BQ94" s="245" t="inlineStr">
        <is>
          <t>17.09.2025</t>
        </is>
      </c>
      <c r="BR94" s="245" t="inlineStr">
        <is>
          <t>IPH — Institute of Public Health</t>
        </is>
      </c>
      <c r="BS94" s="245" t="inlineStr">
        <is>
          <t>&lt; 10² and &gt; 10¹</t>
        </is>
      </c>
      <c r="BT94" s="245" t="inlineStr">
        <is>
          <t>946/1684/25</t>
        </is>
      </c>
      <c r="BU94" s="245" t="inlineStr">
        <is>
          <t>17.09.2025</t>
        </is>
      </c>
      <c r="BV94" s="245" t="inlineStr">
        <is>
          <t>IPH — Institute of Public Health</t>
        </is>
      </c>
      <c r="BW94" s="245" t="inlineStr">
        <is>
          <t>Absent | Отсутна</t>
        </is>
      </c>
      <c r="BX94" s="245" t="inlineStr">
        <is>
          <t>946/1684/25</t>
        </is>
      </c>
      <c r="BY94" s="245" t="inlineStr">
        <is>
          <t>17.09.2025</t>
        </is>
      </c>
      <c r="BZ94" s="245" t="inlineStr">
        <is>
          <t>IPH — Institute of Public Health</t>
        </is>
      </c>
      <c r="CA94" s="245" t="inlineStr">
        <is>
          <t>Absent | Отсутна</t>
        </is>
      </c>
      <c r="CB94" s="245" t="inlineStr">
        <is>
          <t>946/1684/25</t>
        </is>
      </c>
      <c r="CC94" s="245" t="inlineStr">
        <is>
          <t>17.09.2025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197-10-М/26</t>
        </is>
      </c>
      <c r="CO94" s="245" t="inlineStr">
        <is>
          <t>10.08.2026</t>
        </is>
      </c>
      <c r="CP94" s="245" t="inlineStr">
        <is>
          <t>Farmahem</t>
        </is>
      </c>
      <c r="CQ94" s="245" t="inlineStr">
        <is>
          <t>ND</t>
        </is>
      </c>
      <c r="CR94" s="245" t="inlineStr">
        <is>
          <t>197-10-М/26</t>
        </is>
      </c>
      <c r="CS94" s="245" t="inlineStr">
        <is>
          <t>10.08.2026</t>
        </is>
      </c>
      <c r="CT94" s="245" t="inlineStr">
        <is>
          <t>Farmahem</t>
        </is>
      </c>
      <c r="CU94" s="245" t="inlineStr">
        <is>
          <t>ND</t>
        </is>
      </c>
      <c r="CV94" s="245" t="inlineStr">
        <is>
          <t>197-10-М/26</t>
        </is>
      </c>
      <c r="CW94" s="245" t="inlineStr">
        <is>
          <t>10.08.2026</t>
        </is>
      </c>
      <c r="CX94" s="245" t="inlineStr">
        <is>
          <t>Farmahem</t>
        </is>
      </c>
      <c r="CY94" s="245" t="inlineStr">
        <is>
          <t>0.06</t>
        </is>
      </c>
      <c r="CZ94" s="245" t="inlineStr">
        <is>
          <t>4348/2025</t>
        </is>
      </c>
      <c r="DA94" s="245" t="inlineStr">
        <is>
          <t>15.09.2025</t>
        </is>
      </c>
      <c r="DB94" s="245" t="inlineStr">
        <is>
          <t>IPH — Institute of Public Health</t>
        </is>
      </c>
      <c r="DC94" s="245" t="inlineStr">
        <is>
          <t>ND</t>
        </is>
      </c>
      <c r="DD94" s="245" t="inlineStr">
        <is>
          <t>4348/2025</t>
        </is>
      </c>
      <c r="DE94" s="245" t="inlineStr">
        <is>
          <t>15.09.2025</t>
        </is>
      </c>
      <c r="DF94" s="245" t="inlineStr">
        <is>
          <t>IPH — Institute of Public Health</t>
        </is>
      </c>
      <c r="DG94" s="245" t="inlineStr">
        <is>
          <t>ND</t>
        </is>
      </c>
      <c r="DH94" s="245" t="inlineStr">
        <is>
          <t>4348/2025</t>
        </is>
      </c>
      <c r="DI94" s="245" t="inlineStr">
        <is>
          <t>15.09.2025</t>
        </is>
      </c>
      <c r="DJ94" s="245" t="inlineStr">
        <is>
          <t>IPH — Institute of Public Health</t>
        </is>
      </c>
      <c r="DK94" s="245" t="inlineStr">
        <is>
          <t>ND</t>
        </is>
      </c>
      <c r="DL94" s="245" t="inlineStr">
        <is>
          <t>4348/2025</t>
        </is>
      </c>
      <c r="DM94" s="245" t="inlineStr">
        <is>
          <t>15.09.2025</t>
        </is>
      </c>
      <c r="DN94" s="245" t="inlineStr">
        <is>
          <t>IPH — Institute of Public Health</t>
        </is>
      </c>
      <c r="DO94" s="245" t="inlineStr">
        <is>
          <t>ND</t>
        </is>
      </c>
      <c r="DP94" s="245" t="inlineStr">
        <is>
          <t>4348/2025</t>
        </is>
      </c>
      <c r="DQ94" s="245" t="inlineStr">
        <is>
          <t>15.09.2025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CoQ-PP_26-007 of 06.06.2026</t>
        </is>
      </c>
      <c r="F95" s="245" t="inlineStr">
        <is>
          <t>CoQ-PP-2026-0032</t>
        </is>
      </c>
      <c r="G95" s="245" t="inlineStr">
        <is>
          <t>GP0824_02</t>
        </is>
      </c>
      <c r="H95" s="245" t="inlineStr">
        <is>
          <t>P050022</t>
        </is>
      </c>
      <c r="I95" s="245" t="inlineStr">
        <is>
          <t>Grape Pie</t>
        </is>
      </c>
      <c r="J95" s="245" t="inlineStr">
        <is>
          <t>22.04.2025 – 23.04.2025</t>
        </is>
      </c>
      <c r="K95" s="245" t="inlineStr">
        <is>
          <t>03.06.2025 – 11.06.2025</t>
        </is>
      </c>
      <c r="L95" s="245" t="inlineStr">
        <is>
          <t>22.04.2025</t>
        </is>
      </c>
      <c r="M95" s="245" t="inlineStr">
        <is>
          <t>03.06.2025</t>
        </is>
      </c>
      <c r="N95" s="245" t="inlineStr">
        <is>
          <t>iCoA-PP_26-106</t>
        </is>
      </c>
      <c r="O95" s="245" t="inlineStr">
        <is>
          <t>27.07.2026</t>
        </is>
      </c>
      <c r="P95" s="245" t="inlineStr">
        <is>
          <t>22.07.2026</t>
        </is>
      </c>
      <c r="Q95" s="245" t="inlineStr">
        <is>
          <t>Tranche 1</t>
        </is>
      </c>
      <c r="R95" s="245" t="inlineStr">
        <is>
          <t>22.61</t>
        </is>
      </c>
      <c r="S95" s="245" t="inlineStr">
        <is>
          <t>197-11-К/26</t>
        </is>
      </c>
      <c r="T95" s="245" t="inlineStr">
        <is>
          <t>II</t>
        </is>
      </c>
      <c r="U95" s="245" t="inlineStr">
        <is>
          <t>22.00 – 25.99 %</t>
        </is>
      </c>
      <c r="V95" s="245" t="inlineStr">
        <is>
          <t>GP_THC24 : CBD1</t>
        </is>
      </c>
      <c r="W95" s="245" t="inlineStr">
        <is>
          <t>QCSP_001_GP-II_v.01</t>
        </is>
      </c>
      <c r="X95" s="245" t="inlineStr">
        <is>
          <t>for review — replaces the issued QCSP_001_GP-II_v.01 (was GP_THC26 : CBD1, 25.40 – 26.60 %); now GP_THC24 : CBD1 22.00 – 25.99 %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5" t="inlineStr">
        <is>
          <t>Conforms | Одговара</t>
        </is>
      </c>
      <c r="AF95" s="245" t="inlineStr">
        <is>
          <t>iCoA-PP_26-106</t>
        </is>
      </c>
      <c r="AG95" s="245" t="inlineStr">
        <is>
          <t>27.07.2026</t>
        </is>
      </c>
      <c r="AH95" s="245" t="inlineStr">
        <is>
          <t>Purely Plant GmbH (in-house)</t>
        </is>
      </c>
      <c r="AI95" s="245" t="inlineStr">
        <is>
          <t>Conforms | Одговара</t>
        </is>
      </c>
      <c r="AJ95" s="245" t="inlineStr">
        <is>
          <t>iCoA-PP_26-106</t>
        </is>
      </c>
      <c r="AK95" s="245" t="inlineStr">
        <is>
          <t>27.07.2026</t>
        </is>
      </c>
      <c r="AL95" s="245" t="inlineStr">
        <is>
          <t>Purely Plant GmbH (in-house)</t>
        </is>
      </c>
      <c r="AM95" s="245" t="inlineStr">
        <is>
          <t>Conforms | Одговара</t>
        </is>
      </c>
      <c r="AN95" s="245" t="inlineStr">
        <is>
          <t>197-11-К/26</t>
        </is>
      </c>
      <c r="AO95" s="245" t="inlineStr">
        <is>
          <t>07.08.2026</t>
        </is>
      </c>
      <c r="AP95" s="245" t="inlineStr">
        <is>
          <t>Farmahem</t>
        </is>
      </c>
      <c r="AQ95" s="245" t="inlineStr">
        <is>
          <t>22.61</t>
        </is>
      </c>
      <c r="AR95" s="245" t="inlineStr">
        <is>
          <t>197-11-К/26</t>
        </is>
      </c>
      <c r="AS95" s="245" t="inlineStr">
        <is>
          <t>07.08.2026</t>
        </is>
      </c>
      <c r="AT95" s="245" t="inlineStr">
        <is>
          <t>Farmahem</t>
        </is>
      </c>
      <c r="AU95" s="245" t="inlineStr">
        <is>
          <t>&lt; LOQ</t>
        </is>
      </c>
      <c r="AV95" s="245" t="inlineStr">
        <is>
          <t>197-11-К/26</t>
        </is>
      </c>
      <c r="AW95" s="245" t="inlineStr">
        <is>
          <t>07.08.2026</t>
        </is>
      </c>
      <c r="AX95" s="245" t="inlineStr">
        <is>
          <t>Farmahem</t>
        </is>
      </c>
      <c r="AY95" s="245" t="inlineStr">
        <is>
          <t>0.23</t>
        </is>
      </c>
      <c r="AZ95" s="245" t="inlineStr">
        <is>
          <t>197-11-К/26</t>
        </is>
      </c>
      <c r="BA95" s="245" t="inlineStr">
        <is>
          <t>07.08.2026</t>
        </is>
      </c>
      <c r="BB95" s="245" t="inlineStr">
        <is>
          <t>Farmahem</t>
        </is>
      </c>
      <c r="BC95" s="245" t="inlineStr">
        <is>
          <t>Conforms | Одговара</t>
        </is>
      </c>
      <c r="BD95" s="245" t="inlineStr">
        <is>
          <t>iCoA-PP_26-106</t>
        </is>
      </c>
      <c r="BE95" s="245" t="inlineStr">
        <is>
          <t>27.07.2026</t>
        </is>
      </c>
      <c r="BF95" s="245" t="inlineStr">
        <is>
          <t>Purely Plant GmbH (in-house)</t>
        </is>
      </c>
      <c r="BG95" s="245" t="inlineStr">
        <is>
          <t>7.21</t>
        </is>
      </c>
      <c r="BH95" s="245" t="inlineStr">
        <is>
          <t>ППК25139</t>
        </is>
      </c>
      <c r="BI95" s="245" t="inlineStr">
        <is>
          <t>22.05.2025</t>
        </is>
      </c>
      <c r="BJ95" s="245" t="inlineStr">
        <is>
          <t>UKIM Faculty of Pharmacy — Center for Natural Products</t>
        </is>
      </c>
      <c r="BK95" s="245" t="inlineStr">
        <is>
          <t>&lt; 10</t>
        </is>
      </c>
      <c r="BL95" s="245" t="inlineStr">
        <is>
          <t>627/1128/25</t>
        </is>
      </c>
      <c r="BM95" s="245" t="inlineStr">
        <is>
          <t>02.07.2025</t>
        </is>
      </c>
      <c r="BN95" s="245" t="inlineStr">
        <is>
          <t>IPH — Institute of Public Health</t>
        </is>
      </c>
      <c r="BO95" s="245" t="inlineStr">
        <is>
          <t>&lt; 10</t>
        </is>
      </c>
      <c r="BP95" s="245" t="inlineStr">
        <is>
          <t>627/1128/25</t>
        </is>
      </c>
      <c r="BQ95" s="245" t="inlineStr">
        <is>
          <t>02.07.2025</t>
        </is>
      </c>
      <c r="BR95" s="245" t="inlineStr">
        <is>
          <t>IPH — Institute of Public Health</t>
        </is>
      </c>
      <c r="BS95" s="245" t="inlineStr">
        <is>
          <t>&lt; 10</t>
        </is>
      </c>
      <c r="BT95" s="245" t="inlineStr">
        <is>
          <t>627/1128/25</t>
        </is>
      </c>
      <c r="BU95" s="245" t="inlineStr">
        <is>
          <t>02.07.2025</t>
        </is>
      </c>
      <c r="BV95" s="245" t="inlineStr">
        <is>
          <t>IPH — Institute of Public Health</t>
        </is>
      </c>
      <c r="BW95" s="245" t="inlineStr">
        <is>
          <t>Absent | Отсутна</t>
        </is>
      </c>
      <c r="BX95" s="245" t="inlineStr">
        <is>
          <t>627/1128/25</t>
        </is>
      </c>
      <c r="BY95" s="245" t="inlineStr">
        <is>
          <t>02.07.2025</t>
        </is>
      </c>
      <c r="BZ95" s="245" t="inlineStr">
        <is>
          <t>IPH — Institute of Public Health</t>
        </is>
      </c>
      <c r="CA95" s="245" t="inlineStr">
        <is>
          <t>Absent | Отсутна</t>
        </is>
      </c>
      <c r="CB95" s="245" t="inlineStr">
        <is>
          <t>627/1128/25</t>
        </is>
      </c>
      <c r="CC95" s="245" t="inlineStr">
        <is>
          <t>02.07.2025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197-11-М/26</t>
        </is>
      </c>
      <c r="CO95" s="245" t="inlineStr">
        <is>
          <t>10.08.2026</t>
        </is>
      </c>
      <c r="CP95" s="245" t="inlineStr">
        <is>
          <t>Farmahem</t>
        </is>
      </c>
      <c r="CQ95" s="245" t="inlineStr">
        <is>
          <t>ND</t>
        </is>
      </c>
      <c r="CR95" s="245" t="inlineStr">
        <is>
          <t>197-11-М/26</t>
        </is>
      </c>
      <c r="CS95" s="245" t="inlineStr">
        <is>
          <t>10.08.2026</t>
        </is>
      </c>
      <c r="CT95" s="245" t="inlineStr">
        <is>
          <t>Farmahem</t>
        </is>
      </c>
      <c r="CU95" s="245" t="inlineStr">
        <is>
          <t>ND</t>
        </is>
      </c>
      <c r="CV95" s="245" t="inlineStr">
        <is>
          <t>197-11-М/26</t>
        </is>
      </c>
      <c r="CW95" s="245" t="inlineStr">
        <is>
          <t>10.08.2026</t>
        </is>
      </c>
      <c r="CX95" s="245" t="inlineStr">
        <is>
          <t>Farmahem</t>
        </is>
      </c>
      <c r="CY95" s="245" t="inlineStr">
        <is>
          <t>ND</t>
        </is>
      </c>
      <c r="CZ95" s="245" t="inlineStr">
        <is>
          <t>3176/2025</t>
        </is>
      </c>
      <c r="DA95" s="245" t="inlineStr">
        <is>
          <t>26.06.2025</t>
        </is>
      </c>
      <c r="DB95" s="245" t="inlineStr">
        <is>
          <t>IPH — Institute of Public Health</t>
        </is>
      </c>
      <c r="DC95" s="245" t="inlineStr">
        <is>
          <t>ND</t>
        </is>
      </c>
      <c r="DD95" s="245" t="inlineStr">
        <is>
          <t>3176/2025</t>
        </is>
      </c>
      <c r="DE95" s="245" t="inlineStr">
        <is>
          <t>26.06.2025</t>
        </is>
      </c>
      <c r="DF95" s="245" t="inlineStr">
        <is>
          <t>IPH — Institute of Public Health</t>
        </is>
      </c>
      <c r="DG95" s="245" t="inlineStr">
        <is>
          <t>0.047</t>
        </is>
      </c>
      <c r="DH95" s="245" t="inlineStr">
        <is>
          <t>3176/2025</t>
        </is>
      </c>
      <c r="DI95" s="245" t="inlineStr">
        <is>
          <t>26.06.2025</t>
        </is>
      </c>
      <c r="DJ95" s="245" t="inlineStr">
        <is>
          <t>IPH — Institute of Public Health</t>
        </is>
      </c>
      <c r="DK95" s="245" t="inlineStr">
        <is>
          <t>ND</t>
        </is>
      </c>
      <c r="DL95" s="245" t="inlineStr">
        <is>
          <t>3176/2025</t>
        </is>
      </c>
      <c r="DM95" s="245" t="inlineStr">
        <is>
          <t>26.06.2025</t>
        </is>
      </c>
      <c r="DN95" s="245" t="inlineStr">
        <is>
          <t>IPH — Institute of Public Health</t>
        </is>
      </c>
      <c r="DO95" s="245" t="inlineStr">
        <is>
          <t>ND</t>
        </is>
      </c>
      <c r="DP95" s="245" t="inlineStr">
        <is>
          <t>3176/2025</t>
        </is>
      </c>
      <c r="DQ95" s="245" t="inlineStr">
        <is>
          <t>26.06.2025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CoQ-PP_26-036 of 06.06.2026</t>
        </is>
      </c>
      <c r="F96" s="245" t="inlineStr">
        <is>
          <t>(assigned on issue)</t>
        </is>
      </c>
      <c r="G96" s="245" t="inlineStr">
        <is>
          <t>GP082501/2</t>
        </is>
      </c>
      <c r="H96" s="245" t="inlineStr">
        <is>
          <t>P050322</t>
        </is>
      </c>
      <c r="I96" s="245" t="inlineStr">
        <is>
          <t>Grape Pie</t>
        </is>
      </c>
      <c r="J96" s="245" t="inlineStr">
        <is>
          <t>20.11.2025</t>
        </is>
      </c>
      <c r="K96" s="245" t="inlineStr">
        <is>
          <t>26.12.2025</t>
        </is>
      </c>
      <c r="L96" s="245" t="inlineStr">
        <is>
          <t>20.11.2025</t>
        </is>
      </c>
      <c r="M96" s="245" t="inlineStr">
        <is>
          <t>26.12.2025</t>
        </is>
      </c>
      <c r="N96" s="245" t="inlineStr">
        <is>
          <t>iCoA-PP_26-109</t>
        </is>
      </c>
      <c r="O96" s="245" t="inlineStr">
        <is>
          <t>27.07.2026</t>
        </is>
      </c>
      <c r="P96" s="245" t="inlineStr">
        <is>
          <t>23.07.2026</t>
        </is>
      </c>
      <c r="Q96" s="245" t="inlineStr">
        <is>
          <t>Tranche 1</t>
        </is>
      </c>
      <c r="R96" s="245" t="inlineStr">
        <is>
          <t>15.70</t>
        </is>
      </c>
      <c r="S96" s="245" t="inlineStr">
        <is>
          <t>197-12-К/26</t>
        </is>
      </c>
      <c r="T96" s="245" t="inlineStr">
        <is>
          <t>IV</t>
        </is>
      </c>
      <c r="U96" s="245" t="inlineStr">
        <is>
          <t>14.40 – 17.59 %</t>
        </is>
      </c>
      <c r="V96" s="245" t="inlineStr">
        <is>
          <t>GP_THC16 : CBD1</t>
        </is>
      </c>
      <c r="W96" s="245" t="inlineStr">
        <is>
          <t>QCSP_001_GP-IV_v.01</t>
        </is>
      </c>
      <c r="X96" s="245" t="inlineStr">
        <is>
          <t>for review — replaces the issued QCSP_001_GP-IV_v.01 (was GP_THC20 : CBD1, 18.00 – 22.00 %); now GP_THC16 : CBD1 14.40 – 17.59 %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5" t="inlineStr">
        <is>
          <t>Conforms | Одговара</t>
        </is>
      </c>
      <c r="AF96" s="245" t="inlineStr">
        <is>
          <t>iCoA-PP_26-109</t>
        </is>
      </c>
      <c r="AG96" s="245" t="inlineStr">
        <is>
          <t>27.07.2026</t>
        </is>
      </c>
      <c r="AH96" s="245" t="inlineStr">
        <is>
          <t>Purely Plant GmbH (in-house)</t>
        </is>
      </c>
      <c r="AI96" s="245" t="inlineStr">
        <is>
          <t>Conforms | Одговара</t>
        </is>
      </c>
      <c r="AJ96" s="245" t="inlineStr">
        <is>
          <t>iCoA-PP_26-109</t>
        </is>
      </c>
      <c r="AK96" s="245" t="inlineStr">
        <is>
          <t>27.07.2026</t>
        </is>
      </c>
      <c r="AL96" s="245" t="inlineStr">
        <is>
          <t>Purely Plant GmbH (in-house)</t>
        </is>
      </c>
      <c r="AM96" s="245" t="inlineStr">
        <is>
          <t>Conforms | Одговара</t>
        </is>
      </c>
      <c r="AN96" s="245" t="inlineStr">
        <is>
          <t>197-12-К/26</t>
        </is>
      </c>
      <c r="AO96" s="245" t="inlineStr">
        <is>
          <t>07.08.2026</t>
        </is>
      </c>
      <c r="AP96" s="245" t="inlineStr">
        <is>
          <t>Farmahem</t>
        </is>
      </c>
      <c r="AQ96" s="245" t="inlineStr">
        <is>
          <t>15.70</t>
        </is>
      </c>
      <c r="AR96" s="245" t="inlineStr">
        <is>
          <t>197-12-К/26</t>
        </is>
      </c>
      <c r="AS96" s="245" t="inlineStr">
        <is>
          <t>07.08.2026</t>
        </is>
      </c>
      <c r="AT96" s="245" t="inlineStr">
        <is>
          <t>Farmahem</t>
        </is>
      </c>
      <c r="AU96" s="245" t="inlineStr">
        <is>
          <t>&lt; LOQ</t>
        </is>
      </c>
      <c r="AV96" s="245" t="inlineStr">
        <is>
          <t>197-12-К/26</t>
        </is>
      </c>
      <c r="AW96" s="245" t="inlineStr">
        <is>
          <t>07.08.2026</t>
        </is>
      </c>
      <c r="AX96" s="245" t="inlineStr">
        <is>
          <t>Farmahem</t>
        </is>
      </c>
      <c r="AY96" s="245" t="inlineStr">
        <is>
          <t>&lt; LOQ</t>
        </is>
      </c>
      <c r="AZ96" s="245" t="inlineStr">
        <is>
          <t>197-12-К/26</t>
        </is>
      </c>
      <c r="BA96" s="245" t="inlineStr">
        <is>
          <t>07.08.2026</t>
        </is>
      </c>
      <c r="BB96" s="245" t="inlineStr">
        <is>
          <t>Farmahem</t>
        </is>
      </c>
      <c r="BC96" s="245" t="inlineStr">
        <is>
          <t>Conforms | Одговара</t>
        </is>
      </c>
      <c r="BD96" s="245" t="inlineStr">
        <is>
          <t>iCoA-PP_26-109</t>
        </is>
      </c>
      <c r="BE96" s="245" t="inlineStr">
        <is>
          <t>27.07.2026</t>
        </is>
      </c>
      <c r="BF96" s="245" t="inlineStr">
        <is>
          <t>Purely Plant GmbH (in-house)</t>
        </is>
      </c>
      <c r="BG96" s="245" t="inlineStr">
        <is>
          <t>6.88</t>
        </is>
      </c>
      <c r="BH96" s="245" t="inlineStr">
        <is>
          <t>ППК25381</t>
        </is>
      </c>
      <c r="BI96" s="245" t="inlineStr">
        <is>
          <t>12.12.2025</t>
        </is>
      </c>
      <c r="BJ96" s="245" t="inlineStr">
        <is>
          <t>CNP</t>
        </is>
      </c>
      <c r="BK96" s="245" t="inlineStr">
        <is>
          <t>3.2 × 10³</t>
        </is>
      </c>
      <c r="BL96" s="245" t="inlineStr">
        <is>
          <t>1227/2193/25</t>
        </is>
      </c>
      <c r="BM96" s="245" t="inlineStr">
        <is>
          <t>05.12.2025</t>
        </is>
      </c>
      <c r="BN96" s="245" t="inlineStr">
        <is>
          <t>IPH — Institute of Public Health</t>
        </is>
      </c>
      <c r="BO96" s="245" t="inlineStr">
        <is>
          <t>5.8 × 10³</t>
        </is>
      </c>
      <c r="BP96" s="245" t="inlineStr">
        <is>
          <t>1227/2193/25</t>
        </is>
      </c>
      <c r="BQ96" s="245" t="inlineStr">
        <is>
          <t>05.12.2025</t>
        </is>
      </c>
      <c r="BR96" s="245" t="inlineStr">
        <is>
          <t>IPH — Institute of Public Health</t>
        </is>
      </c>
      <c r="BS96" s="245" t="inlineStr">
        <is>
          <t>&lt; 10⁴ and &gt; 10³</t>
        </is>
      </c>
      <c r="BT96" s="245" t="inlineStr">
        <is>
          <t>1227/2193/25</t>
        </is>
      </c>
      <c r="BU96" s="245" t="inlineStr">
        <is>
          <t>05.12.2025</t>
        </is>
      </c>
      <c r="BV96" s="245" t="inlineStr">
        <is>
          <t>IPH — Institute of Public Health</t>
        </is>
      </c>
      <c r="BW96" s="245" t="inlineStr">
        <is>
          <t>Absent | Отсутна</t>
        </is>
      </c>
      <c r="BX96" s="245" t="inlineStr">
        <is>
          <t>1227/2193/25</t>
        </is>
      </c>
      <c r="BY96" s="245" t="inlineStr">
        <is>
          <t>05.12.2025</t>
        </is>
      </c>
      <c r="BZ96" s="245" t="inlineStr">
        <is>
          <t>IPH — Institute of Public Health</t>
        </is>
      </c>
      <c r="CA96" s="245" t="inlineStr">
        <is>
          <t>Absent | Отсутна</t>
        </is>
      </c>
      <c r="CB96" s="245" t="inlineStr">
        <is>
          <t>1227/2193/25</t>
        </is>
      </c>
      <c r="CC96" s="245" t="inlineStr">
        <is>
          <t>05.12.2025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197-12-М/26</t>
        </is>
      </c>
      <c r="CO96" s="245" t="inlineStr">
        <is>
          <t>10.08.2026</t>
        </is>
      </c>
      <c r="CP96" s="245" t="inlineStr">
        <is>
          <t>Farmahem</t>
        </is>
      </c>
      <c r="CQ96" s="245" t="inlineStr">
        <is>
          <t>ND</t>
        </is>
      </c>
      <c r="CR96" s="245" t="inlineStr">
        <is>
          <t>197-12-М/26</t>
        </is>
      </c>
      <c r="CS96" s="245" t="inlineStr">
        <is>
          <t>10.08.2026</t>
        </is>
      </c>
      <c r="CT96" s="245" t="inlineStr">
        <is>
          <t>Farmahem</t>
        </is>
      </c>
      <c r="CU96" s="245" t="inlineStr">
        <is>
          <t>ND</t>
        </is>
      </c>
      <c r="CV96" s="245" t="inlineStr">
        <is>
          <t>197-12-М/26</t>
        </is>
      </c>
      <c r="CW96" s="245" t="inlineStr">
        <is>
          <t>10.08.2026</t>
        </is>
      </c>
      <c r="CX96" s="245" t="inlineStr">
        <is>
          <t>Farmahem</t>
        </is>
      </c>
      <c r="CY96" s="245" t="inlineStr">
        <is>
          <t>0.013</t>
        </is>
      </c>
      <c r="CZ96" s="245" t="inlineStr">
        <is>
          <t>5889/2025</t>
        </is>
      </c>
      <c r="DA96" s="245" t="inlineStr">
        <is>
          <t>12.12.2025</t>
        </is>
      </c>
      <c r="DB96" s="245" t="inlineStr">
        <is>
          <t>IPH — Institute of Public Health</t>
        </is>
      </c>
      <c r="DC96" s="245" t="inlineStr">
        <is>
          <t>0.003</t>
        </is>
      </c>
      <c r="DD96" s="245" t="inlineStr">
        <is>
          <t>5889/2025</t>
        </is>
      </c>
      <c r="DE96" s="245" t="inlineStr">
        <is>
          <t>12.12.2025</t>
        </is>
      </c>
      <c r="DF96" s="245" t="inlineStr">
        <is>
          <t>IPH — Institute of Public Health</t>
        </is>
      </c>
      <c r="DG96" s="245" t="inlineStr">
        <is>
          <t>0.02</t>
        </is>
      </c>
      <c r="DH96" s="245" t="inlineStr">
        <is>
          <t>5889/2025</t>
        </is>
      </c>
      <c r="DI96" s="245" t="inlineStr">
        <is>
          <t>12.12.2025</t>
        </is>
      </c>
      <c r="DJ96" s="245" t="inlineStr">
        <is>
          <t>IPH — Institute of Public Health</t>
        </is>
      </c>
      <c r="DK96" s="245" t="inlineStr">
        <is>
          <t>0.016</t>
        </is>
      </c>
      <c r="DL96" s="245" t="inlineStr">
        <is>
          <t>5889/2025</t>
        </is>
      </c>
      <c r="DM96" s="245" t="inlineStr">
        <is>
          <t>12.12.2025</t>
        </is>
      </c>
      <c r="DN96" s="245" t="inlineStr">
        <is>
          <t>IPH — Institute of Public Health</t>
        </is>
      </c>
      <c r="DO96" s="245" t="inlineStr">
        <is>
          <t>ND</t>
        </is>
      </c>
      <c r="DP96" s="245" t="inlineStr">
        <is>
          <t>5889/2025</t>
        </is>
      </c>
      <c r="DQ96" s="245" t="inlineStr">
        <is>
          <t>12.12.2025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CoQ-PP_26-005 of 06.06.2026</t>
        </is>
      </c>
      <c r="F97" s="245" t="inlineStr">
        <is>
          <t>CoQ-PP-2026-0030</t>
        </is>
      </c>
      <c r="G97" s="245" t="inlineStr">
        <is>
          <t>HPA1024</t>
        </is>
      </c>
      <c r="H97" s="245" t="inlineStr">
        <is>
          <t>HPA1024</t>
        </is>
      </c>
      <c r="I97" s="245" t="inlineStr">
        <is>
          <t>High Pro Amnesia</t>
        </is>
      </c>
      <c r="J97" s="245" t="inlineStr">
        <is>
          <t>22.01.2025</t>
        </is>
      </c>
      <c r="K97" s="245" t="inlineStr">
        <is>
          <t>11.04.2025</t>
        </is>
      </c>
      <c r="L97" s="245" t="inlineStr">
        <is>
          <t>22.01.2025</t>
        </is>
      </c>
      <c r="M97" s="245" t="inlineStr">
        <is>
          <t>11.04.2025</t>
        </is>
      </c>
      <c r="N97" s="245" t="inlineStr">
        <is>
          <t>iCoA-PP_26-110</t>
        </is>
      </c>
      <c r="O97" s="245" t="inlineStr">
        <is>
          <t>27.07.2026</t>
        </is>
      </c>
      <c r="P97" s="245" t="inlineStr">
        <is>
          <t>23.07.2026</t>
        </is>
      </c>
      <c r="Q97" s="245" t="inlineStr">
        <is>
          <t>Tranche 1</t>
        </is>
      </c>
      <c r="R97" s="245" t="inlineStr">
        <is>
          <t>17.31</t>
        </is>
      </c>
      <c r="S97" s="245" t="inlineStr">
        <is>
          <t>197-13-К/26</t>
        </is>
      </c>
      <c r="T97" s="245" t="inlineStr">
        <is>
          <t>II</t>
        </is>
      </c>
      <c r="U97" s="245" t="inlineStr">
        <is>
          <t>16.20 – 19.79 %</t>
        </is>
      </c>
      <c r="V97" s="245" t="inlineStr">
        <is>
          <t>HPA_THC18 : CBD1</t>
        </is>
      </c>
      <c r="W97" s="245" t="inlineStr">
        <is>
          <t>QCSP_001_HPA-II_v.01</t>
        </is>
      </c>
      <c r="X97" s="245" t="inlineStr">
        <is>
          <t>for review — replaces the issued QCSP_001_HPA-II_v.01 (was HPA_THC20 : CBD1, 19.01 – 20.99 %); now HPA_THC18 : CBD1 16.20 – 19.79 %</t>
        </is>
      </c>
      <c r="Y97" s="245" t="inlineStr">
        <is>
          <t>SATIVA</t>
        </is>
      </c>
      <c r="Z97" s="245" t="inlineStr">
        <is>
          <t>THC</t>
        </is>
      </c>
      <c r="AA97" s="245" t="inlineStr">
        <is>
          <t>MACHINE TRIMMED</t>
        </is>
      </c>
      <c r="AB97" s="245" t="inlineStr">
        <is>
          <t>—</t>
        </is>
      </c>
      <c r="AC97" s="245" t="inlineStr">
        <is>
          <t>Triplex Alu Bag | Триплекс Aлу Kеса, PET 12 · ALU 7 · PE 80, 300 × 500 mm, net. 400.0 g ±3%</t>
        </is>
      </c>
      <c r="AD97" s="245" t="inlineStr">
        <is>
          <t>10.08.2026</t>
        </is>
      </c>
      <c r="AE97" s="245" t="inlineStr">
        <is>
          <t>Conforms | Одговара</t>
        </is>
      </c>
      <c r="AF97" s="245" t="inlineStr">
        <is>
          <t>iCoA-PP_26-110</t>
        </is>
      </c>
      <c r="AG97" s="245" t="inlineStr">
        <is>
          <t>27.07.2026</t>
        </is>
      </c>
      <c r="AH97" s="245" t="inlineStr">
        <is>
          <t>Purely Plant GmbH (in-house)</t>
        </is>
      </c>
      <c r="AI97" s="245" t="inlineStr">
        <is>
          <t>Conforms | Одговара</t>
        </is>
      </c>
      <c r="AJ97" s="245" t="inlineStr">
        <is>
          <t>iCoA-PP_26-110</t>
        </is>
      </c>
      <c r="AK97" s="245" t="inlineStr">
        <is>
          <t>27.07.2026</t>
        </is>
      </c>
      <c r="AL97" s="245" t="inlineStr">
        <is>
          <t>Purely Plant GmbH (in-house)</t>
        </is>
      </c>
      <c r="AM97" s="245" t="inlineStr">
        <is>
          <t>Conforms | Одговара</t>
        </is>
      </c>
      <c r="AN97" s="245" t="inlineStr">
        <is>
          <t>197-13-К/26</t>
        </is>
      </c>
      <c r="AO97" s="245" t="inlineStr">
        <is>
          <t>07.08.2026</t>
        </is>
      </c>
      <c r="AP97" s="245" t="inlineStr">
        <is>
          <t>Farmahem</t>
        </is>
      </c>
      <c r="AQ97" s="245" t="inlineStr">
        <is>
          <t>17.31</t>
        </is>
      </c>
      <c r="AR97" s="245" t="inlineStr">
        <is>
          <t>197-13-К/26</t>
        </is>
      </c>
      <c r="AS97" s="245" t="inlineStr">
        <is>
          <t>07.08.2026</t>
        </is>
      </c>
      <c r="AT97" s="245" t="inlineStr">
        <is>
          <t>Farmahem</t>
        </is>
      </c>
      <c r="AU97" s="245" t="inlineStr">
        <is>
          <t>&lt; LOQ</t>
        </is>
      </c>
      <c r="AV97" s="245" t="inlineStr">
        <is>
          <t>197-13-К/26</t>
        </is>
      </c>
      <c r="AW97" s="245" t="inlineStr">
        <is>
          <t>07.08.2026</t>
        </is>
      </c>
      <c r="AX97" s="245" t="inlineStr">
        <is>
          <t>Farmahem</t>
        </is>
      </c>
      <c r="AY97" s="245" t="inlineStr">
        <is>
          <t>0.36</t>
        </is>
      </c>
      <c r="AZ97" s="245" t="inlineStr">
        <is>
          <t>197-13-К/26</t>
        </is>
      </c>
      <c r="BA97" s="245" t="inlineStr">
        <is>
          <t>07.08.2026</t>
        </is>
      </c>
      <c r="BB97" s="245" t="inlineStr">
        <is>
          <t>Farmahem</t>
        </is>
      </c>
      <c r="BC97" s="245" t="inlineStr">
        <is>
          <t>Conforms | Одговара</t>
        </is>
      </c>
      <c r="BD97" s="245" t="inlineStr">
        <is>
          <t>iCoA-PP_26-110</t>
        </is>
      </c>
      <c r="BE97" s="245" t="inlineStr">
        <is>
          <t>27.07.2026</t>
        </is>
      </c>
      <c r="BF97" s="245" t="inlineStr">
        <is>
          <t>Purely Plant GmbH (in-house)</t>
        </is>
      </c>
      <c r="BG97" s="245" t="inlineStr">
        <is>
          <t>carried from the initial testing — not tested</t>
        </is>
      </c>
      <c r="BH97" s="245" t="inlineStr">
        <is>
          <t>—</t>
        </is>
      </c>
      <c r="BI97" s="245" t="inlineStr">
        <is>
          <t>—</t>
        </is>
      </c>
      <c r="BJ97" s="245" t="inlineStr">
        <is>
          <t>—</t>
        </is>
      </c>
      <c r="BK97" s="245" t="inlineStr">
        <is>
          <t>5.2 × 10⁴</t>
        </is>
      </c>
      <c r="BL97" s="245" t="inlineStr">
        <is>
          <t>iCoA-PP_26-005</t>
        </is>
      </c>
      <c r="BM97" s="245" t="inlineStr">
        <is>
          <t>03.06.2026</t>
        </is>
      </c>
      <c r="BN97" s="245" t="inlineStr">
        <is>
          <t>Purely Plant GmbH (in-house)</t>
        </is>
      </c>
      <c r="BO97" s="245" t="inlineStr">
        <is>
          <t>7 × 10²</t>
        </is>
      </c>
      <c r="BP97" s="245" t="inlineStr">
        <is>
          <t>iCoA-PP_26-005</t>
        </is>
      </c>
      <c r="BQ97" s="245" t="inlineStr">
        <is>
          <t>03.06.2026</t>
        </is>
      </c>
      <c r="BR97" s="245" t="inlineStr">
        <is>
          <t>Purely Plant GmbH (in-house)</t>
        </is>
      </c>
      <c r="BS97" s="245" t="inlineStr">
        <is>
          <t>&lt; 10</t>
        </is>
      </c>
      <c r="BT97" s="245" t="inlineStr">
        <is>
          <t>iCoA-PP_26-005</t>
        </is>
      </c>
      <c r="BU97" s="245" t="inlineStr">
        <is>
          <t>03.06.2026</t>
        </is>
      </c>
      <c r="BV97" s="245" t="inlineStr">
        <is>
          <t>Purely Plant GmbH (in-house)</t>
        </is>
      </c>
      <c r="BW97" s="245" t="inlineStr">
        <is>
          <t>Absent | Отсутна</t>
        </is>
      </c>
      <c r="BX97" s="245" t="inlineStr">
        <is>
          <t>iCoA-PP_26-005</t>
        </is>
      </c>
      <c r="BY97" s="245" t="inlineStr">
        <is>
          <t>03.06.2026</t>
        </is>
      </c>
      <c r="BZ97" s="245" t="inlineStr">
        <is>
          <t>Purely Plant GmbH (in-house)</t>
        </is>
      </c>
      <c r="CA97" s="245" t="inlineStr">
        <is>
          <t>Absent | Отсутна</t>
        </is>
      </c>
      <c r="CB97" s="245" t="inlineStr">
        <is>
          <t>iCoA-PP_26-005</t>
        </is>
      </c>
      <c r="CC97" s="245" t="inlineStr">
        <is>
          <t>03.06.2026</t>
        </is>
      </c>
      <c r="CD97" s="245" t="inlineStr">
        <is>
          <t>Purely Plant GmbH (in-house)</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197-13-М/26</t>
        </is>
      </c>
      <c r="CO97" s="245" t="inlineStr">
        <is>
          <t>10.08.2026</t>
        </is>
      </c>
      <c r="CP97" s="245" t="inlineStr">
        <is>
          <t>Farmahem</t>
        </is>
      </c>
      <c r="CQ97" s="245" t="inlineStr">
        <is>
          <t>ND</t>
        </is>
      </c>
      <c r="CR97" s="245" t="inlineStr">
        <is>
          <t>197-13-М/26</t>
        </is>
      </c>
      <c r="CS97" s="245" t="inlineStr">
        <is>
          <t>10.08.2026</t>
        </is>
      </c>
      <c r="CT97" s="245" t="inlineStr">
        <is>
          <t>Farmahem</t>
        </is>
      </c>
      <c r="CU97" s="245" t="inlineStr">
        <is>
          <t>&lt; LOQ</t>
        </is>
      </c>
      <c r="CV97" s="245" t="inlineStr">
        <is>
          <t>197-13-М/26</t>
        </is>
      </c>
      <c r="CW97" s="245" t="inlineStr">
        <is>
          <t>10.08.2026</t>
        </is>
      </c>
      <c r="CX97" s="245" t="inlineStr">
        <is>
          <t>Farmahem</t>
        </is>
      </c>
      <c r="CY97" s="245" t="inlineStr">
        <is>
          <t>0.02</t>
        </is>
      </c>
      <c r="CZ97" s="245" t="inlineStr">
        <is>
          <t>iCoA-PP_26-005</t>
        </is>
      </c>
      <c r="DA97" s="245" t="inlineStr">
        <is>
          <t>03.06.2026</t>
        </is>
      </c>
      <c r="DB97" s="245" t="inlineStr">
        <is>
          <t>Purely Plant GmbH (in-house)</t>
        </is>
      </c>
      <c r="DC97" s="245" t="inlineStr">
        <is>
          <t>0.013</t>
        </is>
      </c>
      <c r="DD97" s="245" t="inlineStr">
        <is>
          <t>iCoA-PP_26-005</t>
        </is>
      </c>
      <c r="DE97" s="245" t="inlineStr">
        <is>
          <t>03.06.2026</t>
        </is>
      </c>
      <c r="DF97" s="245" t="inlineStr">
        <is>
          <t>Purely Plant GmbH (in-house)</t>
        </is>
      </c>
      <c r="DG97" s="245" t="inlineStr">
        <is>
          <t>0.017</t>
        </is>
      </c>
      <c r="DH97" s="245" t="inlineStr">
        <is>
          <t>iCoA-PP_26-005</t>
        </is>
      </c>
      <c r="DI97" s="245" t="inlineStr">
        <is>
          <t>03.06.2026</t>
        </is>
      </c>
      <c r="DJ97" s="245" t="inlineStr">
        <is>
          <t>Purely Plant GmbH (in-house)</t>
        </is>
      </c>
      <c r="DK97" s="245" t="inlineStr">
        <is>
          <t>0.0026</t>
        </is>
      </c>
      <c r="DL97" s="245" t="inlineStr">
        <is>
          <t>iCoA-PP_26-005</t>
        </is>
      </c>
      <c r="DM97" s="245" t="inlineStr">
        <is>
          <t>03.06.2026</t>
        </is>
      </c>
      <c r="DN97" s="245" t="inlineStr">
        <is>
          <t>Purely Plant GmbH (in-house)</t>
        </is>
      </c>
      <c r="DO97" s="245" t="inlineStr">
        <is>
          <t>ND</t>
        </is>
      </c>
      <c r="DP97" s="245" t="inlineStr">
        <is>
          <t>iCoA-PP_26-005</t>
        </is>
      </c>
      <c r="DQ97" s="245" t="inlineStr">
        <is>
          <t>03.06.2026</t>
        </is>
      </c>
      <c r="DR97" s="245" t="inlineStr">
        <is>
          <t>Purely Plant GmbH (in-house)</t>
        </is>
      </c>
    </row>
    <row r="98">
      <c r="A98" s="245" t="inlineStr">
        <is>
          <t>CoQ-PP_26-097</t>
        </is>
      </c>
      <c r="B98" s="245" t="inlineStr">
        <is>
          <t>reissue — 12-month retest</t>
        </is>
      </c>
      <c r="C98" s="245" t="inlineStr">
        <is>
          <t>issuable</t>
        </is>
      </c>
      <c r="D98" s="245" t="inlineStr">
        <is>
          <t>17.08.2026</t>
        </is>
      </c>
      <c r="E98" s="245" t="inlineStr">
        <is>
          <t>CoQ-PP_26-011 of 06.06.2026</t>
        </is>
      </c>
      <c r="F98" s="245" t="inlineStr">
        <is>
          <t>CoQ-PP-2026-0034</t>
        </is>
      </c>
      <c r="G98" s="245" t="inlineStr">
        <is>
          <t>HPA1024_01</t>
        </is>
      </c>
      <c r="H98" s="245" t="inlineStr">
        <is>
          <t>P050052</t>
        </is>
      </c>
      <c r="I98" s="245" t="inlineStr">
        <is>
          <t>High Pro Amnesia</t>
        </is>
      </c>
      <c r="J98" s="245" t="inlineStr">
        <is>
          <t>27.05.2025 – 28.05.2025</t>
        </is>
      </c>
      <c r="K98" s="245" t="inlineStr">
        <is>
          <t>27.06.2025 – 04.07.2025</t>
        </is>
      </c>
      <c r="L98" s="245" t="inlineStr">
        <is>
          <t>27.05.2025</t>
        </is>
      </c>
      <c r="M98" s="245" t="inlineStr">
        <is>
          <t>27.06.2025</t>
        </is>
      </c>
      <c r="N98" s="245" t="inlineStr">
        <is>
          <t>iCoA-PP_26-111</t>
        </is>
      </c>
      <c r="O98" s="245" t="inlineStr">
        <is>
          <t>27.07.2026</t>
        </is>
      </c>
      <c r="P98" s="245" t="inlineStr">
        <is>
          <t>23.07.2026</t>
        </is>
      </c>
      <c r="Q98" s="245" t="inlineStr">
        <is>
          <t>Tranche 1</t>
        </is>
      </c>
      <c r="R98" s="245" t="inlineStr">
        <is>
          <t>21.61</t>
        </is>
      </c>
      <c r="S98" s="245" t="inlineStr">
        <is>
          <t>197-14-К/26</t>
        </is>
      </c>
      <c r="T98" s="245" t="inlineStr">
        <is>
          <t>I</t>
        </is>
      </c>
      <c r="U98" s="245" t="inlineStr">
        <is>
          <t>19.80 – 24.19 %</t>
        </is>
      </c>
      <c r="V98" s="245" t="inlineStr">
        <is>
          <t>HPA_THC22 : CBD1</t>
        </is>
      </c>
      <c r="W98" s="245" t="inlineStr">
        <is>
          <t>QCSP_001_HPA-I_v.01</t>
        </is>
      </c>
      <c r="X98" s="245" t="inlineStr">
        <is>
          <t>for review — replaces the issued QCSP_001_HPA-I_v.01 (was HPA_THC22 : CBD1, 21.00 – 23.00 %); now HPA_THC22 : CBD1 19.80 – 24.19 %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5" t="inlineStr">
        <is>
          <t>Conforms | Одговара</t>
        </is>
      </c>
      <c r="AF98" s="245" t="inlineStr">
        <is>
          <t>iCoA-PP_26-111</t>
        </is>
      </c>
      <c r="AG98" s="245" t="inlineStr">
        <is>
          <t>27.07.2026</t>
        </is>
      </c>
      <c r="AH98" s="245" t="inlineStr">
        <is>
          <t>Purely Plant GmbH (in-house)</t>
        </is>
      </c>
      <c r="AI98" s="245" t="inlineStr">
        <is>
          <t>Conforms | Одговара</t>
        </is>
      </c>
      <c r="AJ98" s="245" t="inlineStr">
        <is>
          <t>iCoA-PP_26-111</t>
        </is>
      </c>
      <c r="AK98" s="245" t="inlineStr">
        <is>
          <t>27.07.2026</t>
        </is>
      </c>
      <c r="AL98" s="245" t="inlineStr">
        <is>
          <t>Purely Plant GmbH (in-house)</t>
        </is>
      </c>
      <c r="AM98" s="245" t="inlineStr">
        <is>
          <t>Conforms | Одговара</t>
        </is>
      </c>
      <c r="AN98" s="245" t="inlineStr">
        <is>
          <t>197-14-К/26</t>
        </is>
      </c>
      <c r="AO98" s="245" t="inlineStr">
        <is>
          <t>07.08.2026</t>
        </is>
      </c>
      <c r="AP98" s="245" t="inlineStr">
        <is>
          <t>Farmahem</t>
        </is>
      </c>
      <c r="AQ98" s="245" t="inlineStr">
        <is>
          <t>21.61</t>
        </is>
      </c>
      <c r="AR98" s="245" t="inlineStr">
        <is>
          <t>197-14-К/26</t>
        </is>
      </c>
      <c r="AS98" s="245" t="inlineStr">
        <is>
          <t>07.08.2026</t>
        </is>
      </c>
      <c r="AT98" s="245" t="inlineStr">
        <is>
          <t>Farmahem</t>
        </is>
      </c>
      <c r="AU98" s="245" t="inlineStr">
        <is>
          <t>&lt; LOQ</t>
        </is>
      </c>
      <c r="AV98" s="245" t="inlineStr">
        <is>
          <t>197-14-К/26</t>
        </is>
      </c>
      <c r="AW98" s="245" t="inlineStr">
        <is>
          <t>07.08.2026</t>
        </is>
      </c>
      <c r="AX98" s="245" t="inlineStr">
        <is>
          <t>Farmahem</t>
        </is>
      </c>
      <c r="AY98" s="245" t="inlineStr">
        <is>
          <t>&lt; LOQ</t>
        </is>
      </c>
      <c r="AZ98" s="245" t="inlineStr">
        <is>
          <t>197-14-К/26</t>
        </is>
      </c>
      <c r="BA98" s="245" t="inlineStr">
        <is>
          <t>07.08.2026</t>
        </is>
      </c>
      <c r="BB98" s="245" t="inlineStr">
        <is>
          <t>Farmahem</t>
        </is>
      </c>
      <c r="BC98" s="245" t="inlineStr">
        <is>
          <t>Conforms | Одговара</t>
        </is>
      </c>
      <c r="BD98" s="245" t="inlineStr">
        <is>
          <t>iCoA-PP_26-111</t>
        </is>
      </c>
      <c r="BE98" s="245" t="inlineStr">
        <is>
          <t>27.07.2026</t>
        </is>
      </c>
      <c r="BF98" s="245" t="inlineStr">
        <is>
          <t>Purely Plant GmbH (in-house)</t>
        </is>
      </c>
      <c r="BG98" s="245" t="inlineStr">
        <is>
          <t>6.36</t>
        </is>
      </c>
      <c r="BH98" s="245" t="inlineStr">
        <is>
          <t>ППК25155</t>
        </is>
      </c>
      <c r="BI98" s="245" t="inlineStr">
        <is>
          <t>24.06.2025</t>
        </is>
      </c>
      <c r="BJ98" s="245" t="inlineStr">
        <is>
          <t>UKIM Faculty of Pharmacy — Center for Natural Products</t>
        </is>
      </c>
      <c r="BK98" s="245" t="inlineStr">
        <is>
          <t>9.6 × 10³</t>
        </is>
      </c>
      <c r="BL98" s="245" t="inlineStr">
        <is>
          <t>587/1066/25</t>
        </is>
      </c>
      <c r="BM98" s="245" t="inlineStr">
        <is>
          <t>18.06.2025</t>
        </is>
      </c>
      <c r="BN98" s="245" t="inlineStr">
        <is>
          <t>IPH — Institute of Public Health</t>
        </is>
      </c>
      <c r="BO98" s="245" t="inlineStr">
        <is>
          <t>1.5 × 10⁴</t>
        </is>
      </c>
      <c r="BP98" s="245" t="inlineStr">
        <is>
          <t>587/1066/25</t>
        </is>
      </c>
      <c r="BQ98" s="245" t="inlineStr">
        <is>
          <t>18.06.2025</t>
        </is>
      </c>
      <c r="BR98" s="245" t="inlineStr">
        <is>
          <t>IPH — Institute of Public Health</t>
        </is>
      </c>
      <c r="BS98" s="245" t="inlineStr">
        <is>
          <t>&lt; 10</t>
        </is>
      </c>
      <c r="BT98" s="245" t="inlineStr">
        <is>
          <t>587/1066/25</t>
        </is>
      </c>
      <c r="BU98" s="245" t="inlineStr">
        <is>
          <t>18.06.2025</t>
        </is>
      </c>
      <c r="BV98" s="245" t="inlineStr">
        <is>
          <t>IPH — Institute of Public Health</t>
        </is>
      </c>
      <c r="BW98" s="245" t="inlineStr">
        <is>
          <t>Absent | Отсутна</t>
        </is>
      </c>
      <c r="BX98" s="245" t="inlineStr">
        <is>
          <t>587/1066/25</t>
        </is>
      </c>
      <c r="BY98" s="245" t="inlineStr">
        <is>
          <t>18.06.2025</t>
        </is>
      </c>
      <c r="BZ98" s="245" t="inlineStr">
        <is>
          <t>IPH — Institute of Public Health</t>
        </is>
      </c>
      <c r="CA98" s="245" t="inlineStr">
        <is>
          <t>Absent | Отсутна</t>
        </is>
      </c>
      <c r="CB98" s="245" t="inlineStr">
        <is>
          <t>587/1066/25</t>
        </is>
      </c>
      <c r="CC98" s="245" t="inlineStr">
        <is>
          <t>18.06.2025</t>
        </is>
      </c>
      <c r="CD98" s="245" t="inlineStr">
        <is>
          <t>IPH — Institute of Public Health</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197-14-М/26</t>
        </is>
      </c>
      <c r="CO98" s="245" t="inlineStr">
        <is>
          <t>10.08.2026</t>
        </is>
      </c>
      <c r="CP98" s="245" t="inlineStr">
        <is>
          <t>Farmahem</t>
        </is>
      </c>
      <c r="CQ98" s="245" t="inlineStr">
        <is>
          <t>ND</t>
        </is>
      </c>
      <c r="CR98" s="245" t="inlineStr">
        <is>
          <t>197-14-М/26</t>
        </is>
      </c>
      <c r="CS98" s="245" t="inlineStr">
        <is>
          <t>10.08.2026</t>
        </is>
      </c>
      <c r="CT98" s="245" t="inlineStr">
        <is>
          <t>Farmahem</t>
        </is>
      </c>
      <c r="CU98" s="245" t="inlineStr">
        <is>
          <t>2.06 — DETECTED, &gt;LOQ</t>
        </is>
      </c>
      <c r="CV98" s="245" t="inlineStr">
        <is>
          <t>197-14-М/26</t>
        </is>
      </c>
      <c r="CW98" s="245" t="inlineStr">
        <is>
          <t>10.08.2026</t>
        </is>
      </c>
      <c r="CX98" s="245" t="inlineStr">
        <is>
          <t>Farmahem</t>
        </is>
      </c>
      <c r="CY98" s="245" t="inlineStr">
        <is>
          <t>0.059</t>
        </is>
      </c>
      <c r="CZ98" s="245" t="inlineStr">
        <is>
          <t>2995/2025</t>
        </is>
      </c>
      <c r="DA98" s="245" t="inlineStr">
        <is>
          <t>19.06.2025</t>
        </is>
      </c>
      <c r="DB98" s="245" t="inlineStr">
        <is>
          <t>IPH — Institute of Public Health</t>
        </is>
      </c>
      <c r="DC98" s="245" t="inlineStr">
        <is>
          <t>0.014</t>
        </is>
      </c>
      <c r="DD98" s="245" t="inlineStr">
        <is>
          <t>2995/2025</t>
        </is>
      </c>
      <c r="DE98" s="245" t="inlineStr">
        <is>
          <t>19.06.2025</t>
        </is>
      </c>
      <c r="DF98" s="245" t="inlineStr">
        <is>
          <t>IPH — Institute of Public Health</t>
        </is>
      </c>
      <c r="DG98" s="245" t="inlineStr">
        <is>
          <t>0.037</t>
        </is>
      </c>
      <c r="DH98" s="245" t="inlineStr">
        <is>
          <t>2995/2025</t>
        </is>
      </c>
      <c r="DI98" s="245" t="inlineStr">
        <is>
          <t>19.06.2025</t>
        </is>
      </c>
      <c r="DJ98" s="245" t="inlineStr">
        <is>
          <t>IPH — Institute of Public Health</t>
        </is>
      </c>
      <c r="DK98" s="245" t="inlineStr">
        <is>
          <t>0.008</t>
        </is>
      </c>
      <c r="DL98" s="245" t="inlineStr">
        <is>
          <t>2995/2025</t>
        </is>
      </c>
      <c r="DM98" s="245" t="inlineStr">
        <is>
          <t>19.06.2025</t>
        </is>
      </c>
      <c r="DN98" s="245" t="inlineStr">
        <is>
          <t>IPH — Institute of Public Health</t>
        </is>
      </c>
      <c r="DO98" s="245" t="inlineStr">
        <is>
          <t>ND</t>
        </is>
      </c>
      <c r="DP98" s="245" t="inlineStr">
        <is>
          <t>2995/2025</t>
        </is>
      </c>
      <c r="DQ98" s="245" t="inlineStr">
        <is>
          <t>19.06.2025</t>
        </is>
      </c>
      <c r="DR98" s="245" t="inlineStr">
        <is>
          <t>IPH — Institute of Public Health</t>
        </is>
      </c>
    </row>
    <row r="99">
      <c r="A99" s="245" t="inlineStr">
        <is>
          <t>CoQ-PP_26-098</t>
        </is>
      </c>
      <c r="B99" s="245" t="inlineStr">
        <is>
          <t>reissue — 12-month retest</t>
        </is>
      </c>
      <c r="C99" s="245" t="inlineStr">
        <is>
          <t>issuable</t>
        </is>
      </c>
      <c r="D99" s="245" t="inlineStr">
        <is>
          <t>17.08.2026</t>
        </is>
      </c>
      <c r="E99" s="245" t="inlineStr">
        <is>
          <t>CoQ-PP_26-051 of 06.06.2026</t>
        </is>
      </c>
      <c r="F99" s="245" t="inlineStr">
        <is>
          <t>(assigned on issue)</t>
        </is>
      </c>
      <c r="G99" s="245" t="inlineStr">
        <is>
          <t>J31102501</t>
        </is>
      </c>
      <c r="H99" s="245" t="inlineStr">
        <is>
          <t>P060152</t>
        </is>
      </c>
      <c r="I99" s="245" t="inlineStr">
        <is>
          <t>Jokerz 31</t>
        </is>
      </c>
      <c r="J99" s="245" t="inlineStr">
        <is>
          <t>21.01.2026</t>
        </is>
      </c>
      <c r="K99" s="245" t="inlineStr">
        <is>
          <t>05.03.2026</t>
        </is>
      </c>
      <c r="L99" s="245" t="inlineStr">
        <is>
          <t>21.01.2026</t>
        </is>
      </c>
      <c r="M99" s="245" t="inlineStr">
        <is>
          <t>05.03.2026</t>
        </is>
      </c>
      <c r="N99" s="245" t="inlineStr">
        <is>
          <t>iCoA-PP_26-112</t>
        </is>
      </c>
      <c r="O99" s="245" t="inlineStr">
        <is>
          <t>27.07.2026</t>
        </is>
      </c>
      <c r="P99" s="245" t="inlineStr">
        <is>
          <t>23.07.2026</t>
        </is>
      </c>
      <c r="Q99" s="245" t="inlineStr">
        <is>
          <t>Tranche 1</t>
        </is>
      </c>
      <c r="R99" s="245" t="inlineStr">
        <is>
          <t>17.32</t>
        </is>
      </c>
      <c r="S99" s="245" t="inlineStr">
        <is>
          <t>197-16-К/26</t>
        </is>
      </c>
      <c r="T99" s="245" t="inlineStr">
        <is>
          <t>III</t>
        </is>
      </c>
      <c r="U99" s="245" t="inlineStr">
        <is>
          <t>16.20 – 19.79 %</t>
        </is>
      </c>
      <c r="V99" s="245" t="inlineStr">
        <is>
          <t>J31_THC18 : CBD1</t>
        </is>
      </c>
      <c r="W99" s="245" t="inlineStr">
        <is>
          <t>QCSP_001_J31-III_v.01</t>
        </is>
      </c>
      <c r="X99" s="245" t="inlineStr">
        <is>
          <t>for review — new</t>
        </is>
      </c>
      <c r="Y99" s="245" t="inlineStr">
        <is>
          <t>HYBRID</t>
        </is>
      </c>
      <c r="Z99" s="245" t="inlineStr">
        <is>
          <t>THC</t>
        </is>
      </c>
      <c r="AA99" s="245" t="inlineStr">
        <is>
          <t>MACHINE TRIMMED</t>
        </is>
      </c>
      <c r="AB99" s="245" t="inlineStr">
        <is>
          <t>INDICA 70 : SATIVA 30</t>
        </is>
      </c>
      <c r="AC99" s="245" t="inlineStr">
        <is>
          <t>Triplex Alu Bag | Триплекс Aлу Kеса, PET 12 · ALU 7 · PE 80, 300 × 500 mm, net. 400.0 g ±3%</t>
        </is>
      </c>
      <c r="AD99" s="245" t="inlineStr">
        <is>
          <t>10.08.2026</t>
        </is>
      </c>
      <c r="AE99" s="245" t="inlineStr">
        <is>
          <t>Conforms | Одговара</t>
        </is>
      </c>
      <c r="AF99" s="245" t="inlineStr">
        <is>
          <t>iCoA-PP_26-112</t>
        </is>
      </c>
      <c r="AG99" s="245" t="inlineStr">
        <is>
          <t>27.07.2026</t>
        </is>
      </c>
      <c r="AH99" s="245" t="inlineStr">
        <is>
          <t>Purely Plant GmbH (in-house)</t>
        </is>
      </c>
      <c r="AI99" s="245" t="inlineStr">
        <is>
          <t>Conforms | Одговара</t>
        </is>
      </c>
      <c r="AJ99" s="245" t="inlineStr">
        <is>
          <t>iCoA-PP_26-112</t>
        </is>
      </c>
      <c r="AK99" s="245" t="inlineStr">
        <is>
          <t>27.07.2026</t>
        </is>
      </c>
      <c r="AL99" s="245" t="inlineStr">
        <is>
          <t>Purely Plant GmbH (in-house)</t>
        </is>
      </c>
      <c r="AM99" s="245" t="inlineStr">
        <is>
          <t>Conforms | Одговара</t>
        </is>
      </c>
      <c r="AN99" s="245" t="inlineStr">
        <is>
          <t>197-16-К/26</t>
        </is>
      </c>
      <c r="AO99" s="245" t="inlineStr">
        <is>
          <t>07.08.2026</t>
        </is>
      </c>
      <c r="AP99" s="245" t="inlineStr">
        <is>
          <t>Farmahem</t>
        </is>
      </c>
      <c r="AQ99" s="245" t="inlineStr">
        <is>
          <t>17.32</t>
        </is>
      </c>
      <c r="AR99" s="245" t="inlineStr">
        <is>
          <t>197-16-К/26</t>
        </is>
      </c>
      <c r="AS99" s="245" t="inlineStr">
        <is>
          <t>07.08.2026</t>
        </is>
      </c>
      <c r="AT99" s="245" t="inlineStr">
        <is>
          <t>Farmahem</t>
        </is>
      </c>
      <c r="AU99" s="245" t="inlineStr">
        <is>
          <t>&lt; LOQ</t>
        </is>
      </c>
      <c r="AV99" s="245" t="inlineStr">
        <is>
          <t>197-16-К/26</t>
        </is>
      </c>
      <c r="AW99" s="245" t="inlineStr">
        <is>
          <t>07.08.2026</t>
        </is>
      </c>
      <c r="AX99" s="245" t="inlineStr">
        <is>
          <t>Farmahem</t>
        </is>
      </c>
      <c r="AY99" s="245" t="inlineStr">
        <is>
          <t>&lt; LOQ</t>
        </is>
      </c>
      <c r="AZ99" s="245" t="inlineStr">
        <is>
          <t>197-16-К/26</t>
        </is>
      </c>
      <c r="BA99" s="245" t="inlineStr">
        <is>
          <t>07.08.2026</t>
        </is>
      </c>
      <c r="BB99" s="245" t="inlineStr">
        <is>
          <t>Farmahem</t>
        </is>
      </c>
      <c r="BC99" s="245" t="inlineStr">
        <is>
          <t>Conforms | Одговара</t>
        </is>
      </c>
      <c r="BD99" s="245" t="inlineStr">
        <is>
          <t>iCoA-PP_26-112</t>
        </is>
      </c>
      <c r="BE99" s="245" t="inlineStr">
        <is>
          <t>27.07.2026</t>
        </is>
      </c>
      <c r="BF99" s="245" t="inlineStr">
        <is>
          <t>Purely Plant GmbH (in-house)</t>
        </is>
      </c>
      <c r="BG99" s="245" t="inlineStr">
        <is>
          <t>6.3</t>
        </is>
      </c>
      <c r="BH99" s="245" t="inlineStr">
        <is>
          <t>051-1-ГС/26</t>
        </is>
      </c>
      <c r="BI99" s="245" t="inlineStr">
        <is>
          <t>02.03.2026</t>
        </is>
      </c>
      <c r="BJ99" s="245" t="inlineStr">
        <is>
          <t>Farmahem</t>
        </is>
      </c>
      <c r="BK99" s="245" t="inlineStr">
        <is>
          <t>1.6 × 10²</t>
        </is>
      </c>
      <c r="BL99" s="245" t="inlineStr">
        <is>
          <t>133/0230/26</t>
        </is>
      </c>
      <c r="BM99" s="245" t="inlineStr">
        <is>
          <t>06.03.2026</t>
        </is>
      </c>
      <c r="BN99" s="245" t="inlineStr">
        <is>
          <t>IPH — Institute of Public Health</t>
        </is>
      </c>
      <c r="BO99" s="245" t="inlineStr">
        <is>
          <t>1.9 × 10²</t>
        </is>
      </c>
      <c r="BP99" s="245" t="inlineStr">
        <is>
          <t>133/0230/26</t>
        </is>
      </c>
      <c r="BQ99" s="245" t="inlineStr">
        <is>
          <t>06.03.2026</t>
        </is>
      </c>
      <c r="BR99" s="245" t="inlineStr">
        <is>
          <t>IPH — Institute of Public Health</t>
        </is>
      </c>
      <c r="BS99" s="245" t="inlineStr">
        <is>
          <t>&lt; 10</t>
        </is>
      </c>
      <c r="BT99" s="245" t="inlineStr">
        <is>
          <t>133/0230/26</t>
        </is>
      </c>
      <c r="BU99" s="245" t="inlineStr">
        <is>
          <t>06.03.2026</t>
        </is>
      </c>
      <c r="BV99" s="245" t="inlineStr">
        <is>
          <t>IPH — Institute of Public Health</t>
        </is>
      </c>
      <c r="BW99" s="245" t="inlineStr">
        <is>
          <t>Absent | Отсутна</t>
        </is>
      </c>
      <c r="BX99" s="245" t="inlineStr">
        <is>
          <t>133/0230/26</t>
        </is>
      </c>
      <c r="BY99" s="245" t="inlineStr">
        <is>
          <t>06.03.2026</t>
        </is>
      </c>
      <c r="BZ99" s="245" t="inlineStr">
        <is>
          <t>IPH — Institute of Public Health</t>
        </is>
      </c>
      <c r="CA99" s="245" t="inlineStr">
        <is>
          <t>Absent | Отсутна</t>
        </is>
      </c>
      <c r="CB99" s="245" t="inlineStr">
        <is>
          <t>133/0230/26</t>
        </is>
      </c>
      <c r="CC99" s="245" t="inlineStr">
        <is>
          <t>06.03.2026</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197-16-М/26</t>
        </is>
      </c>
      <c r="CO99" s="245" t="inlineStr">
        <is>
          <t>10.08.2026</t>
        </is>
      </c>
      <c r="CP99" s="245" t="inlineStr">
        <is>
          <t>Farmahem</t>
        </is>
      </c>
      <c r="CQ99" s="245" t="inlineStr">
        <is>
          <t>ND</t>
        </is>
      </c>
      <c r="CR99" s="245" t="inlineStr">
        <is>
          <t>197-16-М/26</t>
        </is>
      </c>
      <c r="CS99" s="245" t="inlineStr">
        <is>
          <t>10.08.2026</t>
        </is>
      </c>
      <c r="CT99" s="245" t="inlineStr">
        <is>
          <t>Farmahem</t>
        </is>
      </c>
      <c r="CU99" s="245" t="inlineStr">
        <is>
          <t>ND</t>
        </is>
      </c>
      <c r="CV99" s="245" t="inlineStr">
        <is>
          <t>197-16-М/26</t>
        </is>
      </c>
      <c r="CW99" s="245" t="inlineStr">
        <is>
          <t>10.08.2026</t>
        </is>
      </c>
      <c r="CX99" s="245" t="inlineStr">
        <is>
          <t>Farmahem</t>
        </is>
      </c>
      <c r="CY99" s="245" t="inlineStr">
        <is>
          <t>0.061</t>
        </is>
      </c>
      <c r="CZ99" s="245" t="inlineStr">
        <is>
          <t>1056/2026</t>
        </is>
      </c>
      <c r="DA99" s="245" t="inlineStr">
        <is>
          <t>09.03.2026</t>
        </is>
      </c>
      <c r="DB99" s="245" t="inlineStr">
        <is>
          <t>IPH — Institute of Public Health</t>
        </is>
      </c>
      <c r="DC99" s="245" t="inlineStr">
        <is>
          <t>ND</t>
        </is>
      </c>
      <c r="DD99" s="245" t="inlineStr">
        <is>
          <t>1056/2026</t>
        </is>
      </c>
      <c r="DE99" s="245" t="inlineStr">
        <is>
          <t>09.03.2026</t>
        </is>
      </c>
      <c r="DF99" s="245" t="inlineStr">
        <is>
          <t>IPH — Institute of Public Health</t>
        </is>
      </c>
      <c r="DG99" s="245" t="inlineStr">
        <is>
          <t>ND</t>
        </is>
      </c>
      <c r="DH99" s="245" t="inlineStr">
        <is>
          <t>1056/2026</t>
        </is>
      </c>
      <c r="DI99" s="245" t="inlineStr">
        <is>
          <t>09.03.2026</t>
        </is>
      </c>
      <c r="DJ99" s="245" t="inlineStr">
        <is>
          <t>IPH — Institute of Public Health</t>
        </is>
      </c>
      <c r="DK99" s="245" t="inlineStr">
        <is>
          <t>ND</t>
        </is>
      </c>
      <c r="DL99" s="245" t="inlineStr">
        <is>
          <t>1056/2026</t>
        </is>
      </c>
      <c r="DM99" s="245" t="inlineStr">
        <is>
          <t>09.03.2026</t>
        </is>
      </c>
      <c r="DN99" s="245" t="inlineStr">
        <is>
          <t>IPH — Institute of Public Health</t>
        </is>
      </c>
      <c r="DO99" s="245" t="inlineStr">
        <is>
          <t>ND mg/kg — all 25 residues</t>
        </is>
      </c>
      <c r="DP99" s="245" t="inlineStr">
        <is>
          <t>1056/2026</t>
        </is>
      </c>
      <c r="DQ99" s="245" t="inlineStr">
        <is>
          <t>09.03.2026</t>
        </is>
      </c>
      <c r="DR99" s="245" t="inlineStr">
        <is>
          <t>IJZ</t>
        </is>
      </c>
    </row>
    <row r="100">
      <c r="A100" s="245" t="inlineStr">
        <is>
          <t>CoQ-PP_26-099</t>
        </is>
      </c>
      <c r="B100" s="245" t="inlineStr">
        <is>
          <t>reissue — 12-month retest</t>
        </is>
      </c>
      <c r="C100" s="245" t="inlineStr">
        <is>
          <t>issuable</t>
        </is>
      </c>
      <c r="D100" s="245" t="inlineStr">
        <is>
          <t>17.08.2026</t>
        </is>
      </c>
      <c r="E100" s="245" t="inlineStr">
        <is>
          <t>CoQ-PP_26-057 of 06.06.2026</t>
        </is>
      </c>
      <c r="F100" s="245" t="inlineStr">
        <is>
          <t>(assigned on issue)</t>
        </is>
      </c>
      <c r="G100" s="245" t="inlineStr">
        <is>
          <t>JD112501</t>
        </is>
      </c>
      <c r="H100" s="245" t="inlineStr">
        <is>
          <t>P060212</t>
        </is>
      </c>
      <c r="I100" s="245" t="inlineStr">
        <is>
          <t>Jelly Donuts</t>
        </is>
      </c>
      <c r="J100" s="245" t="inlineStr">
        <is>
          <t>25.03.2026</t>
        </is>
      </c>
      <c r="K100" s="245" t="inlineStr">
        <is>
          <t>21.04.2026</t>
        </is>
      </c>
      <c r="L100" s="245" t="inlineStr">
        <is>
          <t>25.03.2026</t>
        </is>
      </c>
      <c r="M100" s="245" t="inlineStr">
        <is>
          <t>21.04.2026</t>
        </is>
      </c>
      <c r="N100" s="245" t="inlineStr">
        <is>
          <t>iCoA-PP_26-113</t>
        </is>
      </c>
      <c r="O100" s="245" t="inlineStr">
        <is>
          <t>27.07.2026</t>
        </is>
      </c>
      <c r="P100" s="245" t="inlineStr">
        <is>
          <t>23.07.2026</t>
        </is>
      </c>
      <c r="Q100" s="245" t="inlineStr">
        <is>
          <t>Tranche 1</t>
        </is>
      </c>
      <c r="R100" s="245" t="inlineStr">
        <is>
          <t>20.32</t>
        </is>
      </c>
      <c r="S100" s="245" t="inlineStr">
        <is>
          <t>197-15-К/26</t>
        </is>
      </c>
      <c r="T100" s="245" t="inlineStr">
        <is>
          <t>I</t>
        </is>
      </c>
      <c r="U100" s="245" t="inlineStr">
        <is>
          <t>19.80 – 24.19 %</t>
        </is>
      </c>
      <c r="V100" s="245" t="inlineStr">
        <is>
          <t>JD_THC22 : CBD1</t>
        </is>
      </c>
      <c r="W100" s="245" t="inlineStr">
        <is>
          <t>QCSP_001_JD-I_v.01</t>
        </is>
      </c>
      <c r="X100" s="245" t="inlineStr">
        <is>
          <t>for review — replaces the issued QCSP_001_JD-I_v.01 (was JD_THC20 : CBD1, 18.00 – 22.00 %); now JD_THC22 : CBD1 19.80 – 24.19 %</t>
        </is>
      </c>
      <c r="Y100" s="245" t="inlineStr">
        <is>
          <t>HYBRID</t>
        </is>
      </c>
      <c r="Z100" s="245" t="inlineStr">
        <is>
          <t>THC</t>
        </is>
      </c>
      <c r="AA100" s="245" t="inlineStr">
        <is>
          <t>MACHINE TRIMMED</t>
        </is>
      </c>
      <c r="AB100" s="245" t="inlineStr">
        <is>
          <t>SATIVA 60 : INDICA 40</t>
        </is>
      </c>
      <c r="AC100" s="245" t="inlineStr">
        <is>
          <t>Triplex Alu Bag | Триплекс Aлу Kеса, PET 12 · ALU 7 · PE 80, 300 × 500 mm, net. 400.0 g ±3%</t>
        </is>
      </c>
      <c r="AD100" s="245" t="inlineStr">
        <is>
          <t>10.08.2026</t>
        </is>
      </c>
      <c r="AE100" s="245" t="inlineStr">
        <is>
          <t>Conforms | Одговара</t>
        </is>
      </c>
      <c r="AF100" s="245" t="inlineStr">
        <is>
          <t>iCoA-PP_26-113</t>
        </is>
      </c>
      <c r="AG100" s="245" t="inlineStr">
        <is>
          <t>27.07.2026</t>
        </is>
      </c>
      <c r="AH100" s="245" t="inlineStr">
        <is>
          <t>Purely Plant GmbH (in-house)</t>
        </is>
      </c>
      <c r="AI100" s="245" t="inlineStr">
        <is>
          <t>Conforms | Одговара</t>
        </is>
      </c>
      <c r="AJ100" s="245" t="inlineStr">
        <is>
          <t>iCoA-PP_26-113</t>
        </is>
      </c>
      <c r="AK100" s="245" t="inlineStr">
        <is>
          <t>27.07.2026</t>
        </is>
      </c>
      <c r="AL100" s="245" t="inlineStr">
        <is>
          <t>Purely Plant GmbH (in-house)</t>
        </is>
      </c>
      <c r="AM100" s="245" t="inlineStr">
        <is>
          <t>Conforms | Одговара</t>
        </is>
      </c>
      <c r="AN100" s="245" t="inlineStr">
        <is>
          <t>197-15-К/26</t>
        </is>
      </c>
      <c r="AO100" s="245" t="inlineStr">
        <is>
          <t>07.08.2026</t>
        </is>
      </c>
      <c r="AP100" s="245" t="inlineStr">
        <is>
          <t>Farmahem</t>
        </is>
      </c>
      <c r="AQ100" s="245" t="inlineStr">
        <is>
          <t>20.32</t>
        </is>
      </c>
      <c r="AR100" s="245" t="inlineStr">
        <is>
          <t>197-15-К/26</t>
        </is>
      </c>
      <c r="AS100" s="245" t="inlineStr">
        <is>
          <t>07.08.2026</t>
        </is>
      </c>
      <c r="AT100" s="245" t="inlineStr">
        <is>
          <t>Farmahem</t>
        </is>
      </c>
      <c r="AU100" s="245" t="inlineStr">
        <is>
          <t>&lt; LOQ</t>
        </is>
      </c>
      <c r="AV100" s="245" t="inlineStr">
        <is>
          <t>197-15-К/26</t>
        </is>
      </c>
      <c r="AW100" s="245" t="inlineStr">
        <is>
          <t>07.08.2026</t>
        </is>
      </c>
      <c r="AX100" s="245" t="inlineStr">
        <is>
          <t>Farmahem</t>
        </is>
      </c>
      <c r="AY100" s="245" t="inlineStr">
        <is>
          <t>&lt; LOQ</t>
        </is>
      </c>
      <c r="AZ100" s="245" t="inlineStr">
        <is>
          <t>197-15-К/26</t>
        </is>
      </c>
      <c r="BA100" s="245" t="inlineStr">
        <is>
          <t>07.08.2026</t>
        </is>
      </c>
      <c r="BB100" s="245" t="inlineStr">
        <is>
          <t>Farmahem</t>
        </is>
      </c>
      <c r="BC100" s="245" t="inlineStr">
        <is>
          <t>Conforms | Одговара</t>
        </is>
      </c>
      <c r="BD100" s="245" t="inlineStr">
        <is>
          <t>iCoA-PP_26-113</t>
        </is>
      </c>
      <c r="BE100" s="245" t="inlineStr">
        <is>
          <t>27.07.2026</t>
        </is>
      </c>
      <c r="BF100" s="245" t="inlineStr">
        <is>
          <t>Purely Plant GmbH (in-house)</t>
        </is>
      </c>
      <c r="BG100" s="245" t="inlineStr">
        <is>
          <t>6.69</t>
        </is>
      </c>
      <c r="BH100" s="245" t="inlineStr">
        <is>
          <t>ППК26063</t>
        </is>
      </c>
      <c r="BI100" s="245" t="inlineStr">
        <is>
          <t>11.05.2026</t>
        </is>
      </c>
      <c r="BJ100" s="245" t="inlineStr">
        <is>
          <t>UKIM Faculty of Pharmacy — Center for Natural Products</t>
        </is>
      </c>
      <c r="BK100" s="245" t="inlineStr">
        <is>
          <t>2,6 × 10³</t>
        </is>
      </c>
      <c r="BL100" s="245" t="inlineStr">
        <is>
          <t>307/0551/26</t>
        </is>
      </c>
      <c r="BM100" s="245" t="inlineStr">
        <is>
          <t>28.04.2026</t>
        </is>
      </c>
      <c r="BN100" s="245" t="inlineStr">
        <is>
          <t>IPH — Institute of Public Health</t>
        </is>
      </c>
      <c r="BO100" s="245" t="inlineStr">
        <is>
          <t>3,3 × 10³</t>
        </is>
      </c>
      <c r="BP100" s="245" t="inlineStr">
        <is>
          <t>307/0551/26</t>
        </is>
      </c>
      <c r="BQ100" s="245" t="inlineStr">
        <is>
          <t>28.04.2026</t>
        </is>
      </c>
      <c r="BR100" s="245" t="inlineStr">
        <is>
          <t>IPH — Institute of Public Health</t>
        </is>
      </c>
      <c r="BS100" s="245" t="inlineStr">
        <is>
          <t>&lt; 10³ and &gt; 10²</t>
        </is>
      </c>
      <c r="BT100" s="245" t="inlineStr">
        <is>
          <t>307/0551/26</t>
        </is>
      </c>
      <c r="BU100" s="245" t="inlineStr">
        <is>
          <t>28.04.2026</t>
        </is>
      </c>
      <c r="BV100" s="245" t="inlineStr">
        <is>
          <t>IPH — Institute of Public Health</t>
        </is>
      </c>
      <c r="BW100" s="245" t="inlineStr">
        <is>
          <t>Absent | Отсутна</t>
        </is>
      </c>
      <c r="BX100" s="245" t="inlineStr">
        <is>
          <t>307/0551/26</t>
        </is>
      </c>
      <c r="BY100" s="245" t="inlineStr">
        <is>
          <t>28.04.2026</t>
        </is>
      </c>
      <c r="BZ100" s="245" t="inlineStr">
        <is>
          <t>IPH — Institute of Public Health</t>
        </is>
      </c>
      <c r="CA100" s="245" t="inlineStr">
        <is>
          <t>Absent | Отсутна</t>
        </is>
      </c>
      <c r="CB100" s="245" t="inlineStr">
        <is>
          <t>307/0551/26</t>
        </is>
      </c>
      <c r="CC100" s="245" t="inlineStr">
        <is>
          <t>28.04.2026</t>
        </is>
      </c>
      <c r="CD100" s="245" t="inlineStr">
        <is>
          <t>IPH — Institute of Public Health</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197-15-М/26</t>
        </is>
      </c>
      <c r="CO100" s="245" t="inlineStr">
        <is>
          <t>10.08.2026</t>
        </is>
      </c>
      <c r="CP100" s="245" t="inlineStr">
        <is>
          <t>Farmahem</t>
        </is>
      </c>
      <c r="CQ100" s="245" t="inlineStr">
        <is>
          <t>ND</t>
        </is>
      </c>
      <c r="CR100" s="245" t="inlineStr">
        <is>
          <t>197-15-М/26</t>
        </is>
      </c>
      <c r="CS100" s="245" t="inlineStr">
        <is>
          <t>10.08.2026</t>
        </is>
      </c>
      <c r="CT100" s="245" t="inlineStr">
        <is>
          <t>Farmahem</t>
        </is>
      </c>
      <c r="CU100" s="245" t="inlineStr">
        <is>
          <t>ND</t>
        </is>
      </c>
      <c r="CV100" s="245" t="inlineStr">
        <is>
          <t>197-15-М/26</t>
        </is>
      </c>
      <c r="CW100" s="245" t="inlineStr">
        <is>
          <t>10.08.2026</t>
        </is>
      </c>
      <c r="CX100" s="245" t="inlineStr">
        <is>
          <t>Farmahem</t>
        </is>
      </c>
      <c r="CY100" s="245" t="inlineStr">
        <is>
          <t>0.022</t>
        </is>
      </c>
      <c r="CZ100" s="245" t="inlineStr">
        <is>
          <t>2361/2026</t>
        </is>
      </c>
      <c r="DA100" s="245" t="inlineStr">
        <is>
          <t>30.04.2026</t>
        </is>
      </c>
      <c r="DB100" s="245" t="inlineStr">
        <is>
          <t>IPH — Institute of Public Health</t>
        </is>
      </c>
      <c r="DC100" s="245" t="inlineStr">
        <is>
          <t>0.0149</t>
        </is>
      </c>
      <c r="DD100" s="245" t="inlineStr">
        <is>
          <t>2361/2026</t>
        </is>
      </c>
      <c r="DE100" s="245" t="inlineStr">
        <is>
          <t>30.04.2026</t>
        </is>
      </c>
      <c r="DF100" s="245" t="inlineStr">
        <is>
          <t>IPH — Institute of Public Health</t>
        </is>
      </c>
      <c r="DG100" s="245" t="inlineStr">
        <is>
          <t>0.02</t>
        </is>
      </c>
      <c r="DH100" s="245" t="inlineStr">
        <is>
          <t>2361/2026</t>
        </is>
      </c>
      <c r="DI100" s="245" t="inlineStr">
        <is>
          <t>30.04.2026</t>
        </is>
      </c>
      <c r="DJ100" s="245" t="inlineStr">
        <is>
          <t>IPH — Institute of Public Health</t>
        </is>
      </c>
      <c r="DK100" s="245" t="inlineStr">
        <is>
          <t>0.0166</t>
        </is>
      </c>
      <c r="DL100" s="245" t="inlineStr">
        <is>
          <t>2361/2026</t>
        </is>
      </c>
      <c r="DM100" s="245" t="inlineStr">
        <is>
          <t>30.04.2026</t>
        </is>
      </c>
      <c r="DN100" s="245" t="inlineStr">
        <is>
          <t>IPH — Institute of Public Health</t>
        </is>
      </c>
      <c r="DO100" s="245" t="inlineStr">
        <is>
          <t>ND</t>
        </is>
      </c>
      <c r="DP100" s="245" t="inlineStr">
        <is>
          <t>2361/2026</t>
        </is>
      </c>
      <c r="DQ100" s="245" t="inlineStr">
        <is>
          <t>30.04.2026</t>
        </is>
      </c>
      <c r="DR100" s="245" t="inlineStr">
        <is>
          <t>IPH — Institute of Public Health</t>
        </is>
      </c>
    </row>
    <row r="101">
      <c r="A101" s="245" t="inlineStr">
        <is>
          <t>CoQ-PP_26-100</t>
        </is>
      </c>
      <c r="B101" s="245" t="inlineStr">
        <is>
          <t>reissue — 12-month retest</t>
        </is>
      </c>
      <c r="C101" s="245" t="inlineStr">
        <is>
          <t>issuable</t>
        </is>
      </c>
      <c r="D101" s="245" t="inlineStr">
        <is>
          <t>17.08.2026</t>
        </is>
      </c>
      <c r="E101" s="245" t="inlineStr">
        <is>
          <t>CoQ-PP_26-006 of 06.06.2026</t>
        </is>
      </c>
      <c r="F101" s="245" t="inlineStr">
        <is>
          <t>CoQ-PP-2026-0031</t>
        </is>
      </c>
      <c r="G101" s="245" t="inlineStr">
        <is>
          <t>OPM1024</t>
        </is>
      </c>
      <c r="H101" s="245" t="inlineStr">
        <is>
          <t>OPM1024</t>
        </is>
      </c>
      <c r="I101" s="245" t="inlineStr">
        <is>
          <t>Orange Punch Mimosa</t>
        </is>
      </c>
      <c r="J101" s="245" t="inlineStr">
        <is>
          <t>21.01.2025</t>
        </is>
      </c>
      <c r="K101" s="245" t="inlineStr">
        <is>
          <t>24.04.2025 – 25.04.2025</t>
        </is>
      </c>
      <c r="L101" s="245" t="inlineStr">
        <is>
          <t>21.01.2025</t>
        </is>
      </c>
      <c r="M101" s="245" t="inlineStr">
        <is>
          <t>24.04.2025</t>
        </is>
      </c>
      <c r="N101" s="245" t="inlineStr">
        <is>
          <t>iCoA-PP_26-114</t>
        </is>
      </c>
      <c r="O101" s="245" t="inlineStr">
        <is>
          <t>27.07.2026</t>
        </is>
      </c>
      <c r="P101" s="245" t="inlineStr">
        <is>
          <t>24.07.2026</t>
        </is>
      </c>
      <c r="Q101" s="245" t="inlineStr">
        <is>
          <t>Tranche 1</t>
        </is>
      </c>
      <c r="R101" s="245" t="inlineStr">
        <is>
          <t>20.03</t>
        </is>
      </c>
      <c r="S101" s="245" t="inlineStr">
        <is>
          <t>197-17-К/26</t>
        </is>
      </c>
      <c r="T101" s="245" t="inlineStr">
        <is>
          <t>I</t>
        </is>
      </c>
      <c r="U101" s="245" t="inlineStr">
        <is>
          <t>18.60 – 21.39 %</t>
        </is>
      </c>
      <c r="V101" s="245" t="inlineStr">
        <is>
          <t>OPM_THC20 : CBD1</t>
        </is>
      </c>
      <c r="W101" s="245" t="inlineStr">
        <is>
          <t>QCSP_001_OPM-I_v.01</t>
        </is>
      </c>
      <c r="X101" s="245" t="inlineStr">
        <is>
          <t>for review — replaces the issued QCSP_001_OPM-I_v.01 (was OPM_THC22 : CBD1, 19.81 – 24.19 %); now OPM_THC20 : CBD1 18.60 – 21.39 %</t>
        </is>
      </c>
      <c r="Y101" s="245" t="inlineStr">
        <is>
          <t>INDICA</t>
        </is>
      </c>
      <c r="Z101" s="245" t="inlineStr">
        <is>
          <t>THC</t>
        </is>
      </c>
      <c r="AA101" s="245" t="inlineStr">
        <is>
          <t>MACHINE TRIMMED</t>
        </is>
      </c>
      <c r="AB101" s="245" t="inlineStr">
        <is>
          <t>—</t>
        </is>
      </c>
      <c r="AC101" s="245" t="inlineStr">
        <is>
          <t>Triplex Alu Bag | Триплекс Aлу Kеса, PET 12 · ALU 7 · PE 80, 300 × 500 mm, net. 400.0 g ±3%</t>
        </is>
      </c>
      <c r="AD101" s="245" t="inlineStr">
        <is>
          <t>10.08.2026</t>
        </is>
      </c>
      <c r="AE101" s="245" t="inlineStr">
        <is>
          <t>Conforms | Одговара</t>
        </is>
      </c>
      <c r="AF101" s="245" t="inlineStr">
        <is>
          <t>iCoA-PP_26-114</t>
        </is>
      </c>
      <c r="AG101" s="245" t="inlineStr">
        <is>
          <t>27.07.2026</t>
        </is>
      </c>
      <c r="AH101" s="245" t="inlineStr">
        <is>
          <t>Purely Plant GmbH (in-house)</t>
        </is>
      </c>
      <c r="AI101" s="245" t="inlineStr">
        <is>
          <t>Conforms | Одговара</t>
        </is>
      </c>
      <c r="AJ101" s="245" t="inlineStr">
        <is>
          <t>iCoA-PP_26-114</t>
        </is>
      </c>
      <c r="AK101" s="245" t="inlineStr">
        <is>
          <t>27.07.2026</t>
        </is>
      </c>
      <c r="AL101" s="245" t="inlineStr">
        <is>
          <t>Purely Plant GmbH (in-house)</t>
        </is>
      </c>
      <c r="AM101" s="245" t="inlineStr">
        <is>
          <t>Conforms | Одговара</t>
        </is>
      </c>
      <c r="AN101" s="245" t="inlineStr">
        <is>
          <t>197-17-К/26</t>
        </is>
      </c>
      <c r="AO101" s="245" t="inlineStr">
        <is>
          <t>07.08.2026</t>
        </is>
      </c>
      <c r="AP101" s="245" t="inlineStr">
        <is>
          <t>Farmahem</t>
        </is>
      </c>
      <c r="AQ101" s="245" t="inlineStr">
        <is>
          <t>20.03</t>
        </is>
      </c>
      <c r="AR101" s="245" t="inlineStr">
        <is>
          <t>197-17-К/26</t>
        </is>
      </c>
      <c r="AS101" s="245" t="inlineStr">
        <is>
          <t>07.08.2026</t>
        </is>
      </c>
      <c r="AT101" s="245" t="inlineStr">
        <is>
          <t>Farmahem</t>
        </is>
      </c>
      <c r="AU101" s="245" t="inlineStr">
        <is>
          <t>&lt; LOQ</t>
        </is>
      </c>
      <c r="AV101" s="245" t="inlineStr">
        <is>
          <t>197-17-К/26</t>
        </is>
      </c>
      <c r="AW101" s="245" t="inlineStr">
        <is>
          <t>07.08.2026</t>
        </is>
      </c>
      <c r="AX101" s="245" t="inlineStr">
        <is>
          <t>Farmahem</t>
        </is>
      </c>
      <c r="AY101" s="245" t="inlineStr">
        <is>
          <t>&lt; LOQ</t>
        </is>
      </c>
      <c r="AZ101" s="245" t="inlineStr">
        <is>
          <t>197-17-К/26</t>
        </is>
      </c>
      <c r="BA101" s="245" t="inlineStr">
        <is>
          <t>07.08.2026</t>
        </is>
      </c>
      <c r="BB101" s="245" t="inlineStr">
        <is>
          <t>Farmahem</t>
        </is>
      </c>
      <c r="BC101" s="245" t="inlineStr">
        <is>
          <t>Conforms | Одговара</t>
        </is>
      </c>
      <c r="BD101" s="245" t="inlineStr">
        <is>
          <t>iCoA-PP_26-114</t>
        </is>
      </c>
      <c r="BE101" s="245" t="inlineStr">
        <is>
          <t>27.07.2026</t>
        </is>
      </c>
      <c r="BF101" s="245" t="inlineStr">
        <is>
          <t>Purely Plant GmbH (in-house)</t>
        </is>
      </c>
      <c r="BG101" s="245" t="inlineStr">
        <is>
          <t>carried from the initial testing — not tested</t>
        </is>
      </c>
      <c r="BH101" s="245" t="inlineStr">
        <is>
          <t>—</t>
        </is>
      </c>
      <c r="BI101" s="245" t="inlineStr">
        <is>
          <t>—</t>
        </is>
      </c>
      <c r="BJ101" s="245" t="inlineStr">
        <is>
          <t>—</t>
        </is>
      </c>
      <c r="BK101" s="245" t="inlineStr">
        <is>
          <t>1.3 × 10⁴</t>
        </is>
      </c>
      <c r="BL101" s="245" t="inlineStr">
        <is>
          <t>iCoA-PP_26-006</t>
        </is>
      </c>
      <c r="BM101" s="245" t="inlineStr">
        <is>
          <t>03.06.2026</t>
        </is>
      </c>
      <c r="BN101" s="245" t="inlineStr">
        <is>
          <t>Purely Plant GmbH (in-house)</t>
        </is>
      </c>
      <c r="BO101" s="245" t="inlineStr">
        <is>
          <t>7 × 10²</t>
        </is>
      </c>
      <c r="BP101" s="245" t="inlineStr">
        <is>
          <t>iCoA-PP_26-006</t>
        </is>
      </c>
      <c r="BQ101" s="245" t="inlineStr">
        <is>
          <t>03.06.2026</t>
        </is>
      </c>
      <c r="BR101" s="245" t="inlineStr">
        <is>
          <t>Purely Plant GmbH (in-house)</t>
        </is>
      </c>
      <c r="BS101" s="245" t="inlineStr">
        <is>
          <t>&lt; 10² &gt; 10³</t>
        </is>
      </c>
      <c r="BT101" s="245" t="inlineStr">
        <is>
          <t>iCoA-PP_26-006</t>
        </is>
      </c>
      <c r="BU101" s="245" t="inlineStr">
        <is>
          <t>03.06.2026</t>
        </is>
      </c>
      <c r="BV101" s="245" t="inlineStr">
        <is>
          <t>Purely Plant GmbH (in-house)</t>
        </is>
      </c>
      <c r="BW101" s="245" t="inlineStr">
        <is>
          <t>Absent | Отсутна</t>
        </is>
      </c>
      <c r="BX101" s="245" t="inlineStr">
        <is>
          <t>iCoA-PP_26-006</t>
        </is>
      </c>
      <c r="BY101" s="245" t="inlineStr">
        <is>
          <t>03.06.2026</t>
        </is>
      </c>
      <c r="BZ101" s="245" t="inlineStr">
        <is>
          <t>Purely Plant GmbH (in-house)</t>
        </is>
      </c>
      <c r="CA101" s="245" t="inlineStr">
        <is>
          <t>Absent | Отсутна</t>
        </is>
      </c>
      <c r="CB101" s="245" t="inlineStr">
        <is>
          <t>iCoA-PP_26-006</t>
        </is>
      </c>
      <c r="CC101" s="245" t="inlineStr">
        <is>
          <t>03.06.2026</t>
        </is>
      </c>
      <c r="CD101" s="245" t="inlineStr">
        <is>
          <t>Purely Plant GmbH (in-house)</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197-17-М/26</t>
        </is>
      </c>
      <c r="CO101" s="245" t="inlineStr">
        <is>
          <t>10.08.2026</t>
        </is>
      </c>
      <c r="CP101" s="245" t="inlineStr">
        <is>
          <t>Farmahem</t>
        </is>
      </c>
      <c r="CQ101" s="245" t="inlineStr">
        <is>
          <t>ND</t>
        </is>
      </c>
      <c r="CR101" s="245" t="inlineStr">
        <is>
          <t>197-17-М/26</t>
        </is>
      </c>
      <c r="CS101" s="245" t="inlineStr">
        <is>
          <t>10.08.2026</t>
        </is>
      </c>
      <c r="CT101" s="245" t="inlineStr">
        <is>
          <t>Farmahem</t>
        </is>
      </c>
      <c r="CU101" s="245" t="inlineStr">
        <is>
          <t>ND</t>
        </is>
      </c>
      <c r="CV101" s="245" t="inlineStr">
        <is>
          <t>197-17-М/26</t>
        </is>
      </c>
      <c r="CW101" s="245" t="inlineStr">
        <is>
          <t>10.08.2026</t>
        </is>
      </c>
      <c r="CX101" s="245" t="inlineStr">
        <is>
          <t>Farmahem</t>
        </is>
      </c>
      <c r="CY101" s="245" t="inlineStr">
        <is>
          <t>0.031</t>
        </is>
      </c>
      <c r="CZ101" s="245" t="inlineStr">
        <is>
          <t>iCoA-PP_26-006</t>
        </is>
      </c>
      <c r="DA101" s="245" t="inlineStr">
        <is>
          <t>03.06.2026</t>
        </is>
      </c>
      <c r="DB101" s="245" t="inlineStr">
        <is>
          <t>Purely Plant GmbH (in-house)</t>
        </is>
      </c>
      <c r="DC101" s="245" t="inlineStr">
        <is>
          <t>0.017</t>
        </is>
      </c>
      <c r="DD101" s="245" t="inlineStr">
        <is>
          <t>iCoA-PP_26-006</t>
        </is>
      </c>
      <c r="DE101" s="245" t="inlineStr">
        <is>
          <t>03.06.2026</t>
        </is>
      </c>
      <c r="DF101" s="245" t="inlineStr">
        <is>
          <t>Purely Plant GmbH (in-house)</t>
        </is>
      </c>
      <c r="DG101" s="245" t="inlineStr">
        <is>
          <t>0.045</t>
        </is>
      </c>
      <c r="DH101" s="245" t="inlineStr">
        <is>
          <t>iCoA-PP_26-006</t>
        </is>
      </c>
      <c r="DI101" s="245" t="inlineStr">
        <is>
          <t>03.06.2026</t>
        </is>
      </c>
      <c r="DJ101" s="245" t="inlineStr">
        <is>
          <t>Purely Plant GmbH (in-house)</t>
        </is>
      </c>
      <c r="DK101" s="245" t="inlineStr">
        <is>
          <t>0.005</t>
        </is>
      </c>
      <c r="DL101" s="245" t="inlineStr">
        <is>
          <t>iCoA-PP_26-006</t>
        </is>
      </c>
      <c r="DM101" s="245" t="inlineStr">
        <is>
          <t>03.06.2026</t>
        </is>
      </c>
      <c r="DN101" s="245" t="inlineStr">
        <is>
          <t>Purely Plant GmbH (in-house)</t>
        </is>
      </c>
      <c r="DO101" s="245" t="inlineStr">
        <is>
          <t>ND</t>
        </is>
      </c>
      <c r="DP101" s="245" t="inlineStr">
        <is>
          <t>iCoA-PP_26-006</t>
        </is>
      </c>
      <c r="DQ101" s="245" t="inlineStr">
        <is>
          <t>03.06.2026</t>
        </is>
      </c>
      <c r="DR101" s="245" t="inlineStr">
        <is>
          <t>Purely Plant GmbH (in-house)</t>
        </is>
      </c>
    </row>
    <row r="102">
      <c r="A102" s="245" t="inlineStr">
        <is>
          <t>CoQ-PP_26-101</t>
        </is>
      </c>
      <c r="B102" s="245" t="inlineStr">
        <is>
          <t>reissue — 12-month retest</t>
        </is>
      </c>
      <c r="C102" s="245" t="inlineStr">
        <is>
          <t>issuable</t>
        </is>
      </c>
      <c r="D102" s="245" t="inlineStr">
        <is>
          <t>17.08.2026</t>
        </is>
      </c>
      <c r="E102" s="245" t="inlineStr">
        <is>
          <t>CoQ-PP_26-012 of 06.06.2026</t>
        </is>
      </c>
      <c r="F102" s="245" t="inlineStr">
        <is>
          <t>CoQ-PP-2026-0035</t>
        </is>
      </c>
      <c r="G102" s="245" t="inlineStr">
        <is>
          <t>OPM1024_02</t>
        </is>
      </c>
      <c r="H102" s="245" t="inlineStr">
        <is>
          <t>P050062</t>
        </is>
      </c>
      <c r="I102" s="245" t="inlineStr">
        <is>
          <t>Orange Punch Mimosa</t>
        </is>
      </c>
      <c r="J102" s="245" t="inlineStr">
        <is>
          <t>29.05.2025 – 30.05.2025</t>
        </is>
      </c>
      <c r="K102" s="245" t="inlineStr">
        <is>
          <t>04.07.2025 – 10.07.2025</t>
        </is>
      </c>
      <c r="L102" s="245" t="inlineStr">
        <is>
          <t>29.05.2025</t>
        </is>
      </c>
      <c r="M102" s="245" t="inlineStr">
        <is>
          <t>04.07.2025</t>
        </is>
      </c>
      <c r="N102" s="245" t="inlineStr">
        <is>
          <t>iCoA-PP_26-115</t>
        </is>
      </c>
      <c r="O102" s="245" t="inlineStr">
        <is>
          <t>27.07.2026</t>
        </is>
      </c>
      <c r="P102" s="245" t="inlineStr">
        <is>
          <t>24.07.2026</t>
        </is>
      </c>
      <c r="Q102" s="245" t="inlineStr">
        <is>
          <t>Tranche 1</t>
        </is>
      </c>
      <c r="R102" s="245" t="inlineStr">
        <is>
          <t>18.04</t>
        </is>
      </c>
      <c r="S102" s="245" t="inlineStr">
        <is>
          <t>197-18-К/26</t>
        </is>
      </c>
      <c r="T102" s="245" t="inlineStr">
        <is>
          <t>II</t>
        </is>
      </c>
      <c r="U102" s="245" t="inlineStr">
        <is>
          <t>15.40 – 18.59 %</t>
        </is>
      </c>
      <c r="V102" s="245" t="inlineStr">
        <is>
          <t>OPM_THC17 : CBD1</t>
        </is>
      </c>
      <c r="W102" s="245" t="inlineStr">
        <is>
          <t>QCSP_001_OPM-II_v.01</t>
        </is>
      </c>
      <c r="X102" s="245" t="inlineStr">
        <is>
          <t>for review — replaces the issued QCSP_001_OPM-II_v.01 (was OPM_THC18 : CBD1, 16.20 – 19.80 %); now OPM_THC17 : CBD1 15.40 – 18.59 %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5" t="inlineStr">
        <is>
          <t>Conforms | Одговара</t>
        </is>
      </c>
      <c r="AF102" s="245" t="inlineStr">
        <is>
          <t>iCoA-PP_26-115</t>
        </is>
      </c>
      <c r="AG102" s="245" t="inlineStr">
        <is>
          <t>27.07.2026</t>
        </is>
      </c>
      <c r="AH102" s="245" t="inlineStr">
        <is>
          <t>Purely Plant GmbH (in-house)</t>
        </is>
      </c>
      <c r="AI102" s="245" t="inlineStr">
        <is>
          <t>Conforms | Одговара</t>
        </is>
      </c>
      <c r="AJ102" s="245" t="inlineStr">
        <is>
          <t>iCoA-PP_26-115</t>
        </is>
      </c>
      <c r="AK102" s="245" t="inlineStr">
        <is>
          <t>27.07.2026</t>
        </is>
      </c>
      <c r="AL102" s="245" t="inlineStr">
        <is>
          <t>Purely Plant GmbH (in-house)</t>
        </is>
      </c>
      <c r="AM102" s="245" t="inlineStr">
        <is>
          <t>Conforms | Одговара</t>
        </is>
      </c>
      <c r="AN102" s="245" t="inlineStr">
        <is>
          <t>197-18-К/26</t>
        </is>
      </c>
      <c r="AO102" s="245" t="inlineStr">
        <is>
          <t>07.08.2026</t>
        </is>
      </c>
      <c r="AP102" s="245" t="inlineStr">
        <is>
          <t>Farmahem</t>
        </is>
      </c>
      <c r="AQ102" s="245" t="inlineStr">
        <is>
          <t>18.04</t>
        </is>
      </c>
      <c r="AR102" s="245" t="inlineStr">
        <is>
          <t>197-18-К/26</t>
        </is>
      </c>
      <c r="AS102" s="245" t="inlineStr">
        <is>
          <t>07.08.2026</t>
        </is>
      </c>
      <c r="AT102" s="245" t="inlineStr">
        <is>
          <t>Farmahem</t>
        </is>
      </c>
      <c r="AU102" s="245" t="inlineStr">
        <is>
          <t>&lt; LOQ</t>
        </is>
      </c>
      <c r="AV102" s="245" t="inlineStr">
        <is>
          <t>197-18-К/26</t>
        </is>
      </c>
      <c r="AW102" s="245" t="inlineStr">
        <is>
          <t>07.08.2026</t>
        </is>
      </c>
      <c r="AX102" s="245" t="inlineStr">
        <is>
          <t>Farmahem</t>
        </is>
      </c>
      <c r="AY102" s="245" t="inlineStr">
        <is>
          <t>&lt; LOQ</t>
        </is>
      </c>
      <c r="AZ102" s="245" t="inlineStr">
        <is>
          <t>197-18-К/26</t>
        </is>
      </c>
      <c r="BA102" s="245" t="inlineStr">
        <is>
          <t>07.08.2026</t>
        </is>
      </c>
      <c r="BB102" s="245" t="inlineStr">
        <is>
          <t>Farmahem</t>
        </is>
      </c>
      <c r="BC102" s="245" t="inlineStr">
        <is>
          <t>Conforms | Одговара</t>
        </is>
      </c>
      <c r="BD102" s="245" t="inlineStr">
        <is>
          <t>iCoA-PP_26-115</t>
        </is>
      </c>
      <c r="BE102" s="245" t="inlineStr">
        <is>
          <t>27.07.2026</t>
        </is>
      </c>
      <c r="BF102" s="245" t="inlineStr">
        <is>
          <t>Purely Plant GmbH (in-house)</t>
        </is>
      </c>
      <c r="BG102" s="245" t="inlineStr">
        <is>
          <t>6.89</t>
        </is>
      </c>
      <c r="BH102" s="245" t="inlineStr">
        <is>
          <t>ППК25154</t>
        </is>
      </c>
      <c r="BI102" s="245" t="inlineStr">
        <is>
          <t>24.06.2025</t>
        </is>
      </c>
      <c r="BJ102" s="245" t="inlineStr">
        <is>
          <t>UKIM Faculty of Pharmacy — Center for Natural Products</t>
        </is>
      </c>
      <c r="BK102" s="245" t="inlineStr">
        <is>
          <t>3.4 × 10³</t>
        </is>
      </c>
      <c r="BL102" s="245" t="inlineStr">
        <is>
          <t>588/1067/25</t>
        </is>
      </c>
      <c r="BM102" s="245" t="inlineStr">
        <is>
          <t>18.06.2025</t>
        </is>
      </c>
      <c r="BN102" s="245" t="inlineStr">
        <is>
          <t>IPH — Institute of Public Health</t>
        </is>
      </c>
      <c r="BO102" s="245" t="inlineStr">
        <is>
          <t>3.6 × 10³</t>
        </is>
      </c>
      <c r="BP102" s="245" t="inlineStr">
        <is>
          <t>588/1067/25</t>
        </is>
      </c>
      <c r="BQ102" s="245" t="inlineStr">
        <is>
          <t>18.06.2025</t>
        </is>
      </c>
      <c r="BR102" s="245" t="inlineStr">
        <is>
          <t>IPH — Institute of Public Health</t>
        </is>
      </c>
      <c r="BS102" s="245" t="inlineStr">
        <is>
          <t>&lt; 10</t>
        </is>
      </c>
      <c r="BT102" s="245" t="inlineStr">
        <is>
          <t>588/1067/25</t>
        </is>
      </c>
      <c r="BU102" s="245" t="inlineStr">
        <is>
          <t>18.06.2025</t>
        </is>
      </c>
      <c r="BV102" s="245" t="inlineStr">
        <is>
          <t>IPH — Institute of Public Health</t>
        </is>
      </c>
      <c r="BW102" s="245" t="inlineStr">
        <is>
          <t>Absent | Отсутна</t>
        </is>
      </c>
      <c r="BX102" s="245" t="inlineStr">
        <is>
          <t>588/1067/25</t>
        </is>
      </c>
      <c r="BY102" s="245" t="inlineStr">
        <is>
          <t>18.06.2025</t>
        </is>
      </c>
      <c r="BZ102" s="245" t="inlineStr">
        <is>
          <t>IPH — Institute of Public Health</t>
        </is>
      </c>
      <c r="CA102" s="245" t="inlineStr">
        <is>
          <t>Absent | Отсутна</t>
        </is>
      </c>
      <c r="CB102" s="245" t="inlineStr">
        <is>
          <t>588/1067/25</t>
        </is>
      </c>
      <c r="CC102" s="245" t="inlineStr">
        <is>
          <t>18.06.2025</t>
        </is>
      </c>
      <c r="CD102" s="245" t="inlineStr">
        <is>
          <t>IPH — Institute of Public Health</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197-18-М/26</t>
        </is>
      </c>
      <c r="CO102" s="245" t="inlineStr">
        <is>
          <t>10.08.2026</t>
        </is>
      </c>
      <c r="CP102" s="245" t="inlineStr">
        <is>
          <t>Farmahem</t>
        </is>
      </c>
      <c r="CQ102" s="245" t="inlineStr">
        <is>
          <t>ND</t>
        </is>
      </c>
      <c r="CR102" s="245" t="inlineStr">
        <is>
          <t>197-18-М/26</t>
        </is>
      </c>
      <c r="CS102" s="245" t="inlineStr">
        <is>
          <t>10.08.2026</t>
        </is>
      </c>
      <c r="CT102" s="245" t="inlineStr">
        <is>
          <t>Farmahem</t>
        </is>
      </c>
      <c r="CU102" s="245" t="inlineStr">
        <is>
          <t>ND</t>
        </is>
      </c>
      <c r="CV102" s="245" t="inlineStr">
        <is>
          <t>197-18-М/26</t>
        </is>
      </c>
      <c r="CW102" s="245" t="inlineStr">
        <is>
          <t>10.08.2026</t>
        </is>
      </c>
      <c r="CX102" s="245" t="inlineStr">
        <is>
          <t>Farmahem</t>
        </is>
      </c>
      <c r="CY102" s="245" t="inlineStr">
        <is>
          <t>0.052</t>
        </is>
      </c>
      <c r="CZ102" s="245" t="inlineStr">
        <is>
          <t>2994/2025</t>
        </is>
      </c>
      <c r="DA102" s="245" t="inlineStr">
        <is>
          <t>19.06.2025</t>
        </is>
      </c>
      <c r="DB102" s="245" t="inlineStr">
        <is>
          <t>IPH — Institute of Public Health</t>
        </is>
      </c>
      <c r="DC102" s="245" t="inlineStr">
        <is>
          <t>0.011</t>
        </is>
      </c>
      <c r="DD102" s="245" t="inlineStr">
        <is>
          <t>2994/2025</t>
        </is>
      </c>
      <c r="DE102" s="245" t="inlineStr">
        <is>
          <t>19.06.2025</t>
        </is>
      </c>
      <c r="DF102" s="245" t="inlineStr">
        <is>
          <t>IPH — Institute of Public Health</t>
        </is>
      </c>
      <c r="DG102" s="245" t="inlineStr">
        <is>
          <t>0.028</t>
        </is>
      </c>
      <c r="DH102" s="245" t="inlineStr">
        <is>
          <t>2994/2025</t>
        </is>
      </c>
      <c r="DI102" s="245" t="inlineStr">
        <is>
          <t>19.06.2025</t>
        </is>
      </c>
      <c r="DJ102" s="245" t="inlineStr">
        <is>
          <t>IPH — Institute of Public Health</t>
        </is>
      </c>
      <c r="DK102" s="245" t="inlineStr">
        <is>
          <t>0.061</t>
        </is>
      </c>
      <c r="DL102" s="245" t="inlineStr">
        <is>
          <t>2994/2025</t>
        </is>
      </c>
      <c r="DM102" s="245" t="inlineStr">
        <is>
          <t>19.06.2025</t>
        </is>
      </c>
      <c r="DN102" s="245" t="inlineStr">
        <is>
          <t>IPH — Institute of Public Health</t>
        </is>
      </c>
      <c r="DO102" s="245" t="inlineStr">
        <is>
          <t>ND</t>
        </is>
      </c>
      <c r="DP102" s="245" t="inlineStr">
        <is>
          <t>2994/2025</t>
        </is>
      </c>
      <c r="DQ102" s="245" t="inlineStr">
        <is>
          <t>19.06.2025</t>
        </is>
      </c>
      <c r="DR102" s="245" t="inlineStr">
        <is>
          <t>IPH — Institute of Public Health</t>
        </is>
      </c>
    </row>
    <row r="103">
      <c r="A103" s="245" t="inlineStr">
        <is>
          <t>CoQ-PP_26-102</t>
        </is>
      </c>
      <c r="B103" s="245" t="inlineStr">
        <is>
          <t>reissue — 12-month retest</t>
        </is>
      </c>
      <c r="C103" s="245" t="inlineStr">
        <is>
          <t>issuable</t>
        </is>
      </c>
      <c r="D103" s="245" t="inlineStr">
        <is>
          <t>17.08.2026</t>
        </is>
      </c>
      <c r="E103" s="245" t="inlineStr">
        <is>
          <t>CoQ-PP_26-060 of 06.06.2026</t>
        </is>
      </c>
      <c r="F103" s="245" t="inlineStr">
        <is>
          <t>(assigned on issue)</t>
        </is>
      </c>
      <c r="G103" s="245" t="inlineStr">
        <is>
          <t>OPM122501</t>
        </is>
      </c>
      <c r="H103" s="245" t="inlineStr">
        <is>
          <t>P060242</t>
        </is>
      </c>
      <c r="I103" s="245" t="inlineStr">
        <is>
          <t>Orange Punch Mimosa</t>
        </is>
      </c>
      <c r="J103" s="245" t="inlineStr">
        <is>
          <t>11.03.2026</t>
        </is>
      </c>
      <c r="K103" s="245" t="inlineStr">
        <is>
          <t>28.04.2026</t>
        </is>
      </c>
      <c r="L103" s="245" t="inlineStr">
        <is>
          <t>11.03.2026</t>
        </is>
      </c>
      <c r="M103" s="245" t="inlineStr">
        <is>
          <t>28.04.2026</t>
        </is>
      </c>
      <c r="N103" s="245" t="inlineStr">
        <is>
          <t>iCoA-PP_26-116</t>
        </is>
      </c>
      <c r="O103" s="245" t="inlineStr">
        <is>
          <t>27.07.2026</t>
        </is>
      </c>
      <c r="P103" s="245" t="inlineStr">
        <is>
          <t>24.07.2026</t>
        </is>
      </c>
      <c r="Q103" s="245" t="inlineStr">
        <is>
          <t>Tranche 1</t>
        </is>
      </c>
      <c r="R103" s="245" t="inlineStr">
        <is>
          <t>7.91</t>
        </is>
      </c>
      <c r="S103" s="245" t="inlineStr">
        <is>
          <t>197-19-К/26</t>
        </is>
      </c>
      <c r="T103" s="245" t="inlineStr">
        <is>
          <t>V</t>
        </is>
      </c>
      <c r="U103" s="245" t="inlineStr">
        <is>
          <t>7.20 – 8.79 %</t>
        </is>
      </c>
      <c r="V103" s="245" t="inlineStr">
        <is>
          <t>OPM_THC8 : CBD1</t>
        </is>
      </c>
      <c r="W103" s="245" t="inlineStr">
        <is>
          <t>QCSP_001_OPM-V_v.01</t>
        </is>
      </c>
      <c r="X103" s="245" t="inlineStr">
        <is>
          <t>for review — replaces the issued QCSP_001_OPM-V_v.01 (was OPM_THC8 : CBD1, 7.20 – 8.80 %); now OPM_THC8 : CBD1 7.20 – 8.79 %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5" t="inlineStr">
        <is>
          <t>Conforms | Одговара</t>
        </is>
      </c>
      <c r="AF103" s="245" t="inlineStr">
        <is>
          <t>iCoA-PP_26-116</t>
        </is>
      </c>
      <c r="AG103" s="245" t="inlineStr">
        <is>
          <t>27.07.2026</t>
        </is>
      </c>
      <c r="AH103" s="245" t="inlineStr">
        <is>
          <t>Purely Plant GmbH (in-house)</t>
        </is>
      </c>
      <c r="AI103" s="245" t="inlineStr">
        <is>
          <t>Conforms | Одговара</t>
        </is>
      </c>
      <c r="AJ103" s="245" t="inlineStr">
        <is>
          <t>iCoA-PP_26-116</t>
        </is>
      </c>
      <c r="AK103" s="245" t="inlineStr">
        <is>
          <t>27.07.2026</t>
        </is>
      </c>
      <c r="AL103" s="245" t="inlineStr">
        <is>
          <t>Purely Plant GmbH (in-house)</t>
        </is>
      </c>
      <c r="AM103" s="245" t="inlineStr">
        <is>
          <t>Conforms | Одговара</t>
        </is>
      </c>
      <c r="AN103" s="245" t="inlineStr">
        <is>
          <t>197-19-К/26</t>
        </is>
      </c>
      <c r="AO103" s="245" t="inlineStr">
        <is>
          <t>07.08.2026</t>
        </is>
      </c>
      <c r="AP103" s="245" t="inlineStr">
        <is>
          <t>Farmahem</t>
        </is>
      </c>
      <c r="AQ103" s="245" t="inlineStr">
        <is>
          <t>7.91</t>
        </is>
      </c>
      <c r="AR103" s="245" t="inlineStr">
        <is>
          <t>197-19-К/26</t>
        </is>
      </c>
      <c r="AS103" s="245" t="inlineStr">
        <is>
          <t>07.08.2026</t>
        </is>
      </c>
      <c r="AT103" s="245" t="inlineStr">
        <is>
          <t>Farmahem</t>
        </is>
      </c>
      <c r="AU103" s="245" t="inlineStr">
        <is>
          <t>&lt; LOQ</t>
        </is>
      </c>
      <c r="AV103" s="245" t="inlineStr">
        <is>
          <t>197-19-К/26</t>
        </is>
      </c>
      <c r="AW103" s="245" t="inlineStr">
        <is>
          <t>07.08.2026</t>
        </is>
      </c>
      <c r="AX103" s="245" t="inlineStr">
        <is>
          <t>Farmahem</t>
        </is>
      </c>
      <c r="AY103" s="245" t="inlineStr">
        <is>
          <t>&lt; LOQ</t>
        </is>
      </c>
      <c r="AZ103" s="245" t="inlineStr">
        <is>
          <t>197-19-К/26</t>
        </is>
      </c>
      <c r="BA103" s="245" t="inlineStr">
        <is>
          <t>07.08.2026</t>
        </is>
      </c>
      <c r="BB103" s="245" t="inlineStr">
        <is>
          <t>Farmahem</t>
        </is>
      </c>
      <c r="BC103" s="245" t="inlineStr">
        <is>
          <t>Conforms | Одговара</t>
        </is>
      </c>
      <c r="BD103" s="245" t="inlineStr">
        <is>
          <t>iCoA-PP_26-116</t>
        </is>
      </c>
      <c r="BE103" s="245" t="inlineStr">
        <is>
          <t>27.07.2026</t>
        </is>
      </c>
      <c r="BF103" s="245" t="inlineStr">
        <is>
          <t>Purely Plant GmbH (in-house)</t>
        </is>
      </c>
      <c r="BG103" s="245" t="inlineStr">
        <is>
          <t>6.6</t>
        </is>
      </c>
      <c r="BH103" s="245" t="inlineStr">
        <is>
          <t>100-4-ГС/26</t>
        </is>
      </c>
      <c r="BI103" s="245" t="inlineStr">
        <is>
          <t>09.04.2026</t>
        </is>
      </c>
      <c r="BJ103" s="245" t="inlineStr">
        <is>
          <t>Farmahem</t>
        </is>
      </c>
      <c r="BK103" s="245" t="inlineStr">
        <is>
          <t>120</t>
        </is>
      </c>
      <c r="BL103" s="245" t="inlineStr">
        <is>
          <t>229/0392/26</t>
        </is>
      </c>
      <c r="BM103" s="245" t="inlineStr">
        <is>
          <t>07.04.2026</t>
        </is>
      </c>
      <c r="BN103" s="245" t="inlineStr">
        <is>
          <t>IPH — Institute of Public Health</t>
        </is>
      </c>
      <c r="BO103" s="245" t="inlineStr">
        <is>
          <t>100</t>
        </is>
      </c>
      <c r="BP103" s="245" t="inlineStr">
        <is>
          <t>229/0392/26</t>
        </is>
      </c>
      <c r="BQ103" s="245" t="inlineStr">
        <is>
          <t>07.04.2026</t>
        </is>
      </c>
      <c r="BR103" s="245" t="inlineStr">
        <is>
          <t>IPH — Institute of Public Health</t>
        </is>
      </c>
      <c r="BS103" s="245" t="inlineStr">
        <is>
          <t>&lt; 10</t>
        </is>
      </c>
      <c r="BT103" s="245" t="inlineStr">
        <is>
          <t>229/0392/26</t>
        </is>
      </c>
      <c r="BU103" s="245" t="inlineStr">
        <is>
          <t>07.04.2026</t>
        </is>
      </c>
      <c r="BV103" s="245" t="inlineStr">
        <is>
          <t>IPH — Institute of Public Health</t>
        </is>
      </c>
      <c r="BW103" s="245" t="inlineStr">
        <is>
          <t>Absent | Отсутна</t>
        </is>
      </c>
      <c r="BX103" s="245" t="inlineStr">
        <is>
          <t>229/0392/26</t>
        </is>
      </c>
      <c r="BY103" s="245" t="inlineStr">
        <is>
          <t>07.04.2026</t>
        </is>
      </c>
      <c r="BZ103" s="245" t="inlineStr">
        <is>
          <t>IPH — Institute of Public Health</t>
        </is>
      </c>
      <c r="CA103" s="245" t="inlineStr">
        <is>
          <t>Absent | Отсутна</t>
        </is>
      </c>
      <c r="CB103" s="245" t="inlineStr">
        <is>
          <t>229/0392/26</t>
        </is>
      </c>
      <c r="CC103" s="245" t="inlineStr">
        <is>
          <t>07.04.2026</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197-19-М/26</t>
        </is>
      </c>
      <c r="CO103" s="245" t="inlineStr">
        <is>
          <t>10.08.2026</t>
        </is>
      </c>
      <c r="CP103" s="245" t="inlineStr">
        <is>
          <t>Farmahem</t>
        </is>
      </c>
      <c r="CQ103" s="245" t="inlineStr">
        <is>
          <t>ND</t>
        </is>
      </c>
      <c r="CR103" s="245" t="inlineStr">
        <is>
          <t>197-19-М/26</t>
        </is>
      </c>
      <c r="CS103" s="245" t="inlineStr">
        <is>
          <t>10.08.2026</t>
        </is>
      </c>
      <c r="CT103" s="245" t="inlineStr">
        <is>
          <t>Farmahem</t>
        </is>
      </c>
      <c r="CU103" s="245" t="inlineStr">
        <is>
          <t>ND</t>
        </is>
      </c>
      <c r="CV103" s="245" t="inlineStr">
        <is>
          <t>197-19-М/26</t>
        </is>
      </c>
      <c r="CW103" s="245" t="inlineStr">
        <is>
          <t>10.08.2026</t>
        </is>
      </c>
      <c r="CX103" s="245" t="inlineStr">
        <is>
          <t>Farmahem</t>
        </is>
      </c>
      <c r="CY103" s="245" t="inlineStr">
        <is>
          <t>0.049</t>
        </is>
      </c>
      <c r="CZ103" s="245" t="inlineStr">
        <is>
          <t>1627/2026</t>
        </is>
      </c>
      <c r="DA103" s="245" t="inlineStr">
        <is>
          <t>23.04.2026</t>
        </is>
      </c>
      <c r="DB103" s="245" t="inlineStr">
        <is>
          <t>IPH — Institute of Public Health</t>
        </is>
      </c>
      <c r="DC103" s="245" t="inlineStr">
        <is>
          <t>0.165</t>
        </is>
      </c>
      <c r="DD103" s="245" t="inlineStr">
        <is>
          <t>1627/2026</t>
        </is>
      </c>
      <c r="DE103" s="245" t="inlineStr">
        <is>
          <t>23.04.2026</t>
        </is>
      </c>
      <c r="DF103" s="245" t="inlineStr">
        <is>
          <t>IPH — Institute of Public Health</t>
        </is>
      </c>
      <c r="DG103" s="245" t="inlineStr">
        <is>
          <t>ND</t>
        </is>
      </c>
      <c r="DH103" s="245" t="inlineStr">
        <is>
          <t>1627/2026</t>
        </is>
      </c>
      <c r="DI103" s="245" t="inlineStr">
        <is>
          <t>23.04.2026</t>
        </is>
      </c>
      <c r="DJ103" s="245" t="inlineStr">
        <is>
          <t>IPH — Institute of Public Health</t>
        </is>
      </c>
      <c r="DK103" s="245" t="inlineStr">
        <is>
          <t>ND</t>
        </is>
      </c>
      <c r="DL103" s="245" t="inlineStr">
        <is>
          <t>1627/2026</t>
        </is>
      </c>
      <c r="DM103" s="245" t="inlineStr">
        <is>
          <t>23.04.2026</t>
        </is>
      </c>
      <c r="DN103" s="245" t="inlineStr">
        <is>
          <t>IPH — Institute of Public Health</t>
        </is>
      </c>
      <c r="DO103" s="245" t="inlineStr">
        <is>
          <t>ND</t>
        </is>
      </c>
      <c r="DP103" s="245" t="inlineStr">
        <is>
          <t>1627/2026</t>
        </is>
      </c>
      <c r="DQ103" s="245" t="inlineStr">
        <is>
          <t>23.04.2026</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CoQ-PP_26-042 of 06.06.2026</t>
        </is>
      </c>
      <c r="F104" s="245" t="inlineStr">
        <is>
          <t>(assigned on issue)</t>
        </is>
      </c>
      <c r="G104" s="245" t="inlineStr">
        <is>
          <t>PM092501</t>
        </is>
      </c>
      <c r="H104" s="245" t="inlineStr">
        <is>
          <t>P060062</t>
        </is>
      </c>
      <c r="I104" s="245" t="inlineStr">
        <is>
          <t>Permanent Marker</t>
        </is>
      </c>
      <c r="J104" s="245" t="inlineStr">
        <is>
          <t>11.12.2025</t>
        </is>
      </c>
      <c r="K104" s="245" t="inlineStr">
        <is>
          <t>30.01.2026</t>
        </is>
      </c>
      <c r="L104" s="245" t="inlineStr">
        <is>
          <t>11.12.2025</t>
        </is>
      </c>
      <c r="M104" s="245" t="inlineStr">
        <is>
          <t>30.01.2026</t>
        </is>
      </c>
      <c r="N104" s="245" t="inlineStr">
        <is>
          <t>iCoA-PP_26-118</t>
        </is>
      </c>
      <c r="O104" s="245" t="inlineStr">
        <is>
          <t>27.07.2026</t>
        </is>
      </c>
      <c r="P104" s="245" t="inlineStr">
        <is>
          <t>24.07.2026</t>
        </is>
      </c>
      <c r="Q104" s="245" t="inlineStr">
        <is>
          <t>Tranche 1</t>
        </is>
      </c>
      <c r="R104" s="245" t="inlineStr">
        <is>
          <t>12.25</t>
        </is>
      </c>
      <c r="S104" s="245" t="inlineStr">
        <is>
          <t>197-20-К/26</t>
        </is>
      </c>
      <c r="T104" s="245" t="inlineStr">
        <is>
          <t>II</t>
        </is>
      </c>
      <c r="U104" s="245" t="inlineStr">
        <is>
          <t>11.00 – 12.99 %</t>
        </is>
      </c>
      <c r="V104" s="245" t="inlineStr">
        <is>
          <t>PM_THC12 : CBD1</t>
        </is>
      </c>
      <c r="W104" s="245" t="inlineStr">
        <is>
          <t>QCSP_001_PM-II_v.01</t>
        </is>
      </c>
      <c r="X104" s="245" t="inlineStr">
        <is>
          <t>for review — replaces the issued QCSP_001_PM-II_v.01 (was PM_THC10 : CBD1, 9.00 – 11.00 %); now PM_THC12 : CBD1 11.00 – 12.99 %</t>
        </is>
      </c>
      <c r="Y104" s="245" t="inlineStr">
        <is>
          <t>HYBRID</t>
        </is>
      </c>
      <c r="Z104" s="245" t="inlineStr">
        <is>
          <t>THC</t>
        </is>
      </c>
      <c r="AA104" s="245" t="inlineStr">
        <is>
          <t>MACHINE TRIMMED</t>
        </is>
      </c>
      <c r="AB104" s="245" t="inlineStr">
        <is>
          <t>INDICA-DOMINANT</t>
        </is>
      </c>
      <c r="AC104" s="245" t="inlineStr">
        <is>
          <t>Triplex Alu Bag | Триплекс Aлу Kеса, PET 12 · ALU 7 · PE 80, 300 × 500 mm, net. 400.0 g ±3%</t>
        </is>
      </c>
      <c r="AD104" s="245" t="inlineStr">
        <is>
          <t>10.08.2026</t>
        </is>
      </c>
      <c r="AE104" s="245" t="inlineStr">
        <is>
          <t>Conforms | Одговара</t>
        </is>
      </c>
      <c r="AF104" s="245" t="inlineStr">
        <is>
          <t>iCoA-PP_26-118</t>
        </is>
      </c>
      <c r="AG104" s="245" t="inlineStr">
        <is>
          <t>27.07.2026</t>
        </is>
      </c>
      <c r="AH104" s="245" t="inlineStr">
        <is>
          <t>Purely Plant GmbH (in-house)</t>
        </is>
      </c>
      <c r="AI104" s="245" t="inlineStr">
        <is>
          <t>Conforms | Одговара</t>
        </is>
      </c>
      <c r="AJ104" s="245" t="inlineStr">
        <is>
          <t>iCoA-PP_26-118</t>
        </is>
      </c>
      <c r="AK104" s="245" t="inlineStr">
        <is>
          <t>27.07.2026</t>
        </is>
      </c>
      <c r="AL104" s="245" t="inlineStr">
        <is>
          <t>Purely Plant GmbH (in-house)</t>
        </is>
      </c>
      <c r="AM104" s="245" t="inlineStr">
        <is>
          <t>Conforms | Одговара</t>
        </is>
      </c>
      <c r="AN104" s="245" t="inlineStr">
        <is>
          <t>197-20-К/26</t>
        </is>
      </c>
      <c r="AO104" s="245" t="inlineStr">
        <is>
          <t>07.08.2026</t>
        </is>
      </c>
      <c r="AP104" s="245" t="inlineStr">
        <is>
          <t>Farmahem</t>
        </is>
      </c>
      <c r="AQ104" s="245" t="inlineStr">
        <is>
          <t>12.25</t>
        </is>
      </c>
      <c r="AR104" s="245" t="inlineStr">
        <is>
          <t>197-20-К/26</t>
        </is>
      </c>
      <c r="AS104" s="245" t="inlineStr">
        <is>
          <t>07.08.2026</t>
        </is>
      </c>
      <c r="AT104" s="245" t="inlineStr">
        <is>
          <t>Farmahem</t>
        </is>
      </c>
      <c r="AU104" s="245" t="inlineStr">
        <is>
          <t>&lt; LOQ</t>
        </is>
      </c>
      <c r="AV104" s="245" t="inlineStr">
        <is>
          <t>197-20-К/26</t>
        </is>
      </c>
      <c r="AW104" s="245" t="inlineStr">
        <is>
          <t>07.08.2026</t>
        </is>
      </c>
      <c r="AX104" s="245" t="inlineStr">
        <is>
          <t>Farmahem</t>
        </is>
      </c>
      <c r="AY104" s="245" t="inlineStr">
        <is>
          <t>&lt; LOQ</t>
        </is>
      </c>
      <c r="AZ104" s="245" t="inlineStr">
        <is>
          <t>197-20-К/26</t>
        </is>
      </c>
      <c r="BA104" s="245" t="inlineStr">
        <is>
          <t>07.08.2026</t>
        </is>
      </c>
      <c r="BB104" s="245" t="inlineStr">
        <is>
          <t>Farmahem</t>
        </is>
      </c>
      <c r="BC104" s="245" t="inlineStr">
        <is>
          <t>Conforms | Одговара</t>
        </is>
      </c>
      <c r="BD104" s="245" t="inlineStr">
        <is>
          <t>iCoA-PP_26-118</t>
        </is>
      </c>
      <c r="BE104" s="245" t="inlineStr">
        <is>
          <t>27.07.2026</t>
        </is>
      </c>
      <c r="BF104" s="245" t="inlineStr">
        <is>
          <t>Purely Plant GmbH (in-house)</t>
        </is>
      </c>
      <c r="BG104" s="245" t="inlineStr">
        <is>
          <t>7.97</t>
        </is>
      </c>
      <c r="BH104" s="245" t="inlineStr">
        <is>
          <t>ППК26004</t>
        </is>
      </c>
      <c r="BI104" s="245" t="inlineStr">
        <is>
          <t>21.01.2026</t>
        </is>
      </c>
      <c r="BJ104" s="245" t="inlineStr">
        <is>
          <t>UKIM Faculty of Pharmacy — Center for Natural Products</t>
        </is>
      </c>
      <c r="BK104" s="245" t="inlineStr">
        <is>
          <t>2 × 10³</t>
        </is>
      </c>
      <c r="BL104" s="245" t="inlineStr">
        <is>
          <t>6/0009/26</t>
        </is>
      </c>
      <c r="BM104" s="245" t="inlineStr">
        <is>
          <t>20.01.2026</t>
        </is>
      </c>
      <c r="BN104" s="245" t="inlineStr">
        <is>
          <t>IPH — Institute of Public Health</t>
        </is>
      </c>
      <c r="BO104" s="245" t="inlineStr">
        <is>
          <t>2.2 × 10³</t>
        </is>
      </c>
      <c r="BP104" s="245" t="inlineStr">
        <is>
          <t>6/0009/26</t>
        </is>
      </c>
      <c r="BQ104" s="245" t="inlineStr">
        <is>
          <t>20.01.2026</t>
        </is>
      </c>
      <c r="BR104" s="245" t="inlineStr">
        <is>
          <t>IPH — Institute of Public Health</t>
        </is>
      </c>
      <c r="BS104" s="245" t="inlineStr">
        <is>
          <t>&lt; 10</t>
        </is>
      </c>
      <c r="BT104" s="245" t="inlineStr">
        <is>
          <t>6/0009/26</t>
        </is>
      </c>
      <c r="BU104" s="245" t="inlineStr">
        <is>
          <t>20.01.2026</t>
        </is>
      </c>
      <c r="BV104" s="245" t="inlineStr">
        <is>
          <t>IPH — Institute of Public Health</t>
        </is>
      </c>
      <c r="BW104" s="245" t="inlineStr">
        <is>
          <t>Absent | Отсутна</t>
        </is>
      </c>
      <c r="BX104" s="245" t="inlineStr">
        <is>
          <t>6/0009/26</t>
        </is>
      </c>
      <c r="BY104" s="245" t="inlineStr">
        <is>
          <t>20.01.2026</t>
        </is>
      </c>
      <c r="BZ104" s="245" t="inlineStr">
        <is>
          <t>IPH — Institute of Public Health</t>
        </is>
      </c>
      <c r="CA104" s="245" t="inlineStr">
        <is>
          <t>Absent | Отсутна</t>
        </is>
      </c>
      <c r="CB104" s="245" t="inlineStr">
        <is>
          <t>6/0009/26</t>
        </is>
      </c>
      <c r="CC104" s="245" t="inlineStr">
        <is>
          <t>20.01.2026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197-20-М/26</t>
        </is>
      </c>
      <c r="CO104" s="245" t="inlineStr">
        <is>
          <t>10.08.2026</t>
        </is>
      </c>
      <c r="CP104" s="245" t="inlineStr">
        <is>
          <t>Farmahem</t>
        </is>
      </c>
      <c r="CQ104" s="245" t="inlineStr">
        <is>
          <t>ND</t>
        </is>
      </c>
      <c r="CR104" s="245" t="inlineStr">
        <is>
          <t>197-20-М/26</t>
        </is>
      </c>
      <c r="CS104" s="245" t="inlineStr">
        <is>
          <t>10.08.2026</t>
        </is>
      </c>
      <c r="CT104" s="245" t="inlineStr">
        <is>
          <t>Farmahem</t>
        </is>
      </c>
      <c r="CU104" s="245" t="inlineStr">
        <is>
          <t>ND</t>
        </is>
      </c>
      <c r="CV104" s="245" t="inlineStr">
        <is>
          <t>197-20-М/26</t>
        </is>
      </c>
      <c r="CW104" s="245" t="inlineStr">
        <is>
          <t>10.08.2026</t>
        </is>
      </c>
      <c r="CX104" s="245" t="inlineStr">
        <is>
          <t>Farmahem</t>
        </is>
      </c>
      <c r="CY104" s="245" t="inlineStr">
        <is>
          <t>0.03</t>
        </is>
      </c>
      <c r="CZ104" s="245" t="inlineStr">
        <is>
          <t>83/2026</t>
        </is>
      </c>
      <c r="DA104" s="245" t="inlineStr">
        <is>
          <t>02.02.2026</t>
        </is>
      </c>
      <c r="DB104" s="245" t="inlineStr">
        <is>
          <t>IPH — Institute of Public Health</t>
        </is>
      </c>
      <c r="DC104" s="245" t="inlineStr">
        <is>
          <t>ND</t>
        </is>
      </c>
      <c r="DD104" s="245" t="inlineStr">
        <is>
          <t>83/2026</t>
        </is>
      </c>
      <c r="DE104" s="245" t="inlineStr">
        <is>
          <t>02.02.2026</t>
        </is>
      </c>
      <c r="DF104" s="245" t="inlineStr">
        <is>
          <t>IPH — Institute of Public Health</t>
        </is>
      </c>
      <c r="DG104" s="245" t="inlineStr">
        <is>
          <t>ND</t>
        </is>
      </c>
      <c r="DH104" s="245" t="inlineStr">
        <is>
          <t>83/2026</t>
        </is>
      </c>
      <c r="DI104" s="245" t="inlineStr">
        <is>
          <t>02.02.2026</t>
        </is>
      </c>
      <c r="DJ104" s="245" t="inlineStr">
        <is>
          <t>IPH — Institute of Public Health</t>
        </is>
      </c>
      <c r="DK104" s="245" t="inlineStr">
        <is>
          <t>ND</t>
        </is>
      </c>
      <c r="DL104" s="245" t="inlineStr">
        <is>
          <t>83/2026</t>
        </is>
      </c>
      <c r="DM104" s="245" t="inlineStr">
        <is>
          <t>02.02.2026</t>
        </is>
      </c>
      <c r="DN104" s="245" t="inlineStr">
        <is>
          <t>IPH — Institute of Public Health</t>
        </is>
      </c>
      <c r="DO104" s="245" t="inlineStr">
        <is>
          <t>ND</t>
        </is>
      </c>
      <c r="DP104" s="245" t="inlineStr">
        <is>
          <t>83/2026</t>
        </is>
      </c>
      <c r="DQ104" s="245" t="inlineStr">
        <is>
          <t>02.02.2026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CoQ-PP_26-074 of 06.06.2026</t>
        </is>
      </c>
      <c r="F105" s="245" t="inlineStr">
        <is>
          <t>(assigned on issue)</t>
        </is>
      </c>
      <c r="G105" s="245" t="inlineStr">
        <is>
          <t>SCR012603</t>
        </is>
      </c>
      <c r="H105" s="245" t="inlineStr">
        <is>
          <t>P060382</t>
        </is>
      </c>
      <c r="I105" s="245" t="inlineStr">
        <is>
          <t>Scrambler</t>
        </is>
      </c>
      <c r="J105" s="245" t="inlineStr">
        <is>
          <t>22.04.2026</t>
        </is>
      </c>
      <c r="K105" s="245" t="inlineStr">
        <is>
          <t>25.05.2026</t>
        </is>
      </c>
      <c r="L105" s="245" t="inlineStr">
        <is>
          <t>22.04.2026</t>
        </is>
      </c>
      <c r="M105" s="245" t="inlineStr">
        <is>
          <t>25.05.2026</t>
        </is>
      </c>
      <c r="N105" s="245" t="inlineStr">
        <is>
          <t>iCoA-PP_26-117</t>
        </is>
      </c>
      <c r="O105" s="245" t="inlineStr">
        <is>
          <t>27.07.2026</t>
        </is>
      </c>
      <c r="P105" s="245" t="inlineStr">
        <is>
          <t>24.07.2026</t>
        </is>
      </c>
      <c r="Q105" s="245" t="inlineStr">
        <is>
          <t>Tranche 1</t>
        </is>
      </c>
      <c r="R105" s="245" t="inlineStr">
        <is>
          <t>17.84</t>
        </is>
      </c>
      <c r="S105" s="245" t="inlineStr">
        <is>
          <t>197-21-К/26</t>
        </is>
      </c>
      <c r="T105" s="245" t="inlineStr">
        <is>
          <t>II</t>
        </is>
      </c>
      <c r="U105" s="245" t="inlineStr">
        <is>
          <t>16.20 – 19.79 %</t>
        </is>
      </c>
      <c r="V105" s="245" t="inlineStr">
        <is>
          <t>SCR_THC18 : CBD1</t>
        </is>
      </c>
      <c r="W105" s="245" t="inlineStr">
        <is>
          <t>QCSP_001_SCR-II_v.01</t>
        </is>
      </c>
      <c r="X105" s="245" t="inlineStr">
        <is>
          <t>for review — replaces the issued QCSP_001_SCR-II_v.01 (was SCR_THC18 : CBD1, 16.20 – 19.80 %); now SCR_THC18 : CBD1 16.20 – 19.79 %</t>
        </is>
      </c>
      <c r="Y105" s="245" t="inlineStr">
        <is>
          <t>HYBRID</t>
        </is>
      </c>
      <c r="Z105" s="245" t="inlineStr">
        <is>
          <t>THC</t>
        </is>
      </c>
      <c r="AA105" s="245" t="inlineStr">
        <is>
          <t>MACHINE TRIMMED</t>
        </is>
      </c>
      <c r="AB105" s="245" t="inlineStr">
        <is>
          <t>TO BE DETERMINED</t>
        </is>
      </c>
      <c r="AC105" s="245" t="inlineStr">
        <is>
          <t>Triplex Alu Bag | Триплекс Aлу Kеса, PET 12 · ALU 7 · PE 80, 300 × 500 mm, net. 400.0 g ±3%</t>
        </is>
      </c>
      <c r="AD105" s="245" t="inlineStr">
        <is>
          <t>10.08.2026</t>
        </is>
      </c>
      <c r="AE105" s="245" t="inlineStr">
        <is>
          <t>Conforms | Одговара</t>
        </is>
      </c>
      <c r="AF105" s="245" t="inlineStr">
        <is>
          <t>iCoA-PP_26-117</t>
        </is>
      </c>
      <c r="AG105" s="245" t="inlineStr">
        <is>
          <t>27.07.2026</t>
        </is>
      </c>
      <c r="AH105" s="245" t="inlineStr">
        <is>
          <t>Purely Plant GmbH (in-house)</t>
        </is>
      </c>
      <c r="AI105" s="245" t="inlineStr">
        <is>
          <t>Conforms | Одговара</t>
        </is>
      </c>
      <c r="AJ105" s="245" t="inlineStr">
        <is>
          <t>iCoA-PP_26-117</t>
        </is>
      </c>
      <c r="AK105" s="245" t="inlineStr">
        <is>
          <t>27.07.2026</t>
        </is>
      </c>
      <c r="AL105" s="245" t="inlineStr">
        <is>
          <t>Purely Plant GmbH (in-house)</t>
        </is>
      </c>
      <c r="AM105" s="245" t="inlineStr">
        <is>
          <t>Conforms | Одговара</t>
        </is>
      </c>
      <c r="AN105" s="245" t="inlineStr">
        <is>
          <t>197-21-К/26</t>
        </is>
      </c>
      <c r="AO105" s="245" t="inlineStr">
        <is>
          <t>07.08.2026</t>
        </is>
      </c>
      <c r="AP105" s="245" t="inlineStr">
        <is>
          <t>Farmahem</t>
        </is>
      </c>
      <c r="AQ105" s="245" t="inlineStr">
        <is>
          <t>17.84</t>
        </is>
      </c>
      <c r="AR105" s="245" t="inlineStr">
        <is>
          <t>197-21-К/26</t>
        </is>
      </c>
      <c r="AS105" s="245" t="inlineStr">
        <is>
          <t>07.08.2026</t>
        </is>
      </c>
      <c r="AT105" s="245" t="inlineStr">
        <is>
          <t>Farmahem</t>
        </is>
      </c>
      <c r="AU105" s="245" t="inlineStr">
        <is>
          <t>&lt; LOQ</t>
        </is>
      </c>
      <c r="AV105" s="245" t="inlineStr">
        <is>
          <t>197-21-К/26</t>
        </is>
      </c>
      <c r="AW105" s="245" t="inlineStr">
        <is>
          <t>07.08.2026</t>
        </is>
      </c>
      <c r="AX105" s="245" t="inlineStr">
        <is>
          <t>Farmahem</t>
        </is>
      </c>
      <c r="AY105" s="245" t="inlineStr">
        <is>
          <t>&lt; LOQ</t>
        </is>
      </c>
      <c r="AZ105" s="245" t="inlineStr">
        <is>
          <t>197-21-К/26</t>
        </is>
      </c>
      <c r="BA105" s="245" t="inlineStr">
        <is>
          <t>07.08.2026</t>
        </is>
      </c>
      <c r="BB105" s="245" t="inlineStr">
        <is>
          <t>Farmahem</t>
        </is>
      </c>
      <c r="BC105" s="245" t="inlineStr">
        <is>
          <t>Conforms | Одговара</t>
        </is>
      </c>
      <c r="BD105" s="245" t="inlineStr">
        <is>
          <t>iCoA-PP_26-117</t>
        </is>
      </c>
      <c r="BE105" s="245" t="inlineStr">
        <is>
          <t>27.07.2026</t>
        </is>
      </c>
      <c r="BF105" s="245" t="inlineStr">
        <is>
          <t>Purely Plant GmbH (in-house)</t>
        </is>
      </c>
      <c r="BG105" s="245" t="inlineStr">
        <is>
          <t>carried from the initial testing — not tested</t>
        </is>
      </c>
      <c r="BH105" s="245" t="inlineStr">
        <is>
          <t>—</t>
        </is>
      </c>
      <c r="BI105" s="245" t="inlineStr">
        <is>
          <t>—</t>
        </is>
      </c>
      <c r="BJ105" s="245" t="inlineStr">
        <is>
          <t>—</t>
        </is>
      </c>
      <c r="BK105" s="245" t="inlineStr">
        <is>
          <t>5.4 × 10⁴</t>
        </is>
      </c>
      <c r="BL105" s="245" t="inlineStr">
        <is>
          <t>364/0694/26</t>
        </is>
      </c>
      <c r="BM105" s="245" t="inlineStr">
        <is>
          <t>01.06.2026</t>
        </is>
      </c>
      <c r="BN105" s="245" t="inlineStr">
        <is>
          <t>IPH — Institute of Public Health</t>
        </is>
      </c>
      <c r="BO105" s="245" t="inlineStr">
        <is>
          <t>1.8 × 10⁴</t>
        </is>
      </c>
      <c r="BP105" s="245" t="inlineStr">
        <is>
          <t>364/0694/26</t>
        </is>
      </c>
      <c r="BQ105" s="245" t="inlineStr">
        <is>
          <t>01.06.2026</t>
        </is>
      </c>
      <c r="BR105" s="245" t="inlineStr">
        <is>
          <t>IPH — Institute of Public Health</t>
        </is>
      </c>
      <c r="BS105" s="245" t="inlineStr">
        <is>
          <t>&lt; 10</t>
        </is>
      </c>
      <c r="BT105" s="245" t="inlineStr">
        <is>
          <t>364/0694/26</t>
        </is>
      </c>
      <c r="BU105" s="245" t="inlineStr">
        <is>
          <t>01.06.2026</t>
        </is>
      </c>
      <c r="BV105" s="245" t="inlineStr">
        <is>
          <t>IPH — Institute of Public Health</t>
        </is>
      </c>
      <c r="BW105" s="245" t="inlineStr">
        <is>
          <t>Absent | Отсутна</t>
        </is>
      </c>
      <c r="BX105" s="245" t="inlineStr">
        <is>
          <t>364/0694/26</t>
        </is>
      </c>
      <c r="BY105" s="245" t="inlineStr">
        <is>
          <t>01.06.2026</t>
        </is>
      </c>
      <c r="BZ105" s="245" t="inlineStr">
        <is>
          <t>IPH — Institute of Public Health</t>
        </is>
      </c>
      <c r="CA105" s="245" t="inlineStr">
        <is>
          <t>Absent | Отсутна</t>
        </is>
      </c>
      <c r="CB105" s="245" t="inlineStr">
        <is>
          <t>364/0694/26</t>
        </is>
      </c>
      <c r="CC105" s="245" t="inlineStr">
        <is>
          <t>01.06.2026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197-21-М/26</t>
        </is>
      </c>
      <c r="CO105" s="245" t="inlineStr">
        <is>
          <t>10.08.2026</t>
        </is>
      </c>
      <c r="CP105" s="245" t="inlineStr">
        <is>
          <t>Farmahem</t>
        </is>
      </c>
      <c r="CQ105" s="245" t="inlineStr">
        <is>
          <t>ND</t>
        </is>
      </c>
      <c r="CR105" s="245" t="inlineStr">
        <is>
          <t>197-21-М/26</t>
        </is>
      </c>
      <c r="CS105" s="245" t="inlineStr">
        <is>
          <t>10.08.2026</t>
        </is>
      </c>
      <c r="CT105" s="245" t="inlineStr">
        <is>
          <t>Farmahem</t>
        </is>
      </c>
      <c r="CU105" s="245" t="inlineStr">
        <is>
          <t>ND</t>
        </is>
      </c>
      <c r="CV105" s="245" t="inlineStr">
        <is>
          <t>197-21-М/26</t>
        </is>
      </c>
      <c r="CW105" s="245" t="inlineStr">
        <is>
          <t>10.08.2026</t>
        </is>
      </c>
      <c r="CX105" s="245" t="inlineStr">
        <is>
          <t>Farmahem</t>
        </is>
      </c>
      <c r="CY105" s="245" t="inlineStr">
        <is>
          <t>carried from the initial testing — not tested</t>
        </is>
      </c>
      <c r="CZ105" s="245" t="inlineStr">
        <is>
          <t>—</t>
        </is>
      </c>
      <c r="DA105" s="245" t="inlineStr">
        <is>
          <t>—</t>
        </is>
      </c>
      <c r="DB105" s="245" t="inlineStr">
        <is>
          <t>—</t>
        </is>
      </c>
      <c r="DC105" s="245" t="inlineStr">
        <is>
          <t>carried from the initial testing — not tested</t>
        </is>
      </c>
      <c r="DD105" s="245" t="inlineStr">
        <is>
          <t>—</t>
        </is>
      </c>
      <c r="DE105" s="245" t="inlineStr">
        <is>
          <t>—</t>
        </is>
      </c>
      <c r="DF105" s="245" t="inlineStr">
        <is>
          <t>—</t>
        </is>
      </c>
      <c r="DG105" s="245" t="inlineStr">
        <is>
          <t>carried from the initial testing — not tested</t>
        </is>
      </c>
      <c r="DH105" s="245" t="inlineStr">
        <is>
          <t>—</t>
        </is>
      </c>
      <c r="DI105" s="245" t="inlineStr">
        <is>
          <t>—</t>
        </is>
      </c>
      <c r="DJ105" s="245" t="inlineStr">
        <is>
          <t>—</t>
        </is>
      </c>
      <c r="DK105" s="245" t="inlineStr">
        <is>
          <t>carried from the initial testing — not tested</t>
        </is>
      </c>
      <c r="DL105" s="245" t="inlineStr">
        <is>
          <t>—</t>
        </is>
      </c>
      <c r="DM105" s="245" t="inlineStr">
        <is>
          <t>—</t>
        </is>
      </c>
      <c r="DN105" s="245" t="inlineStr">
        <is>
          <t>—</t>
        </is>
      </c>
      <c r="DO105" s="245" t="inlineStr">
        <is>
          <t>carried from the initial testing — not tested</t>
        </is>
      </c>
      <c r="DP105" s="245" t="inlineStr">
        <is>
          <t>—</t>
        </is>
      </c>
      <c r="DQ105" s="245" t="inlineStr">
        <is>
          <t>—</t>
        </is>
      </c>
      <c r="DR105" s="245" t="inlineStr">
        <is>
          <t>—</t>
        </is>
      </c>
    </row>
    <row r="106">
      <c r="A106" s="245" t="inlineStr">
        <is>
          <t>CoQ-PP_26-105</t>
        </is>
      </c>
      <c r="B106" s="245" t="inlineStr">
        <is>
          <t>reissue — 12-month retest</t>
        </is>
      </c>
      <c r="C106" s="245" t="inlineStr">
        <is>
          <t>issuable</t>
        </is>
      </c>
      <c r="D106" s="245" t="inlineStr">
        <is>
          <t>07.09.2026</t>
        </is>
      </c>
      <c r="E106" s="245" t="inlineStr">
        <is>
          <t>CoQ-PP_26-027 of 06.06.2026</t>
        </is>
      </c>
      <c r="F106" s="245" t="inlineStr">
        <is>
          <t>(assigned on issue)</t>
        </is>
      </c>
      <c r="G106" s="245" t="inlineStr">
        <is>
          <t>CJ062501-2</t>
        </is>
      </c>
      <c r="H106" s="245" t="inlineStr">
        <is>
          <t>P050212</t>
        </is>
      </c>
      <c r="I106" s="245" t="inlineStr">
        <is>
          <t>Cap Junkie</t>
        </is>
      </c>
      <c r="J106" s="245" t="inlineStr">
        <is>
          <t>23.09.2025 – 24.09.2025</t>
        </is>
      </c>
      <c r="K106" s="245" t="inlineStr">
        <is>
          <t>18.11.2025 – 24.11.2025</t>
        </is>
      </c>
      <c r="L106" s="245" t="inlineStr">
        <is>
          <t>—</t>
        </is>
      </c>
      <c r="M106" s="245" t="inlineStr">
        <is>
          <t>—</t>
        </is>
      </c>
      <c r="N106" s="245" t="inlineStr">
        <is>
          <t>iCoA-PP_26-101</t>
        </is>
      </c>
      <c r="O106" s="245" t="inlineStr">
        <is>
          <t>27.07.2026</t>
        </is>
      </c>
      <c r="P106" s="245" t="inlineStr">
        <is>
          <t>21.07.2026</t>
        </is>
      </c>
      <c r="Q106" s="245" t="inlineStr">
        <is>
          <t>Tranche 1</t>
        </is>
      </c>
      <c r="R106" s="245" t="inlineStr">
        <is>
          <t>18.91</t>
        </is>
      </c>
      <c r="S106" s="245" t="inlineStr">
        <is>
          <t>197-4-К/26</t>
        </is>
      </c>
      <c r="T106" s="245" t="inlineStr">
        <is>
          <t>III</t>
        </is>
      </c>
      <c r="U106" s="245" t="inlineStr">
        <is>
          <t>18.40 – 21.59 %</t>
        </is>
      </c>
      <c r="V106" s="245" t="inlineStr">
        <is>
          <t>CJ_THC20 : CBD1</t>
        </is>
      </c>
      <c r="W106" s="245" t="inlineStr">
        <is>
          <t>QCSP_001_CJ-III_v.01</t>
        </is>
      </c>
      <c r="X106" s="245" t="inlineStr">
        <is>
          <t>for review — replaces the issued QCSP_001_CJ-III_v.01 (was CJ_THC24 : CBD1, 23.00 – 25.00 %); now CJ_THC20 : CBD1 18.40 – 21.59 %</t>
        </is>
      </c>
      <c r="Y106" s="245" t="inlineStr">
        <is>
          <t>HYBRID</t>
        </is>
      </c>
      <c r="Z106" s="245" t="inlineStr">
        <is>
          <t>THC</t>
        </is>
      </c>
      <c r="AA106" s="245" t="inlineStr">
        <is>
          <t>MACHINE TRIMMED</t>
        </is>
      </c>
      <c r="AB106" s="245" t="inlineStr">
        <is>
          <t>INDICA 60 : SATIVA 40</t>
        </is>
      </c>
      <c r="AC106" s="245" t="inlineStr">
        <is>
          <t>Triplex Alu Bag | Триплекс Aлу Kеса, PET 12 · ALU 7 · PE 80, 300 × 500 mm, net. 400.0 g ±3%</t>
        </is>
      </c>
      <c r="AD106" s="245" t="inlineStr">
        <is>
          <t>31.08.2026</t>
        </is>
      </c>
      <c r="AE106" s="245" t="inlineStr">
        <is>
          <t>Conforms | Одговара</t>
        </is>
      </c>
      <c r="AF106" s="245" t="inlineStr">
        <is>
          <t>iCoA-PP_26-101</t>
        </is>
      </c>
      <c r="AG106" s="245" t="inlineStr">
        <is>
          <t>27.07.2026</t>
        </is>
      </c>
      <c r="AH106" s="245" t="inlineStr">
        <is>
          <t>Purely Plant GmbH (in-house)</t>
        </is>
      </c>
      <c r="AI106" s="245" t="inlineStr">
        <is>
          <t>Conforms | Одговара</t>
        </is>
      </c>
      <c r="AJ106" s="245" t="inlineStr">
        <is>
          <t>iCoA-PP_26-101</t>
        </is>
      </c>
      <c r="AK106" s="245" t="inlineStr">
        <is>
          <t>27.07.2026</t>
        </is>
      </c>
      <c r="AL106" s="245" t="inlineStr">
        <is>
          <t>Purely Plant GmbH (in-house)</t>
        </is>
      </c>
      <c r="AM106" s="245" t="inlineStr">
        <is>
          <t>Conforms | Одговара</t>
        </is>
      </c>
      <c r="AN106" s="245" t="inlineStr">
        <is>
          <t>197-4-К/26</t>
        </is>
      </c>
      <c r="AO106" s="245" t="inlineStr">
        <is>
          <t>07.08.2026</t>
        </is>
      </c>
      <c r="AP106" s="245" t="inlineStr">
        <is>
          <t>Farmahem</t>
        </is>
      </c>
      <c r="AQ106" s="245" t="inlineStr">
        <is>
          <t>18.91</t>
        </is>
      </c>
      <c r="AR106" s="245" t="inlineStr">
        <is>
          <t>197-4-К/26</t>
        </is>
      </c>
      <c r="AS106" s="245" t="inlineStr">
        <is>
          <t>07.08.2026</t>
        </is>
      </c>
      <c r="AT106" s="245" t="inlineStr">
        <is>
          <t>Farmahem</t>
        </is>
      </c>
      <c r="AU106" s="245" t="inlineStr">
        <is>
          <t>&lt; LOQ</t>
        </is>
      </c>
      <c r="AV106" s="245" t="inlineStr">
        <is>
          <t>197-4-К/26</t>
        </is>
      </c>
      <c r="AW106" s="245" t="inlineStr">
        <is>
          <t>07.08.2026</t>
        </is>
      </c>
      <c r="AX106" s="245" t="inlineStr">
        <is>
          <t>Farmahem</t>
        </is>
      </c>
      <c r="AY106" s="245" t="inlineStr">
        <is>
          <t>&lt; LOQ</t>
        </is>
      </c>
      <c r="AZ106" s="245" t="inlineStr">
        <is>
          <t>197-4-К/26</t>
        </is>
      </c>
      <c r="BA106" s="245" t="inlineStr">
        <is>
          <t>07.08.2026</t>
        </is>
      </c>
      <c r="BB106" s="245" t="inlineStr">
        <is>
          <t>Farmahem</t>
        </is>
      </c>
      <c r="BC106" s="245" t="inlineStr">
        <is>
          <t>Conforms | Одговара</t>
        </is>
      </c>
      <c r="BD106" s="245" t="inlineStr">
        <is>
          <t>iCoA-PP_26-101</t>
        </is>
      </c>
      <c r="BE106" s="245" t="inlineStr">
        <is>
          <t>27.07.2026</t>
        </is>
      </c>
      <c r="BF106" s="245" t="inlineStr">
        <is>
          <t>Purely Plant GmbH (in-house)</t>
        </is>
      </c>
      <c r="BG106" s="245" t="inlineStr">
        <is>
          <t>6.70</t>
        </is>
      </c>
      <c r="BH106" s="245" t="inlineStr">
        <is>
          <t>ППК25322</t>
        </is>
      </c>
      <c r="BI106" s="245" t="inlineStr">
        <is>
          <t>23.10.2025</t>
        </is>
      </c>
      <c r="BJ106" s="245" t="inlineStr">
        <is>
          <t>UKIM Faculty of Pharmacy — Center for Natural Products</t>
        </is>
      </c>
      <c r="BK106" s="245" t="inlineStr">
        <is>
          <t>6,2 × 10³</t>
        </is>
      </c>
      <c r="BL106" s="245" t="inlineStr">
        <is>
          <t>534/1065/26</t>
        </is>
      </c>
      <c r="BM106" s="245" t="inlineStr">
        <is>
          <t>31.08.2026</t>
        </is>
      </c>
      <c r="BN106" s="245" t="inlineStr">
        <is>
          <t>IPH — Institute of Public Health</t>
        </is>
      </c>
      <c r="BO106" s="245" t="inlineStr">
        <is>
          <t>2,3 × 10²</t>
        </is>
      </c>
      <c r="BP106" s="245" t="inlineStr">
        <is>
          <t>534/1065/26</t>
        </is>
      </c>
      <c r="BQ106" s="245" t="inlineStr">
        <is>
          <t>31.08.2026</t>
        </is>
      </c>
      <c r="BR106" s="245" t="inlineStr">
        <is>
          <t>IPH — Institute of Public Health</t>
        </is>
      </c>
      <c r="BS106" s="245" t="inlineStr">
        <is>
          <t>&lt; 10⁴ and &gt; 10³</t>
        </is>
      </c>
      <c r="BT106" s="245" t="inlineStr">
        <is>
          <t>534/1065/26</t>
        </is>
      </c>
      <c r="BU106" s="245" t="inlineStr">
        <is>
          <t>31.08.2026</t>
        </is>
      </c>
      <c r="BV106" s="245" t="inlineStr">
        <is>
          <t>IPH — Institute of Public Health</t>
        </is>
      </c>
      <c r="BW106" s="245" t="inlineStr">
        <is>
          <t>Absent | Отсутна</t>
        </is>
      </c>
      <c r="BX106" s="245" t="inlineStr">
        <is>
          <t>534/1065/26</t>
        </is>
      </c>
      <c r="BY106" s="245" t="inlineStr">
        <is>
          <t>31.08.2026</t>
        </is>
      </c>
      <c r="BZ106" s="245" t="inlineStr">
        <is>
          <t>IPH — Institute of Public Health</t>
        </is>
      </c>
      <c r="CA106" s="245" t="inlineStr">
        <is>
          <t>Absent | Отсутна</t>
        </is>
      </c>
      <c r="CB106" s="245" t="inlineStr">
        <is>
          <t>534/1065/26</t>
        </is>
      </c>
      <c r="CC106" s="245" t="inlineStr">
        <is>
          <t>31.08.2026</t>
        </is>
      </c>
      <c r="CD106" s="245" t="inlineStr">
        <is>
          <t>IPH — Institute of Public Health</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197-4-М/26</t>
        </is>
      </c>
      <c r="CO106" s="245" t="inlineStr">
        <is>
          <t>10.08.2026</t>
        </is>
      </c>
      <c r="CP106" s="245" t="inlineStr">
        <is>
          <t>Farmahem</t>
        </is>
      </c>
      <c r="CQ106" s="245" t="inlineStr">
        <is>
          <t>ND</t>
        </is>
      </c>
      <c r="CR106" s="245" t="inlineStr">
        <is>
          <t>197-4-М/26</t>
        </is>
      </c>
      <c r="CS106" s="245" t="inlineStr">
        <is>
          <t>10.08.2026</t>
        </is>
      </c>
      <c r="CT106" s="245" t="inlineStr">
        <is>
          <t>Farmahem</t>
        </is>
      </c>
      <c r="CU106" s="245" t="inlineStr">
        <is>
          <t>ND</t>
        </is>
      </c>
      <c r="CV106" s="245" t="inlineStr">
        <is>
          <t>197-4-М/26</t>
        </is>
      </c>
      <c r="CW106" s="245" t="inlineStr">
        <is>
          <t>10.08.2026</t>
        </is>
      </c>
      <c r="CX106" s="245" t="inlineStr">
        <is>
          <t>Farmahem</t>
        </is>
      </c>
      <c r="CY106" s="245" t="inlineStr">
        <is>
          <t>0.026</t>
        </is>
      </c>
      <c r="CZ106" s="245" t="inlineStr">
        <is>
          <t>4908/2025</t>
        </is>
      </c>
      <c r="DA106" s="245" t="inlineStr">
        <is>
          <t>24.10.2025</t>
        </is>
      </c>
      <c r="DB106" s="245" t="inlineStr">
        <is>
          <t>IPH — Institute of Public Health</t>
        </is>
      </c>
      <c r="DC106" s="245" t="inlineStr">
        <is>
          <t>0.002</t>
        </is>
      </c>
      <c r="DD106" s="245" t="inlineStr">
        <is>
          <t>4908/2025</t>
        </is>
      </c>
      <c r="DE106" s="245" t="inlineStr">
        <is>
          <t>24.10.2025</t>
        </is>
      </c>
      <c r="DF106" s="245" t="inlineStr">
        <is>
          <t>IPH — Institute of Public Health</t>
        </is>
      </c>
      <c r="DG106" s="245" t="inlineStr">
        <is>
          <t>0.011</t>
        </is>
      </c>
      <c r="DH106" s="245" t="inlineStr">
        <is>
          <t>4908/2025</t>
        </is>
      </c>
      <c r="DI106" s="245" t="inlineStr">
        <is>
          <t>24.10.2025</t>
        </is>
      </c>
      <c r="DJ106" s="245" t="inlineStr">
        <is>
          <t>IPH — Institute of Public Health</t>
        </is>
      </c>
      <c r="DK106" s="245" t="inlineStr">
        <is>
          <t>0.012</t>
        </is>
      </c>
      <c r="DL106" s="245" t="inlineStr">
        <is>
          <t>4908/2025</t>
        </is>
      </c>
      <c r="DM106" s="245" t="inlineStr">
        <is>
          <t>24.10.2025</t>
        </is>
      </c>
      <c r="DN106" s="245" t="inlineStr">
        <is>
          <t>IPH — Institute of Public Health</t>
        </is>
      </c>
      <c r="DO106" s="245" t="inlineStr">
        <is>
          <t>ND</t>
        </is>
      </c>
      <c r="DP106" s="245" t="inlineStr">
        <is>
          <t>4908/2025</t>
        </is>
      </c>
      <c r="DQ106" s="245" t="inlineStr">
        <is>
          <t>24.10.2025</t>
        </is>
      </c>
      <c r="DR106" s="245" t="inlineStr">
        <is>
          <t>IPH — Institute of Public Health</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10.80 – 13.19 %</t>
        </is>
      </c>
      <c r="V107" s="245" t="inlineStr">
        <is>
          <t>ACC_THC12 : CBD1</t>
        </is>
      </c>
      <c r="W107" s="245" t="inlineStr">
        <is>
          <t>QCSP_001_ACC-I_v.01</t>
        </is>
      </c>
      <c r="X107" s="245" t="inlineStr">
        <is>
          <t>for review — replaces the issued QCSP_001_ACC-I_v.01 (was ACC_THC12 : CBD1, 10.80 – 13.20 %); now ACC_THC12 : CBD1 10.80 – 13.19 %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5" t="inlineStr">
        <is>
          <t>Conforms | Одговара</t>
        </is>
      </c>
      <c r="AF107" s="245" t="inlineStr">
        <is>
          <t>iCoA-PP_26-121</t>
        </is>
      </c>
      <c r="AG107" s="245" t="inlineStr">
        <is>
          <t>17.08.2026</t>
        </is>
      </c>
      <c r="AH107" s="245" t="inlineStr">
        <is>
          <t>Purely Plant GmbH (in-house)</t>
        </is>
      </c>
      <c r="AI107" s="245" t="inlineStr">
        <is>
          <t>Conforms | Одговара</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5" t="inlineStr">
        <is>
          <t>Conforms | Одговара</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1 × 10³</t>
        </is>
      </c>
      <c r="BL107" s="245" t="inlineStr">
        <is>
          <t>77/0120/26</t>
        </is>
      </c>
      <c r="BM107" s="245" t="inlineStr">
        <is>
          <t>09.02.2026</t>
        </is>
      </c>
      <c r="BN107" s="245" t="inlineStr">
        <is>
          <t>IPH — Institute of Public Health</t>
        </is>
      </c>
      <c r="BO107" s="245" t="inlineStr">
        <is>
          <t>1.6 × 10³</t>
        </is>
      </c>
      <c r="BP107" s="245" t="inlineStr">
        <is>
          <t>77/0120/26</t>
        </is>
      </c>
      <c r="BQ107" s="245" t="inlineStr">
        <is>
          <t>09.02.2026</t>
        </is>
      </c>
      <c r="BR107" s="245" t="inlineStr">
        <is>
          <t>IPH — Institute of Public Health</t>
        </is>
      </c>
      <c r="BS107" s="245" t="inlineStr">
        <is>
          <t>&lt; 10</t>
        </is>
      </c>
      <c r="BT107" s="245" t="inlineStr">
        <is>
          <t>77/0120/26</t>
        </is>
      </c>
      <c r="BU107" s="245" t="inlineStr">
        <is>
          <t>09.02.2026</t>
        </is>
      </c>
      <c r="BV107" s="245" t="inlineStr">
        <is>
          <t>IPH — Institute of Public Health</t>
        </is>
      </c>
      <c r="BW107" s="245" t="inlineStr">
        <is>
          <t>Absent | Отсутна</t>
        </is>
      </c>
      <c r="BX107" s="245" t="inlineStr">
        <is>
          <t>77/0120/26</t>
        </is>
      </c>
      <c r="BY107" s="245" t="inlineStr">
        <is>
          <t>09.02.2026</t>
        </is>
      </c>
      <c r="BZ107" s="245" t="inlineStr">
        <is>
          <t>IPH — Institute of Public Health</t>
        </is>
      </c>
      <c r="CA107" s="245" t="inlineStr">
        <is>
          <t>Absent | Отсутна</t>
        </is>
      </c>
      <c r="CB107" s="245" t="inlineStr">
        <is>
          <t>77/0120/26</t>
        </is>
      </c>
      <c r="CC107" s="245" t="inlineStr">
        <is>
          <t>09.02.2026</t>
        </is>
      </c>
      <c r="CD107" s="245" t="inlineStr">
        <is>
          <t>IPH — Institute of Public Health</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0.078</t>
        </is>
      </c>
      <c r="CZ107" s="245" t="inlineStr">
        <is>
          <t>326/2026</t>
        </is>
      </c>
      <c r="DA107" s="245" t="inlineStr">
        <is>
          <t>11.02.2026</t>
        </is>
      </c>
      <c r="DB107" s="245" t="inlineStr">
        <is>
          <t>IPH — Institute of Public Health</t>
        </is>
      </c>
      <c r="DC107" s="245" t="inlineStr">
        <is>
          <t>ND</t>
        </is>
      </c>
      <c r="DD107" s="245" t="inlineStr">
        <is>
          <t>326/2026</t>
        </is>
      </c>
      <c r="DE107" s="245" t="inlineStr">
        <is>
          <t>11.02.2026</t>
        </is>
      </c>
      <c r="DF107" s="245" t="inlineStr">
        <is>
          <t>IPH — Institute of Public Health</t>
        </is>
      </c>
      <c r="DG107" s="245" t="inlineStr">
        <is>
          <t>0.022</t>
        </is>
      </c>
      <c r="DH107" s="245" t="inlineStr">
        <is>
          <t>326/2026</t>
        </is>
      </c>
      <c r="DI107" s="245" t="inlineStr">
        <is>
          <t>11.02.2026</t>
        </is>
      </c>
      <c r="DJ107" s="245" t="inlineStr">
        <is>
          <t>IPH — Institute of Public Health</t>
        </is>
      </c>
      <c r="DK107" s="245" t="inlineStr">
        <is>
          <t>ND</t>
        </is>
      </c>
      <c r="DL107" s="245" t="inlineStr">
        <is>
          <t>326/2026</t>
        </is>
      </c>
      <c r="DM107" s="245" t="inlineStr">
        <is>
          <t>11.02.2026</t>
        </is>
      </c>
      <c r="DN107" s="245" t="inlineStr">
        <is>
          <t>IPH — Institute of Public Health</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5" t="inlineStr">
        <is>
          <t>Conforms | Одговара</t>
        </is>
      </c>
      <c r="AF108" s="245" t="inlineStr">
        <is>
          <t>iCoA-PP_26-122</t>
        </is>
      </c>
      <c r="AG108" s="245" t="inlineStr">
        <is>
          <t>17.08.2026</t>
        </is>
      </c>
      <c r="AH108" s="245" t="inlineStr">
        <is>
          <t>Purely Plant GmbH (in-house)</t>
        </is>
      </c>
      <c r="AI108" s="245" t="inlineStr">
        <is>
          <t>Conforms | Одговара</t>
        </is>
      </c>
      <c r="AJ108" s="245" t="inlineStr">
        <is>
          <t>iCoA-PP_26-122</t>
        </is>
      </c>
      <c r="AK108" s="245" t="inlineStr">
        <is>
          <t>17.08.2026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5" t="inlineStr">
        <is>
          <t>Conforms | Одговара</t>
        </is>
      </c>
      <c r="BD108" s="245" t="inlineStr">
        <is>
          <t>iCoA-PP_26-122</t>
        </is>
      </c>
      <c r="BE108" s="245" t="inlineStr">
        <is>
          <t>17.08.2026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5" t="inlineStr">
        <is>
          <t>Conforms | Одговара</t>
        </is>
      </c>
      <c r="AF109" s="245" t="inlineStr">
        <is>
          <t>iCoA-PP_26-143</t>
        </is>
      </c>
      <c r="AG109" s="245" t="inlineStr">
        <is>
          <t>17.08.2026</t>
        </is>
      </c>
      <c r="AH109" s="245" t="inlineStr">
        <is>
          <t>Purely Plant GmbH (in-house)</t>
        </is>
      </c>
      <c r="AI109" s="245" t="inlineStr">
        <is>
          <t>Conforms | Одговара</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5" t="inlineStr">
        <is>
          <t>Conforms | Одговара</t>
        </is>
      </c>
      <c r="BD109" s="245" t="inlineStr">
        <is>
          <t>iCoA-PP_26-143</t>
        </is>
      </c>
      <c r="BE109" s="245" t="inlineStr">
        <is>
          <t>17.08.2026</t>
        </is>
      </c>
      <c r="BF109" s="245" t="inlineStr">
        <is>
          <t>Purely Plant GmbH (in-house)</t>
        </is>
      </c>
      <c r="BG109" s="245" t="inlineStr">
        <is>
          <t>carried from the initial testing — not tested</t>
        </is>
      </c>
      <c r="BH109" s="245" t="inlineStr">
        <is>
          <t>—</t>
        </is>
      </c>
      <c r="BI109" s="245" t="inlineStr">
        <is>
          <t>—</t>
        </is>
      </c>
      <c r="BJ109" s="245" t="inlineStr">
        <is>
          <t>—</t>
        </is>
      </c>
      <c r="BK109" s="245" t="inlineStr">
        <is>
          <t>2.7 × 10³</t>
        </is>
      </c>
      <c r="BL109" s="245" t="inlineStr">
        <is>
          <t>363/0693/26</t>
        </is>
      </c>
      <c r="BM109" s="245" t="inlineStr">
        <is>
          <t>01.06.2026</t>
        </is>
      </c>
      <c r="BN109" s="245" t="inlineStr">
        <is>
          <t>IPH — Institute of Public Health</t>
        </is>
      </c>
      <c r="BO109" s="245" t="inlineStr">
        <is>
          <t>1.6 × 10¹</t>
        </is>
      </c>
      <c r="BP109" s="245" t="inlineStr">
        <is>
          <t>363/0693/26</t>
        </is>
      </c>
      <c r="BQ109" s="245" t="inlineStr">
        <is>
          <t>01.06.2026</t>
        </is>
      </c>
      <c r="BR109" s="245" t="inlineStr">
        <is>
          <t>IPH — Institute of Public Health</t>
        </is>
      </c>
      <c r="BS109" s="245" t="inlineStr">
        <is>
          <t>&lt; 10</t>
        </is>
      </c>
      <c r="BT109" s="245" t="inlineStr">
        <is>
          <t>363/0693/26</t>
        </is>
      </c>
      <c r="BU109" s="245" t="inlineStr">
        <is>
          <t>01.06.2026</t>
        </is>
      </c>
      <c r="BV109" s="245" t="inlineStr">
        <is>
          <t>IPH — Institute of Public Health</t>
        </is>
      </c>
      <c r="BW109" s="245" t="inlineStr">
        <is>
          <t>Absent | Отсутна</t>
        </is>
      </c>
      <c r="BX109" s="245" t="inlineStr">
        <is>
          <t>363/0693/26</t>
        </is>
      </c>
      <c r="BY109" s="245" t="inlineStr">
        <is>
          <t>01.06.2026</t>
        </is>
      </c>
      <c r="BZ109" s="245" t="inlineStr">
        <is>
          <t>IPH — Institute of Public Health</t>
        </is>
      </c>
      <c r="CA109" s="245" t="inlineStr">
        <is>
          <t>Absent | Отсутна</t>
        </is>
      </c>
      <c r="CB109" s="245" t="inlineStr">
        <is>
          <t>363/0693/26</t>
        </is>
      </c>
      <c r="CC109" s="245" t="inlineStr">
        <is>
          <t>01.06.2026</t>
        </is>
      </c>
      <c r="CD109" s="245" t="inlineStr">
        <is>
          <t>IPH — Institute of Public Health</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 not tested</t>
        </is>
      </c>
      <c r="CZ109" s="245" t="inlineStr">
        <is>
          <t>—</t>
        </is>
      </c>
      <c r="DA109" s="245" t="inlineStr">
        <is>
          <t>—</t>
        </is>
      </c>
      <c r="DB109" s="245" t="inlineStr">
        <is>
          <t>—</t>
        </is>
      </c>
      <c r="DC109" s="245" t="inlineStr">
        <is>
          <t>carried from the initial testing — not tested</t>
        </is>
      </c>
      <c r="DD109" s="245" t="inlineStr">
        <is>
          <t>—</t>
        </is>
      </c>
      <c r="DE109" s="245" t="inlineStr">
        <is>
          <t>—</t>
        </is>
      </c>
      <c r="DF109" s="245" t="inlineStr">
        <is>
          <t>—</t>
        </is>
      </c>
      <c r="DG109" s="245" t="inlineStr">
        <is>
          <t>carried from the initial testing — not tested</t>
        </is>
      </c>
      <c r="DH109" s="245" t="inlineStr">
        <is>
          <t>—</t>
        </is>
      </c>
      <c r="DI109" s="245" t="inlineStr">
        <is>
          <t>—</t>
        </is>
      </c>
      <c r="DJ109" s="245" t="inlineStr">
        <is>
          <t>—</t>
        </is>
      </c>
      <c r="DK109" s="245" t="inlineStr">
        <is>
          <t>carried from the initial testing — not tested</t>
        </is>
      </c>
      <c r="DL109" s="245" t="inlineStr">
        <is>
          <t>—</t>
        </is>
      </c>
      <c r="DM109" s="245" t="inlineStr">
        <is>
          <t>—</t>
        </is>
      </c>
      <c r="DN109" s="245" t="inlineStr">
        <is>
          <t>—</t>
        </is>
      </c>
      <c r="DO109" s="245" t="inlineStr">
        <is>
          <t>carried from the initial testing — not tested</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5" t="inlineStr">
        <is>
          <t>Conforms | Одговара</t>
        </is>
      </c>
      <c r="AF110" s="245" t="inlineStr">
        <is>
          <t>iCoA-PP_26-123</t>
        </is>
      </c>
      <c r="AG110" s="245" t="inlineStr">
        <is>
          <t>17.08.2026</t>
        </is>
      </c>
      <c r="AH110" s="245" t="inlineStr">
        <is>
          <t>Purely Plant GmbH (in-house)</t>
        </is>
      </c>
      <c r="AI110" s="245" t="inlineStr">
        <is>
          <t>Conforms | Одговара</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5" t="inlineStr">
        <is>
          <t>Conforms | Одговара</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3.1 × 10⁴</t>
        </is>
      </c>
      <c r="BL110" s="245" t="inlineStr">
        <is>
          <t>73/0116/26</t>
        </is>
      </c>
      <c r="BM110" s="245" t="inlineStr">
        <is>
          <t>09.02.2026</t>
        </is>
      </c>
      <c r="BN110" s="245" t="inlineStr">
        <is>
          <t>IPH — Institute of Public Health</t>
        </is>
      </c>
      <c r="BO110" s="245" t="inlineStr">
        <is>
          <t>3.9 × 10⁴</t>
        </is>
      </c>
      <c r="BP110" s="245" t="inlineStr">
        <is>
          <t>73/0116/26</t>
        </is>
      </c>
      <c r="BQ110" s="245" t="inlineStr">
        <is>
          <t>09.02.2026</t>
        </is>
      </c>
      <c r="BR110" s="245" t="inlineStr">
        <is>
          <t>IPH — Institute of Public Health</t>
        </is>
      </c>
      <c r="BS110" s="245" t="inlineStr">
        <is>
          <t>&lt; 10³ and &gt; 10²</t>
        </is>
      </c>
      <c r="BT110" s="245" t="inlineStr">
        <is>
          <t>73/0116/26</t>
        </is>
      </c>
      <c r="BU110" s="245" t="inlineStr">
        <is>
          <t>09.02.2026</t>
        </is>
      </c>
      <c r="BV110" s="245" t="inlineStr">
        <is>
          <t>IPH — Institute of Public Health</t>
        </is>
      </c>
      <c r="BW110" s="245" t="inlineStr">
        <is>
          <t>Absent | Отсутна</t>
        </is>
      </c>
      <c r="BX110" s="245" t="inlineStr">
        <is>
          <t>73/0116/26</t>
        </is>
      </c>
      <c r="BY110" s="245" t="inlineStr">
        <is>
          <t>09.02.2026</t>
        </is>
      </c>
      <c r="BZ110" s="245" t="inlineStr">
        <is>
          <t>IPH — Institute of Public Health</t>
        </is>
      </c>
      <c r="CA110" s="245" t="inlineStr">
        <is>
          <t>Absent | Отсутна</t>
        </is>
      </c>
      <c r="CB110" s="245" t="inlineStr">
        <is>
          <t>73/0116/26</t>
        </is>
      </c>
      <c r="CC110" s="245" t="inlineStr">
        <is>
          <t>09.02.2026</t>
        </is>
      </c>
      <c r="CD110" s="245" t="inlineStr">
        <is>
          <t>IPH — Institute of Public Health</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0.07</t>
        </is>
      </c>
      <c r="CZ110" s="245" t="inlineStr">
        <is>
          <t>330/2026</t>
        </is>
      </c>
      <c r="DA110" s="245" t="inlineStr">
        <is>
          <t>11.02.2026</t>
        </is>
      </c>
      <c r="DB110" s="245" t="inlineStr">
        <is>
          <t>IPH — Institute of Public Health</t>
        </is>
      </c>
      <c r="DC110" s="245" t="inlineStr">
        <is>
          <t>ND</t>
        </is>
      </c>
      <c r="DD110" s="245" t="inlineStr">
        <is>
          <t>330/2026</t>
        </is>
      </c>
      <c r="DE110" s="245" t="inlineStr">
        <is>
          <t>11.02.2026</t>
        </is>
      </c>
      <c r="DF110" s="245" t="inlineStr">
        <is>
          <t>IPH — Institute of Public Health</t>
        </is>
      </c>
      <c r="DG110" s="245" t="inlineStr">
        <is>
          <t>0.0942</t>
        </is>
      </c>
      <c r="DH110" s="245" t="inlineStr">
        <is>
          <t>330/2026</t>
        </is>
      </c>
      <c r="DI110" s="245" t="inlineStr">
        <is>
          <t>11.02.2026</t>
        </is>
      </c>
      <c r="DJ110" s="245" t="inlineStr">
        <is>
          <t>IPH — Institute of Public Health</t>
        </is>
      </c>
      <c r="DK110" s="245" t="inlineStr">
        <is>
          <t>ND</t>
        </is>
      </c>
      <c r="DL110" s="245" t="inlineStr">
        <is>
          <t>330/2026</t>
        </is>
      </c>
      <c r="DM110" s="245" t="inlineStr">
        <is>
          <t>11.02.2026</t>
        </is>
      </c>
      <c r="DN110" s="245" t="inlineStr">
        <is>
          <t>IPH — Institute of Public Health</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5" t="inlineStr">
        <is>
          <t>Conforms | Одговара</t>
        </is>
      </c>
      <c r="AF111" s="245" t="inlineStr">
        <is>
          <t>iCoA-PP_26-124</t>
        </is>
      </c>
      <c r="AG111" s="245" t="inlineStr">
        <is>
          <t>17.08.2026</t>
        </is>
      </c>
      <c r="AH111" s="245" t="inlineStr">
        <is>
          <t>Purely Plant GmbH (in-house)</t>
        </is>
      </c>
      <c r="AI111" s="245" t="inlineStr">
        <is>
          <t>Conforms | Одговара</t>
        </is>
      </c>
      <c r="AJ111" s="245" t="inlineStr">
        <is>
          <t>iCoA-PP_26-124</t>
        </is>
      </c>
      <c r="AK111" s="245" t="inlineStr">
        <is>
          <t>17.08.2026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5" t="inlineStr">
        <is>
          <t>Conforms | Одговара</t>
        </is>
      </c>
      <c r="BD111" s="245" t="inlineStr">
        <is>
          <t>iCoA-PP_26-124</t>
        </is>
      </c>
      <c r="BE111" s="245" t="inlineStr">
        <is>
          <t>17.08.2026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4,2 × 10³</t>
        </is>
      </c>
      <c r="BL111" s="245" t="inlineStr">
        <is>
          <t>535/1066/26</t>
        </is>
      </c>
      <c r="BM111" s="245" t="inlineStr">
        <is>
          <t>31.08.2026</t>
        </is>
      </c>
      <c r="BN111" s="245" t="inlineStr">
        <is>
          <t>IPH — Institute of Public Health</t>
        </is>
      </c>
      <c r="BO111" s="245" t="inlineStr">
        <is>
          <t>&lt; 10</t>
        </is>
      </c>
      <c r="BP111" s="245" t="inlineStr">
        <is>
          <t>535/1066/26</t>
        </is>
      </c>
      <c r="BQ111" s="245" t="inlineStr">
        <is>
          <t>31.08.2026</t>
        </is>
      </c>
      <c r="BR111" s="245" t="inlineStr">
        <is>
          <t>IPH — Institute of Public Health</t>
        </is>
      </c>
      <c r="BS111" s="245" t="inlineStr">
        <is>
          <t>&lt; 10⁴ and &gt; 10³</t>
        </is>
      </c>
      <c r="BT111" s="245" t="inlineStr">
        <is>
          <t>535/1066/26</t>
        </is>
      </c>
      <c r="BU111" s="245" t="inlineStr">
        <is>
          <t>31.08.2026</t>
        </is>
      </c>
      <c r="BV111" s="245" t="inlineStr">
        <is>
          <t>IPH — Institute of Public Health</t>
        </is>
      </c>
      <c r="BW111" s="245" t="inlineStr">
        <is>
          <t>Absent | Отсутна</t>
        </is>
      </c>
      <c r="BX111" s="245" t="inlineStr">
        <is>
          <t>535/1066/26</t>
        </is>
      </c>
      <c r="BY111" s="245" t="inlineStr">
        <is>
          <t>31.08.2026</t>
        </is>
      </c>
      <c r="BZ111" s="245" t="inlineStr">
        <is>
          <t>IPH — Institute of Public Health</t>
        </is>
      </c>
      <c r="CA111" s="245" t="inlineStr">
        <is>
          <t>Absent | Отсутна</t>
        </is>
      </c>
      <c r="CB111" s="245" t="inlineStr">
        <is>
          <t>535/1066/26</t>
        </is>
      </c>
      <c r="CC111" s="245" t="inlineStr">
        <is>
          <t>31.08.2026</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5" t="inlineStr">
        <is>
          <t>Conforms | Одговара</t>
        </is>
      </c>
      <c r="AF112" s="245" t="inlineStr">
        <is>
          <t>iCoA-PP_26-125</t>
        </is>
      </c>
      <c r="AG112" s="245" t="inlineStr">
        <is>
          <t>17.08.2026</t>
        </is>
      </c>
      <c r="AH112" s="245" t="inlineStr">
        <is>
          <t>Purely Plant GmbH (in-house)</t>
        </is>
      </c>
      <c r="AI112" s="245" t="inlineStr">
        <is>
          <t>Conforms | Одговара</t>
        </is>
      </c>
      <c r="AJ112" s="245" t="inlineStr">
        <is>
          <t>iCoA-PP_26-125</t>
        </is>
      </c>
      <c r="AK112" s="245" t="inlineStr">
        <is>
          <t>17.08.2026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5" t="inlineStr">
        <is>
          <t>Conforms | Одговара</t>
        </is>
      </c>
      <c r="BD112" s="245" t="inlineStr">
        <is>
          <t>iCoA-PP_26-125</t>
        </is>
      </c>
      <c r="BE112" s="245" t="inlineStr">
        <is>
          <t>17.08.2026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5" t="inlineStr">
        <is>
          <t>Conforms | Одговара</t>
        </is>
      </c>
      <c r="AF113" s="245" t="inlineStr">
        <is>
          <t>iCoA-PP_26-126</t>
        </is>
      </c>
      <c r="AG113" s="245" t="inlineStr">
        <is>
          <t>17.08.2026</t>
        </is>
      </c>
      <c r="AH113" s="245" t="inlineStr">
        <is>
          <t>Purely Plant GmbH (in-house)</t>
        </is>
      </c>
      <c r="AI113" s="245" t="inlineStr">
        <is>
          <t>Conforms | Одговара</t>
        </is>
      </c>
      <c r="AJ113" s="245" t="inlineStr">
        <is>
          <t>iCoA-PP_26-126</t>
        </is>
      </c>
      <c r="AK113" s="245" t="inlineStr">
        <is>
          <t>17.08.2026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5" t="inlineStr">
        <is>
          <t>Conforms | Одговара</t>
        </is>
      </c>
      <c r="BD113" s="245" t="inlineStr">
        <is>
          <t>iCoA-PP_26-126</t>
        </is>
      </c>
      <c r="BE113" s="245" t="inlineStr">
        <is>
          <t>17.08.2026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5" t="inlineStr">
        <is>
          <t>Conforms | Одговара</t>
        </is>
      </c>
      <c r="AF114" s="245" t="inlineStr">
        <is>
          <t>iCoA-PP_26-127</t>
        </is>
      </c>
      <c r="AG114" s="245" t="inlineStr">
        <is>
          <t>17.08.2026</t>
        </is>
      </c>
      <c r="AH114" s="245" t="inlineStr">
        <is>
          <t>Purely Plant GmbH (in-house)</t>
        </is>
      </c>
      <c r="AI114" s="245" t="inlineStr">
        <is>
          <t>Conforms | Одговара</t>
        </is>
      </c>
      <c r="AJ114" s="245" t="inlineStr">
        <is>
          <t>iCoA-PP_26-127</t>
        </is>
      </c>
      <c r="AK114" s="245" t="inlineStr">
        <is>
          <t>17.08.2026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5" t="inlineStr">
        <is>
          <t>Conforms | Одговара</t>
        </is>
      </c>
      <c r="BD114" s="245" t="inlineStr">
        <is>
          <t>iCoA-PP_26-127</t>
        </is>
      </c>
      <c r="BE114" s="245" t="inlineStr">
        <is>
          <t>17.08.2026</t>
        </is>
      </c>
      <c r="BF114" s="245" t="inlineStr">
        <is>
          <t>Purely Plant GmbH (in-house)</t>
        </is>
      </c>
      <c r="BG114" s="245" t="inlineStr">
        <is>
          <t>9.68</t>
        </is>
      </c>
      <c r="BH114" s="245" t="inlineStr">
        <is>
          <t>ППК25370</t>
        </is>
      </c>
      <c r="BI114" s="245" t="inlineStr">
        <is>
          <t>28.11.2025</t>
        </is>
      </c>
      <c r="BJ114" s="245" t="inlineStr">
        <is>
          <t>CNP</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5" t="inlineStr">
        <is>
          <t>Conforms | Одговара</t>
        </is>
      </c>
      <c r="AF115" s="245" t="inlineStr">
        <is>
          <t>iCoA-PP_26-128</t>
        </is>
      </c>
      <c r="AG115" s="245" t="inlineStr">
        <is>
          <t>17.08.2026</t>
        </is>
      </c>
      <c r="AH115" s="245" t="inlineStr">
        <is>
          <t>Purely Plant GmbH (in-house)</t>
        </is>
      </c>
      <c r="AI115" s="245" t="inlineStr">
        <is>
          <t>Conforms | Одговара</t>
        </is>
      </c>
      <c r="AJ115" s="245" t="inlineStr">
        <is>
          <t>iCoA-PP_26-128</t>
        </is>
      </c>
      <c r="AK115" s="245" t="inlineStr">
        <is>
          <t>17.08.2026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5" t="inlineStr">
        <is>
          <t>Conforms | Одговара</t>
        </is>
      </c>
      <c r="BD115" s="245" t="inlineStr">
        <is>
          <t>iCoA-PP_26-128</t>
        </is>
      </c>
      <c r="BE115" s="245" t="inlineStr">
        <is>
          <t>17.08.2026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5" t="inlineStr">
        <is>
          <t>Conforms | Одговара</t>
        </is>
      </c>
      <c r="AF116" s="245" t="inlineStr">
        <is>
          <t>iCoA-PP_26-129</t>
        </is>
      </c>
      <c r="AG116" s="245" t="inlineStr">
        <is>
          <t>17.08.2026</t>
        </is>
      </c>
      <c r="AH116" s="245" t="inlineStr">
        <is>
          <t>Purely Plant GmbH (in-house)</t>
        </is>
      </c>
      <c r="AI116" s="245" t="inlineStr">
        <is>
          <t>Conforms | Одговара</t>
        </is>
      </c>
      <c r="AJ116" s="245" t="inlineStr">
        <is>
          <t>iCoA-PP_26-129</t>
        </is>
      </c>
      <c r="AK116" s="245" t="inlineStr">
        <is>
          <t>17.08.2026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5" t="inlineStr">
        <is>
          <t>Conforms | Одговара</t>
        </is>
      </c>
      <c r="BD116" s="245" t="inlineStr">
        <is>
          <t>iCoA-PP_26-129</t>
        </is>
      </c>
      <c r="BE116" s="245" t="inlineStr">
        <is>
          <t>17.08.2026</t>
        </is>
      </c>
      <c r="BF116" s="245" t="inlineStr">
        <is>
          <t>Purely Plant GmbH (in-house)</t>
        </is>
      </c>
      <c r="BG116" s="245" t="inlineStr">
        <is>
          <t>7.8</t>
        </is>
      </c>
      <c r="BH116" s="245" t="inlineStr">
        <is>
          <t>ППК25008</t>
        </is>
      </c>
      <c r="BI116" s="245" t="inlineStr">
        <is>
          <t>29.01.2025</t>
        </is>
      </c>
      <c r="BJ116" s="245" t="inlineStr">
        <is>
          <t>CNP</t>
        </is>
      </c>
      <c r="BK116" s="245" t="inlineStr">
        <is>
          <t>1.1 × 10⁴ CFU/g</t>
        </is>
      </c>
      <c r="BL116" s="245" t="inlineStr">
        <is>
          <t>166/0274/25</t>
        </is>
      </c>
      <c r="BM116" s="245" t="inlineStr">
        <is>
          <t>24.02.2025</t>
        </is>
      </c>
      <c r="BN116" s="245" t="inlineStr">
        <is>
          <t>IPH — Institute of Public Health</t>
        </is>
      </c>
      <c r="BO116" s="245" t="inlineStr">
        <is>
          <t>&lt; 10</t>
        </is>
      </c>
      <c r="BP116" s="245" t="inlineStr">
        <is>
          <t>166/0274/25</t>
        </is>
      </c>
      <c r="BQ116" s="245" t="inlineStr">
        <is>
          <t>24.02.2025</t>
        </is>
      </c>
      <c r="BR116" s="245" t="inlineStr">
        <is>
          <t>IPH — Institute of Public Health</t>
        </is>
      </c>
      <c r="BS116" s="245" t="inlineStr">
        <is>
          <t>&lt; 10² and &gt; 10 CFU/g</t>
        </is>
      </c>
      <c r="BT116" s="245" t="inlineStr">
        <is>
          <t>166/0274/25</t>
        </is>
      </c>
      <c r="BU116" s="245" t="inlineStr">
        <is>
          <t>24.02.2025</t>
        </is>
      </c>
      <c r="BV116" s="245" t="inlineStr">
        <is>
          <t>IPH — Institute of Public Health</t>
        </is>
      </c>
      <c r="BW116" s="245" t="inlineStr">
        <is>
          <t>Absent | Отсутна</t>
        </is>
      </c>
      <c r="BX116" s="245" t="inlineStr">
        <is>
          <t>166/0274/25</t>
        </is>
      </c>
      <c r="BY116" s="245" t="inlineStr">
        <is>
          <t>24.02.2025</t>
        </is>
      </c>
      <c r="BZ116" s="245" t="inlineStr">
        <is>
          <t>IPH — Institute of Public Health</t>
        </is>
      </c>
      <c r="CA116" s="245" t="inlineStr">
        <is>
          <t>Absent | Отсутна</t>
        </is>
      </c>
      <c r="CB116" s="245" t="inlineStr">
        <is>
          <t>166/0274/25</t>
        </is>
      </c>
      <c r="CC116" s="245" t="inlineStr">
        <is>
          <t>24.02.2025</t>
        </is>
      </c>
      <c r="CD116" s="245" t="inlineStr">
        <is>
          <t>IPH — Institute of Public Health</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0.052</t>
        </is>
      </c>
      <c r="CZ116" s="245" t="inlineStr">
        <is>
          <t>748/2025</t>
        </is>
      </c>
      <c r="DA116" s="245" t="inlineStr">
        <is>
          <t>04.03.2025</t>
        </is>
      </c>
      <c r="DB116" s="245" t="inlineStr">
        <is>
          <t>IPH — Institute of Public Health</t>
        </is>
      </c>
      <c r="DC116" s="245" t="inlineStr">
        <is>
          <t>0.016</t>
        </is>
      </c>
      <c r="DD116" s="245" t="inlineStr">
        <is>
          <t>748/2025</t>
        </is>
      </c>
      <c r="DE116" s="245" t="inlineStr">
        <is>
          <t>04.03.2025</t>
        </is>
      </c>
      <c r="DF116" s="245" t="inlineStr">
        <is>
          <t>IPH — Institute of Public Health</t>
        </is>
      </c>
      <c r="DG116" s="245" t="inlineStr">
        <is>
          <t>0.04</t>
        </is>
      </c>
      <c r="DH116" s="245" t="inlineStr">
        <is>
          <t>748/2025</t>
        </is>
      </c>
      <c r="DI116" s="245" t="inlineStr">
        <is>
          <t>04.03.2025</t>
        </is>
      </c>
      <c r="DJ116" s="245" t="inlineStr">
        <is>
          <t>IPH — Institute of Public Health</t>
        </is>
      </c>
      <c r="DK116" s="245" t="inlineStr">
        <is>
          <t>0.004</t>
        </is>
      </c>
      <c r="DL116" s="245" t="inlineStr">
        <is>
          <t>748/2025</t>
        </is>
      </c>
      <c r="DM116" s="245" t="inlineStr">
        <is>
          <t>04.03.2025</t>
        </is>
      </c>
      <c r="DN116" s="245" t="inlineStr">
        <is>
          <t>IPH — Institute of Public Health</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5" t="inlineStr">
        <is>
          <t>Conforms | Одговара</t>
        </is>
      </c>
      <c r="AF117" s="245" t="inlineStr">
        <is>
          <t>iCoA-PP_26-130</t>
        </is>
      </c>
      <c r="AG117" s="245" t="inlineStr">
        <is>
          <t>17.08.2026</t>
        </is>
      </c>
      <c r="AH117" s="245" t="inlineStr">
        <is>
          <t>Purely Plant GmbH (in-house)</t>
        </is>
      </c>
      <c r="AI117" s="245" t="inlineStr">
        <is>
          <t>Conforms | Одговара</t>
        </is>
      </c>
      <c r="AJ117" s="245" t="inlineStr">
        <is>
          <t>iCoA-PP_26-130</t>
        </is>
      </c>
      <c r="AK117" s="245" t="inlineStr">
        <is>
          <t>17.08.2026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5" t="inlineStr">
        <is>
          <t>Conforms | Одговара</t>
        </is>
      </c>
      <c r="BD117" s="245" t="inlineStr">
        <is>
          <t>iCoA-PP_26-130</t>
        </is>
      </c>
      <c r="BE117" s="245" t="inlineStr">
        <is>
          <t>17.08.2026</t>
        </is>
      </c>
      <c r="BF117" s="245" t="inlineStr">
        <is>
          <t>Purely Plant GmbH (in-house)</t>
        </is>
      </c>
      <c r="BG117" s="245" t="inlineStr">
        <is>
          <t>7.41</t>
        </is>
      </c>
      <c r="BH117" s="245" t="inlineStr">
        <is>
          <t>ППК25379</t>
        </is>
      </c>
      <c r="BI117" s="245" t="inlineStr">
        <is>
          <t>12.12.2025</t>
        </is>
      </c>
      <c r="BJ117" s="245" t="inlineStr">
        <is>
          <t>CNP</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5" t="inlineStr">
        <is>
          <t>Conforms | Одговара</t>
        </is>
      </c>
      <c r="AF118" s="245" t="inlineStr">
        <is>
          <t>iCoA-PP_26-131</t>
        </is>
      </c>
      <c r="AG118" s="245" t="inlineStr">
        <is>
          <t>17.08.2026</t>
        </is>
      </c>
      <c r="AH118" s="245" t="inlineStr">
        <is>
          <t>Purely Plant GmbH (in-house)</t>
        </is>
      </c>
      <c r="AI118" s="245" t="inlineStr">
        <is>
          <t>Conforms | Одговара</t>
        </is>
      </c>
      <c r="AJ118" s="245" t="inlineStr">
        <is>
          <t>iCoA-PP_26-131</t>
        </is>
      </c>
      <c r="AK118" s="245" t="inlineStr">
        <is>
          <t>17.08.2026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5" t="inlineStr">
        <is>
          <t>Conforms | Одговара</t>
        </is>
      </c>
      <c r="BD118" s="245" t="inlineStr">
        <is>
          <t>iCoA-PP_26-131</t>
        </is>
      </c>
      <c r="BE118" s="245" t="inlineStr">
        <is>
          <t>17.08.2026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5" t="inlineStr">
        <is>
          <t>Conforms | Одговара</t>
        </is>
      </c>
      <c r="AF119" s="245" t="inlineStr">
        <is>
          <t>iCoA-PP_26-132</t>
        </is>
      </c>
      <c r="AG119" s="245" t="inlineStr">
        <is>
          <t>17.08.2026</t>
        </is>
      </c>
      <c r="AH119" s="245" t="inlineStr">
        <is>
          <t>Purely Plant GmbH (in-house)</t>
        </is>
      </c>
      <c r="AI119" s="245" t="inlineStr">
        <is>
          <t>Conforms | Одговара</t>
        </is>
      </c>
      <c r="AJ119" s="245" t="inlineStr">
        <is>
          <t>iCoA-PP_26-132</t>
        </is>
      </c>
      <c r="AK119" s="245" t="inlineStr">
        <is>
          <t>17.08.2026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5" t="inlineStr">
        <is>
          <t>Conforms | Одговара</t>
        </is>
      </c>
      <c r="BD119" s="245" t="inlineStr">
        <is>
          <t>iCoA-PP_26-132</t>
        </is>
      </c>
      <c r="BE119" s="245" t="inlineStr">
        <is>
          <t>17.08.2026</t>
        </is>
      </c>
      <c r="BF119" s="245" t="inlineStr">
        <is>
          <t>Purely Plant GmbH (in-house)</t>
        </is>
      </c>
      <c r="BG119" s="245" t="inlineStr">
        <is>
          <t>6.29</t>
        </is>
      </c>
      <c r="BH119" s="245" t="inlineStr">
        <is>
          <t>ППК25380</t>
        </is>
      </c>
      <c r="BI119" s="245" t="inlineStr">
        <is>
          <t>12.12.2025</t>
        </is>
      </c>
      <c r="BJ119" s="245" t="inlineStr">
        <is>
          <t>CNP</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5" t="inlineStr">
        <is>
          <t>Conforms | Одговара</t>
        </is>
      </c>
      <c r="AF120" s="245" t="inlineStr">
        <is>
          <t>iCoA-PP_26-133</t>
        </is>
      </c>
      <c r="AG120" s="245" t="inlineStr">
        <is>
          <t>17.08.2026</t>
        </is>
      </c>
      <c r="AH120" s="245" t="inlineStr">
        <is>
          <t>Purely Plant GmbH (in-house)</t>
        </is>
      </c>
      <c r="AI120" s="245" t="inlineStr">
        <is>
          <t>Conforms | Одговара</t>
        </is>
      </c>
      <c r="AJ120" s="245" t="inlineStr">
        <is>
          <t>iCoA-PP_26-133</t>
        </is>
      </c>
      <c r="AK120" s="245" t="inlineStr">
        <is>
          <t>17.08.2026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5" t="inlineStr">
        <is>
          <t>Conforms | Одговара</t>
        </is>
      </c>
      <c r="BD120" s="245" t="inlineStr">
        <is>
          <t>iCoA-PP_26-133</t>
        </is>
      </c>
      <c r="BE120" s="245" t="inlineStr">
        <is>
          <t>17.08.2026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replaces the issued QCSP_001_GRC-II_v.01 (was GRC_THC22.5:CBD1, 22.50% ± 2.50%); now GRC_THC10 : CBD1 9.00 – 10.99 %</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5" t="inlineStr">
        <is>
          <t>Conforms | Одговара</t>
        </is>
      </c>
      <c r="AF121" s="245" t="inlineStr">
        <is>
          <t>iCoA-PP_26-134</t>
        </is>
      </c>
      <c r="AG121" s="245" t="inlineStr">
        <is>
          <t>17.08.2026</t>
        </is>
      </c>
      <c r="AH121" s="245" t="inlineStr">
        <is>
          <t>Purely Plant GmbH (in-house)</t>
        </is>
      </c>
      <c r="AI121" s="245" t="inlineStr">
        <is>
          <t>Conforms | Одговара</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5" t="inlineStr">
        <is>
          <t>Conforms | Одговара</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 not tested</t>
        </is>
      </c>
      <c r="BL121" s="245" t="inlineStr">
        <is>
          <t>—</t>
        </is>
      </c>
      <c r="BM121" s="245" t="inlineStr">
        <is>
          <t>—</t>
        </is>
      </c>
      <c r="BN121" s="245" t="inlineStr">
        <is>
          <t>—</t>
        </is>
      </c>
      <c r="BO121" s="245" t="inlineStr">
        <is>
          <t>carried from the initial testing — not tested</t>
        </is>
      </c>
      <c r="BP121" s="245" t="inlineStr">
        <is>
          <t>—</t>
        </is>
      </c>
      <c r="BQ121" s="245" t="inlineStr">
        <is>
          <t>—</t>
        </is>
      </c>
      <c r="BR121" s="245" t="inlineStr">
        <is>
          <t>—</t>
        </is>
      </c>
      <c r="BS121" s="245" t="inlineStr">
        <is>
          <t>carried from the initial testing — not tested</t>
        </is>
      </c>
      <c r="BT121" s="245" t="inlineStr">
        <is>
          <t>—</t>
        </is>
      </c>
      <c r="BU121" s="245" t="inlineStr">
        <is>
          <t>—</t>
        </is>
      </c>
      <c r="BV121" s="245" t="inlineStr">
        <is>
          <t>—</t>
        </is>
      </c>
      <c r="BW121" s="245" t="inlineStr">
        <is>
          <t>carried from the initial testing — not tested</t>
        </is>
      </c>
      <c r="BX121" s="245" t="inlineStr">
        <is>
          <t>—</t>
        </is>
      </c>
      <c r="BY121" s="245" t="inlineStr">
        <is>
          <t>—</t>
        </is>
      </c>
      <c r="BZ121" s="245" t="inlineStr">
        <is>
          <t>—</t>
        </is>
      </c>
      <c r="CA121" s="245" t="inlineStr">
        <is>
          <t>carried from the initial testing — not tested</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 not tested</t>
        </is>
      </c>
      <c r="CZ121" s="245" t="inlineStr">
        <is>
          <t>—</t>
        </is>
      </c>
      <c r="DA121" s="245" t="inlineStr">
        <is>
          <t>—</t>
        </is>
      </c>
      <c r="DB121" s="245" t="inlineStr">
        <is>
          <t>—</t>
        </is>
      </c>
      <c r="DC121" s="245" t="inlineStr">
        <is>
          <t>carried from the initial testing — not tested</t>
        </is>
      </c>
      <c r="DD121" s="245" t="inlineStr">
        <is>
          <t>—</t>
        </is>
      </c>
      <c r="DE121" s="245" t="inlineStr">
        <is>
          <t>—</t>
        </is>
      </c>
      <c r="DF121" s="245" t="inlineStr">
        <is>
          <t>—</t>
        </is>
      </c>
      <c r="DG121" s="245" t="inlineStr">
        <is>
          <t>carried from the initial testing — not tested</t>
        </is>
      </c>
      <c r="DH121" s="245" t="inlineStr">
        <is>
          <t>—</t>
        </is>
      </c>
      <c r="DI121" s="245" t="inlineStr">
        <is>
          <t>—</t>
        </is>
      </c>
      <c r="DJ121" s="245" t="inlineStr">
        <is>
          <t>—</t>
        </is>
      </c>
      <c r="DK121" s="245" t="inlineStr">
        <is>
          <t>carried from the initial testing — not tested</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5" t="inlineStr">
        <is>
          <t>Conforms | Одговара</t>
        </is>
      </c>
      <c r="AF122" s="245" t="inlineStr">
        <is>
          <t>iCoA-PP_26-135</t>
        </is>
      </c>
      <c r="AG122" s="245" t="inlineStr">
        <is>
          <t>17.08.2026</t>
        </is>
      </c>
      <c r="AH122" s="245" t="inlineStr">
        <is>
          <t>Purely Plant GmbH (in-house)</t>
        </is>
      </c>
      <c r="AI122" s="245" t="inlineStr">
        <is>
          <t>Conforms | Одговара</t>
        </is>
      </c>
      <c r="AJ122" s="245" t="inlineStr">
        <is>
          <t>iCoA-PP_26-135</t>
        </is>
      </c>
      <c r="AK122" s="245" t="inlineStr">
        <is>
          <t>17.08.2026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5" t="inlineStr">
        <is>
          <t>Conforms | Одговара</t>
        </is>
      </c>
      <c r="BD122" s="245" t="inlineStr">
        <is>
          <t>iCoA-PP_26-135</t>
        </is>
      </c>
      <c r="BE122" s="245" t="inlineStr">
        <is>
          <t>17.08.2026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5" t="inlineStr">
        <is>
          <t>Conforms | Одговара</t>
        </is>
      </c>
      <c r="AF123" s="245" t="inlineStr">
        <is>
          <t>ППК26111</t>
        </is>
      </c>
      <c r="AG123" s="245" t="inlineStr">
        <is>
          <t>30.06.2026</t>
        </is>
      </c>
      <c r="AH123" s="245" t="inlineStr">
        <is>
          <t>UKIM Faculty of Pharmacy — Center for Natural Products</t>
        </is>
      </c>
      <c r="AI123" s="245" t="inlineStr">
        <is>
          <t>Conforms | Одговара</t>
        </is>
      </c>
      <c r="AJ123" s="245" t="inlineStr">
        <is>
          <t>ППК26111</t>
        </is>
      </c>
      <c r="AK123" s="245" t="inlineStr">
        <is>
          <t>30.06.2026</t>
        </is>
      </c>
      <c r="AL123" s="245" t="inlineStr">
        <is>
          <t>UKIM Faculty of Pharmacy — Center for Natural Products</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5" t="inlineStr">
        <is>
          <t>Conforms | Одговара</t>
        </is>
      </c>
      <c r="BD123" s="245" t="inlineStr">
        <is>
          <t>iCoA-PP_26-138</t>
        </is>
      </c>
      <c r="BE123" s="245" t="inlineStr">
        <is>
          <t>17.08.2026</t>
        </is>
      </c>
      <c r="BF123" s="245" t="inlineStr">
        <is>
          <t>Purely Plant GmbH (in-house)</t>
        </is>
      </c>
      <c r="BG123" s="245" t="inlineStr">
        <is>
          <t>carried from the initial testing — not tested</t>
        </is>
      </c>
      <c r="BH123" s="245" t="inlineStr">
        <is>
          <t>—</t>
        </is>
      </c>
      <c r="BI123" s="245" t="inlineStr">
        <is>
          <t>—</t>
        </is>
      </c>
      <c r="BJ123" s="245" t="inlineStr">
        <is>
          <t>—</t>
        </is>
      </c>
      <c r="BK123" s="245" t="inlineStr">
        <is>
          <t>2 × 10²</t>
        </is>
      </c>
      <c r="BL123" s="245" t="inlineStr">
        <is>
          <t>365/0695/26</t>
        </is>
      </c>
      <c r="BM123" s="245" t="inlineStr">
        <is>
          <t>01.06.2026</t>
        </is>
      </c>
      <c r="BN123" s="245" t="inlineStr">
        <is>
          <t>IPH — Institute of Public Health</t>
        </is>
      </c>
      <c r="BO123" s="245" t="inlineStr">
        <is>
          <t>1 × 10²</t>
        </is>
      </c>
      <c r="BP123" s="245" t="inlineStr">
        <is>
          <t>365/0695/26</t>
        </is>
      </c>
      <c r="BQ123" s="245" t="inlineStr">
        <is>
          <t>01.06.2026</t>
        </is>
      </c>
      <c r="BR123" s="245" t="inlineStr">
        <is>
          <t>IPH — Institute of Public Health</t>
        </is>
      </c>
      <c r="BS123" s="245" t="inlineStr">
        <is>
          <t>&lt; 10</t>
        </is>
      </c>
      <c r="BT123" s="245" t="inlineStr">
        <is>
          <t>365/0695/26</t>
        </is>
      </c>
      <c r="BU123" s="245" t="inlineStr">
        <is>
          <t>01.06.2026</t>
        </is>
      </c>
      <c r="BV123" s="245" t="inlineStr">
        <is>
          <t>IPH — Institute of Public Health</t>
        </is>
      </c>
      <c r="BW123" s="245" t="inlineStr">
        <is>
          <t>Absent | Отсутна</t>
        </is>
      </c>
      <c r="BX123" s="245" t="inlineStr">
        <is>
          <t>365/0695/26</t>
        </is>
      </c>
      <c r="BY123" s="245" t="inlineStr">
        <is>
          <t>01.06.2026</t>
        </is>
      </c>
      <c r="BZ123" s="245" t="inlineStr">
        <is>
          <t>IPH — Institute of Public Health</t>
        </is>
      </c>
      <c r="CA123" s="245" t="inlineStr">
        <is>
          <t>Absent | Отсутна</t>
        </is>
      </c>
      <c r="CB123" s="245" t="inlineStr">
        <is>
          <t>365/0695/26</t>
        </is>
      </c>
      <c r="CC123" s="245" t="inlineStr">
        <is>
          <t>01.06.2026</t>
        </is>
      </c>
      <c r="CD123" s="245" t="inlineStr">
        <is>
          <t>IPH — Institute of Public Health</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 not tested</t>
        </is>
      </c>
      <c r="CZ123" s="245" t="inlineStr">
        <is>
          <t>—</t>
        </is>
      </c>
      <c r="DA123" s="245" t="inlineStr">
        <is>
          <t>—</t>
        </is>
      </c>
      <c r="DB123" s="245" t="inlineStr">
        <is>
          <t>—</t>
        </is>
      </c>
      <c r="DC123" s="245" t="inlineStr">
        <is>
          <t>carried from the initial testing — not tested</t>
        </is>
      </c>
      <c r="DD123" s="245" t="inlineStr">
        <is>
          <t>—</t>
        </is>
      </c>
      <c r="DE123" s="245" t="inlineStr">
        <is>
          <t>—</t>
        </is>
      </c>
      <c r="DF123" s="245" t="inlineStr">
        <is>
          <t>—</t>
        </is>
      </c>
      <c r="DG123" s="245" t="inlineStr">
        <is>
          <t>carried from the initial testing — not tested</t>
        </is>
      </c>
      <c r="DH123" s="245" t="inlineStr">
        <is>
          <t>—</t>
        </is>
      </c>
      <c r="DI123" s="245" t="inlineStr">
        <is>
          <t>—</t>
        </is>
      </c>
      <c r="DJ123" s="245" t="inlineStr">
        <is>
          <t>—</t>
        </is>
      </c>
      <c r="DK123" s="245" t="inlineStr">
        <is>
          <t>carried from the initial testing — not tested</t>
        </is>
      </c>
      <c r="DL123" s="245" t="inlineStr">
        <is>
          <t>—</t>
        </is>
      </c>
      <c r="DM123" s="245" t="inlineStr">
        <is>
          <t>—</t>
        </is>
      </c>
      <c r="DN123" s="245" t="inlineStr">
        <is>
          <t>—</t>
        </is>
      </c>
      <c r="DO123" s="245" t="inlineStr">
        <is>
          <t>carried from the initial testing — not tested</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replaces the issued QCSP_001_JD-III_v.01 (was JD_THC20:CBD1, 20.00% ± 2.00%); now JD_THC15 : CBD1 13.80 – 16.19 %</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5" t="inlineStr">
        <is>
          <t>Conforms | Одговара</t>
        </is>
      </c>
      <c r="AF124" s="245" t="inlineStr">
        <is>
          <t>ППК26113</t>
        </is>
      </c>
      <c r="AG124" s="245" t="inlineStr">
        <is>
          <t>30.06.2026</t>
        </is>
      </c>
      <c r="AH124" s="245" t="inlineStr">
        <is>
          <t>UKIM Faculty of Pharmacy — Center for Natural Products</t>
        </is>
      </c>
      <c r="AI124" s="245" t="inlineStr">
        <is>
          <t>Conforms | Одговара</t>
        </is>
      </c>
      <c r="AJ124" s="245" t="inlineStr">
        <is>
          <t>ППК26113</t>
        </is>
      </c>
      <c r="AK124" s="245" t="inlineStr">
        <is>
          <t>30.06.2026</t>
        </is>
      </c>
      <c r="AL124" s="245" t="inlineStr">
        <is>
          <t>UKIM Faculty of Pharmacy — Center for Natural Products</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5" t="inlineStr">
        <is>
          <t>Conforms | Одговара</t>
        </is>
      </c>
      <c r="BD124" s="245" t="inlineStr">
        <is>
          <t>ППК26113</t>
        </is>
      </c>
      <c r="BE124" s="245" t="inlineStr">
        <is>
          <t>30.06.2026</t>
        </is>
      </c>
      <c r="BF124" s="245" t="inlineStr">
        <is>
          <t>UKIM Faculty of Pharmacy — Center for Natural Products</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 not tested</t>
        </is>
      </c>
      <c r="BL124" s="245" t="inlineStr">
        <is>
          <t>—</t>
        </is>
      </c>
      <c r="BM124" s="245" t="inlineStr">
        <is>
          <t>—</t>
        </is>
      </c>
      <c r="BN124" s="245" t="inlineStr">
        <is>
          <t>—</t>
        </is>
      </c>
      <c r="BO124" s="245" t="inlineStr">
        <is>
          <t>carried from the initial testing — not tested</t>
        </is>
      </c>
      <c r="BP124" s="245" t="inlineStr">
        <is>
          <t>—</t>
        </is>
      </c>
      <c r="BQ124" s="245" t="inlineStr">
        <is>
          <t>—</t>
        </is>
      </c>
      <c r="BR124" s="245" t="inlineStr">
        <is>
          <t>—</t>
        </is>
      </c>
      <c r="BS124" s="245" t="inlineStr">
        <is>
          <t>carried from the initial testing — not tested</t>
        </is>
      </c>
      <c r="BT124" s="245" t="inlineStr">
        <is>
          <t>—</t>
        </is>
      </c>
      <c r="BU124" s="245" t="inlineStr">
        <is>
          <t>—</t>
        </is>
      </c>
      <c r="BV124" s="245" t="inlineStr">
        <is>
          <t>—</t>
        </is>
      </c>
      <c r="BW124" s="245" t="inlineStr">
        <is>
          <t>carried from the initial testing — not tested</t>
        </is>
      </c>
      <c r="BX124" s="245" t="inlineStr">
        <is>
          <t>—</t>
        </is>
      </c>
      <c r="BY124" s="245" t="inlineStr">
        <is>
          <t>—</t>
        </is>
      </c>
      <c r="BZ124" s="245" t="inlineStr">
        <is>
          <t>—</t>
        </is>
      </c>
      <c r="CA124" s="245" t="inlineStr">
        <is>
          <t>carried from the initial testing — not tested</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 not tested</t>
        </is>
      </c>
      <c r="CZ124" s="245" t="inlineStr">
        <is>
          <t>—</t>
        </is>
      </c>
      <c r="DA124" s="245" t="inlineStr">
        <is>
          <t>—</t>
        </is>
      </c>
      <c r="DB124" s="245" t="inlineStr">
        <is>
          <t>—</t>
        </is>
      </c>
      <c r="DC124" s="245" t="inlineStr">
        <is>
          <t>carried from the initial testing — not tested</t>
        </is>
      </c>
      <c r="DD124" s="245" t="inlineStr">
        <is>
          <t>—</t>
        </is>
      </c>
      <c r="DE124" s="245" t="inlineStr">
        <is>
          <t>—</t>
        </is>
      </c>
      <c r="DF124" s="245" t="inlineStr">
        <is>
          <t>—</t>
        </is>
      </c>
      <c r="DG124" s="245" t="inlineStr">
        <is>
          <t>carried from the initial testing — not tested</t>
        </is>
      </c>
      <c r="DH124" s="245" t="inlineStr">
        <is>
          <t>—</t>
        </is>
      </c>
      <c r="DI124" s="245" t="inlineStr">
        <is>
          <t>—</t>
        </is>
      </c>
      <c r="DJ124" s="245" t="inlineStr">
        <is>
          <t>—</t>
        </is>
      </c>
      <c r="DK124" s="245" t="inlineStr">
        <is>
          <t>carried from the initial testing — not tested</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5" t="inlineStr">
        <is>
          <t>Conforms | Одговара</t>
        </is>
      </c>
      <c r="AF125" s="245" t="inlineStr">
        <is>
          <t>ППК26111</t>
        </is>
      </c>
      <c r="AG125" s="245" t="inlineStr">
        <is>
          <t>30.06.2026</t>
        </is>
      </c>
      <c r="AH125" s="245" t="inlineStr">
        <is>
          <t>UKIM Faculty of Pharmacy — Center for Natural Products</t>
        </is>
      </c>
      <c r="AI125" s="245" t="inlineStr">
        <is>
          <t>Conforms | Одговара</t>
        </is>
      </c>
      <c r="AJ125" s="245" t="inlineStr">
        <is>
          <t>ППК26111</t>
        </is>
      </c>
      <c r="AK125" s="245" t="inlineStr">
        <is>
          <t>30.06.2026</t>
        </is>
      </c>
      <c r="AL125" s="245" t="inlineStr">
        <is>
          <t>UKIM Faculty of Pharmacy — Center for Natural Products</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5" t="inlineStr">
        <is>
          <t>Conforms | Одговара</t>
        </is>
      </c>
      <c r="BD125" s="245" t="inlineStr">
        <is>
          <t>ППК26111</t>
        </is>
      </c>
      <c r="BE125" s="245" t="inlineStr">
        <is>
          <t>30.06.2026</t>
        </is>
      </c>
      <c r="BF125" s="245" t="inlineStr">
        <is>
          <t>UKIM Faculty of Pharmacy — Center for Natural Products</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 not tested</t>
        </is>
      </c>
      <c r="BL125" s="245" t="inlineStr">
        <is>
          <t>—</t>
        </is>
      </c>
      <c r="BM125" s="245" t="inlineStr">
        <is>
          <t>—</t>
        </is>
      </c>
      <c r="BN125" s="245" t="inlineStr">
        <is>
          <t>—</t>
        </is>
      </c>
      <c r="BO125" s="245" t="inlineStr">
        <is>
          <t>carried from the initial testing — not tested</t>
        </is>
      </c>
      <c r="BP125" s="245" t="inlineStr">
        <is>
          <t>—</t>
        </is>
      </c>
      <c r="BQ125" s="245" t="inlineStr">
        <is>
          <t>—</t>
        </is>
      </c>
      <c r="BR125" s="245" t="inlineStr">
        <is>
          <t>—</t>
        </is>
      </c>
      <c r="BS125" s="245" t="inlineStr">
        <is>
          <t>carried from the initial testing — not tested</t>
        </is>
      </c>
      <c r="BT125" s="245" t="inlineStr">
        <is>
          <t>—</t>
        </is>
      </c>
      <c r="BU125" s="245" t="inlineStr">
        <is>
          <t>—</t>
        </is>
      </c>
      <c r="BV125" s="245" t="inlineStr">
        <is>
          <t>—</t>
        </is>
      </c>
      <c r="BW125" s="245" t="inlineStr">
        <is>
          <t>carried from the initial testing — not tested</t>
        </is>
      </c>
      <c r="BX125" s="245" t="inlineStr">
        <is>
          <t>—</t>
        </is>
      </c>
      <c r="BY125" s="245" t="inlineStr">
        <is>
          <t>—</t>
        </is>
      </c>
      <c r="BZ125" s="245" t="inlineStr">
        <is>
          <t>—</t>
        </is>
      </c>
      <c r="CA125" s="245" t="inlineStr">
        <is>
          <t>carried from the initial testing — not tested</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 not tested</t>
        </is>
      </c>
      <c r="CZ125" s="245" t="inlineStr">
        <is>
          <t>—</t>
        </is>
      </c>
      <c r="DA125" s="245" t="inlineStr">
        <is>
          <t>—</t>
        </is>
      </c>
      <c r="DB125" s="245" t="inlineStr">
        <is>
          <t>—</t>
        </is>
      </c>
      <c r="DC125" s="245" t="inlineStr">
        <is>
          <t>carried from the initial testing — not tested</t>
        </is>
      </c>
      <c r="DD125" s="245" t="inlineStr">
        <is>
          <t>—</t>
        </is>
      </c>
      <c r="DE125" s="245" t="inlineStr">
        <is>
          <t>—</t>
        </is>
      </c>
      <c r="DF125" s="245" t="inlineStr">
        <is>
          <t>—</t>
        </is>
      </c>
      <c r="DG125" s="245" t="inlineStr">
        <is>
          <t>carried from the initial testing — not tested</t>
        </is>
      </c>
      <c r="DH125" s="245" t="inlineStr">
        <is>
          <t>—</t>
        </is>
      </c>
      <c r="DI125" s="245" t="inlineStr">
        <is>
          <t>—</t>
        </is>
      </c>
      <c r="DJ125" s="245" t="inlineStr">
        <is>
          <t>—</t>
        </is>
      </c>
      <c r="DK125" s="245" t="inlineStr">
        <is>
          <t>carried from the initial testing — not tested</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replaces the issued QCSP_001_JD-III_v.01 (was JD_THC20:CBD1, 20.00% ± 2.00%); now JD_THC15 : CBD1 13.80 – 16.19 %</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5" t="inlineStr">
        <is>
          <t>Conforms | Одговара</t>
        </is>
      </c>
      <c r="AF126" s="245" t="inlineStr">
        <is>
          <t>iCoA-PP_26-146</t>
        </is>
      </c>
      <c r="AG126" s="245" t="inlineStr">
        <is>
          <t>17.08.2026</t>
        </is>
      </c>
      <c r="AH126" s="245" t="inlineStr">
        <is>
          <t>Purely Plant GmbH (in-house)</t>
        </is>
      </c>
      <c r="AI126" s="245" t="inlineStr">
        <is>
          <t>Conforms | Одговара</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5" t="inlineStr">
        <is>
          <t>Conforms | Одговара</t>
        </is>
      </c>
      <c r="BD126" s="245" t="inlineStr">
        <is>
          <t>iCoA-PP_26-146</t>
        </is>
      </c>
      <c r="BE126" s="245" t="inlineStr">
        <is>
          <t>17.08.2026</t>
        </is>
      </c>
      <c r="BF126" s="245" t="inlineStr">
        <is>
          <t>Purely Plant GmbH (in-house)</t>
        </is>
      </c>
      <c r="BG126" s="245" t="inlineStr">
        <is>
          <t>carried from the initial testing — not tested</t>
        </is>
      </c>
      <c r="BH126" s="245" t="inlineStr">
        <is>
          <t>—</t>
        </is>
      </c>
      <c r="BI126" s="245" t="inlineStr">
        <is>
          <t>—</t>
        </is>
      </c>
      <c r="BJ126" s="245" t="inlineStr">
        <is>
          <t>—</t>
        </is>
      </c>
      <c r="BK126" s="245" t="inlineStr">
        <is>
          <t>carried from the initial testing — not tested</t>
        </is>
      </c>
      <c r="BL126" s="245" t="inlineStr">
        <is>
          <t>—</t>
        </is>
      </c>
      <c r="BM126" s="245" t="inlineStr">
        <is>
          <t>—</t>
        </is>
      </c>
      <c r="BN126" s="245" t="inlineStr">
        <is>
          <t>—</t>
        </is>
      </c>
      <c r="BO126" s="245" t="inlineStr">
        <is>
          <t>carried from the initial testing — not tested</t>
        </is>
      </c>
      <c r="BP126" s="245" t="inlineStr">
        <is>
          <t>—</t>
        </is>
      </c>
      <c r="BQ126" s="245" t="inlineStr">
        <is>
          <t>—</t>
        </is>
      </c>
      <c r="BR126" s="245" t="inlineStr">
        <is>
          <t>—</t>
        </is>
      </c>
      <c r="BS126" s="245" t="inlineStr">
        <is>
          <t>carried from the initial testing — not tested</t>
        </is>
      </c>
      <c r="BT126" s="245" t="inlineStr">
        <is>
          <t>—</t>
        </is>
      </c>
      <c r="BU126" s="245" t="inlineStr">
        <is>
          <t>—</t>
        </is>
      </c>
      <c r="BV126" s="245" t="inlineStr">
        <is>
          <t>—</t>
        </is>
      </c>
      <c r="BW126" s="245" t="inlineStr">
        <is>
          <t>carried from the initial testing — not tested</t>
        </is>
      </c>
      <c r="BX126" s="245" t="inlineStr">
        <is>
          <t>—</t>
        </is>
      </c>
      <c r="BY126" s="245" t="inlineStr">
        <is>
          <t>—</t>
        </is>
      </c>
      <c r="BZ126" s="245" t="inlineStr">
        <is>
          <t>—</t>
        </is>
      </c>
      <c r="CA126" s="245" t="inlineStr">
        <is>
          <t>carried from the initial testing — not tested</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 not tested</t>
        </is>
      </c>
      <c r="CZ126" s="245" t="inlineStr">
        <is>
          <t>—</t>
        </is>
      </c>
      <c r="DA126" s="245" t="inlineStr">
        <is>
          <t>—</t>
        </is>
      </c>
      <c r="DB126" s="245" t="inlineStr">
        <is>
          <t>—</t>
        </is>
      </c>
      <c r="DC126" s="245" t="inlineStr">
        <is>
          <t>carried from the initial testing — not tested</t>
        </is>
      </c>
      <c r="DD126" s="245" t="inlineStr">
        <is>
          <t>—</t>
        </is>
      </c>
      <c r="DE126" s="245" t="inlineStr">
        <is>
          <t>—</t>
        </is>
      </c>
      <c r="DF126" s="245" t="inlineStr">
        <is>
          <t>—</t>
        </is>
      </c>
      <c r="DG126" s="245" t="inlineStr">
        <is>
          <t>carried from the initial testing — not tested</t>
        </is>
      </c>
      <c r="DH126" s="245" t="inlineStr">
        <is>
          <t>—</t>
        </is>
      </c>
      <c r="DI126" s="245" t="inlineStr">
        <is>
          <t>—</t>
        </is>
      </c>
      <c r="DJ126" s="245" t="inlineStr">
        <is>
          <t>—</t>
        </is>
      </c>
      <c r="DK126" s="245" t="inlineStr">
        <is>
          <t>carried from the initial testing — not tested</t>
        </is>
      </c>
      <c r="DL126" s="245" t="inlineStr">
        <is>
          <t>—</t>
        </is>
      </c>
      <c r="DM126" s="245" t="inlineStr">
        <is>
          <t>—</t>
        </is>
      </c>
      <c r="DN126" s="245" t="inlineStr">
        <is>
          <t>—</t>
        </is>
      </c>
      <c r="DO126" s="245" t="inlineStr">
        <is>
          <t>carried from the initial testing — not tested</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5" t="inlineStr">
        <is>
          <t>Conforms | Одговара</t>
        </is>
      </c>
      <c r="AF127" s="245" t="inlineStr">
        <is>
          <t>iCoA-PP_26-139</t>
        </is>
      </c>
      <c r="AG127" s="245" t="inlineStr">
        <is>
          <t>17.08.2026</t>
        </is>
      </c>
      <c r="AH127" s="245" t="inlineStr">
        <is>
          <t>Purely Plant GmbH (in-house)</t>
        </is>
      </c>
      <c r="AI127" s="245" t="inlineStr">
        <is>
          <t>Conforms | Одговара</t>
        </is>
      </c>
      <c r="AJ127" s="245" t="inlineStr">
        <is>
          <t>iCoA-PP_26-139</t>
        </is>
      </c>
      <c r="AK127" s="245" t="inlineStr">
        <is>
          <t>17.08.2026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5" t="inlineStr">
        <is>
          <t>Conforms | Одговара</t>
        </is>
      </c>
      <c r="BD127" s="245" t="inlineStr">
        <is>
          <t>iCoA-PP_26-139</t>
        </is>
      </c>
      <c r="BE127" s="245" t="inlineStr">
        <is>
          <t>17.08.2026</t>
        </is>
      </c>
      <c r="BF127" s="245" t="inlineStr">
        <is>
          <t>Purely Plant GmbH (in-house)</t>
        </is>
      </c>
      <c r="BG127" s="245" t="inlineStr">
        <is>
          <t>8.6</t>
        </is>
      </c>
      <c r="BH127" s="245" t="inlineStr">
        <is>
          <t>051-4-ГС/26</t>
        </is>
      </c>
      <c r="BI127" s="245" t="inlineStr">
        <is>
          <t>02.03.2026</t>
        </is>
      </c>
      <c r="BJ127" s="245" t="inlineStr">
        <is>
          <t>Farmahem</t>
        </is>
      </c>
      <c r="BK127" s="245" t="inlineStr">
        <is>
          <t>3.8 × 10³</t>
        </is>
      </c>
      <c r="BL127" s="245" t="inlineStr">
        <is>
          <t>129/0226/26</t>
        </is>
      </c>
      <c r="BM127" s="245" t="inlineStr">
        <is>
          <t>06.03.2026</t>
        </is>
      </c>
      <c r="BN127" s="245" t="inlineStr">
        <is>
          <t>IPH — Institute of Public Health</t>
        </is>
      </c>
      <c r="BO127" s="245" t="inlineStr">
        <is>
          <t>6.8 × 10³</t>
        </is>
      </c>
      <c r="BP127" s="245" t="inlineStr">
        <is>
          <t>129/0226/26</t>
        </is>
      </c>
      <c r="BQ127" s="245" t="inlineStr">
        <is>
          <t>06.03.2026</t>
        </is>
      </c>
      <c r="BR127" s="245" t="inlineStr">
        <is>
          <t>IPH — Institute of Public Health</t>
        </is>
      </c>
      <c r="BS127" s="245" t="inlineStr">
        <is>
          <t>&lt; 10³ and &gt; 10²</t>
        </is>
      </c>
      <c r="BT127" s="245" t="inlineStr">
        <is>
          <t>129/0226/26</t>
        </is>
      </c>
      <c r="BU127" s="245" t="inlineStr">
        <is>
          <t>06.03.2026</t>
        </is>
      </c>
      <c r="BV127" s="245" t="inlineStr">
        <is>
          <t>IPH — Institute of Public Health</t>
        </is>
      </c>
      <c r="BW127" s="245" t="inlineStr">
        <is>
          <t>Absent | Отсутна</t>
        </is>
      </c>
      <c r="BX127" s="245" t="inlineStr">
        <is>
          <t>129/0226/26</t>
        </is>
      </c>
      <c r="BY127" s="245" t="inlineStr">
        <is>
          <t>06.03.2026</t>
        </is>
      </c>
      <c r="BZ127" s="245" t="inlineStr">
        <is>
          <t>IPH — Institute of Public Health</t>
        </is>
      </c>
      <c r="CA127" s="245" t="inlineStr">
        <is>
          <t>Absent | Отсутна</t>
        </is>
      </c>
      <c r="CB127" s="245" t="inlineStr">
        <is>
          <t>129/0226/26</t>
        </is>
      </c>
      <c r="CC127" s="245" t="inlineStr">
        <is>
          <t>06.03.2026</t>
        </is>
      </c>
      <c r="CD127" s="245" t="inlineStr">
        <is>
          <t>IPH — Institute of Public Health</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ND</t>
        </is>
      </c>
      <c r="CZ127" s="245" t="inlineStr">
        <is>
          <t>1058/2026</t>
        </is>
      </c>
      <c r="DA127" s="245" t="inlineStr">
        <is>
          <t>09.03.2026</t>
        </is>
      </c>
      <c r="DB127" s="245" t="inlineStr">
        <is>
          <t>IPH — Institute of Public Health</t>
        </is>
      </c>
      <c r="DC127" s="245" t="inlineStr">
        <is>
          <t>ND</t>
        </is>
      </c>
      <c r="DD127" s="245" t="inlineStr">
        <is>
          <t>1058/2026</t>
        </is>
      </c>
      <c r="DE127" s="245" t="inlineStr">
        <is>
          <t>09.03.2026</t>
        </is>
      </c>
      <c r="DF127" s="245" t="inlineStr">
        <is>
          <t>IPH — Institute of Public Health</t>
        </is>
      </c>
      <c r="DG127" s="245" t="inlineStr">
        <is>
          <t>ND</t>
        </is>
      </c>
      <c r="DH127" s="245" t="inlineStr">
        <is>
          <t>1058/2026</t>
        </is>
      </c>
      <c r="DI127" s="245" t="inlineStr">
        <is>
          <t>09.03.2026</t>
        </is>
      </c>
      <c r="DJ127" s="245" t="inlineStr">
        <is>
          <t>IPH — Institute of Public Health</t>
        </is>
      </c>
      <c r="DK127" s="245" t="inlineStr">
        <is>
          <t>ND</t>
        </is>
      </c>
      <c r="DL127" s="245" t="inlineStr">
        <is>
          <t>1058/2026</t>
        </is>
      </c>
      <c r="DM127" s="245" t="inlineStr">
        <is>
          <t>09.03.2026</t>
        </is>
      </c>
      <c r="DN127" s="245" t="inlineStr">
        <is>
          <t>IPH — Institute of Public Health</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5" t="inlineStr">
        <is>
          <t>Conforms | Одговара</t>
        </is>
      </c>
      <c r="AF128" s="245" t="inlineStr">
        <is>
          <t>iCoA-PP_26-140</t>
        </is>
      </c>
      <c r="AG128" s="245" t="inlineStr">
        <is>
          <t>17.08.2026</t>
        </is>
      </c>
      <c r="AH128" s="245" t="inlineStr">
        <is>
          <t>Purely Plant GmbH (in-house)</t>
        </is>
      </c>
      <c r="AI128" s="245" t="inlineStr">
        <is>
          <t>Conforms | Одговара</t>
        </is>
      </c>
      <c r="AJ128" s="245" t="inlineStr">
        <is>
          <t>iCoA-PP_26-140</t>
        </is>
      </c>
      <c r="AK128" s="245" t="inlineStr">
        <is>
          <t>17.08.2026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5" t="inlineStr">
        <is>
          <t>Conforms | Одговара</t>
        </is>
      </c>
      <c r="BD128" s="245" t="inlineStr">
        <is>
          <t>iCoA-PP_26-140</t>
        </is>
      </c>
      <c r="BE128" s="245" t="inlineStr">
        <is>
          <t>17.08.2026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5" t="inlineStr">
        <is>
          <t>Conforms | Одговара</t>
        </is>
      </c>
      <c r="AF129" s="245" t="inlineStr">
        <is>
          <t>iCoA-PP_26-142</t>
        </is>
      </c>
      <c r="AG129" s="245" t="inlineStr">
        <is>
          <t>17.08.2026</t>
        </is>
      </c>
      <c r="AH129" s="245" t="inlineStr">
        <is>
          <t>Purely Plant GmbH (in-house)</t>
        </is>
      </c>
      <c r="AI129" s="245" t="inlineStr">
        <is>
          <t>Conforms | Одговара</t>
        </is>
      </c>
      <c r="AJ129" s="245" t="inlineStr">
        <is>
          <t>iCoA-PP_26-142</t>
        </is>
      </c>
      <c r="AK129" s="245" t="inlineStr">
        <is>
          <t>17.08.2026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5" t="inlineStr">
        <is>
          <t>Conforms | Одговара</t>
        </is>
      </c>
      <c r="BD129" s="245" t="inlineStr">
        <is>
          <t>iCoA-PP_26-142</t>
        </is>
      </c>
      <c r="BE129" s="245" t="inlineStr">
        <is>
          <t>17.08.2026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5" t="inlineStr">
        <is>
          <t>Conforms | Одговара</t>
        </is>
      </c>
      <c r="AF130" s="245" t="inlineStr">
        <is>
          <t>iCoA-PP_26-141</t>
        </is>
      </c>
      <c r="AG130" s="245" t="inlineStr">
        <is>
          <t>17.08.2026</t>
        </is>
      </c>
      <c r="AH130" s="245" t="inlineStr">
        <is>
          <t>Purely Plant GmbH (in-house)</t>
        </is>
      </c>
      <c r="AI130" s="245" t="inlineStr">
        <is>
          <t>Conforms | Одговара</t>
        </is>
      </c>
      <c r="AJ130" s="245" t="inlineStr">
        <is>
          <t>iCoA-PP_26-141</t>
        </is>
      </c>
      <c r="AK130" s="245" t="inlineStr">
        <is>
          <t>17.08.2026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5" t="inlineStr">
        <is>
          <t>Conforms | Одговара</t>
        </is>
      </c>
      <c r="BD130" s="245" t="inlineStr">
        <is>
          <t>iCoA-PP_26-141</t>
        </is>
      </c>
      <c r="BE130" s="245" t="inlineStr">
        <is>
          <t>17.08.2026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5" t="inlineStr">
        <is>
          <t>Conforms | Одговара</t>
        </is>
      </c>
      <c r="AF131" s="245" t="inlineStr">
        <is>
          <t>iCoA-PP_26-147</t>
        </is>
      </c>
      <c r="AG131" s="245" t="inlineStr">
        <is>
          <t>17.08.2026</t>
        </is>
      </c>
      <c r="AH131" s="245" t="inlineStr">
        <is>
          <t>Purely Plant GmbH (in-house)</t>
        </is>
      </c>
      <c r="AI131" s="245" t="inlineStr">
        <is>
          <t>Conforms | Одговара</t>
        </is>
      </c>
      <c r="AJ131" s="245" t="inlineStr">
        <is>
          <t>iCoA-PP_26-147</t>
        </is>
      </c>
      <c r="AK131" s="245" t="inlineStr">
        <is>
          <t>17.08.2026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5" t="inlineStr">
        <is>
          <t>Conforms | Одговара</t>
        </is>
      </c>
      <c r="BD131" s="245" t="inlineStr">
        <is>
          <t>iCoA-PP_26-147</t>
        </is>
      </c>
      <c r="BE131" s="245" t="inlineStr">
        <is>
          <t>17.08.2026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replaces the issued QCSP_001_PM-III_v.01 (was PM_THC16.5:CBD1, 16.50% ± 2.50%); now PM_THC10 : CBD1 9.00 – 10.99 %</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5" t="inlineStr">
        <is>
          <t>Conforms | Одговара</t>
        </is>
      </c>
      <c r="AF132" s="245" t="inlineStr">
        <is>
          <t>iCoA-PP_26-148</t>
        </is>
      </c>
      <c r="AG132" s="245" t="inlineStr">
        <is>
          <t>17.08.2026</t>
        </is>
      </c>
      <c r="AH132" s="245" t="inlineStr">
        <is>
          <t>Purely Plant GmbH (in-house)</t>
        </is>
      </c>
      <c r="AI132" s="245" t="inlineStr">
        <is>
          <t>Conforms | Одговара</t>
        </is>
      </c>
      <c r="AJ132" s="245" t="inlineStr">
        <is>
          <t>iCoA-PP_26-148</t>
        </is>
      </c>
      <c r="AK132" s="245" t="inlineStr">
        <is>
          <t>17.08.2026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5" t="inlineStr">
        <is>
          <t>Conforms | Одговара</t>
        </is>
      </c>
      <c r="BD132" s="245" t="inlineStr">
        <is>
          <t>iCoA-PP_26-148</t>
        </is>
      </c>
      <c r="BE132" s="245" t="inlineStr">
        <is>
          <t>17.08.2026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10</t>
        </is>
      </c>
      <c r="BL132" s="245" t="inlineStr">
        <is>
          <t>135/0232/26</t>
        </is>
      </c>
      <c r="BM132" s="245" t="inlineStr">
        <is>
          <t>06.03.2026</t>
        </is>
      </c>
      <c r="BN132" s="245" t="inlineStr">
        <is>
          <t>IPH — Institute of Public Health</t>
        </is>
      </c>
      <c r="BO132" s="245" t="inlineStr">
        <is>
          <t>&lt; 10</t>
        </is>
      </c>
      <c r="BP132" s="245" t="inlineStr">
        <is>
          <t>135/0232/26</t>
        </is>
      </c>
      <c r="BQ132" s="245" t="inlineStr">
        <is>
          <t>06.03.2026</t>
        </is>
      </c>
      <c r="BR132" s="245" t="inlineStr">
        <is>
          <t>IPH — Institute of Public Health</t>
        </is>
      </c>
      <c r="BS132" s="245" t="inlineStr">
        <is>
          <t>&lt; 10</t>
        </is>
      </c>
      <c r="BT132" s="245" t="inlineStr">
        <is>
          <t>135/0232/26</t>
        </is>
      </c>
      <c r="BU132" s="245" t="inlineStr">
        <is>
          <t>06.03.2026</t>
        </is>
      </c>
      <c r="BV132" s="245" t="inlineStr">
        <is>
          <t>IPH — Institute of Public Health</t>
        </is>
      </c>
      <c r="BW132" s="245" t="inlineStr">
        <is>
          <t>Absent | Отсутна</t>
        </is>
      </c>
      <c r="BX132" s="245" t="inlineStr">
        <is>
          <t>135/0232/26</t>
        </is>
      </c>
      <c r="BY132" s="245" t="inlineStr">
        <is>
          <t>06.03.2026</t>
        </is>
      </c>
      <c r="BZ132" s="245" t="inlineStr">
        <is>
          <t>IPH — Institute of Public Health</t>
        </is>
      </c>
      <c r="CA132" s="245" t="inlineStr">
        <is>
          <t>Absent | Отсутна</t>
        </is>
      </c>
      <c r="CB132" s="245" t="inlineStr">
        <is>
          <t>135/0232/26</t>
        </is>
      </c>
      <c r="CC132" s="245" t="inlineStr">
        <is>
          <t>06.03.2026</t>
        </is>
      </c>
      <c r="CD132" s="245" t="inlineStr">
        <is>
          <t>IPH — Institute of Public Health</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ND</t>
        </is>
      </c>
      <c r="CZ132" s="245" t="inlineStr">
        <is>
          <t>1059/2026</t>
        </is>
      </c>
      <c r="DA132" s="245" t="inlineStr">
        <is>
          <t>09.03.2026</t>
        </is>
      </c>
      <c r="DB132" s="245" t="inlineStr">
        <is>
          <t>IPH — Institute of Public Health</t>
        </is>
      </c>
      <c r="DC132" s="245" t="inlineStr">
        <is>
          <t>ND</t>
        </is>
      </c>
      <c r="DD132" s="245" t="inlineStr">
        <is>
          <t>1059/2026</t>
        </is>
      </c>
      <c r="DE132" s="245" t="inlineStr">
        <is>
          <t>09.03.2026</t>
        </is>
      </c>
      <c r="DF132" s="245" t="inlineStr">
        <is>
          <t>IPH — Institute of Public Health</t>
        </is>
      </c>
      <c r="DG132" s="245" t="inlineStr">
        <is>
          <t>ND</t>
        </is>
      </c>
      <c r="DH132" s="245" t="inlineStr">
        <is>
          <t>1059/2026</t>
        </is>
      </c>
      <c r="DI132" s="245" t="inlineStr">
        <is>
          <t>09.03.2026</t>
        </is>
      </c>
      <c r="DJ132" s="245" t="inlineStr">
        <is>
          <t>IPH — Institute of Public Health</t>
        </is>
      </c>
      <c r="DK132" s="245" t="inlineStr">
        <is>
          <t>ND</t>
        </is>
      </c>
      <c r="DL132" s="245" t="inlineStr">
        <is>
          <t>1059/2026</t>
        </is>
      </c>
      <c r="DM132" s="245" t="inlineStr">
        <is>
          <t>09.03.2026</t>
        </is>
      </c>
      <c r="DN132" s="245" t="inlineStr">
        <is>
          <t>IPH — Institute of Public Health</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5" t="inlineStr">
        <is>
          <t>Conforms | Одговара</t>
        </is>
      </c>
      <c r="AF133" s="245" t="inlineStr">
        <is>
          <t>iCoA-PP_26-149</t>
        </is>
      </c>
      <c r="AG133" s="245" t="inlineStr">
        <is>
          <t>17.08.2026</t>
        </is>
      </c>
      <c r="AH133" s="245" t="inlineStr">
        <is>
          <t>Purely Plant GmbH (in-house)</t>
        </is>
      </c>
      <c r="AI133" s="245" t="inlineStr">
        <is>
          <t>Conforms | Одговара</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5" t="inlineStr">
        <is>
          <t>Conforms | Одговара</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5 × 10¹</t>
        </is>
      </c>
      <c r="BL133" s="245" t="inlineStr">
        <is>
          <t>74/0117/26</t>
        </is>
      </c>
      <c r="BM133" s="245" t="inlineStr">
        <is>
          <t>09.02.2026</t>
        </is>
      </c>
      <c r="BN133" s="245" t="inlineStr">
        <is>
          <t>IPH — Institute of Public Health</t>
        </is>
      </c>
      <c r="BO133" s="245" t="inlineStr">
        <is>
          <t>5 × 10¹</t>
        </is>
      </c>
      <c r="BP133" s="245" t="inlineStr">
        <is>
          <t>74/0117/26</t>
        </is>
      </c>
      <c r="BQ133" s="245" t="inlineStr">
        <is>
          <t>09.02.2026</t>
        </is>
      </c>
      <c r="BR133" s="245" t="inlineStr">
        <is>
          <t>IPH — Institute of Public Health</t>
        </is>
      </c>
      <c r="BS133" s="245" t="inlineStr">
        <is>
          <t>&lt; 10</t>
        </is>
      </c>
      <c r="BT133" s="245" t="inlineStr">
        <is>
          <t>74/0117/26</t>
        </is>
      </c>
      <c r="BU133" s="245" t="inlineStr">
        <is>
          <t>09.02.2026</t>
        </is>
      </c>
      <c r="BV133" s="245" t="inlineStr">
        <is>
          <t>IPH — Institute of Public Health</t>
        </is>
      </c>
      <c r="BW133" s="245" t="inlineStr">
        <is>
          <t>Absent | Отсутна</t>
        </is>
      </c>
      <c r="BX133" s="245" t="inlineStr">
        <is>
          <t>74/0117/26</t>
        </is>
      </c>
      <c r="BY133" s="245" t="inlineStr">
        <is>
          <t>09.02.2026</t>
        </is>
      </c>
      <c r="BZ133" s="245" t="inlineStr">
        <is>
          <t>IPH — Institute of Public Health</t>
        </is>
      </c>
      <c r="CA133" s="245" t="inlineStr">
        <is>
          <t>Absent | Отсутна</t>
        </is>
      </c>
      <c r="CB133" s="245" t="inlineStr">
        <is>
          <t>74/0117/26</t>
        </is>
      </c>
      <c r="CC133" s="245" t="inlineStr">
        <is>
          <t>09.02.2026</t>
        </is>
      </c>
      <c r="CD133" s="245" t="inlineStr">
        <is>
          <t>IPH — Institute of Public Health</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0.078</t>
        </is>
      </c>
      <c r="CZ133" s="245" t="inlineStr">
        <is>
          <t>327/2026</t>
        </is>
      </c>
      <c r="DA133" s="245" t="inlineStr">
        <is>
          <t>11.02.2026</t>
        </is>
      </c>
      <c r="DB133" s="245" t="inlineStr">
        <is>
          <t>IPH — Institute of Public Health</t>
        </is>
      </c>
      <c r="DC133" s="245" t="inlineStr">
        <is>
          <t>ND</t>
        </is>
      </c>
      <c r="DD133" s="245" t="inlineStr">
        <is>
          <t>327/2026</t>
        </is>
      </c>
      <c r="DE133" s="245" t="inlineStr">
        <is>
          <t>11.02.2026</t>
        </is>
      </c>
      <c r="DF133" s="245" t="inlineStr">
        <is>
          <t>IPH — Institute of Public Health</t>
        </is>
      </c>
      <c r="DG133" s="245" t="inlineStr">
        <is>
          <t>0.0187</t>
        </is>
      </c>
      <c r="DH133" s="245" t="inlineStr">
        <is>
          <t>327/2026</t>
        </is>
      </c>
      <c r="DI133" s="245" t="inlineStr">
        <is>
          <t>11.02.2026</t>
        </is>
      </c>
      <c r="DJ133" s="245" t="inlineStr">
        <is>
          <t>IPH — Institute of Public Health</t>
        </is>
      </c>
      <c r="DK133" s="245" t="inlineStr">
        <is>
          <t>ND</t>
        </is>
      </c>
      <c r="DL133" s="245" t="inlineStr">
        <is>
          <t>327/2026</t>
        </is>
      </c>
      <c r="DM133" s="245" t="inlineStr">
        <is>
          <t>11.02.2026</t>
        </is>
      </c>
      <c r="DN133" s="245" t="inlineStr">
        <is>
          <t>IPH — Institute of Public Health</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5" t="inlineStr">
        <is>
          <t>Conforms | Одговара</t>
        </is>
      </c>
      <c r="AF134" s="245" t="inlineStr">
        <is>
          <t>iCoA-PP_26-150</t>
        </is>
      </c>
      <c r="AG134" s="245" t="inlineStr">
        <is>
          <t>17.08.2026</t>
        </is>
      </c>
      <c r="AH134" s="245" t="inlineStr">
        <is>
          <t>Purely Plant GmbH (in-house)</t>
        </is>
      </c>
      <c r="AI134" s="245" t="inlineStr">
        <is>
          <t>Conforms | Одговара</t>
        </is>
      </c>
      <c r="AJ134" s="245" t="inlineStr">
        <is>
          <t>iCoA-PP_26-150</t>
        </is>
      </c>
      <c r="AK134" s="245" t="inlineStr">
        <is>
          <t>17.08.2026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5" t="inlineStr">
        <is>
          <t>Conforms | Одговара</t>
        </is>
      </c>
      <c r="BD134" s="245" t="inlineStr">
        <is>
          <t>iCoA-PP_26-150</t>
        </is>
      </c>
      <c r="BE134" s="245" t="inlineStr">
        <is>
          <t>17.08.2026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5" t="inlineStr">
        <is>
          <t>Conforms | Одговара</t>
        </is>
      </c>
      <c r="AF135" s="245" t="inlineStr">
        <is>
          <t>iCoA-PP_26-151</t>
        </is>
      </c>
      <c r="AG135" s="245" t="inlineStr">
        <is>
          <t>17.08.2026</t>
        </is>
      </c>
      <c r="AH135" s="245" t="inlineStr">
        <is>
          <t>Purely Plant GmbH (in-house)</t>
        </is>
      </c>
      <c r="AI135" s="245" t="inlineStr">
        <is>
          <t>Conforms | Одговара</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5" t="inlineStr">
        <is>
          <t>Conforms | Одговара</t>
        </is>
      </c>
      <c r="BD135" s="245" t="inlineStr">
        <is>
          <t>iCoA-PP_26-151</t>
        </is>
      </c>
      <c r="BE135" s="245" t="inlineStr">
        <is>
          <t>17.08.2026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5" t="inlineStr">
        <is>
          <t>Conforms | Одговара</t>
        </is>
      </c>
      <c r="AF136" s="245" t="inlineStr">
        <is>
          <t>iCoA-PP_26-152</t>
        </is>
      </c>
      <c r="AG136" s="245" t="inlineStr">
        <is>
          <t>17.08.2026</t>
        </is>
      </c>
      <c r="AH136" s="245" t="inlineStr">
        <is>
          <t>Purely Plant GmbH (in-house)</t>
        </is>
      </c>
      <c r="AI136" s="245" t="inlineStr">
        <is>
          <t>Conforms | Одговара</t>
        </is>
      </c>
      <c r="AJ136" s="245" t="inlineStr">
        <is>
          <t>iCoA-PP_26-152</t>
        </is>
      </c>
      <c r="AK136" s="245" t="inlineStr">
        <is>
          <t>17.08.2026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5" t="inlineStr">
        <is>
          <t>Conforms | Одговара</t>
        </is>
      </c>
      <c r="BD136" s="245" t="inlineStr">
        <is>
          <t>iCoA-PP_26-152</t>
        </is>
      </c>
      <c r="BE136" s="245" t="inlineStr">
        <is>
          <t>17.08.2026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replaces the issued QCSP_001_AB-I_v.01 (was AB_THC27.5:CBD1, 27.50% ± 2.50%); now AB_THC22 : CBD1 19.80 – 24.19 %</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16.09.2026</t>
        </is>
      </c>
      <c r="AE137" s="245" t="inlineStr">
        <is>
          <t>Conforms | Одговара</t>
        </is>
      </c>
      <c r="AF137" s="245" t="inlineStr">
        <is>
          <t>iCoA-PP_26-173</t>
        </is>
      </c>
      <c r="AG137" s="245" t="inlineStr">
        <is>
          <t>24.08.2026</t>
        </is>
      </c>
      <c r="AH137" s="245" t="inlineStr">
        <is>
          <t>Purely Plant GmbH (in-house)</t>
        </is>
      </c>
      <c r="AI137" s="245" t="inlineStr">
        <is>
          <t>Conforms | Одговара</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5" t="inlineStr">
        <is>
          <t>Conforms | Одговара</t>
        </is>
      </c>
      <c r="BD137" s="245" t="inlineStr">
        <is>
          <t>iCoA-PP_26-173</t>
        </is>
      </c>
      <c r="BE137" s="245" t="inlineStr">
        <is>
          <t>24.08.2026</t>
        </is>
      </c>
      <c r="BF137" s="245" t="inlineStr">
        <is>
          <t>Purely Plant GmbH (in-house)</t>
        </is>
      </c>
      <c r="BG137" s="245" t="inlineStr">
        <is>
          <t>6.77</t>
        </is>
      </c>
      <c r="BH137" s="245" t="inlineStr">
        <is>
          <t>ППК26005</t>
        </is>
      </c>
      <c r="BI137" s="245" t="inlineStr">
        <is>
          <t>21.01.2026</t>
        </is>
      </c>
      <c r="BJ137" s="245" t="inlineStr">
        <is>
          <t>UKIM Faculty of Pharmacy — Center for Natural Products</t>
        </is>
      </c>
      <c r="BK137" s="245" t="inlineStr">
        <is>
          <t>&lt; 10</t>
        </is>
      </c>
      <c r="BL137" s="245" t="inlineStr">
        <is>
          <t>552/1083/26</t>
        </is>
      </c>
      <c r="BM137" s="245" t="inlineStr">
        <is>
          <t>01.09.2026</t>
        </is>
      </c>
      <c r="BN137" s="245" t="inlineStr">
        <is>
          <t>IPH — Institute of Public Health</t>
        </is>
      </c>
      <c r="BO137" s="245" t="inlineStr">
        <is>
          <t>&lt; 10</t>
        </is>
      </c>
      <c r="BP137" s="245" t="inlineStr">
        <is>
          <t>552/1083/26</t>
        </is>
      </c>
      <c r="BQ137" s="245" t="inlineStr">
        <is>
          <t>01.09.2026</t>
        </is>
      </c>
      <c r="BR137" s="245" t="inlineStr">
        <is>
          <t>IPH — Institute of Public Health</t>
        </is>
      </c>
      <c r="BS137" s="245" t="inlineStr">
        <is>
          <t>&lt; 10</t>
        </is>
      </c>
      <c r="BT137" s="245" t="inlineStr">
        <is>
          <t>552/1083/26</t>
        </is>
      </c>
      <c r="BU137" s="245" t="inlineStr">
        <is>
          <t>01.09.2026</t>
        </is>
      </c>
      <c r="BV137" s="245" t="inlineStr">
        <is>
          <t>IPH — Institute of Public Health</t>
        </is>
      </c>
      <c r="BW137" s="245" t="inlineStr">
        <is>
          <t>Absent | Отсутна</t>
        </is>
      </c>
      <c r="BX137" s="245" t="inlineStr">
        <is>
          <t>552/1083/26</t>
        </is>
      </c>
      <c r="BY137" s="245" t="inlineStr">
        <is>
          <t>01.09.2026</t>
        </is>
      </c>
      <c r="BZ137" s="245" t="inlineStr">
        <is>
          <t>IPH — Institute of Public Health</t>
        </is>
      </c>
      <c r="CA137" s="245" t="inlineStr">
        <is>
          <t>Absent | Отсутна</t>
        </is>
      </c>
      <c r="CB137" s="245" t="inlineStr">
        <is>
          <t>552/1083/26</t>
        </is>
      </c>
      <c r="CC137" s="245" t="inlineStr">
        <is>
          <t>01.09.2026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5" t="inlineStr">
        <is>
          <t>ND</t>
        </is>
      </c>
      <c r="CN137" s="245" t="inlineStr">
        <is>
          <t>227-30-М/26</t>
        </is>
      </c>
      <c r="CO137" s="245" t="inlineStr">
        <is>
          <t>16.09.2026</t>
        </is>
      </c>
      <c r="CP137" s="245" t="inlineStr">
        <is>
          <t>Farmahem</t>
        </is>
      </c>
      <c r="CQ137" s="245" t="inlineStr">
        <is>
          <t>ND</t>
        </is>
      </c>
      <c r="CR137" s="245" t="inlineStr">
        <is>
          <t>227-30-М/26</t>
        </is>
      </c>
      <c r="CS137" s="245" t="inlineStr">
        <is>
          <t>16.09.2026</t>
        </is>
      </c>
      <c r="CT137" s="245" t="inlineStr">
        <is>
          <t>Farmahem</t>
        </is>
      </c>
      <c r="CU137" s="245" t="inlineStr">
        <is>
          <t>ND</t>
        </is>
      </c>
      <c r="CV137" s="245" t="inlineStr">
        <is>
          <t>227-30-М/26</t>
        </is>
      </c>
      <c r="CW137" s="245" t="inlineStr">
        <is>
          <t>16.09.2026</t>
        </is>
      </c>
      <c r="CX137" s="245" t="inlineStr">
        <is>
          <t>Farmahem</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16.09.2026</t>
        </is>
      </c>
      <c r="AE138" s="245" t="inlineStr">
        <is>
          <t>Conforms | Одговара</t>
        </is>
      </c>
      <c r="AF138" s="245" t="inlineStr">
        <is>
          <t>iCoA-PP_26-174</t>
        </is>
      </c>
      <c r="AG138" s="245" t="inlineStr">
        <is>
          <t>24.08.2026</t>
        </is>
      </c>
      <c r="AH138" s="245" t="inlineStr">
        <is>
          <t>Purely Plant GmbH (in-house)</t>
        </is>
      </c>
      <c r="AI138" s="245" t="inlineStr">
        <is>
          <t>Conforms | Одговара</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5" t="inlineStr">
        <is>
          <t>Conforms | Одговара</t>
        </is>
      </c>
      <c r="BD138" s="245" t="inlineStr">
        <is>
          <t>iCoA-PP_26-174</t>
        </is>
      </c>
      <c r="BE138" s="245" t="inlineStr">
        <is>
          <t>24.08.2026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10</t>
        </is>
      </c>
      <c r="BL138" s="245" t="inlineStr">
        <is>
          <t>561/1092/26</t>
        </is>
      </c>
      <c r="BM138" s="245" t="inlineStr">
        <is>
          <t>01.09.2026</t>
        </is>
      </c>
      <c r="BN138" s="245" t="inlineStr">
        <is>
          <t>IPH — Institute of Public Health</t>
        </is>
      </c>
      <c r="BO138" s="245" t="inlineStr">
        <is>
          <t>20</t>
        </is>
      </c>
      <c r="BP138" s="245" t="inlineStr">
        <is>
          <t>561/1092/26</t>
        </is>
      </c>
      <c r="BQ138" s="245" t="inlineStr">
        <is>
          <t>01.09.2026</t>
        </is>
      </c>
      <c r="BR138" s="245" t="inlineStr">
        <is>
          <t>IPH — Institute of Public Health</t>
        </is>
      </c>
      <c r="BS138" s="245" t="inlineStr">
        <is>
          <t>&lt; 10</t>
        </is>
      </c>
      <c r="BT138" s="245" t="inlineStr">
        <is>
          <t>561/1092/26</t>
        </is>
      </c>
      <c r="BU138" s="245" t="inlineStr">
        <is>
          <t>01.09.2026</t>
        </is>
      </c>
      <c r="BV138" s="245" t="inlineStr">
        <is>
          <t>IPH — Institute of Public Health</t>
        </is>
      </c>
      <c r="BW138" s="245" t="inlineStr">
        <is>
          <t>Absent | Отсутна</t>
        </is>
      </c>
      <c r="BX138" s="245" t="inlineStr">
        <is>
          <t>561/1092/26</t>
        </is>
      </c>
      <c r="BY138" s="245" t="inlineStr">
        <is>
          <t>01.09.2026</t>
        </is>
      </c>
      <c r="BZ138" s="245" t="inlineStr">
        <is>
          <t>IPH — Institute of Public Health</t>
        </is>
      </c>
      <c r="CA138" s="245" t="inlineStr">
        <is>
          <t>Absent | Отсутна</t>
        </is>
      </c>
      <c r="CB138" s="245" t="inlineStr">
        <is>
          <t>561/1092/26</t>
        </is>
      </c>
      <c r="CC138" s="245" t="inlineStr">
        <is>
          <t>01.09.2026</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5" t="inlineStr">
        <is>
          <t>ND</t>
        </is>
      </c>
      <c r="CN138" s="245" t="inlineStr">
        <is>
          <t>227-29-М/26</t>
        </is>
      </c>
      <c r="CO138" s="245" t="inlineStr">
        <is>
          <t>16.09.2026</t>
        </is>
      </c>
      <c r="CP138" s="245" t="inlineStr">
        <is>
          <t>Farmahem</t>
        </is>
      </c>
      <c r="CQ138" s="245" t="inlineStr">
        <is>
          <t>ND</t>
        </is>
      </c>
      <c r="CR138" s="245" t="inlineStr">
        <is>
          <t>227-29-М/26</t>
        </is>
      </c>
      <c r="CS138" s="245" t="inlineStr">
        <is>
          <t>16.09.2026</t>
        </is>
      </c>
      <c r="CT138" s="245" t="inlineStr">
        <is>
          <t>Farmahem</t>
        </is>
      </c>
      <c r="CU138" s="245" t="inlineStr">
        <is>
          <t>ND</t>
        </is>
      </c>
      <c r="CV138" s="245" t="inlineStr">
        <is>
          <t>227-29-М/26</t>
        </is>
      </c>
      <c r="CW138" s="245" t="inlineStr">
        <is>
          <t>16.09.2026</t>
        </is>
      </c>
      <c r="CX138" s="245" t="inlineStr">
        <is>
          <t>Farmahem</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5" t="inlineStr">
        <is>
          <t>Conforms | Одговара</t>
        </is>
      </c>
      <c r="AF139" s="245" t="inlineStr">
        <is>
          <t>iCoA-PP_26-153</t>
        </is>
      </c>
      <c r="AG139" s="245" t="inlineStr">
        <is>
          <t>24.08.2026</t>
        </is>
      </c>
      <c r="AH139" s="245" t="inlineStr">
        <is>
          <t>Purely Plant GmbH (in-house)</t>
        </is>
      </c>
      <c r="AI139" s="245" t="inlineStr">
        <is>
          <t>Conforms | Одговара</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5" t="inlineStr">
        <is>
          <t>Conforms | Одговара</t>
        </is>
      </c>
      <c r="BD139" s="245" t="inlineStr">
        <is>
          <t>iCoA-PP_26-153</t>
        </is>
      </c>
      <c r="BE139" s="245" t="inlineStr">
        <is>
          <t>24.08.2026</t>
        </is>
      </c>
      <c r="BF139" s="245" t="inlineStr">
        <is>
          <t>Purely Plant GmbH (in-house)</t>
        </is>
      </c>
      <c r="BG139" s="245" t="inlineStr">
        <is>
          <t>carried from the initial testing — not tested</t>
        </is>
      </c>
      <c r="BH139" s="245" t="inlineStr">
        <is>
          <t>—</t>
        </is>
      </c>
      <c r="BI139" s="245" t="inlineStr">
        <is>
          <t>—</t>
        </is>
      </c>
      <c r="BJ139" s="245" t="inlineStr">
        <is>
          <t>—</t>
        </is>
      </c>
      <c r="BK139" s="245" t="inlineStr">
        <is>
          <t>&lt; 10</t>
        </is>
      </c>
      <c r="BL139" s="245" t="inlineStr">
        <is>
          <t>559/1090/26</t>
        </is>
      </c>
      <c r="BM139" s="245" t="inlineStr">
        <is>
          <t>01.09.2026</t>
        </is>
      </c>
      <c r="BN139" s="245" t="inlineStr">
        <is>
          <t>IPH — Institute of Public Health</t>
        </is>
      </c>
      <c r="BO139" s="245" t="inlineStr">
        <is>
          <t>&lt; 10</t>
        </is>
      </c>
      <c r="BP139" s="245" t="inlineStr">
        <is>
          <t>559/1090/26</t>
        </is>
      </c>
      <c r="BQ139" s="245" t="inlineStr">
        <is>
          <t>01.09.2026</t>
        </is>
      </c>
      <c r="BR139" s="245" t="inlineStr">
        <is>
          <t>IPH — Institute of Public Health</t>
        </is>
      </c>
      <c r="BS139" s="245" t="inlineStr">
        <is>
          <t>&lt; 10</t>
        </is>
      </c>
      <c r="BT139" s="245" t="inlineStr">
        <is>
          <t>559/1090/26</t>
        </is>
      </c>
      <c r="BU139" s="245" t="inlineStr">
        <is>
          <t>01.09.2026</t>
        </is>
      </c>
      <c r="BV139" s="245" t="inlineStr">
        <is>
          <t>IPH — Institute of Public Health</t>
        </is>
      </c>
      <c r="BW139" s="245" t="inlineStr">
        <is>
          <t>Absent | Отсутна</t>
        </is>
      </c>
      <c r="BX139" s="245" t="inlineStr">
        <is>
          <t>559/1090/26</t>
        </is>
      </c>
      <c r="BY139" s="245" t="inlineStr">
        <is>
          <t>01.09.2026</t>
        </is>
      </c>
      <c r="BZ139" s="245" t="inlineStr">
        <is>
          <t>IPH — Institute of Public Health</t>
        </is>
      </c>
      <c r="CA139" s="245" t="inlineStr">
        <is>
          <t>Absent | Отсутна</t>
        </is>
      </c>
      <c r="CB139" s="245" t="inlineStr">
        <is>
          <t>559/1090/26</t>
        </is>
      </c>
      <c r="CC139" s="245" t="inlineStr">
        <is>
          <t>01.09.2026</t>
        </is>
      </c>
      <c r="CD139" s="245" t="inlineStr">
        <is>
          <t>IPH — Institute of Public Health</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5" t="inlineStr">
        <is>
          <t>ND</t>
        </is>
      </c>
      <c r="CN139" s="245" t="inlineStr">
        <is>
          <t>227-1-М/26</t>
        </is>
      </c>
      <c r="CO139" s="245" t="inlineStr">
        <is>
          <t>16.09.2026</t>
        </is>
      </c>
      <c r="CP139" s="245" t="inlineStr">
        <is>
          <t>Farmahem</t>
        </is>
      </c>
      <c r="CQ139" s="245" t="inlineStr">
        <is>
          <t>ND</t>
        </is>
      </c>
      <c r="CR139" s="245" t="inlineStr">
        <is>
          <t>227-1-М/26</t>
        </is>
      </c>
      <c r="CS139" s="245" t="inlineStr">
        <is>
          <t>16.09.2026</t>
        </is>
      </c>
      <c r="CT139" s="245" t="inlineStr">
        <is>
          <t>Farmahem</t>
        </is>
      </c>
      <c r="CU139" s="245" t="inlineStr">
        <is>
          <t>ND</t>
        </is>
      </c>
      <c r="CV139" s="245" t="inlineStr">
        <is>
          <t>227-1-М/26</t>
        </is>
      </c>
      <c r="CW139" s="245" t="inlineStr">
        <is>
          <t>16.09.2026</t>
        </is>
      </c>
      <c r="CX139" s="245" t="inlineStr">
        <is>
          <t>Farmahem</t>
        </is>
      </c>
      <c r="CY139" s="245" t="inlineStr">
        <is>
          <t>carried from the initial testing — not tested</t>
        </is>
      </c>
      <c r="CZ139" s="245" t="inlineStr">
        <is>
          <t>—</t>
        </is>
      </c>
      <c r="DA139" s="245" t="inlineStr">
        <is>
          <t>—</t>
        </is>
      </c>
      <c r="DB139" s="245" t="inlineStr">
        <is>
          <t>—</t>
        </is>
      </c>
      <c r="DC139" s="245" t="inlineStr">
        <is>
          <t>carried from the initial testing — not tested</t>
        </is>
      </c>
      <c r="DD139" s="245" t="inlineStr">
        <is>
          <t>—</t>
        </is>
      </c>
      <c r="DE139" s="245" t="inlineStr">
        <is>
          <t>—</t>
        </is>
      </c>
      <c r="DF139" s="245" t="inlineStr">
        <is>
          <t>—</t>
        </is>
      </c>
      <c r="DG139" s="245" t="inlineStr">
        <is>
          <t>carried from the initial testing — not tested</t>
        </is>
      </c>
      <c r="DH139" s="245" t="inlineStr">
        <is>
          <t>—</t>
        </is>
      </c>
      <c r="DI139" s="245" t="inlineStr">
        <is>
          <t>—</t>
        </is>
      </c>
      <c r="DJ139" s="245" t="inlineStr">
        <is>
          <t>—</t>
        </is>
      </c>
      <c r="DK139" s="245" t="inlineStr">
        <is>
          <t>carried from the initial testing — not tested</t>
        </is>
      </c>
      <c r="DL139" s="245" t="inlineStr">
        <is>
          <t>—</t>
        </is>
      </c>
      <c r="DM139" s="245" t="inlineStr">
        <is>
          <t>—</t>
        </is>
      </c>
      <c r="DN139" s="245" t="inlineStr">
        <is>
          <t>—</t>
        </is>
      </c>
      <c r="DO139" s="245" t="inlineStr">
        <is>
          <t>carried from the initial testing — not tested</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replaces the issued QCSP_001_CC-I_v.01 (was CC_THC28:CBD1, 28.00% ± 2.25%); now CC_THC17 : CBD1 15.35 – 18.64 %</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16.09.2026</t>
        </is>
      </c>
      <c r="AE140" s="245" t="inlineStr">
        <is>
          <t>Conforms | Одговара</t>
        </is>
      </c>
      <c r="AF140" s="245" t="inlineStr">
        <is>
          <t>iCoA-PP_26-175</t>
        </is>
      </c>
      <c r="AG140" s="245" t="inlineStr">
        <is>
          <t>24.08.2026</t>
        </is>
      </c>
      <c r="AH140" s="245" t="inlineStr">
        <is>
          <t>Purely Plant GmbH (in-house)</t>
        </is>
      </c>
      <c r="AI140" s="245" t="inlineStr">
        <is>
          <t>Conforms | Одговара</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5" t="inlineStr">
        <is>
          <t>Conforms | Одговара</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1,6 × 10³</t>
        </is>
      </c>
      <c r="BL140" s="245" t="inlineStr">
        <is>
          <t>543/1074/26</t>
        </is>
      </c>
      <c r="BM140" s="245" t="inlineStr">
        <is>
          <t>31.08.2026</t>
        </is>
      </c>
      <c r="BN140" s="245" t="inlineStr">
        <is>
          <t>IPH — Institute of Public Health</t>
        </is>
      </c>
      <c r="BO140" s="245" t="inlineStr">
        <is>
          <t>1 × 10³</t>
        </is>
      </c>
      <c r="BP140" s="245" t="inlineStr">
        <is>
          <t>543/1074/26</t>
        </is>
      </c>
      <c r="BQ140" s="245" t="inlineStr">
        <is>
          <t>31.08.2026</t>
        </is>
      </c>
      <c r="BR140" s="245" t="inlineStr">
        <is>
          <t>IPH — Institute of Public Health</t>
        </is>
      </c>
      <c r="BS140" s="245" t="inlineStr">
        <is>
          <t>&lt; 10³ and &gt; 10²</t>
        </is>
      </c>
      <c r="BT140" s="245" t="inlineStr">
        <is>
          <t>543/1074/26</t>
        </is>
      </c>
      <c r="BU140" s="245" t="inlineStr">
        <is>
          <t>31.08.2026</t>
        </is>
      </c>
      <c r="BV140" s="245" t="inlineStr">
        <is>
          <t>IPH — Institute of Public Health</t>
        </is>
      </c>
      <c r="BW140" s="245" t="inlineStr">
        <is>
          <t>Absent | Отсутна</t>
        </is>
      </c>
      <c r="BX140" s="245" t="inlineStr">
        <is>
          <t>543/1074/26</t>
        </is>
      </c>
      <c r="BY140" s="245" t="inlineStr">
        <is>
          <t>31.08.2026</t>
        </is>
      </c>
      <c r="BZ140" s="245" t="inlineStr">
        <is>
          <t>IPH — Institute of Public Health</t>
        </is>
      </c>
      <c r="CA140" s="245" t="inlineStr">
        <is>
          <t>Absent | Отсутна</t>
        </is>
      </c>
      <c r="CB140" s="245" t="inlineStr">
        <is>
          <t>543/1074/26</t>
        </is>
      </c>
      <c r="CC140" s="245" t="inlineStr">
        <is>
          <t>31.08.2026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5" t="inlineStr">
        <is>
          <t>ND</t>
        </is>
      </c>
      <c r="CN140" s="245" t="inlineStr">
        <is>
          <t>227-25-М/26</t>
        </is>
      </c>
      <c r="CO140" s="245" t="inlineStr">
        <is>
          <t>16.09.2026</t>
        </is>
      </c>
      <c r="CP140" s="245" t="inlineStr">
        <is>
          <t>Farmahem</t>
        </is>
      </c>
      <c r="CQ140" s="245" t="inlineStr">
        <is>
          <t>ND</t>
        </is>
      </c>
      <c r="CR140" s="245" t="inlineStr">
        <is>
          <t>227-25-М/26</t>
        </is>
      </c>
      <c r="CS140" s="245" t="inlineStr">
        <is>
          <t>16.09.2026</t>
        </is>
      </c>
      <c r="CT140" s="245" t="inlineStr">
        <is>
          <t>Farmahem</t>
        </is>
      </c>
      <c r="CU140" s="245" t="inlineStr">
        <is>
          <t>ND</t>
        </is>
      </c>
      <c r="CV140" s="245" t="inlineStr">
        <is>
          <t>227-25-М/26</t>
        </is>
      </c>
      <c r="CW140" s="245" t="inlineStr">
        <is>
          <t>16.09.2026</t>
        </is>
      </c>
      <c r="CX140" s="245" t="inlineStr">
        <is>
          <t>Farmahem</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16.09.2026</t>
        </is>
      </c>
      <c r="AE141" s="245" t="inlineStr">
        <is>
          <t>Conforms | Одговара</t>
        </is>
      </c>
      <c r="AF141" s="245" t="inlineStr">
        <is>
          <t>iCoA-PP_26-176</t>
        </is>
      </c>
      <c r="AG141" s="245" t="inlineStr">
        <is>
          <t>24.08.2026</t>
        </is>
      </c>
      <c r="AH141" s="245" t="inlineStr">
        <is>
          <t>Purely Plant GmbH (in-house)</t>
        </is>
      </c>
      <c r="AI141" s="245" t="inlineStr">
        <is>
          <t>Conforms | Одговара</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5" t="inlineStr">
        <is>
          <t>Conforms | Одговара</t>
        </is>
      </c>
      <c r="BD141" s="245" t="inlineStr">
        <is>
          <t>iCoA-PP_26-176</t>
        </is>
      </c>
      <c r="BE141" s="245" t="inlineStr">
        <is>
          <t>24.08.2026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&lt; 10</t>
        </is>
      </c>
      <c r="BL141" s="245" t="inlineStr">
        <is>
          <t>558/1089/26</t>
        </is>
      </c>
      <c r="BM141" s="245" t="inlineStr">
        <is>
          <t>01.09.2026</t>
        </is>
      </c>
      <c r="BN141" s="245" t="inlineStr">
        <is>
          <t>IPH — Institute of Public Health</t>
        </is>
      </c>
      <c r="BO141" s="245" t="inlineStr">
        <is>
          <t>&lt; 10</t>
        </is>
      </c>
      <c r="BP141" s="245" t="inlineStr">
        <is>
          <t>558/1089/26</t>
        </is>
      </c>
      <c r="BQ141" s="245" t="inlineStr">
        <is>
          <t>01.09.2026</t>
        </is>
      </c>
      <c r="BR141" s="245" t="inlineStr">
        <is>
          <t>IPH — Institute of Public Health</t>
        </is>
      </c>
      <c r="BS141" s="245" t="inlineStr">
        <is>
          <t>&lt; 10</t>
        </is>
      </c>
      <c r="BT141" s="245" t="inlineStr">
        <is>
          <t>558/1089/26</t>
        </is>
      </c>
      <c r="BU141" s="245" t="inlineStr">
        <is>
          <t>01.09.2026</t>
        </is>
      </c>
      <c r="BV141" s="245" t="inlineStr">
        <is>
          <t>IPH — Institute of Public Health</t>
        </is>
      </c>
      <c r="BW141" s="245" t="inlineStr">
        <is>
          <t>Absent | Отсутна</t>
        </is>
      </c>
      <c r="BX141" s="245" t="inlineStr">
        <is>
          <t>558/1089/26</t>
        </is>
      </c>
      <c r="BY141" s="245" t="inlineStr">
        <is>
          <t>01.09.2026</t>
        </is>
      </c>
      <c r="BZ141" s="245" t="inlineStr">
        <is>
          <t>IPH — Institute of Public Health</t>
        </is>
      </c>
      <c r="CA141" s="245" t="inlineStr">
        <is>
          <t>Absent | Отсутна</t>
        </is>
      </c>
      <c r="CB141" s="245" t="inlineStr">
        <is>
          <t>558/1089/26</t>
        </is>
      </c>
      <c r="CC141" s="245" t="inlineStr">
        <is>
          <t>01.09.2026</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5" t="inlineStr">
        <is>
          <t>ND</t>
        </is>
      </c>
      <c r="CN141" s="245" t="inlineStr">
        <is>
          <t>227-28-М/26</t>
        </is>
      </c>
      <c r="CO141" s="245" t="inlineStr">
        <is>
          <t>16.09.2026</t>
        </is>
      </c>
      <c r="CP141" s="245" t="inlineStr">
        <is>
          <t>Farmahem</t>
        </is>
      </c>
      <c r="CQ141" s="245" t="inlineStr">
        <is>
          <t>ND</t>
        </is>
      </c>
      <c r="CR141" s="245" t="inlineStr">
        <is>
          <t>227-28-М/26</t>
        </is>
      </c>
      <c r="CS141" s="245" t="inlineStr">
        <is>
          <t>16.09.2026</t>
        </is>
      </c>
      <c r="CT141" s="245" t="inlineStr">
        <is>
          <t>Farmahem</t>
        </is>
      </c>
      <c r="CU141" s="245" t="inlineStr">
        <is>
          <t>ND</t>
        </is>
      </c>
      <c r="CV141" s="245" t="inlineStr">
        <is>
          <t>227-28-М/26</t>
        </is>
      </c>
      <c r="CW141" s="245" t="inlineStr">
        <is>
          <t>16.09.2026</t>
        </is>
      </c>
      <c r="CX141" s="245" t="inlineStr">
        <is>
          <t>Farmahem</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16.09.2026</t>
        </is>
      </c>
      <c r="AE142" s="245" t="inlineStr">
        <is>
          <t>Conforms | Одговара</t>
        </is>
      </c>
      <c r="AF142" s="245" t="inlineStr">
        <is>
          <t>iCoA-PP_26-177</t>
        </is>
      </c>
      <c r="AG142" s="245" t="inlineStr">
        <is>
          <t>24.08.2026</t>
        </is>
      </c>
      <c r="AH142" s="245" t="inlineStr">
        <is>
          <t>Purely Plant GmbH (in-house)</t>
        </is>
      </c>
      <c r="AI142" s="245" t="inlineStr">
        <is>
          <t>Conforms | Одговара</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5" t="inlineStr">
        <is>
          <t>Conforms | Одговара</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&lt; 10</t>
        </is>
      </c>
      <c r="BL142" s="245" t="inlineStr">
        <is>
          <t>556/1087/26</t>
        </is>
      </c>
      <c r="BM142" s="245" t="inlineStr">
        <is>
          <t>01.09.2026</t>
        </is>
      </c>
      <c r="BN142" s="245" t="inlineStr">
        <is>
          <t>IPH — Institute of Public Health</t>
        </is>
      </c>
      <c r="BO142" s="245" t="inlineStr">
        <is>
          <t>&lt; 10</t>
        </is>
      </c>
      <c r="BP142" s="245" t="inlineStr">
        <is>
          <t>556/1087/26</t>
        </is>
      </c>
      <c r="BQ142" s="245" t="inlineStr">
        <is>
          <t>01.09.2026</t>
        </is>
      </c>
      <c r="BR142" s="245" t="inlineStr">
        <is>
          <t>IPH — Institute of Public Health</t>
        </is>
      </c>
      <c r="BS142" s="245" t="inlineStr">
        <is>
          <t>&lt; 10</t>
        </is>
      </c>
      <c r="BT142" s="245" t="inlineStr">
        <is>
          <t>556/1087/26</t>
        </is>
      </c>
      <c r="BU142" s="245" t="inlineStr">
        <is>
          <t>01.09.2026</t>
        </is>
      </c>
      <c r="BV142" s="245" t="inlineStr">
        <is>
          <t>IPH — Institute of Public Health</t>
        </is>
      </c>
      <c r="BW142" s="245" t="inlineStr">
        <is>
          <t>Absent | Отсутна</t>
        </is>
      </c>
      <c r="BX142" s="245" t="inlineStr">
        <is>
          <t>556/1087/26</t>
        </is>
      </c>
      <c r="BY142" s="245" t="inlineStr">
        <is>
          <t>01.09.2026</t>
        </is>
      </c>
      <c r="BZ142" s="245" t="inlineStr">
        <is>
          <t>IPH — Institute of Public Health</t>
        </is>
      </c>
      <c r="CA142" s="245" t="inlineStr">
        <is>
          <t>Absent | Отсутна</t>
        </is>
      </c>
      <c r="CB142" s="245" t="inlineStr">
        <is>
          <t>556/1087/26</t>
        </is>
      </c>
      <c r="CC142" s="245" t="inlineStr">
        <is>
          <t>01.09.2026</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5" t="inlineStr">
        <is>
          <t>ND</t>
        </is>
      </c>
      <c r="CN142" s="245" t="inlineStr">
        <is>
          <t>227-27-М/26</t>
        </is>
      </c>
      <c r="CO142" s="245" t="inlineStr">
        <is>
          <t>16.09.2026</t>
        </is>
      </c>
      <c r="CP142" s="245" t="inlineStr">
        <is>
          <t>Farmahem</t>
        </is>
      </c>
      <c r="CQ142" s="245" t="inlineStr">
        <is>
          <t>ND</t>
        </is>
      </c>
      <c r="CR142" s="245" t="inlineStr">
        <is>
          <t>227-27-М/26</t>
        </is>
      </c>
      <c r="CS142" s="245" t="inlineStr">
        <is>
          <t>16.09.2026</t>
        </is>
      </c>
      <c r="CT142" s="245" t="inlineStr">
        <is>
          <t>Farmahem</t>
        </is>
      </c>
      <c r="CU142" s="245" t="inlineStr">
        <is>
          <t>ND</t>
        </is>
      </c>
      <c r="CV142" s="245" t="inlineStr">
        <is>
          <t>227-27-М/26</t>
        </is>
      </c>
      <c r="CW142" s="245" t="inlineStr">
        <is>
          <t>16.09.2026</t>
        </is>
      </c>
      <c r="CX142" s="245" t="inlineStr">
        <is>
          <t>Farmahem</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16.09.2026</t>
        </is>
      </c>
      <c r="AE143" s="245" t="inlineStr">
        <is>
          <t>Conforms | Одговара</t>
        </is>
      </c>
      <c r="AF143" s="245" t="inlineStr">
        <is>
          <t>iCoA-PP_26-178</t>
        </is>
      </c>
      <c r="AG143" s="245" t="inlineStr">
        <is>
          <t>24.08.2026</t>
        </is>
      </c>
      <c r="AH143" s="245" t="inlineStr">
        <is>
          <t>Purely Plant GmbH (in-house)</t>
        </is>
      </c>
      <c r="AI143" s="245" t="inlineStr">
        <is>
          <t>Conforms | Одговара</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5" t="inlineStr">
        <is>
          <t>Conforms | Одговара</t>
        </is>
      </c>
      <c r="BD143" s="245" t="inlineStr">
        <is>
          <t>iCoA-PP_26-178</t>
        </is>
      </c>
      <c r="BE143" s="245" t="inlineStr">
        <is>
          <t>24.08.2026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&lt; 10</t>
        </is>
      </c>
      <c r="BL143" s="245" t="inlineStr">
        <is>
          <t>565/1096/26</t>
        </is>
      </c>
      <c r="BM143" s="245" t="inlineStr">
        <is>
          <t>01.09.2026</t>
        </is>
      </c>
      <c r="BN143" s="245" t="inlineStr">
        <is>
          <t>IPH — Institute of Public Health</t>
        </is>
      </c>
      <c r="BO143" s="245" t="inlineStr">
        <is>
          <t>10</t>
        </is>
      </c>
      <c r="BP143" s="245" t="inlineStr">
        <is>
          <t>565/1096/26</t>
        </is>
      </c>
      <c r="BQ143" s="245" t="inlineStr">
        <is>
          <t>01.09.2026</t>
        </is>
      </c>
      <c r="BR143" s="245" t="inlineStr">
        <is>
          <t>IPH — Institute of Public Health</t>
        </is>
      </c>
      <c r="BS143" s="245" t="inlineStr">
        <is>
          <t>&lt; 10</t>
        </is>
      </c>
      <c r="BT143" s="245" t="inlineStr">
        <is>
          <t>565/1096/26</t>
        </is>
      </c>
      <c r="BU143" s="245" t="inlineStr">
        <is>
          <t>01.09.2026</t>
        </is>
      </c>
      <c r="BV143" s="245" t="inlineStr">
        <is>
          <t>IPH — Institute of Public Health</t>
        </is>
      </c>
      <c r="BW143" s="245" t="inlineStr">
        <is>
          <t>Absent | Отсутна</t>
        </is>
      </c>
      <c r="BX143" s="245" t="inlineStr">
        <is>
          <t>565/1096/26</t>
        </is>
      </c>
      <c r="BY143" s="245" t="inlineStr">
        <is>
          <t>01.09.2026</t>
        </is>
      </c>
      <c r="BZ143" s="245" t="inlineStr">
        <is>
          <t>IPH — Institute of Public Health</t>
        </is>
      </c>
      <c r="CA143" s="245" t="inlineStr">
        <is>
          <t>Absent | Отсутна</t>
        </is>
      </c>
      <c r="CB143" s="245" t="inlineStr">
        <is>
          <t>565/1096/26</t>
        </is>
      </c>
      <c r="CC143" s="245" t="inlineStr">
        <is>
          <t>01.09.2026</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5" t="inlineStr">
        <is>
          <t>ND</t>
        </is>
      </c>
      <c r="CN143" s="245" t="inlineStr">
        <is>
          <t>227-26-М/26</t>
        </is>
      </c>
      <c r="CO143" s="245" t="inlineStr">
        <is>
          <t>16.09.2026</t>
        </is>
      </c>
      <c r="CP143" s="245" t="inlineStr">
        <is>
          <t>Farmahem</t>
        </is>
      </c>
      <c r="CQ143" s="245" t="inlineStr">
        <is>
          <t>ND</t>
        </is>
      </c>
      <c r="CR143" s="245" t="inlineStr">
        <is>
          <t>227-26-М/26</t>
        </is>
      </c>
      <c r="CS143" s="245" t="inlineStr">
        <is>
          <t>16.09.2026</t>
        </is>
      </c>
      <c r="CT143" s="245" t="inlineStr">
        <is>
          <t>Farmahem</t>
        </is>
      </c>
      <c r="CU143" s="245" t="inlineStr">
        <is>
          <t>ND</t>
        </is>
      </c>
      <c r="CV143" s="245" t="inlineStr">
        <is>
          <t>227-26-М/26</t>
        </is>
      </c>
      <c r="CW143" s="245" t="inlineStr">
        <is>
          <t>16.09.2026</t>
        </is>
      </c>
      <c r="CX143" s="245" t="inlineStr">
        <is>
          <t>Farmahem</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replaces the issued QCSP_001_FB-I_v.01 (was FB_THC27.5:CBD1, 27.50% ± 2.63%); now FB_THC22 : CBD1 19.80 – 24.19 %</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5" t="inlineStr">
        <is>
          <t>Conforms | Одговара</t>
        </is>
      </c>
      <c r="AF144" s="245" t="inlineStr">
        <is>
          <t>ППК26112</t>
        </is>
      </c>
      <c r="AG144" s="245" t="inlineStr">
        <is>
          <t>30.06.2026</t>
        </is>
      </c>
      <c r="AH144" s="245" t="inlineStr">
        <is>
          <t>UKIM Faculty of Pharmacy — Center for Natural Products</t>
        </is>
      </c>
      <c r="AI144" s="245" t="inlineStr">
        <is>
          <t>Conforms | Одговара</t>
        </is>
      </c>
      <c r="AJ144" s="245" t="inlineStr">
        <is>
          <t>ППК26112</t>
        </is>
      </c>
      <c r="AK144" s="245" t="inlineStr">
        <is>
          <t>30.06.2026</t>
        </is>
      </c>
      <c r="AL144" s="245" t="inlineStr">
        <is>
          <t>UKIM Faculty of Pharmacy — Center for Natural Products</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5" t="inlineStr">
        <is>
          <t>Conforms | Одговара</t>
        </is>
      </c>
      <c r="BD144" s="245" t="inlineStr">
        <is>
          <t>ППК26112</t>
        </is>
      </c>
      <c r="BE144" s="245" t="inlineStr">
        <is>
          <t>30.06.2026</t>
        </is>
      </c>
      <c r="BF144" s="245" t="inlineStr">
        <is>
          <t>UKIM Faculty of Pharmacy — Center for Natural Products</t>
        </is>
      </c>
      <c r="BG144" s="245" t="inlineStr">
        <is>
          <t>7.04</t>
        </is>
      </c>
      <c r="BH144" s="245" t="inlineStr">
        <is>
          <t>ППК26112</t>
        </is>
      </c>
      <c r="BI144" s="245" t="inlineStr">
        <is>
          <t>30.06.2026</t>
        </is>
      </c>
      <c r="BJ144" s="245" t="inlineStr">
        <is>
          <t>UKIM Faculty of Pharmacy — Center for Natural Products</t>
        </is>
      </c>
      <c r="BK144" s="245" t="inlineStr">
        <is>
          <t>9,8 × 10³</t>
        </is>
      </c>
      <c r="BL144" s="245" t="inlineStr">
        <is>
          <t>537/1068/26</t>
        </is>
      </c>
      <c r="BM144" s="245" t="inlineStr">
        <is>
          <t>31.08.2026</t>
        </is>
      </c>
      <c r="BN144" s="245" t="inlineStr">
        <is>
          <t>IPH — Institute of Public Health</t>
        </is>
      </c>
      <c r="BO144" s="245" t="inlineStr">
        <is>
          <t>2,5 × 10³</t>
        </is>
      </c>
      <c r="BP144" s="245" t="inlineStr">
        <is>
          <t>537/1068/26</t>
        </is>
      </c>
      <c r="BQ144" s="245" t="inlineStr">
        <is>
          <t>31.08.2026</t>
        </is>
      </c>
      <c r="BR144" s="245" t="inlineStr">
        <is>
          <t>IPH — Institute of Public Health</t>
        </is>
      </c>
      <c r="BS144" s="245" t="inlineStr">
        <is>
          <t>&lt; 10² and &gt; 10</t>
        </is>
      </c>
      <c r="BT144" s="245" t="inlineStr">
        <is>
          <t>537/1068/26</t>
        </is>
      </c>
      <c r="BU144" s="245" t="inlineStr">
        <is>
          <t>31.08.2026</t>
        </is>
      </c>
      <c r="BV144" s="245" t="inlineStr">
        <is>
          <t>IPH — Institute of Public Health</t>
        </is>
      </c>
      <c r="BW144" s="245" t="inlineStr">
        <is>
          <t>Absent | Отсутна</t>
        </is>
      </c>
      <c r="BX144" s="245" t="inlineStr">
        <is>
          <t>537/1068/26</t>
        </is>
      </c>
      <c r="BY144" s="245" t="inlineStr">
        <is>
          <t>31.08.2026</t>
        </is>
      </c>
      <c r="BZ144" s="245" t="inlineStr">
        <is>
          <t>IPH — Institute of Public Health</t>
        </is>
      </c>
      <c r="CA144" s="245" t="inlineStr">
        <is>
          <t>Absent | Отсутна</t>
        </is>
      </c>
      <c r="CB144" s="245" t="inlineStr">
        <is>
          <t>537/1068/26</t>
        </is>
      </c>
      <c r="CC144" s="245" t="inlineStr">
        <is>
          <t>31.08.2026</t>
        </is>
      </c>
      <c r="CD144" s="245" t="inlineStr">
        <is>
          <t>IPH — Institute of Public Health</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5" t="inlineStr">
        <is>
          <t>ND</t>
        </is>
      </c>
      <c r="CN144" s="245" t="inlineStr">
        <is>
          <t>227-24-М/26</t>
        </is>
      </c>
      <c r="CO144" s="245" t="inlineStr">
        <is>
          <t>16.09.2026</t>
        </is>
      </c>
      <c r="CP144" s="245" t="inlineStr">
        <is>
          <t>Farmahem</t>
        </is>
      </c>
      <c r="CQ144" s="245" t="inlineStr">
        <is>
          <t>ND</t>
        </is>
      </c>
      <c r="CR144" s="245" t="inlineStr">
        <is>
          <t>227-24-М/26</t>
        </is>
      </c>
      <c r="CS144" s="245" t="inlineStr">
        <is>
          <t>16.09.2026</t>
        </is>
      </c>
      <c r="CT144" s="245" t="inlineStr">
        <is>
          <t>Farmahem</t>
        </is>
      </c>
      <c r="CU144" s="245" t="inlineStr">
        <is>
          <t>ND</t>
        </is>
      </c>
      <c r="CV144" s="245" t="inlineStr">
        <is>
          <t>227-24-М/26</t>
        </is>
      </c>
      <c r="CW144" s="245" t="inlineStr">
        <is>
          <t>16.09.2026</t>
        </is>
      </c>
      <c r="CX144" s="245" t="inlineStr">
        <is>
          <t>Farmahem</t>
        </is>
      </c>
      <c r="CY144" s="245" t="inlineStr">
        <is>
          <t>carried from the initial testing — not tested</t>
        </is>
      </c>
      <c r="CZ144" s="245" t="inlineStr">
        <is>
          <t>—</t>
        </is>
      </c>
      <c r="DA144" s="245" t="inlineStr">
        <is>
          <t>—</t>
        </is>
      </c>
      <c r="DB144" s="245" t="inlineStr">
        <is>
          <t>—</t>
        </is>
      </c>
      <c r="DC144" s="245" t="inlineStr">
        <is>
          <t>carried from the initial testing — not tested</t>
        </is>
      </c>
      <c r="DD144" s="245" t="inlineStr">
        <is>
          <t>—</t>
        </is>
      </c>
      <c r="DE144" s="245" t="inlineStr">
        <is>
          <t>—</t>
        </is>
      </c>
      <c r="DF144" s="245" t="inlineStr">
        <is>
          <t>—</t>
        </is>
      </c>
      <c r="DG144" s="245" t="inlineStr">
        <is>
          <t>carried from the initial testing — not tested</t>
        </is>
      </c>
      <c r="DH144" s="245" t="inlineStr">
        <is>
          <t>—</t>
        </is>
      </c>
      <c r="DI144" s="245" t="inlineStr">
        <is>
          <t>—</t>
        </is>
      </c>
      <c r="DJ144" s="245" t="inlineStr">
        <is>
          <t>—</t>
        </is>
      </c>
      <c r="DK144" s="245" t="inlineStr">
        <is>
          <t>carried from the initial testing — not tested</t>
        </is>
      </c>
      <c r="DL144" s="245" t="inlineStr">
        <is>
          <t>—</t>
        </is>
      </c>
      <c r="DM144" s="245" t="inlineStr">
        <is>
          <t>—</t>
        </is>
      </c>
      <c r="DN144" s="245" t="inlineStr">
        <is>
          <t>—</t>
        </is>
      </c>
      <c r="DO144" s="245" t="inlineStr">
        <is>
          <t>carried from the initial testing — not tested</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5" t="inlineStr">
        <is>
          <t>Conforms | Одговара</t>
        </is>
      </c>
      <c r="AF145" s="245" t="inlineStr">
        <is>
          <t>ППК26110</t>
        </is>
      </c>
      <c r="AG145" s="245" t="inlineStr">
        <is>
          <t>30.06.2026</t>
        </is>
      </c>
      <c r="AH145" s="245" t="inlineStr">
        <is>
          <t>UKIM Faculty of Pharmacy — Center for Natural Products</t>
        </is>
      </c>
      <c r="AI145" s="245" t="inlineStr">
        <is>
          <t>Conforms | Одговара</t>
        </is>
      </c>
      <c r="AJ145" s="245" t="inlineStr">
        <is>
          <t>ППК26110</t>
        </is>
      </c>
      <c r="AK145" s="245" t="inlineStr">
        <is>
          <t>30.06.2026</t>
        </is>
      </c>
      <c r="AL145" s="245" t="inlineStr">
        <is>
          <t>UKIM Faculty of Pharmacy — Center for Natural Products</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5" t="inlineStr">
        <is>
          <t>Conforms | Одговара</t>
        </is>
      </c>
      <c r="BD145" s="245" t="inlineStr">
        <is>
          <t>ППК26110</t>
        </is>
      </c>
      <c r="BE145" s="245" t="inlineStr">
        <is>
          <t>30.06.2026</t>
        </is>
      </c>
      <c r="BF145" s="245" t="inlineStr">
        <is>
          <t>UKIM Faculty of Pharmacy — Center for Natural Products</t>
        </is>
      </c>
      <c r="BG145" s="245" t="inlineStr">
        <is>
          <t>6.36</t>
        </is>
      </c>
      <c r="BH145" s="245" t="inlineStr">
        <is>
          <t>ППК26110</t>
        </is>
      </c>
      <c r="BI145" s="245" t="inlineStr">
        <is>
          <t>30.06.2026</t>
        </is>
      </c>
      <c r="BJ145" s="245" t="inlineStr">
        <is>
          <t>UKIM Faculty of Pharmacy — Center for Natural Products</t>
        </is>
      </c>
      <c r="BK145" s="245" t="inlineStr">
        <is>
          <t>2,9 × 10³</t>
        </is>
      </c>
      <c r="BL145" s="245" t="inlineStr">
        <is>
          <t>538/1069/26</t>
        </is>
      </c>
      <c r="BM145" s="245" t="inlineStr">
        <is>
          <t>31.08.2026</t>
        </is>
      </c>
      <c r="BN145" s="245" t="inlineStr">
        <is>
          <t>IPH — Institute of Public Health</t>
        </is>
      </c>
      <c r="BO145" s="245" t="inlineStr">
        <is>
          <t>2,5 × 10³</t>
        </is>
      </c>
      <c r="BP145" s="245" t="inlineStr">
        <is>
          <t>538/1069/26</t>
        </is>
      </c>
      <c r="BQ145" s="245" t="inlineStr">
        <is>
          <t>31.08.2026</t>
        </is>
      </c>
      <c r="BR145" s="245" t="inlineStr">
        <is>
          <t>IPH — Institute of Public Health</t>
        </is>
      </c>
      <c r="BS145" s="245" t="inlineStr">
        <is>
          <t>&lt; 10</t>
        </is>
      </c>
      <c r="BT145" s="245" t="inlineStr">
        <is>
          <t>538/1069/26</t>
        </is>
      </c>
      <c r="BU145" s="245" t="inlineStr">
        <is>
          <t>31.08.2026</t>
        </is>
      </c>
      <c r="BV145" s="245" t="inlineStr">
        <is>
          <t>IPH — Institute of Public Health</t>
        </is>
      </c>
      <c r="BW145" s="245" t="inlineStr">
        <is>
          <t>Absent | Отсутна</t>
        </is>
      </c>
      <c r="BX145" s="245" t="inlineStr">
        <is>
          <t>538/1069/26</t>
        </is>
      </c>
      <c r="BY145" s="245" t="inlineStr">
        <is>
          <t>31.08.2026</t>
        </is>
      </c>
      <c r="BZ145" s="245" t="inlineStr">
        <is>
          <t>IPH — Institute of Public Health</t>
        </is>
      </c>
      <c r="CA145" s="245" t="inlineStr">
        <is>
          <t>Absent | Отсутна</t>
        </is>
      </c>
      <c r="CB145" s="245" t="inlineStr">
        <is>
          <t>538/1069/26</t>
        </is>
      </c>
      <c r="CC145" s="245" t="inlineStr">
        <is>
          <t>31.08.2026</t>
        </is>
      </c>
      <c r="CD145" s="245" t="inlineStr">
        <is>
          <t>IPH — Institute of Public Health</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5" t="inlineStr">
        <is>
          <t>ND</t>
        </is>
      </c>
      <c r="CN145" s="245" t="inlineStr">
        <is>
          <t>227-23-М/26</t>
        </is>
      </c>
      <c r="CO145" s="245" t="inlineStr">
        <is>
          <t>16.09.2026</t>
        </is>
      </c>
      <c r="CP145" s="245" t="inlineStr">
        <is>
          <t>Farmahem</t>
        </is>
      </c>
      <c r="CQ145" s="245" t="inlineStr">
        <is>
          <t>ND</t>
        </is>
      </c>
      <c r="CR145" s="245" t="inlineStr">
        <is>
          <t>227-23-М/26</t>
        </is>
      </c>
      <c r="CS145" s="245" t="inlineStr">
        <is>
          <t>16.09.2026</t>
        </is>
      </c>
      <c r="CT145" s="245" t="inlineStr">
        <is>
          <t>Farmahem</t>
        </is>
      </c>
      <c r="CU145" s="245" t="inlineStr">
        <is>
          <t>ND</t>
        </is>
      </c>
      <c r="CV145" s="245" t="inlineStr">
        <is>
          <t>227-23-М/26</t>
        </is>
      </c>
      <c r="CW145" s="245" t="inlineStr">
        <is>
          <t>16.09.2026</t>
        </is>
      </c>
      <c r="CX145" s="245" t="inlineStr">
        <is>
          <t>Farmahem</t>
        </is>
      </c>
      <c r="CY145" s="245" t="inlineStr">
        <is>
          <t>carried from the initial testing — not tested</t>
        </is>
      </c>
      <c r="CZ145" s="245" t="inlineStr">
        <is>
          <t>—</t>
        </is>
      </c>
      <c r="DA145" s="245" t="inlineStr">
        <is>
          <t>—</t>
        </is>
      </c>
      <c r="DB145" s="245" t="inlineStr">
        <is>
          <t>—</t>
        </is>
      </c>
      <c r="DC145" s="245" t="inlineStr">
        <is>
          <t>carried from the initial testing — not tested</t>
        </is>
      </c>
      <c r="DD145" s="245" t="inlineStr">
        <is>
          <t>—</t>
        </is>
      </c>
      <c r="DE145" s="245" t="inlineStr">
        <is>
          <t>—</t>
        </is>
      </c>
      <c r="DF145" s="245" t="inlineStr">
        <is>
          <t>—</t>
        </is>
      </c>
      <c r="DG145" s="245" t="inlineStr">
        <is>
          <t>carried from the initial testing — not tested</t>
        </is>
      </c>
      <c r="DH145" s="245" t="inlineStr">
        <is>
          <t>—</t>
        </is>
      </c>
      <c r="DI145" s="245" t="inlineStr">
        <is>
          <t>—</t>
        </is>
      </c>
      <c r="DJ145" s="245" t="inlineStr">
        <is>
          <t>—</t>
        </is>
      </c>
      <c r="DK145" s="245" t="inlineStr">
        <is>
          <t>carried from the initial testing — not tested</t>
        </is>
      </c>
      <c r="DL145" s="245" t="inlineStr">
        <is>
          <t>—</t>
        </is>
      </c>
      <c r="DM145" s="245" t="inlineStr">
        <is>
          <t>—</t>
        </is>
      </c>
      <c r="DN145" s="245" t="inlineStr">
        <is>
          <t>—</t>
        </is>
      </c>
      <c r="DO145" s="245" t="inlineStr">
        <is>
          <t>carried from the initial testing — not tested</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16.09.2026</t>
        </is>
      </c>
      <c r="AE146" s="245" t="inlineStr">
        <is>
          <t>Conforms | Одговара</t>
        </is>
      </c>
      <c r="AF146" s="245" t="inlineStr">
        <is>
          <t>iCoA-PP_26-181</t>
        </is>
      </c>
      <c r="AG146" s="245" t="inlineStr">
        <is>
          <t>24.08.2026</t>
        </is>
      </c>
      <c r="AH146" s="245" t="inlineStr">
        <is>
          <t>Purely Plant GmbH (in-house)</t>
        </is>
      </c>
      <c r="AI146" s="245" t="inlineStr">
        <is>
          <t>Conforms | Одговара</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5" t="inlineStr">
        <is>
          <t>Conforms | Одговара</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 × 10³</t>
        </is>
      </c>
      <c r="BL146" s="245" t="inlineStr">
        <is>
          <t>542/1073/26</t>
        </is>
      </c>
      <c r="BM146" s="245" t="inlineStr">
        <is>
          <t>31.08.2026</t>
        </is>
      </c>
      <c r="BN146" s="245" t="inlineStr">
        <is>
          <t>IPH — Institute of Public Health</t>
        </is>
      </c>
      <c r="BO146" s="245" t="inlineStr">
        <is>
          <t>5,2 × 10²</t>
        </is>
      </c>
      <c r="BP146" s="245" t="inlineStr">
        <is>
          <t>542/1073/26</t>
        </is>
      </c>
      <c r="BQ146" s="245" t="inlineStr">
        <is>
          <t>31.08.2026</t>
        </is>
      </c>
      <c r="BR146" s="245" t="inlineStr">
        <is>
          <t>IPH — Institute of Public Health</t>
        </is>
      </c>
      <c r="BS146" s="245" t="inlineStr">
        <is>
          <t>&lt; 10² and &gt; 10</t>
        </is>
      </c>
      <c r="BT146" s="245" t="inlineStr">
        <is>
          <t>542/1073/26</t>
        </is>
      </c>
      <c r="BU146" s="245" t="inlineStr">
        <is>
          <t>31.08.2026</t>
        </is>
      </c>
      <c r="BV146" s="245" t="inlineStr">
        <is>
          <t>IPH — Institute of Public Health</t>
        </is>
      </c>
      <c r="BW146" s="245" t="inlineStr">
        <is>
          <t>Absent | Отсутна</t>
        </is>
      </c>
      <c r="BX146" s="245" t="inlineStr">
        <is>
          <t>542/1073/26</t>
        </is>
      </c>
      <c r="BY146" s="245" t="inlineStr">
        <is>
          <t>31.08.2026</t>
        </is>
      </c>
      <c r="BZ146" s="245" t="inlineStr">
        <is>
          <t>IPH — Institute of Public Health</t>
        </is>
      </c>
      <c r="CA146" s="245" t="inlineStr">
        <is>
          <t>Absent | Отсутна</t>
        </is>
      </c>
      <c r="CB146" s="245" t="inlineStr">
        <is>
          <t>542/1073/26</t>
        </is>
      </c>
      <c r="CC146" s="245" t="inlineStr">
        <is>
          <t>31.08.2026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5" t="inlineStr">
        <is>
          <t>ND</t>
        </is>
      </c>
      <c r="CN146" s="245" t="inlineStr">
        <is>
          <t>227-22-М/26</t>
        </is>
      </c>
      <c r="CO146" s="245" t="inlineStr">
        <is>
          <t>16.09.2026</t>
        </is>
      </c>
      <c r="CP146" s="245" t="inlineStr">
        <is>
          <t>Farmahem</t>
        </is>
      </c>
      <c r="CQ146" s="245" t="inlineStr">
        <is>
          <t>ND</t>
        </is>
      </c>
      <c r="CR146" s="245" t="inlineStr">
        <is>
          <t>227-22-М/26</t>
        </is>
      </c>
      <c r="CS146" s="245" t="inlineStr">
        <is>
          <t>16.09.2026</t>
        </is>
      </c>
      <c r="CT146" s="245" t="inlineStr">
        <is>
          <t>Farmahem</t>
        </is>
      </c>
      <c r="CU146" s="245" t="inlineStr">
        <is>
          <t>ND</t>
        </is>
      </c>
      <c r="CV146" s="245" t="inlineStr">
        <is>
          <t>227-22-М/26</t>
        </is>
      </c>
      <c r="CW146" s="245" t="inlineStr">
        <is>
          <t>16.09.2026</t>
        </is>
      </c>
      <c r="CX146" s="245" t="inlineStr">
        <is>
          <t>Farmahem</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16.09.2026</t>
        </is>
      </c>
      <c r="AE147" s="245" t="inlineStr">
        <is>
          <t>Conforms | Одговара</t>
        </is>
      </c>
      <c r="AF147" s="245" t="inlineStr">
        <is>
          <t>iCoA-PP_26-182</t>
        </is>
      </c>
      <c r="AG147" s="245" t="inlineStr">
        <is>
          <t>24.08.2026</t>
        </is>
      </c>
      <c r="AH147" s="245" t="inlineStr">
        <is>
          <t>Purely Plant GmbH (in-house)</t>
        </is>
      </c>
      <c r="AI147" s="245" t="inlineStr">
        <is>
          <t>Conforms | Одговара</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5" t="inlineStr">
        <is>
          <t>Conforms | Одговара</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2,2 × 10³</t>
        </is>
      </c>
      <c r="BL147" s="245" t="inlineStr">
        <is>
          <t>541/1072/26</t>
        </is>
      </c>
      <c r="BM147" s="245" t="inlineStr">
        <is>
          <t>31.08.2026</t>
        </is>
      </c>
      <c r="BN147" s="245" t="inlineStr">
        <is>
          <t>IPH — Institute of Public Health</t>
        </is>
      </c>
      <c r="BO147" s="245" t="inlineStr">
        <is>
          <t>2,1 × 10³</t>
        </is>
      </c>
      <c r="BP147" s="245" t="inlineStr">
        <is>
          <t>541/1072/26</t>
        </is>
      </c>
      <c r="BQ147" s="245" t="inlineStr">
        <is>
          <t>31.08.2026</t>
        </is>
      </c>
      <c r="BR147" s="245" t="inlineStr">
        <is>
          <t>IPH — Institute of Public Health</t>
        </is>
      </c>
      <c r="BS147" s="245" t="inlineStr">
        <is>
          <t>&lt; 10</t>
        </is>
      </c>
      <c r="BT147" s="245" t="inlineStr">
        <is>
          <t>541/1072/26</t>
        </is>
      </c>
      <c r="BU147" s="245" t="inlineStr">
        <is>
          <t>31.08.2026</t>
        </is>
      </c>
      <c r="BV147" s="245" t="inlineStr">
        <is>
          <t>IPH — Institute of Public Health</t>
        </is>
      </c>
      <c r="BW147" s="245" t="inlineStr">
        <is>
          <t>Absent | Отсутна</t>
        </is>
      </c>
      <c r="BX147" s="245" t="inlineStr">
        <is>
          <t>541/1072/26</t>
        </is>
      </c>
      <c r="BY147" s="245" t="inlineStr">
        <is>
          <t>31.08.2026</t>
        </is>
      </c>
      <c r="BZ147" s="245" t="inlineStr">
        <is>
          <t>IPH — Institute of Public Health</t>
        </is>
      </c>
      <c r="CA147" s="245" t="inlineStr">
        <is>
          <t>Absent | Отсутна</t>
        </is>
      </c>
      <c r="CB147" s="245" t="inlineStr">
        <is>
          <t>541/1072/26</t>
        </is>
      </c>
      <c r="CC147" s="245" t="inlineStr">
        <is>
          <t>31.08.2026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5" t="inlineStr">
        <is>
          <t>ND</t>
        </is>
      </c>
      <c r="CN147" s="245" t="inlineStr">
        <is>
          <t>227-21-М/26</t>
        </is>
      </c>
      <c r="CO147" s="245" t="inlineStr">
        <is>
          <t>16.09.2026</t>
        </is>
      </c>
      <c r="CP147" s="245" t="inlineStr">
        <is>
          <t>Farmahem</t>
        </is>
      </c>
      <c r="CQ147" s="245" t="inlineStr">
        <is>
          <t>ND</t>
        </is>
      </c>
      <c r="CR147" s="245" t="inlineStr">
        <is>
          <t>227-21-М/26</t>
        </is>
      </c>
      <c r="CS147" s="245" t="inlineStr">
        <is>
          <t>16.09.2026</t>
        </is>
      </c>
      <c r="CT147" s="245" t="inlineStr">
        <is>
          <t>Farmahem</t>
        </is>
      </c>
      <c r="CU147" s="245" t="inlineStr">
        <is>
          <t>ND</t>
        </is>
      </c>
      <c r="CV147" s="245" t="inlineStr">
        <is>
          <t>227-21-М/26</t>
        </is>
      </c>
      <c r="CW147" s="245" t="inlineStr">
        <is>
          <t>16.09.2026</t>
        </is>
      </c>
      <c r="CX147" s="245" t="inlineStr">
        <is>
          <t>Farmahem</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16.09.2026</t>
        </is>
      </c>
      <c r="AE148" s="245" t="inlineStr">
        <is>
          <t>Conforms | Одговара</t>
        </is>
      </c>
      <c r="AF148" s="245" t="inlineStr">
        <is>
          <t>iCoA-PP_26-163</t>
        </is>
      </c>
      <c r="AG148" s="245" t="inlineStr">
        <is>
          <t>24.08.2026</t>
        </is>
      </c>
      <c r="AH148" s="245" t="inlineStr">
        <is>
          <t>Purely Plant GmbH (in-house)</t>
        </is>
      </c>
      <c r="AI148" s="245" t="inlineStr">
        <is>
          <t>Conforms | Одговара</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5" t="inlineStr">
        <is>
          <t>Conforms | Одговара</t>
        </is>
      </c>
      <c r="BD148" s="245" t="inlineStr">
        <is>
          <t>iCoA-PP_26-163</t>
        </is>
      </c>
      <c r="BE148" s="245" t="inlineStr">
        <is>
          <t>24.08.2026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&lt; 10</t>
        </is>
      </c>
      <c r="BL148" s="245" t="inlineStr">
        <is>
          <t>564/1095/26</t>
        </is>
      </c>
      <c r="BM148" s="245" t="inlineStr">
        <is>
          <t>01.09.2026</t>
        </is>
      </c>
      <c r="BN148" s="245" t="inlineStr">
        <is>
          <t>IPH — Institute of Public Health</t>
        </is>
      </c>
      <c r="BO148" s="245" t="inlineStr">
        <is>
          <t>&lt; 10</t>
        </is>
      </c>
      <c r="BP148" s="245" t="inlineStr">
        <is>
          <t>564/1095/26</t>
        </is>
      </c>
      <c r="BQ148" s="245" t="inlineStr">
        <is>
          <t>01.09.2026</t>
        </is>
      </c>
      <c r="BR148" s="245" t="inlineStr">
        <is>
          <t>IPH — Institute of Public Health</t>
        </is>
      </c>
      <c r="BS148" s="245" t="inlineStr">
        <is>
          <t>&lt; 10</t>
        </is>
      </c>
      <c r="BT148" s="245" t="inlineStr">
        <is>
          <t>564/1095/26</t>
        </is>
      </c>
      <c r="BU148" s="245" t="inlineStr">
        <is>
          <t>01.09.2026</t>
        </is>
      </c>
      <c r="BV148" s="245" t="inlineStr">
        <is>
          <t>IPH — Institute of Public Health</t>
        </is>
      </c>
      <c r="BW148" s="245" t="inlineStr">
        <is>
          <t>Absent | Отсутна</t>
        </is>
      </c>
      <c r="BX148" s="245" t="inlineStr">
        <is>
          <t>564/1095/26</t>
        </is>
      </c>
      <c r="BY148" s="245" t="inlineStr">
        <is>
          <t>01.09.2026</t>
        </is>
      </c>
      <c r="BZ148" s="245" t="inlineStr">
        <is>
          <t>IPH — Institute of Public Health</t>
        </is>
      </c>
      <c r="CA148" s="245" t="inlineStr">
        <is>
          <t>Absent | Отсутна</t>
        </is>
      </c>
      <c r="CB148" s="245" t="inlineStr">
        <is>
          <t>564/1095/26</t>
        </is>
      </c>
      <c r="CC148" s="245" t="inlineStr">
        <is>
          <t>01.09.2026</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5" t="inlineStr">
        <is>
          <t>ND</t>
        </is>
      </c>
      <c r="CN148" s="245" t="inlineStr">
        <is>
          <t>227-19-М/26</t>
        </is>
      </c>
      <c r="CO148" s="245" t="inlineStr">
        <is>
          <t>16.09.2026</t>
        </is>
      </c>
      <c r="CP148" s="245" t="inlineStr">
        <is>
          <t>Farmahem</t>
        </is>
      </c>
      <c r="CQ148" s="245" t="inlineStr">
        <is>
          <t>ND</t>
        </is>
      </c>
      <c r="CR148" s="245" t="inlineStr">
        <is>
          <t>227-19-М/26</t>
        </is>
      </c>
      <c r="CS148" s="245" t="inlineStr">
        <is>
          <t>16.09.2026</t>
        </is>
      </c>
      <c r="CT148" s="245" t="inlineStr">
        <is>
          <t>Farmahem</t>
        </is>
      </c>
      <c r="CU148" s="245" t="inlineStr">
        <is>
          <t>ND</t>
        </is>
      </c>
      <c r="CV148" s="245" t="inlineStr">
        <is>
          <t>227-19-М/26</t>
        </is>
      </c>
      <c r="CW148" s="245" t="inlineStr">
        <is>
          <t>16.09.2026</t>
        </is>
      </c>
      <c r="CX148" s="245" t="inlineStr">
        <is>
          <t>Farmahem</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16.09.2026</t>
        </is>
      </c>
      <c r="AE149" s="245" t="inlineStr">
        <is>
          <t>Conforms | Одговара</t>
        </is>
      </c>
      <c r="AF149" s="245" t="inlineStr">
        <is>
          <t>iCoA-PP_26-164</t>
        </is>
      </c>
      <c r="AG149" s="245" t="inlineStr">
        <is>
          <t>24.08.2026</t>
        </is>
      </c>
      <c r="AH149" s="245" t="inlineStr">
        <is>
          <t>Purely Plant GmbH (in-house)</t>
        </is>
      </c>
      <c r="AI149" s="245" t="inlineStr">
        <is>
          <t>Conforms | Одговара</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5" t="inlineStr">
        <is>
          <t>Conforms | Одговара</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 × 10³</t>
        </is>
      </c>
      <c r="BL149" s="245" t="inlineStr">
        <is>
          <t>545/1076/26</t>
        </is>
      </c>
      <c r="BM149" s="245" t="inlineStr">
        <is>
          <t>31.08.2026</t>
        </is>
      </c>
      <c r="BN149" s="245" t="inlineStr">
        <is>
          <t>IPH — Institute of Public Health</t>
        </is>
      </c>
      <c r="BO149" s="245" t="inlineStr">
        <is>
          <t>1,1 × 10³</t>
        </is>
      </c>
      <c r="BP149" s="245" t="inlineStr">
        <is>
          <t>545/1076/26</t>
        </is>
      </c>
      <c r="BQ149" s="245" t="inlineStr">
        <is>
          <t>31.08.2026</t>
        </is>
      </c>
      <c r="BR149" s="245" t="inlineStr">
        <is>
          <t>IPH — Institute of Public Health</t>
        </is>
      </c>
      <c r="BS149" s="245" t="inlineStr">
        <is>
          <t>&lt; 10³ and &gt; 10²</t>
        </is>
      </c>
      <c r="BT149" s="245" t="inlineStr">
        <is>
          <t>545/1076/26</t>
        </is>
      </c>
      <c r="BU149" s="245" t="inlineStr">
        <is>
          <t>31.08.2026</t>
        </is>
      </c>
      <c r="BV149" s="245" t="inlineStr">
        <is>
          <t>IPH — Institute of Public Health</t>
        </is>
      </c>
      <c r="BW149" s="245" t="inlineStr">
        <is>
          <t>Absent | Отсутна</t>
        </is>
      </c>
      <c r="BX149" s="245" t="inlineStr">
        <is>
          <t>545/1076/26</t>
        </is>
      </c>
      <c r="BY149" s="245" t="inlineStr">
        <is>
          <t>31.08.2026</t>
        </is>
      </c>
      <c r="BZ149" s="245" t="inlineStr">
        <is>
          <t>IPH — Institute of Public Health</t>
        </is>
      </c>
      <c r="CA149" s="245" t="inlineStr">
        <is>
          <t>Absent | Отсутна</t>
        </is>
      </c>
      <c r="CB149" s="245" t="inlineStr">
        <is>
          <t>545/1076/26</t>
        </is>
      </c>
      <c r="CC149" s="245" t="inlineStr">
        <is>
          <t>31.08.2026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5" t="inlineStr">
        <is>
          <t>ND</t>
        </is>
      </c>
      <c r="CN149" s="245" t="inlineStr">
        <is>
          <t>227-20-М/26</t>
        </is>
      </c>
      <c r="CO149" s="245" t="inlineStr">
        <is>
          <t>16.09.2026</t>
        </is>
      </c>
      <c r="CP149" s="245" t="inlineStr">
        <is>
          <t>Farmahem</t>
        </is>
      </c>
      <c r="CQ149" s="245" t="inlineStr">
        <is>
          <t>ND</t>
        </is>
      </c>
      <c r="CR149" s="245" t="inlineStr">
        <is>
          <t>227-20-М/26</t>
        </is>
      </c>
      <c r="CS149" s="245" t="inlineStr">
        <is>
          <t>16.09.2026</t>
        </is>
      </c>
      <c r="CT149" s="245" t="inlineStr">
        <is>
          <t>Farmahem</t>
        </is>
      </c>
      <c r="CU149" s="245" t="inlineStr">
        <is>
          <t>ND</t>
        </is>
      </c>
      <c r="CV149" s="245" t="inlineStr">
        <is>
          <t>227-20-М/26</t>
        </is>
      </c>
      <c r="CW149" s="245" t="inlineStr">
        <is>
          <t>16.09.2026</t>
        </is>
      </c>
      <c r="CX149" s="245" t="inlineStr">
        <is>
          <t>Farmahem</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5" t="inlineStr">
        <is>
          <t>Conforms | Одговара</t>
        </is>
      </c>
      <c r="AF150" s="245" t="inlineStr">
        <is>
          <t>iCoA-PP_26-165</t>
        </is>
      </c>
      <c r="AG150" s="245" t="inlineStr">
        <is>
          <t>24.08.2026</t>
        </is>
      </c>
      <c r="AH150" s="245" t="inlineStr">
        <is>
          <t>Purely Plant GmbH (in-house)</t>
        </is>
      </c>
      <c r="AI150" s="245" t="inlineStr">
        <is>
          <t>Conforms | Одговара</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5" t="inlineStr">
        <is>
          <t>Conforms | Одговара</t>
        </is>
      </c>
      <c r="BD150" s="245" t="inlineStr">
        <is>
          <t>iCoA-PP_26-165</t>
        </is>
      </c>
      <c r="BE150" s="245" t="inlineStr">
        <is>
          <t>24.08.2026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&lt; 10</t>
        </is>
      </c>
      <c r="BL150" s="245" t="inlineStr">
        <is>
          <t>557/1088/26</t>
        </is>
      </c>
      <c r="BM150" s="245" t="inlineStr">
        <is>
          <t>01.09.2026</t>
        </is>
      </c>
      <c r="BN150" s="245" t="inlineStr">
        <is>
          <t>IPH — Institute of Public Health</t>
        </is>
      </c>
      <c r="BO150" s="245" t="inlineStr">
        <is>
          <t>&lt; 10</t>
        </is>
      </c>
      <c r="BP150" s="245" t="inlineStr">
        <is>
          <t>557/1088/26</t>
        </is>
      </c>
      <c r="BQ150" s="245" t="inlineStr">
        <is>
          <t>01.09.2026</t>
        </is>
      </c>
      <c r="BR150" s="245" t="inlineStr">
        <is>
          <t>IPH — Institute of Public Health</t>
        </is>
      </c>
      <c r="BS150" s="245" t="inlineStr">
        <is>
          <t>&lt; 10</t>
        </is>
      </c>
      <c r="BT150" s="245" t="inlineStr">
        <is>
          <t>557/1088/26</t>
        </is>
      </c>
      <c r="BU150" s="245" t="inlineStr">
        <is>
          <t>01.09.2026</t>
        </is>
      </c>
      <c r="BV150" s="245" t="inlineStr">
        <is>
          <t>IPH — Institute of Public Health</t>
        </is>
      </c>
      <c r="BW150" s="245" t="inlineStr">
        <is>
          <t>Absent | Отсутна</t>
        </is>
      </c>
      <c r="BX150" s="245" t="inlineStr">
        <is>
          <t>557/1088/26</t>
        </is>
      </c>
      <c r="BY150" s="245" t="inlineStr">
        <is>
          <t>01.09.2026</t>
        </is>
      </c>
      <c r="BZ150" s="245" t="inlineStr">
        <is>
          <t>IPH — Institute of Public Health</t>
        </is>
      </c>
      <c r="CA150" s="245" t="inlineStr">
        <is>
          <t>Absent | Отсутна</t>
        </is>
      </c>
      <c r="CB150" s="245" t="inlineStr">
        <is>
          <t>557/1088/26</t>
        </is>
      </c>
      <c r="CC150" s="245" t="inlineStr">
        <is>
          <t>01.09.2026</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5" t="inlineStr">
        <is>
          <t>&lt; 2</t>
        </is>
      </c>
      <c r="CR150" s="245" t="inlineStr">
        <is>
          <t>4762/2025</t>
        </is>
      </c>
      <c r="CS150" s="245" t="inlineStr">
        <is>
          <t>08.10.2025</t>
        </is>
      </c>
      <c r="CT150" s="245" t="inlineStr">
        <is>
          <t>IPH — Institute of Public Health</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16.09.2026</t>
        </is>
      </c>
      <c r="AE151" s="245" t="inlineStr">
        <is>
          <t>Conforms | Одговара</t>
        </is>
      </c>
      <c r="AF151" s="245" t="inlineStr">
        <is>
          <t>iCoA-PP_26-166</t>
        </is>
      </c>
      <c r="AG151" s="245" t="inlineStr">
        <is>
          <t>24.08.2026</t>
        </is>
      </c>
      <c r="AH151" s="245" t="inlineStr">
        <is>
          <t>Purely Plant GmbH (in-house)</t>
        </is>
      </c>
      <c r="AI151" s="245" t="inlineStr">
        <is>
          <t>Conforms | Одговара</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5" t="inlineStr">
        <is>
          <t>Conforms | Одговара</t>
        </is>
      </c>
      <c r="BD151" s="245" t="inlineStr">
        <is>
          <t>iCoA-PP_26-166</t>
        </is>
      </c>
      <c r="BE151" s="245" t="inlineStr">
        <is>
          <t>24.08.2026</t>
        </is>
      </c>
      <c r="BF151" s="245" t="inlineStr">
        <is>
          <t>Purely Plant GmbH (in-house)</t>
        </is>
      </c>
      <c r="BG151" s="245" t="inlineStr">
        <is>
          <t>6.62</t>
        </is>
      </c>
      <c r="BH151" s="245" t="inlineStr">
        <is>
          <t>ППК25378</t>
        </is>
      </c>
      <c r="BI151" s="245" t="inlineStr">
        <is>
          <t>12.12.2025</t>
        </is>
      </c>
      <c r="BJ151" s="245" t="inlineStr">
        <is>
          <t>UKIM Faculty of Pharmacy — Center for Natural Products</t>
        </is>
      </c>
      <c r="BK151" s="245" t="inlineStr">
        <is>
          <t>&lt; 10</t>
        </is>
      </c>
      <c r="BL151" s="245" t="inlineStr">
        <is>
          <t>553/1084/26</t>
        </is>
      </c>
      <c r="BM151" s="245" t="inlineStr">
        <is>
          <t>01.09.2026</t>
        </is>
      </c>
      <c r="BN151" s="245" t="inlineStr">
        <is>
          <t>IPH — Institute of Public Health</t>
        </is>
      </c>
      <c r="BO151" s="245" t="inlineStr">
        <is>
          <t>&lt; 10</t>
        </is>
      </c>
      <c r="BP151" s="245" t="inlineStr">
        <is>
          <t>553/1084/26</t>
        </is>
      </c>
      <c r="BQ151" s="245" t="inlineStr">
        <is>
          <t>01.09.2026</t>
        </is>
      </c>
      <c r="BR151" s="245" t="inlineStr">
        <is>
          <t>IPH — Institute of Public Health</t>
        </is>
      </c>
      <c r="BS151" s="245" t="inlineStr">
        <is>
          <t>&lt; 10</t>
        </is>
      </c>
      <c r="BT151" s="245" t="inlineStr">
        <is>
          <t>553/1084/26</t>
        </is>
      </c>
      <c r="BU151" s="245" t="inlineStr">
        <is>
          <t>01.09.2026</t>
        </is>
      </c>
      <c r="BV151" s="245" t="inlineStr">
        <is>
          <t>IPH — Institute of Public Health</t>
        </is>
      </c>
      <c r="BW151" s="245" t="inlineStr">
        <is>
          <t>Absent | Отсутна</t>
        </is>
      </c>
      <c r="BX151" s="245" t="inlineStr">
        <is>
          <t>553/1084/26</t>
        </is>
      </c>
      <c r="BY151" s="245" t="inlineStr">
        <is>
          <t>01.09.2026</t>
        </is>
      </c>
      <c r="BZ151" s="245" t="inlineStr">
        <is>
          <t>IPH — Institute of Public Health</t>
        </is>
      </c>
      <c r="CA151" s="245" t="inlineStr">
        <is>
          <t>Absent | Отсутна</t>
        </is>
      </c>
      <c r="CB151" s="245" t="inlineStr">
        <is>
          <t>553/1084/26</t>
        </is>
      </c>
      <c r="CC151" s="245" t="inlineStr">
        <is>
          <t>01.09.2026</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5" t="inlineStr">
        <is>
          <t>ND</t>
        </is>
      </c>
      <c r="CN151" s="245" t="inlineStr">
        <is>
          <t>227-17-М/26</t>
        </is>
      </c>
      <c r="CO151" s="245" t="inlineStr">
        <is>
          <t>16.09.2026</t>
        </is>
      </c>
      <c r="CP151" s="245" t="inlineStr">
        <is>
          <t>Farmahem</t>
        </is>
      </c>
      <c r="CQ151" s="245" t="inlineStr">
        <is>
          <t>ND</t>
        </is>
      </c>
      <c r="CR151" s="245" t="inlineStr">
        <is>
          <t>227-17-М/26</t>
        </is>
      </c>
      <c r="CS151" s="245" t="inlineStr">
        <is>
          <t>16.09.2026</t>
        </is>
      </c>
      <c r="CT151" s="245" t="inlineStr">
        <is>
          <t>Farmahem</t>
        </is>
      </c>
      <c r="CU151" s="245" t="inlineStr">
        <is>
          <t>ND</t>
        </is>
      </c>
      <c r="CV151" s="245" t="inlineStr">
        <is>
          <t>227-17-М/26</t>
        </is>
      </c>
      <c r="CW151" s="245" t="inlineStr">
        <is>
          <t>16.09.2026</t>
        </is>
      </c>
      <c r="CX151" s="245" t="inlineStr">
        <is>
          <t>Farmahem</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16.09.2026</t>
        </is>
      </c>
      <c r="AE152" s="245" t="inlineStr">
        <is>
          <t>Conforms | Одговара</t>
        </is>
      </c>
      <c r="AF152" s="245" t="inlineStr">
        <is>
          <t>iCoA-PP_26-154</t>
        </is>
      </c>
      <c r="AG152" s="245" t="inlineStr">
        <is>
          <t>24.08.2026</t>
        </is>
      </c>
      <c r="AH152" s="245" t="inlineStr">
        <is>
          <t>Purely Plant GmbH (in-house)</t>
        </is>
      </c>
      <c r="AI152" s="245" t="inlineStr">
        <is>
          <t>Conforms | Одговара</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5" t="inlineStr">
        <is>
          <t>Conforms | Одговара</t>
        </is>
      </c>
      <c r="BD152" s="245" t="inlineStr">
        <is>
          <t>iCoA-PP_26-154</t>
        </is>
      </c>
      <c r="BE152" s="245" t="inlineStr">
        <is>
          <t>24.08.2026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&lt; 10</t>
        </is>
      </c>
      <c r="BL152" s="245" t="inlineStr">
        <is>
          <t>562/1093/26</t>
        </is>
      </c>
      <c r="BM152" s="245" t="inlineStr">
        <is>
          <t>01.09.2026</t>
        </is>
      </c>
      <c r="BN152" s="245" t="inlineStr">
        <is>
          <t>IPH — Institute of Public Health</t>
        </is>
      </c>
      <c r="BO152" s="245" t="inlineStr">
        <is>
          <t>50</t>
        </is>
      </c>
      <c r="BP152" s="245" t="inlineStr">
        <is>
          <t>562/1093/26</t>
        </is>
      </c>
      <c r="BQ152" s="245" t="inlineStr">
        <is>
          <t>01.09.2026</t>
        </is>
      </c>
      <c r="BR152" s="245" t="inlineStr">
        <is>
          <t>IPH — Institute of Public Health</t>
        </is>
      </c>
      <c r="BS152" s="245" t="inlineStr">
        <is>
          <t>&lt; 10</t>
        </is>
      </c>
      <c r="BT152" s="245" t="inlineStr">
        <is>
          <t>562/1093/26</t>
        </is>
      </c>
      <c r="BU152" s="245" t="inlineStr">
        <is>
          <t>01.09.2026</t>
        </is>
      </c>
      <c r="BV152" s="245" t="inlineStr">
        <is>
          <t>IPH — Institute of Public Health</t>
        </is>
      </c>
      <c r="BW152" s="245" t="inlineStr">
        <is>
          <t>Absent | Отсутна</t>
        </is>
      </c>
      <c r="BX152" s="245" t="inlineStr">
        <is>
          <t>562/1093/26</t>
        </is>
      </c>
      <c r="BY152" s="245" t="inlineStr">
        <is>
          <t>01.09.2026</t>
        </is>
      </c>
      <c r="BZ152" s="245" t="inlineStr">
        <is>
          <t>IPH — Institute of Public Health</t>
        </is>
      </c>
      <c r="CA152" s="245" t="inlineStr">
        <is>
          <t>Absent | Отсутна</t>
        </is>
      </c>
      <c r="CB152" s="245" t="inlineStr">
        <is>
          <t>562/1093/26</t>
        </is>
      </c>
      <c r="CC152" s="245" t="inlineStr">
        <is>
          <t>01.09.2026</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5" t="inlineStr">
        <is>
          <t>ND</t>
        </is>
      </c>
      <c r="CN152" s="245" t="inlineStr">
        <is>
          <t>227-2-М/26</t>
        </is>
      </c>
      <c r="CO152" s="245" t="inlineStr">
        <is>
          <t>16.09.2026</t>
        </is>
      </c>
      <c r="CP152" s="245" t="inlineStr">
        <is>
          <t>Farmahem</t>
        </is>
      </c>
      <c r="CQ152" s="245" t="inlineStr">
        <is>
          <t>ND</t>
        </is>
      </c>
      <c r="CR152" s="245" t="inlineStr">
        <is>
          <t>227-2-М/26</t>
        </is>
      </c>
      <c r="CS152" s="245" t="inlineStr">
        <is>
          <t>16.09.2026</t>
        </is>
      </c>
      <c r="CT152" s="245" t="inlineStr">
        <is>
          <t>Farmahem</t>
        </is>
      </c>
      <c r="CU152" s="245" t="inlineStr">
        <is>
          <t>ND</t>
        </is>
      </c>
      <c r="CV152" s="245" t="inlineStr">
        <is>
          <t>227-2-М/26</t>
        </is>
      </c>
      <c r="CW152" s="245" t="inlineStr">
        <is>
          <t>16.09.2026</t>
        </is>
      </c>
      <c r="CX152" s="245" t="inlineStr">
        <is>
          <t>Farmahem</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replaces the issued QCSP_001_GRC-III_v.01 (was GRC_THC17.5:CBD1, 17.50% ± 2.50%); now GRC_THC8 : CBD1 7.20 – 8.79 %</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5" t="inlineStr">
        <is>
          <t>Conforms | Одговара</t>
        </is>
      </c>
      <c r="AF153" s="245" t="inlineStr">
        <is>
          <t>iCoA-PP_26-167</t>
        </is>
      </c>
      <c r="AG153" s="245" t="inlineStr">
        <is>
          <t>24.08.2026</t>
        </is>
      </c>
      <c r="AH153" s="245" t="inlineStr">
        <is>
          <t>Purely Plant GmbH (in-house)</t>
        </is>
      </c>
      <c r="AI153" s="245" t="inlineStr">
        <is>
          <t>Conforms | Одговара</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5" t="inlineStr">
        <is>
          <t>Conforms | Одговара</t>
        </is>
      </c>
      <c r="BD153" s="245" t="inlineStr">
        <is>
          <t>iCoA-PP_26-167</t>
        </is>
      </c>
      <c r="BE153" s="245" t="inlineStr">
        <is>
          <t>24.08.2026</t>
        </is>
      </c>
      <c r="BF153" s="245" t="inlineStr">
        <is>
          <t>Purely Plant GmbH (in-house)</t>
        </is>
      </c>
      <c r="BG153" s="245" t="inlineStr">
        <is>
          <t>carried from the initial testing — not tested</t>
        </is>
      </c>
      <c r="BH153" s="245" t="inlineStr">
        <is>
          <t>—</t>
        </is>
      </c>
      <c r="BI153" s="245" t="inlineStr">
        <is>
          <t>—</t>
        </is>
      </c>
      <c r="BJ153" s="245" t="inlineStr">
        <is>
          <t>—</t>
        </is>
      </c>
      <c r="BK153" s="245" t="inlineStr">
        <is>
          <t>10</t>
        </is>
      </c>
      <c r="BL153" s="245" t="inlineStr">
        <is>
          <t>550/1081/26</t>
        </is>
      </c>
      <c r="BM153" s="245" t="inlineStr">
        <is>
          <t>01.09.2026</t>
        </is>
      </c>
      <c r="BN153" s="245" t="inlineStr">
        <is>
          <t>IPH — Institute of Public Health</t>
        </is>
      </c>
      <c r="BO153" s="245" t="inlineStr">
        <is>
          <t>&lt; 10</t>
        </is>
      </c>
      <c r="BP153" s="245" t="inlineStr">
        <is>
          <t>550/1081/26</t>
        </is>
      </c>
      <c r="BQ153" s="245" t="inlineStr">
        <is>
          <t>01.09.2026</t>
        </is>
      </c>
      <c r="BR153" s="245" t="inlineStr">
        <is>
          <t>IPH — Institute of Public Health</t>
        </is>
      </c>
      <c r="BS153" s="245" t="inlineStr">
        <is>
          <t>&lt; 10</t>
        </is>
      </c>
      <c r="BT153" s="245" t="inlineStr">
        <is>
          <t>550/1081/26</t>
        </is>
      </c>
      <c r="BU153" s="245" t="inlineStr">
        <is>
          <t>01.09.2026</t>
        </is>
      </c>
      <c r="BV153" s="245" t="inlineStr">
        <is>
          <t>IPH — Institute of Public Health</t>
        </is>
      </c>
      <c r="BW153" s="245" t="inlineStr">
        <is>
          <t>Absent | Отсутна</t>
        </is>
      </c>
      <c r="BX153" s="245" t="inlineStr">
        <is>
          <t>550/1081/26</t>
        </is>
      </c>
      <c r="BY153" s="245" t="inlineStr">
        <is>
          <t>01.09.2026</t>
        </is>
      </c>
      <c r="BZ153" s="245" t="inlineStr">
        <is>
          <t>IPH — Institute of Public Health</t>
        </is>
      </c>
      <c r="CA153" s="245" t="inlineStr">
        <is>
          <t>Absent | Отсутна</t>
        </is>
      </c>
      <c r="CB153" s="245" t="inlineStr">
        <is>
          <t>550/1081/26</t>
        </is>
      </c>
      <c r="CC153" s="245" t="inlineStr">
        <is>
          <t>01.09.2026</t>
        </is>
      </c>
      <c r="CD153" s="245" t="inlineStr">
        <is>
          <t>IPH — Institute of Public Health</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5" t="inlineStr">
        <is>
          <t>ND</t>
        </is>
      </c>
      <c r="CN153" s="245" t="inlineStr">
        <is>
          <t>227-16-М/26</t>
        </is>
      </c>
      <c r="CO153" s="245" t="inlineStr">
        <is>
          <t>16.09.2026</t>
        </is>
      </c>
      <c r="CP153" s="245" t="inlineStr">
        <is>
          <t>Farmahem</t>
        </is>
      </c>
      <c r="CQ153" s="245" t="inlineStr">
        <is>
          <t>ND</t>
        </is>
      </c>
      <c r="CR153" s="245" t="inlineStr">
        <is>
          <t>227-16-М/26</t>
        </is>
      </c>
      <c r="CS153" s="245" t="inlineStr">
        <is>
          <t>16.09.2026</t>
        </is>
      </c>
      <c r="CT153" s="245" t="inlineStr">
        <is>
          <t>Farmahem</t>
        </is>
      </c>
      <c r="CU153" s="245" t="inlineStr">
        <is>
          <t>ND</t>
        </is>
      </c>
      <c r="CV153" s="245" t="inlineStr">
        <is>
          <t>227-16-М/26</t>
        </is>
      </c>
      <c r="CW153" s="245" t="inlineStr">
        <is>
          <t>16.09.2026</t>
        </is>
      </c>
      <c r="CX153" s="245" t="inlineStr">
        <is>
          <t>Farmahem</t>
        </is>
      </c>
      <c r="CY153" s="245" t="inlineStr">
        <is>
          <t>carried from the initial testing — not tested</t>
        </is>
      </c>
      <c r="CZ153" s="245" t="inlineStr">
        <is>
          <t>—</t>
        </is>
      </c>
      <c r="DA153" s="245" t="inlineStr">
        <is>
          <t>—</t>
        </is>
      </c>
      <c r="DB153" s="245" t="inlineStr">
        <is>
          <t>—</t>
        </is>
      </c>
      <c r="DC153" s="245" t="inlineStr">
        <is>
          <t>carried from the initial testing — not tested</t>
        </is>
      </c>
      <c r="DD153" s="245" t="inlineStr">
        <is>
          <t>—</t>
        </is>
      </c>
      <c r="DE153" s="245" t="inlineStr">
        <is>
          <t>—</t>
        </is>
      </c>
      <c r="DF153" s="245" t="inlineStr">
        <is>
          <t>—</t>
        </is>
      </c>
      <c r="DG153" s="245" t="inlineStr">
        <is>
          <t>carried from the initial testing — not tested</t>
        </is>
      </c>
      <c r="DH153" s="245" t="inlineStr">
        <is>
          <t>—</t>
        </is>
      </c>
      <c r="DI153" s="245" t="inlineStr">
        <is>
          <t>—</t>
        </is>
      </c>
      <c r="DJ153" s="245" t="inlineStr">
        <is>
          <t>—</t>
        </is>
      </c>
      <c r="DK153" s="245" t="inlineStr">
        <is>
          <t>carried from the initial testing — not tested</t>
        </is>
      </c>
      <c r="DL153" s="245" t="inlineStr">
        <is>
          <t>—</t>
        </is>
      </c>
      <c r="DM153" s="245" t="inlineStr">
        <is>
          <t>—</t>
        </is>
      </c>
      <c r="DN153" s="245" t="inlineStr">
        <is>
          <t>—</t>
        </is>
      </c>
      <c r="DO153" s="245" t="inlineStr">
        <is>
          <t>carried from the initial testing — not tested</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5" t="inlineStr">
        <is>
          <t>Conforms | Одговара</t>
        </is>
      </c>
      <c r="AF154" s="245" t="inlineStr">
        <is>
          <t>iCoA-PP_26-168</t>
        </is>
      </c>
      <c r="AG154" s="245" t="inlineStr">
        <is>
          <t>24.08.2026</t>
        </is>
      </c>
      <c r="AH154" s="245" t="inlineStr">
        <is>
          <t>Purely Plant GmbH (in-house)</t>
        </is>
      </c>
      <c r="AI154" s="245" t="inlineStr">
        <is>
          <t>Conforms | Одговара</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5" t="inlineStr">
        <is>
          <t>Conforms | Одговара</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4,4 × 10²</t>
        </is>
      </c>
      <c r="BL154" s="245" t="inlineStr">
        <is>
          <t>547/1078/26</t>
        </is>
      </c>
      <c r="BM154" s="245" t="inlineStr">
        <is>
          <t>31.08.2026</t>
        </is>
      </c>
      <c r="BN154" s="245" t="inlineStr">
        <is>
          <t>IPH — Institute of Public Health</t>
        </is>
      </c>
      <c r="BO154" s="245" t="inlineStr">
        <is>
          <t>8,6 × 10²</t>
        </is>
      </c>
      <c r="BP154" s="245" t="inlineStr">
        <is>
          <t>547/1078/26</t>
        </is>
      </c>
      <c r="BQ154" s="245" t="inlineStr">
        <is>
          <t>31.08.2026</t>
        </is>
      </c>
      <c r="BR154" s="245" t="inlineStr">
        <is>
          <t>IPH — Institute of Public Health</t>
        </is>
      </c>
      <c r="BS154" s="245" t="inlineStr">
        <is>
          <t>&lt; 10² and &gt; 10</t>
        </is>
      </c>
      <c r="BT154" s="245" t="inlineStr">
        <is>
          <t>547/1078/26</t>
        </is>
      </c>
      <c r="BU154" s="245" t="inlineStr">
        <is>
          <t>31.08.2026</t>
        </is>
      </c>
      <c r="BV154" s="245" t="inlineStr">
        <is>
          <t>IPH — Institute of Public Health</t>
        </is>
      </c>
      <c r="BW154" s="245" t="inlineStr">
        <is>
          <t>Absent | Отсутна</t>
        </is>
      </c>
      <c r="BX154" s="245" t="inlineStr">
        <is>
          <t>547/1078/26</t>
        </is>
      </c>
      <c r="BY154" s="245" t="inlineStr">
        <is>
          <t>31.08.2026</t>
        </is>
      </c>
      <c r="BZ154" s="245" t="inlineStr">
        <is>
          <t>IPH — Institute of Public Health</t>
        </is>
      </c>
      <c r="CA154" s="245" t="inlineStr">
        <is>
          <t>Absent | Отсутна</t>
        </is>
      </c>
      <c r="CB154" s="245" t="inlineStr">
        <is>
          <t>547/1078/26</t>
        </is>
      </c>
      <c r="CC154" s="245" t="inlineStr">
        <is>
          <t>31.08.2026</t>
        </is>
      </c>
      <c r="CD154" s="245" t="inlineStr">
        <is>
          <t>IPH — Institute of Public Health</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5" t="inlineStr">
        <is>
          <t>ND</t>
        </is>
      </c>
      <c r="CN154" s="245" t="inlineStr">
        <is>
          <t>227-14-М/26</t>
        </is>
      </c>
      <c r="CO154" s="245" t="inlineStr">
        <is>
          <t>16.09.2026</t>
        </is>
      </c>
      <c r="CP154" s="245" t="inlineStr">
        <is>
          <t>Farmahem</t>
        </is>
      </c>
      <c r="CQ154" s="245" t="inlineStr">
        <is>
          <t>ND</t>
        </is>
      </c>
      <c r="CR154" s="245" t="inlineStr">
        <is>
          <t>227-14-М/26</t>
        </is>
      </c>
      <c r="CS154" s="245" t="inlineStr">
        <is>
          <t>16.09.2026</t>
        </is>
      </c>
      <c r="CT154" s="245" t="inlineStr">
        <is>
          <t>Farmahem</t>
        </is>
      </c>
      <c r="CU154" s="245" t="inlineStr">
        <is>
          <t>ND</t>
        </is>
      </c>
      <c r="CV154" s="245" t="inlineStr">
        <is>
          <t>227-14-М/26</t>
        </is>
      </c>
      <c r="CW154" s="245" t="inlineStr">
        <is>
          <t>16.09.2026</t>
        </is>
      </c>
      <c r="CX154" s="245" t="inlineStr">
        <is>
          <t>Farmahem</t>
        </is>
      </c>
      <c r="CY154" s="245" t="inlineStr">
        <is>
          <t>carried from the initial testing — not tested</t>
        </is>
      </c>
      <c r="CZ154" s="245" t="inlineStr">
        <is>
          <t>—</t>
        </is>
      </c>
      <c r="DA154" s="245" t="inlineStr">
        <is>
          <t>—</t>
        </is>
      </c>
      <c r="DB154" s="245" t="inlineStr">
        <is>
          <t>—</t>
        </is>
      </c>
      <c r="DC154" s="245" t="inlineStr">
        <is>
          <t>carried from the initial testing — not tested</t>
        </is>
      </c>
      <c r="DD154" s="245" t="inlineStr">
        <is>
          <t>—</t>
        </is>
      </c>
      <c r="DE154" s="245" t="inlineStr">
        <is>
          <t>—</t>
        </is>
      </c>
      <c r="DF154" s="245" t="inlineStr">
        <is>
          <t>—</t>
        </is>
      </c>
      <c r="DG154" s="245" t="inlineStr">
        <is>
          <t>carried from the initial testing — not tested</t>
        </is>
      </c>
      <c r="DH154" s="245" t="inlineStr">
        <is>
          <t>—</t>
        </is>
      </c>
      <c r="DI154" s="245" t="inlineStr">
        <is>
          <t>—</t>
        </is>
      </c>
      <c r="DJ154" s="245" t="inlineStr">
        <is>
          <t>—</t>
        </is>
      </c>
      <c r="DK154" s="245" t="inlineStr">
        <is>
          <t>carried from the initial testing — not tested</t>
        </is>
      </c>
      <c r="DL154" s="245" t="inlineStr">
        <is>
          <t>—</t>
        </is>
      </c>
      <c r="DM154" s="245" t="inlineStr">
        <is>
          <t>—</t>
        </is>
      </c>
      <c r="DN154" s="245" t="inlineStr">
        <is>
          <t>—</t>
        </is>
      </c>
      <c r="DO154" s="245" t="inlineStr">
        <is>
          <t>carried from the initial testing — not tested</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replaces the issued QCSP_001_J31-I_v.01 (was J31_THC27:CBD1, 27.00% ± 3.25%); now J31_THC26 : CBD1 24.20 – 27.79 %</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16.09.2026</t>
        </is>
      </c>
      <c r="AE155" s="245" t="inlineStr">
        <is>
          <t>Conforms | Одговара</t>
        </is>
      </c>
      <c r="AF155" s="245" t="inlineStr">
        <is>
          <t>iCoA-PP_26-169</t>
        </is>
      </c>
      <c r="AG155" s="245" t="inlineStr">
        <is>
          <t>24.08.2026</t>
        </is>
      </c>
      <c r="AH155" s="245" t="inlineStr">
        <is>
          <t>Purely Plant GmbH (in-house)</t>
        </is>
      </c>
      <c r="AI155" s="245" t="inlineStr">
        <is>
          <t>Conforms | Одговара</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5" t="inlineStr">
        <is>
          <t>Conforms | Одговара</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1 × 10³</t>
        </is>
      </c>
      <c r="BL155" s="245" t="inlineStr">
        <is>
          <t>544/1075/26</t>
        </is>
      </c>
      <c r="BM155" s="245" t="inlineStr">
        <is>
          <t>31.08.2026</t>
        </is>
      </c>
      <c r="BN155" s="245" t="inlineStr">
        <is>
          <t>IPH — Institute of Public Health</t>
        </is>
      </c>
      <c r="BO155" s="245" t="inlineStr">
        <is>
          <t>1,7 × 10²</t>
        </is>
      </c>
      <c r="BP155" s="245" t="inlineStr">
        <is>
          <t>544/1075/26</t>
        </is>
      </c>
      <c r="BQ155" s="245" t="inlineStr">
        <is>
          <t>31.08.2026</t>
        </is>
      </c>
      <c r="BR155" s="245" t="inlineStr">
        <is>
          <t>IPH — Institute of Public Health</t>
        </is>
      </c>
      <c r="BS155" s="245" t="inlineStr">
        <is>
          <t>&lt; 10³ and &gt; 10²</t>
        </is>
      </c>
      <c r="BT155" s="245" t="inlineStr">
        <is>
          <t>544/1075/26</t>
        </is>
      </c>
      <c r="BU155" s="245" t="inlineStr">
        <is>
          <t>31.08.2026</t>
        </is>
      </c>
      <c r="BV155" s="245" t="inlineStr">
        <is>
          <t>IPH — Institute of Public Health</t>
        </is>
      </c>
      <c r="BW155" s="245" t="inlineStr">
        <is>
          <t>Absent | Отсутна</t>
        </is>
      </c>
      <c r="BX155" s="245" t="inlineStr">
        <is>
          <t>544/1075/26</t>
        </is>
      </c>
      <c r="BY155" s="245" t="inlineStr">
        <is>
          <t>31.08.2026</t>
        </is>
      </c>
      <c r="BZ155" s="245" t="inlineStr">
        <is>
          <t>IPH — Institute of Public Health</t>
        </is>
      </c>
      <c r="CA155" s="245" t="inlineStr">
        <is>
          <t>Absent | Отсутна</t>
        </is>
      </c>
      <c r="CB155" s="245" t="inlineStr">
        <is>
          <t>544/1075/26</t>
        </is>
      </c>
      <c r="CC155" s="245" t="inlineStr">
        <is>
          <t>31.08.2026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5" t="inlineStr">
        <is>
          <t>ND</t>
        </is>
      </c>
      <c r="CN155" s="245" t="inlineStr">
        <is>
          <t>227-13-М/26</t>
        </is>
      </c>
      <c r="CO155" s="245" t="inlineStr">
        <is>
          <t>16.09.2026</t>
        </is>
      </c>
      <c r="CP155" s="245" t="inlineStr">
        <is>
          <t>Farmahem</t>
        </is>
      </c>
      <c r="CQ155" s="245" t="inlineStr">
        <is>
          <t>ND</t>
        </is>
      </c>
      <c r="CR155" s="245" t="inlineStr">
        <is>
          <t>227-13-М/26</t>
        </is>
      </c>
      <c r="CS155" s="245" t="inlineStr">
        <is>
          <t>16.09.2026</t>
        </is>
      </c>
      <c r="CT155" s="245" t="inlineStr">
        <is>
          <t>Farmahem</t>
        </is>
      </c>
      <c r="CU155" s="245" t="inlineStr">
        <is>
          <t>ND</t>
        </is>
      </c>
      <c r="CV155" s="245" t="inlineStr">
        <is>
          <t>227-13-М/26</t>
        </is>
      </c>
      <c r="CW155" s="245" t="inlineStr">
        <is>
          <t>16.09.2026</t>
        </is>
      </c>
      <c r="CX155" s="245" t="inlineStr">
        <is>
          <t>Farmahem</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16.09.2026</t>
        </is>
      </c>
      <c r="AE156" s="245" t="inlineStr">
        <is>
          <t>Conforms | Одговара</t>
        </is>
      </c>
      <c r="AF156" s="245" t="inlineStr">
        <is>
          <t>iCoA-PP_26-170</t>
        </is>
      </c>
      <c r="AG156" s="245" t="inlineStr">
        <is>
          <t>24.08.2026</t>
        </is>
      </c>
      <c r="AH156" s="245" t="inlineStr">
        <is>
          <t>Purely Plant GmbH (in-house)</t>
        </is>
      </c>
      <c r="AI156" s="245" t="inlineStr">
        <is>
          <t>Conforms | Одговара</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5" t="inlineStr">
        <is>
          <t>Conforms | Одговара</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2,2 × 10³</t>
        </is>
      </c>
      <c r="BL156" s="245" t="inlineStr">
        <is>
          <t>540/1071/26</t>
        </is>
      </c>
      <c r="BM156" s="245" t="inlineStr">
        <is>
          <t>31.08.2026</t>
        </is>
      </c>
      <c r="BN156" s="245" t="inlineStr">
        <is>
          <t>IPH — Institute of Public Health</t>
        </is>
      </c>
      <c r="BO156" s="245" t="inlineStr">
        <is>
          <t>1,7 × 10³</t>
        </is>
      </c>
      <c r="BP156" s="245" t="inlineStr">
        <is>
          <t>540/1071/26</t>
        </is>
      </c>
      <c r="BQ156" s="245" t="inlineStr">
        <is>
          <t>31.08.2026</t>
        </is>
      </c>
      <c r="BR156" s="245" t="inlineStr">
        <is>
          <t>IPH — Institute of Public Health</t>
        </is>
      </c>
      <c r="BS156" s="245" t="inlineStr">
        <is>
          <t>&lt; 10</t>
        </is>
      </c>
      <c r="BT156" s="245" t="inlineStr">
        <is>
          <t>540/1071/26</t>
        </is>
      </c>
      <c r="BU156" s="245" t="inlineStr">
        <is>
          <t>31.08.2026</t>
        </is>
      </c>
      <c r="BV156" s="245" t="inlineStr">
        <is>
          <t>IPH — Institute of Public Health</t>
        </is>
      </c>
      <c r="BW156" s="245" t="inlineStr">
        <is>
          <t>Absent | Отсутна</t>
        </is>
      </c>
      <c r="BX156" s="245" t="inlineStr">
        <is>
          <t>540/1071/26</t>
        </is>
      </c>
      <c r="BY156" s="245" t="inlineStr">
        <is>
          <t>31.08.2026</t>
        </is>
      </c>
      <c r="BZ156" s="245" t="inlineStr">
        <is>
          <t>IPH — Institute of Public Health</t>
        </is>
      </c>
      <c r="CA156" s="245" t="inlineStr">
        <is>
          <t>Absent | Отсутна</t>
        </is>
      </c>
      <c r="CB156" s="245" t="inlineStr">
        <is>
          <t>540/1071/26</t>
        </is>
      </c>
      <c r="CC156" s="245" t="inlineStr">
        <is>
          <t>31.08.2026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5" t="inlineStr">
        <is>
          <t>ND</t>
        </is>
      </c>
      <c r="CN156" s="245" t="inlineStr">
        <is>
          <t>227-15-М/26</t>
        </is>
      </c>
      <c r="CO156" s="245" t="inlineStr">
        <is>
          <t>16.09.2026</t>
        </is>
      </c>
      <c r="CP156" s="245" t="inlineStr">
        <is>
          <t>Farmahem</t>
        </is>
      </c>
      <c r="CQ156" s="245" t="inlineStr">
        <is>
          <t>ND</t>
        </is>
      </c>
      <c r="CR156" s="245" t="inlineStr">
        <is>
          <t>227-15-М/26</t>
        </is>
      </c>
      <c r="CS156" s="245" t="inlineStr">
        <is>
          <t>16.09.2026</t>
        </is>
      </c>
      <c r="CT156" s="245" t="inlineStr">
        <is>
          <t>Farmahem</t>
        </is>
      </c>
      <c r="CU156" s="245" t="inlineStr">
        <is>
          <t>ND</t>
        </is>
      </c>
      <c r="CV156" s="245" t="inlineStr">
        <is>
          <t>227-15-М/26</t>
        </is>
      </c>
      <c r="CW156" s="245" t="inlineStr">
        <is>
          <t>16.09.2026</t>
        </is>
      </c>
      <c r="CX156" s="245" t="inlineStr">
        <is>
          <t>Farmahem</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16.09.2026</t>
        </is>
      </c>
      <c r="AE157" s="245" t="inlineStr">
        <is>
          <t>Conforms | Одговара</t>
        </is>
      </c>
      <c r="AF157" s="245" t="inlineStr">
        <is>
          <t>iCoA-PP_26-171</t>
        </is>
      </c>
      <c r="AG157" s="245" t="inlineStr">
        <is>
          <t>24.08.2026</t>
        </is>
      </c>
      <c r="AH157" s="245" t="inlineStr">
        <is>
          <t>Purely Plant GmbH (in-house)</t>
        </is>
      </c>
      <c r="AI157" s="245" t="inlineStr">
        <is>
          <t>Conforms | Одговара</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5" t="inlineStr">
        <is>
          <t>Conforms | Одговара</t>
        </is>
      </c>
      <c r="BD157" s="245" t="inlineStr">
        <is>
          <t>iCoA-PP_26-171</t>
        </is>
      </c>
      <c r="BE157" s="245" t="inlineStr">
        <is>
          <t>24.08.2026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563/1094/26</t>
        </is>
      </c>
      <c r="BM157" s="245" t="inlineStr">
        <is>
          <t>01.09.2026</t>
        </is>
      </c>
      <c r="BN157" s="245" t="inlineStr">
        <is>
          <t>IPH — Institute of Public Health</t>
        </is>
      </c>
      <c r="BO157" s="245" t="inlineStr">
        <is>
          <t>&lt; 10</t>
        </is>
      </c>
      <c r="BP157" s="245" t="inlineStr">
        <is>
          <t>563/1094/26</t>
        </is>
      </c>
      <c r="BQ157" s="245" t="inlineStr">
        <is>
          <t>01.09.2026</t>
        </is>
      </c>
      <c r="BR157" s="245" t="inlineStr">
        <is>
          <t>IPH — Institute of Public Health</t>
        </is>
      </c>
      <c r="BS157" s="245" t="inlineStr">
        <is>
          <t>&lt; 10</t>
        </is>
      </c>
      <c r="BT157" s="245" t="inlineStr">
        <is>
          <t>563/1094/26</t>
        </is>
      </c>
      <c r="BU157" s="245" t="inlineStr">
        <is>
          <t>01.09.2026</t>
        </is>
      </c>
      <c r="BV157" s="245" t="inlineStr">
        <is>
          <t>IPH — Institute of Public Health</t>
        </is>
      </c>
      <c r="BW157" s="245" t="inlineStr">
        <is>
          <t>Absent | Отсутна</t>
        </is>
      </c>
      <c r="BX157" s="245" t="inlineStr">
        <is>
          <t>563/1094/26</t>
        </is>
      </c>
      <c r="BY157" s="245" t="inlineStr">
        <is>
          <t>01.09.2026</t>
        </is>
      </c>
      <c r="BZ157" s="245" t="inlineStr">
        <is>
          <t>IPH — Institute of Public Health</t>
        </is>
      </c>
      <c r="CA157" s="245" t="inlineStr">
        <is>
          <t>Absent | Отсутна</t>
        </is>
      </c>
      <c r="CB157" s="245" t="inlineStr">
        <is>
          <t>563/1094/26</t>
        </is>
      </c>
      <c r="CC157" s="245" t="inlineStr">
        <is>
          <t>01.09.2026</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5" t="inlineStr">
        <is>
          <t>ND</t>
        </is>
      </c>
      <c r="CN157" s="245" t="inlineStr">
        <is>
          <t>227-12-М/26</t>
        </is>
      </c>
      <c r="CO157" s="245" t="inlineStr">
        <is>
          <t>16.09.2026</t>
        </is>
      </c>
      <c r="CP157" s="245" t="inlineStr">
        <is>
          <t>Farmahem</t>
        </is>
      </c>
      <c r="CQ157" s="245" t="inlineStr">
        <is>
          <t>ND</t>
        </is>
      </c>
      <c r="CR157" s="245" t="inlineStr">
        <is>
          <t>227-12-М/26</t>
        </is>
      </c>
      <c r="CS157" s="245" t="inlineStr">
        <is>
          <t>16.09.2026</t>
        </is>
      </c>
      <c r="CT157" s="245" t="inlineStr">
        <is>
          <t>Farmahem</t>
        </is>
      </c>
      <c r="CU157" s="245" t="inlineStr">
        <is>
          <t>ND</t>
        </is>
      </c>
      <c r="CV157" s="245" t="inlineStr">
        <is>
          <t>227-12-М/26</t>
        </is>
      </c>
      <c r="CW157" s="245" t="inlineStr">
        <is>
          <t>16.09.2026</t>
        </is>
      </c>
      <c r="CX157" s="245" t="inlineStr">
        <is>
          <t>Farmahem</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16.09.2026</t>
        </is>
      </c>
      <c r="AE158" s="245" t="inlineStr">
        <is>
          <t>Conforms | Одговара</t>
        </is>
      </c>
      <c r="AF158" s="245" t="inlineStr">
        <is>
          <t>iCoA-PP_26-172</t>
        </is>
      </c>
      <c r="AG158" s="245" t="inlineStr">
        <is>
          <t>24.08.2026</t>
        </is>
      </c>
      <c r="AH158" s="245" t="inlineStr">
        <is>
          <t>Purely Plant GmbH (in-house)</t>
        </is>
      </c>
      <c r="AI158" s="245" t="inlineStr">
        <is>
          <t>Conforms | Одговара</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5" t="inlineStr">
        <is>
          <t>Conforms | Одговара</t>
        </is>
      </c>
      <c r="BD158" s="245" t="inlineStr">
        <is>
          <t>iCoA-PP_26-172</t>
        </is>
      </c>
      <c r="BE158" s="245" t="inlineStr">
        <is>
          <t>24.08.2026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&lt; 10</t>
        </is>
      </c>
      <c r="BL158" s="245" t="inlineStr">
        <is>
          <t>560/1091/26</t>
        </is>
      </c>
      <c r="BM158" s="245" t="inlineStr">
        <is>
          <t>01.09.2026</t>
        </is>
      </c>
      <c r="BN158" s="245" t="inlineStr">
        <is>
          <t>IPH — Institute of Public Health</t>
        </is>
      </c>
      <c r="BO158" s="245" t="inlineStr">
        <is>
          <t>&lt; 10</t>
        </is>
      </c>
      <c r="BP158" s="245" t="inlineStr">
        <is>
          <t>560/1091/26</t>
        </is>
      </c>
      <c r="BQ158" s="245" t="inlineStr">
        <is>
          <t>01.09.2026</t>
        </is>
      </c>
      <c r="BR158" s="245" t="inlineStr">
        <is>
          <t>IPH — Institute of Public Health</t>
        </is>
      </c>
      <c r="BS158" s="245" t="inlineStr">
        <is>
          <t>&lt; 10</t>
        </is>
      </c>
      <c r="BT158" s="245" t="inlineStr">
        <is>
          <t>560/1091/26</t>
        </is>
      </c>
      <c r="BU158" s="245" t="inlineStr">
        <is>
          <t>01.09.2026</t>
        </is>
      </c>
      <c r="BV158" s="245" t="inlineStr">
        <is>
          <t>IPH — Institute of Public Health</t>
        </is>
      </c>
      <c r="BW158" s="245" t="inlineStr">
        <is>
          <t>Absent | Отсутна</t>
        </is>
      </c>
      <c r="BX158" s="245" t="inlineStr">
        <is>
          <t>560/1091/26</t>
        </is>
      </c>
      <c r="BY158" s="245" t="inlineStr">
        <is>
          <t>01.09.2026</t>
        </is>
      </c>
      <c r="BZ158" s="245" t="inlineStr">
        <is>
          <t>IPH — Institute of Public Health</t>
        </is>
      </c>
      <c r="CA158" s="245" t="inlineStr">
        <is>
          <t>Absent | Отсутна</t>
        </is>
      </c>
      <c r="CB158" s="245" t="inlineStr">
        <is>
          <t>560/1091/26</t>
        </is>
      </c>
      <c r="CC158" s="245" t="inlineStr">
        <is>
          <t>01.09.2026</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5" t="inlineStr">
        <is>
          <t>ND</t>
        </is>
      </c>
      <c r="CN158" s="245" t="inlineStr">
        <is>
          <t>227-11-М/26</t>
        </is>
      </c>
      <c r="CO158" s="245" t="inlineStr">
        <is>
          <t>16.09.2026</t>
        </is>
      </c>
      <c r="CP158" s="245" t="inlineStr">
        <is>
          <t>Farmahem</t>
        </is>
      </c>
      <c r="CQ158" s="245" t="inlineStr">
        <is>
          <t>ND</t>
        </is>
      </c>
      <c r="CR158" s="245" t="inlineStr">
        <is>
          <t>227-11-М/26</t>
        </is>
      </c>
      <c r="CS158" s="245" t="inlineStr">
        <is>
          <t>16.09.2026</t>
        </is>
      </c>
      <c r="CT158" s="245" t="inlineStr">
        <is>
          <t>Farmahem</t>
        </is>
      </c>
      <c r="CU158" s="245" t="inlineStr">
        <is>
          <t>ND</t>
        </is>
      </c>
      <c r="CV158" s="245" t="inlineStr">
        <is>
          <t>227-11-М/26</t>
        </is>
      </c>
      <c r="CW158" s="245" t="inlineStr">
        <is>
          <t>16.09.2026</t>
        </is>
      </c>
      <c r="CX158" s="245" t="inlineStr">
        <is>
          <t>Farmahem</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5" t="inlineStr">
        <is>
          <t>Conforms | Одговара</t>
        </is>
      </c>
      <c r="AF159" s="245" t="inlineStr">
        <is>
          <t>iCoA-PP_26-155</t>
        </is>
      </c>
      <c r="AG159" s="245" t="inlineStr">
        <is>
          <t>24.08.2026</t>
        </is>
      </c>
      <c r="AH159" s="245" t="inlineStr">
        <is>
          <t>Purely Plant GmbH (in-house)</t>
        </is>
      </c>
      <c r="AI159" s="245" t="inlineStr">
        <is>
          <t>Conforms | Одговара</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5" t="inlineStr">
        <is>
          <t>Conforms | Одговара</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&lt; 10</t>
        </is>
      </c>
      <c r="BL159" s="245" t="inlineStr">
        <is>
          <t>546/1077/26</t>
        </is>
      </c>
      <c r="BM159" s="245" t="inlineStr">
        <is>
          <t>31.08.2026</t>
        </is>
      </c>
      <c r="BN159" s="245" t="inlineStr">
        <is>
          <t>IPH — Institute of Public Health</t>
        </is>
      </c>
      <c r="BO159" s="245" t="inlineStr">
        <is>
          <t>10</t>
        </is>
      </c>
      <c r="BP159" s="245" t="inlineStr">
        <is>
          <t>546/1077/26</t>
        </is>
      </c>
      <c r="BQ159" s="245" t="inlineStr">
        <is>
          <t>31.08.2026</t>
        </is>
      </c>
      <c r="BR159" s="245" t="inlineStr">
        <is>
          <t>IPH — Institute of Public Health</t>
        </is>
      </c>
      <c r="BS159" s="245" t="inlineStr">
        <is>
          <t>&lt; 10</t>
        </is>
      </c>
      <c r="BT159" s="245" t="inlineStr">
        <is>
          <t>546/1077/26</t>
        </is>
      </c>
      <c r="BU159" s="245" t="inlineStr">
        <is>
          <t>31.08.2026</t>
        </is>
      </c>
      <c r="BV159" s="245" t="inlineStr">
        <is>
          <t>IPH — Institute of Public Health</t>
        </is>
      </c>
      <c r="BW159" s="245" t="inlineStr">
        <is>
          <t>Absent | Отсутна</t>
        </is>
      </c>
      <c r="BX159" s="245" t="inlineStr">
        <is>
          <t>546/1077/26</t>
        </is>
      </c>
      <c r="BY159" s="245" t="inlineStr">
        <is>
          <t>31.08.2026</t>
        </is>
      </c>
      <c r="BZ159" s="245" t="inlineStr">
        <is>
          <t>IPH — Institute of Public Health</t>
        </is>
      </c>
      <c r="CA159" s="245" t="inlineStr">
        <is>
          <t>Absent | Отсутна</t>
        </is>
      </c>
      <c r="CB159" s="245" t="inlineStr">
        <is>
          <t>546/1077/26</t>
        </is>
      </c>
      <c r="CC159" s="245" t="inlineStr">
        <is>
          <t>31.08.2026</t>
        </is>
      </c>
      <c r="CD159" s="245" t="inlineStr">
        <is>
          <t>IPH — Institute of Public Health</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5" t="inlineStr">
        <is>
          <t>ND</t>
        </is>
      </c>
      <c r="CN159" s="245" t="inlineStr">
        <is>
          <t>227-10-М/26</t>
        </is>
      </c>
      <c r="CO159" s="245" t="inlineStr">
        <is>
          <t>16.09.2026</t>
        </is>
      </c>
      <c r="CP159" s="245" t="inlineStr">
        <is>
          <t>Farmahem</t>
        </is>
      </c>
      <c r="CQ159" s="245" t="inlineStr">
        <is>
          <t>ND</t>
        </is>
      </c>
      <c r="CR159" s="245" t="inlineStr">
        <is>
          <t>227-10-М/26</t>
        </is>
      </c>
      <c r="CS159" s="245" t="inlineStr">
        <is>
          <t>16.09.2026</t>
        </is>
      </c>
      <c r="CT159" s="245" t="inlineStr">
        <is>
          <t>Farmahem</t>
        </is>
      </c>
      <c r="CU159" s="245" t="inlineStr">
        <is>
          <t>ND</t>
        </is>
      </c>
      <c r="CV159" s="245" t="inlineStr">
        <is>
          <t>227-10-М/26</t>
        </is>
      </c>
      <c r="CW159" s="245" t="inlineStr">
        <is>
          <t>16.09.2026</t>
        </is>
      </c>
      <c r="CX159" s="245" t="inlineStr">
        <is>
          <t>Farmahem</t>
        </is>
      </c>
      <c r="CY159" s="245" t="inlineStr">
        <is>
          <t>carried from the initial testing — not tested</t>
        </is>
      </c>
      <c r="CZ159" s="245" t="inlineStr">
        <is>
          <t>—</t>
        </is>
      </c>
      <c r="DA159" s="245" t="inlineStr">
        <is>
          <t>—</t>
        </is>
      </c>
      <c r="DB159" s="245" t="inlineStr">
        <is>
          <t>—</t>
        </is>
      </c>
      <c r="DC159" s="245" t="inlineStr">
        <is>
          <t>carried from the initial testing — not tested</t>
        </is>
      </c>
      <c r="DD159" s="245" t="inlineStr">
        <is>
          <t>—</t>
        </is>
      </c>
      <c r="DE159" s="245" t="inlineStr">
        <is>
          <t>—</t>
        </is>
      </c>
      <c r="DF159" s="245" t="inlineStr">
        <is>
          <t>—</t>
        </is>
      </c>
      <c r="DG159" s="245" t="inlineStr">
        <is>
          <t>carried from the initial testing — not tested</t>
        </is>
      </c>
      <c r="DH159" s="245" t="inlineStr">
        <is>
          <t>—</t>
        </is>
      </c>
      <c r="DI159" s="245" t="inlineStr">
        <is>
          <t>—</t>
        </is>
      </c>
      <c r="DJ159" s="245" t="inlineStr">
        <is>
          <t>—</t>
        </is>
      </c>
      <c r="DK159" s="245" t="inlineStr">
        <is>
          <t>carried from the initial testing — not tested</t>
        </is>
      </c>
      <c r="DL159" s="245" t="inlineStr">
        <is>
          <t>—</t>
        </is>
      </c>
      <c r="DM159" s="245" t="inlineStr">
        <is>
          <t>—</t>
        </is>
      </c>
      <c r="DN159" s="245" t="inlineStr">
        <is>
          <t>—</t>
        </is>
      </c>
      <c r="DO159" s="245" t="inlineStr">
        <is>
          <t>carried from the initial testing — not tested</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16.09.2026</t>
        </is>
      </c>
      <c r="AE160" s="245" t="inlineStr">
        <is>
          <t>Conforms | Одговара</t>
        </is>
      </c>
      <c r="AF160" s="245" t="inlineStr">
        <is>
          <t>iCoA-PP_26-156</t>
        </is>
      </c>
      <c r="AG160" s="245" t="inlineStr">
        <is>
          <t>24.08.2026</t>
        </is>
      </c>
      <c r="AH160" s="245" t="inlineStr">
        <is>
          <t>Purely Plant GmbH (in-house)</t>
        </is>
      </c>
      <c r="AI160" s="245" t="inlineStr">
        <is>
          <t>Conforms | Одговара</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5" t="inlineStr">
        <is>
          <t>Conforms | Одговара</t>
        </is>
      </c>
      <c r="BD160" s="245" t="inlineStr">
        <is>
          <t>iCoA-PP_26-156</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&lt; 10</t>
        </is>
      </c>
      <c r="BL160" s="245" t="inlineStr">
        <is>
          <t>554/1085/26</t>
        </is>
      </c>
      <c r="BM160" s="245" t="inlineStr">
        <is>
          <t>01.09.2026</t>
        </is>
      </c>
      <c r="BN160" s="245" t="inlineStr">
        <is>
          <t>IPH — Institute of Public Health</t>
        </is>
      </c>
      <c r="BO160" s="245" t="inlineStr">
        <is>
          <t>&lt; 10</t>
        </is>
      </c>
      <c r="BP160" s="245" t="inlineStr">
        <is>
          <t>554/1085/26</t>
        </is>
      </c>
      <c r="BQ160" s="245" t="inlineStr">
        <is>
          <t>01.09.2026</t>
        </is>
      </c>
      <c r="BR160" s="245" t="inlineStr">
        <is>
          <t>IPH — Institute of Public Health</t>
        </is>
      </c>
      <c r="BS160" s="245" t="inlineStr">
        <is>
          <t>&lt; 10</t>
        </is>
      </c>
      <c r="BT160" s="245" t="inlineStr">
        <is>
          <t>554/1085/26</t>
        </is>
      </c>
      <c r="BU160" s="245" t="inlineStr">
        <is>
          <t>01.09.2026</t>
        </is>
      </c>
      <c r="BV160" s="245" t="inlineStr">
        <is>
          <t>IPH — Institute of Public Health</t>
        </is>
      </c>
      <c r="BW160" s="245" t="inlineStr">
        <is>
          <t>Absent | Отсутна</t>
        </is>
      </c>
      <c r="BX160" s="245" t="inlineStr">
        <is>
          <t>554/1085/26</t>
        </is>
      </c>
      <c r="BY160" s="245" t="inlineStr">
        <is>
          <t>01.09.2026</t>
        </is>
      </c>
      <c r="BZ160" s="245" t="inlineStr">
        <is>
          <t>IPH — Institute of Public Health</t>
        </is>
      </c>
      <c r="CA160" s="245" t="inlineStr">
        <is>
          <t>Absent | Отсутна</t>
        </is>
      </c>
      <c r="CB160" s="245" t="inlineStr">
        <is>
          <t>554/1085/26</t>
        </is>
      </c>
      <c r="CC160" s="245" t="inlineStr">
        <is>
          <t>01.09.2026</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5" t="inlineStr">
        <is>
          <t>ND</t>
        </is>
      </c>
      <c r="CN160" s="245" t="inlineStr">
        <is>
          <t>227-9-М/26</t>
        </is>
      </c>
      <c r="CO160" s="245" t="inlineStr">
        <is>
          <t>16.09.2026</t>
        </is>
      </c>
      <c r="CP160" s="245" t="inlineStr">
        <is>
          <t>Farmahem</t>
        </is>
      </c>
      <c r="CQ160" s="245" t="inlineStr">
        <is>
          <t>ND</t>
        </is>
      </c>
      <c r="CR160" s="245" t="inlineStr">
        <is>
          <t>227-9-М/26</t>
        </is>
      </c>
      <c r="CS160" s="245" t="inlineStr">
        <is>
          <t>16.09.2026</t>
        </is>
      </c>
      <c r="CT160" s="245" t="inlineStr">
        <is>
          <t>Farmahem</t>
        </is>
      </c>
      <c r="CU160" s="245" t="inlineStr">
        <is>
          <t>ND</t>
        </is>
      </c>
      <c r="CV160" s="245" t="inlineStr">
        <is>
          <t>227-9-М/26</t>
        </is>
      </c>
      <c r="CW160" s="245" t="inlineStr">
        <is>
          <t>16.09.2026</t>
        </is>
      </c>
      <c r="CX160" s="245" t="inlineStr">
        <is>
          <t>Farmahem</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replaces the issued QCSP_001_SCR-I_v.01 (was SCR_THC27.5:CBD1, 27.50% ± 2.38%); now SCR_THC22 : CBD1 19.80 – 24.19 %</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5" t="inlineStr">
        <is>
          <t>Conforms | Одговара</t>
        </is>
      </c>
      <c r="AF161" s="245" t="inlineStr">
        <is>
          <t>iCoA-PP_26-157</t>
        </is>
      </c>
      <c r="AG161" s="245" t="inlineStr">
        <is>
          <t>24.08.2026</t>
        </is>
      </c>
      <c r="AH161" s="245" t="inlineStr">
        <is>
          <t>Purely Plant GmbH (in-house)</t>
        </is>
      </c>
      <c r="AI161" s="245" t="inlineStr">
        <is>
          <t>Conforms | Одговара</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5" t="inlineStr">
        <is>
          <t>Conforms | Одговара</t>
        </is>
      </c>
      <c r="BD161" s="245" t="inlineStr">
        <is>
          <t>iCoA-PP_26-157</t>
        </is>
      </c>
      <c r="BE161" s="245" t="inlineStr">
        <is>
          <t>24.08.2026</t>
        </is>
      </c>
      <c r="BF161" s="245" t="inlineStr">
        <is>
          <t>Purely Plant GmbH (in-house)</t>
        </is>
      </c>
      <c r="BG161" s="245" t="inlineStr">
        <is>
          <t>carried from the initial testing — not tested</t>
        </is>
      </c>
      <c r="BH161" s="245" t="inlineStr">
        <is>
          <t>—</t>
        </is>
      </c>
      <c r="BI161" s="245" t="inlineStr">
        <is>
          <t>—</t>
        </is>
      </c>
      <c r="BJ161" s="245" t="inlineStr">
        <is>
          <t>—</t>
        </is>
      </c>
      <c r="BK161" s="245" t="inlineStr">
        <is>
          <t>8,3 × 10³</t>
        </is>
      </c>
      <c r="BL161" s="245" t="inlineStr">
        <is>
          <t>539/1070/26</t>
        </is>
      </c>
      <c r="BM161" s="245" t="inlineStr">
        <is>
          <t>31.08.2026</t>
        </is>
      </c>
      <c r="BN161" s="245" t="inlineStr">
        <is>
          <t>IPH — Institute of Public Health</t>
        </is>
      </c>
      <c r="BO161" s="245" t="inlineStr">
        <is>
          <t>5,3 × 10³</t>
        </is>
      </c>
      <c r="BP161" s="245" t="inlineStr">
        <is>
          <t>539/1070/26</t>
        </is>
      </c>
      <c r="BQ161" s="245" t="inlineStr">
        <is>
          <t>31.08.2026</t>
        </is>
      </c>
      <c r="BR161" s="245" t="inlineStr">
        <is>
          <t>IPH — Institute of Public Health</t>
        </is>
      </c>
      <c r="BS161" s="245" t="inlineStr">
        <is>
          <t>&lt; 10</t>
        </is>
      </c>
      <c r="BT161" s="245" t="inlineStr">
        <is>
          <t>539/1070/26</t>
        </is>
      </c>
      <c r="BU161" s="245" t="inlineStr">
        <is>
          <t>31.08.2026</t>
        </is>
      </c>
      <c r="BV161" s="245" t="inlineStr">
        <is>
          <t>IPH — Institute of Public Health</t>
        </is>
      </c>
      <c r="BW161" s="245" t="inlineStr">
        <is>
          <t>Absent | Отсутна</t>
        </is>
      </c>
      <c r="BX161" s="245" t="inlineStr">
        <is>
          <t>539/1070/26</t>
        </is>
      </c>
      <c r="BY161" s="245" t="inlineStr">
        <is>
          <t>31.08.2026</t>
        </is>
      </c>
      <c r="BZ161" s="245" t="inlineStr">
        <is>
          <t>IPH — Institute of Public Health</t>
        </is>
      </c>
      <c r="CA161" s="245" t="inlineStr">
        <is>
          <t>Absent | Отсутна</t>
        </is>
      </c>
      <c r="CB161" s="245" t="inlineStr">
        <is>
          <t>539/1070/26</t>
        </is>
      </c>
      <c r="CC161" s="245" t="inlineStr">
        <is>
          <t>31.08.2026</t>
        </is>
      </c>
      <c r="CD161" s="245" t="inlineStr">
        <is>
          <t>IPH — Institute of Public Health</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5" t="inlineStr">
        <is>
          <t>ND</t>
        </is>
      </c>
      <c r="CN161" s="245" t="inlineStr">
        <is>
          <t>227-8-М/26</t>
        </is>
      </c>
      <c r="CO161" s="245" t="inlineStr">
        <is>
          <t>16.09.2026</t>
        </is>
      </c>
      <c r="CP161" s="245" t="inlineStr">
        <is>
          <t>Farmahem</t>
        </is>
      </c>
      <c r="CQ161" s="245" t="inlineStr">
        <is>
          <t>ND</t>
        </is>
      </c>
      <c r="CR161" s="245" t="inlineStr">
        <is>
          <t>227-8-М/26</t>
        </is>
      </c>
      <c r="CS161" s="245" t="inlineStr">
        <is>
          <t>16.09.2026</t>
        </is>
      </c>
      <c r="CT161" s="245" t="inlineStr">
        <is>
          <t>Farmahem</t>
        </is>
      </c>
      <c r="CU161" s="245" t="inlineStr">
        <is>
          <t>ND</t>
        </is>
      </c>
      <c r="CV161" s="245" t="inlineStr">
        <is>
          <t>227-8-М/26</t>
        </is>
      </c>
      <c r="CW161" s="245" t="inlineStr">
        <is>
          <t>16.09.2026</t>
        </is>
      </c>
      <c r="CX161" s="245" t="inlineStr">
        <is>
          <t>Farmahem</t>
        </is>
      </c>
      <c r="CY161" s="245" t="inlineStr">
        <is>
          <t>carried from the initial testing — not tested</t>
        </is>
      </c>
      <c r="CZ161" s="245" t="inlineStr">
        <is>
          <t>—</t>
        </is>
      </c>
      <c r="DA161" s="245" t="inlineStr">
        <is>
          <t>—</t>
        </is>
      </c>
      <c r="DB161" s="245" t="inlineStr">
        <is>
          <t>—</t>
        </is>
      </c>
      <c r="DC161" s="245" t="inlineStr">
        <is>
          <t>carried from the initial testing — not tested</t>
        </is>
      </c>
      <c r="DD161" s="245" t="inlineStr">
        <is>
          <t>—</t>
        </is>
      </c>
      <c r="DE161" s="245" t="inlineStr">
        <is>
          <t>—</t>
        </is>
      </c>
      <c r="DF161" s="245" t="inlineStr">
        <is>
          <t>—</t>
        </is>
      </c>
      <c r="DG161" s="245" t="inlineStr">
        <is>
          <t>carried from the initial testing — not tested</t>
        </is>
      </c>
      <c r="DH161" s="245" t="inlineStr">
        <is>
          <t>—</t>
        </is>
      </c>
      <c r="DI161" s="245" t="inlineStr">
        <is>
          <t>—</t>
        </is>
      </c>
      <c r="DJ161" s="245" t="inlineStr">
        <is>
          <t>—</t>
        </is>
      </c>
      <c r="DK161" s="245" t="inlineStr">
        <is>
          <t>carried from the initial testing — not tested</t>
        </is>
      </c>
      <c r="DL161" s="245" t="inlineStr">
        <is>
          <t>—</t>
        </is>
      </c>
      <c r="DM161" s="245" t="inlineStr">
        <is>
          <t>—</t>
        </is>
      </c>
      <c r="DN161" s="245" t="inlineStr">
        <is>
          <t>—</t>
        </is>
      </c>
      <c r="DO161" s="245" t="inlineStr">
        <is>
          <t>carried from the initial testing — not tested</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5" t="inlineStr">
        <is>
          <t>Conforms | Одговара</t>
        </is>
      </c>
      <c r="AF162" s="245" t="inlineStr">
        <is>
          <t>ППК26116</t>
        </is>
      </c>
      <c r="AG162" s="245" t="inlineStr">
        <is>
          <t>06.07.2026</t>
        </is>
      </c>
      <c r="AH162" s="245" t="inlineStr">
        <is>
          <t>UKIM Faculty of Pharmacy — Center for Natural Products</t>
        </is>
      </c>
      <c r="AI162" s="245" t="inlineStr">
        <is>
          <t>Conforms | Одговара</t>
        </is>
      </c>
      <c r="AJ162" s="245" t="inlineStr">
        <is>
          <t>ППК26116</t>
        </is>
      </c>
      <c r="AK162" s="245" t="inlineStr">
        <is>
          <t>06.07.2026</t>
        </is>
      </c>
      <c r="AL162" s="245" t="inlineStr">
        <is>
          <t>UKIM Faculty of Pharmacy — Center for Natural Products</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5" t="inlineStr">
        <is>
          <t>Conforms | Одговара</t>
        </is>
      </c>
      <c r="BD162" s="245" t="inlineStr">
        <is>
          <t>ППК26116</t>
        </is>
      </c>
      <c r="BE162" s="245" t="inlineStr">
        <is>
          <t>06.07.2026</t>
        </is>
      </c>
      <c r="BF162" s="245" t="inlineStr">
        <is>
          <t>UKIM Faculty of Pharmacy — Center for Natural Products</t>
        </is>
      </c>
      <c r="BG162" s="245" t="inlineStr">
        <is>
          <t>7.06</t>
        </is>
      </c>
      <c r="BH162" s="245" t="inlineStr">
        <is>
          <t>ППК26116</t>
        </is>
      </c>
      <c r="BI162" s="245" t="inlineStr">
        <is>
          <t>06.07.2026</t>
        </is>
      </c>
      <c r="BJ162" s="245" t="inlineStr">
        <is>
          <t>UKIM Faculty of Pharmacy — Center for Natural Products</t>
        </is>
      </c>
      <c r="BK162" s="245" t="inlineStr">
        <is>
          <t>1,7 × 10³</t>
        </is>
      </c>
      <c r="BL162" s="245" t="inlineStr">
        <is>
          <t>536/1067/26</t>
        </is>
      </c>
      <c r="BM162" s="245" t="inlineStr">
        <is>
          <t>31.08.2026</t>
        </is>
      </c>
      <c r="BN162" s="245" t="inlineStr">
        <is>
          <t>IPH — Institute of Public Health</t>
        </is>
      </c>
      <c r="BO162" s="245" t="inlineStr">
        <is>
          <t>5,6 × 10²</t>
        </is>
      </c>
      <c r="BP162" s="245" t="inlineStr">
        <is>
          <t>536/1067/26</t>
        </is>
      </c>
      <c r="BQ162" s="245" t="inlineStr">
        <is>
          <t>31.08.2026</t>
        </is>
      </c>
      <c r="BR162" s="245" t="inlineStr">
        <is>
          <t>IPH — Institute of Public Health</t>
        </is>
      </c>
      <c r="BS162" s="245" t="inlineStr">
        <is>
          <t>&lt; 10</t>
        </is>
      </c>
      <c r="BT162" s="245" t="inlineStr">
        <is>
          <t>536/1067/26</t>
        </is>
      </c>
      <c r="BU162" s="245" t="inlineStr">
        <is>
          <t>31.08.2026</t>
        </is>
      </c>
      <c r="BV162" s="245" t="inlineStr">
        <is>
          <t>IPH — Institute of Public Health</t>
        </is>
      </c>
      <c r="BW162" s="245" t="inlineStr">
        <is>
          <t>Absent | Отсутна</t>
        </is>
      </c>
      <c r="BX162" s="245" t="inlineStr">
        <is>
          <t>536/1067/26</t>
        </is>
      </c>
      <c r="BY162" s="245" t="inlineStr">
        <is>
          <t>31.08.2026</t>
        </is>
      </c>
      <c r="BZ162" s="245" t="inlineStr">
        <is>
          <t>IPH — Institute of Public Health</t>
        </is>
      </c>
      <c r="CA162" s="245" t="inlineStr">
        <is>
          <t>Absent | Отсутна</t>
        </is>
      </c>
      <c r="CB162" s="245" t="inlineStr">
        <is>
          <t>536/1067/26</t>
        </is>
      </c>
      <c r="CC162" s="245" t="inlineStr">
        <is>
          <t>31.08.2026</t>
        </is>
      </c>
      <c r="CD162" s="245" t="inlineStr">
        <is>
          <t>IPH — Institute of Public Health</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5" t="inlineStr">
        <is>
          <t>ND</t>
        </is>
      </c>
      <c r="CN162" s="245" t="inlineStr">
        <is>
          <t>227-7-М/26</t>
        </is>
      </c>
      <c r="CO162" s="245" t="inlineStr">
        <is>
          <t>16.09.2026</t>
        </is>
      </c>
      <c r="CP162" s="245" t="inlineStr">
        <is>
          <t>Farmahem</t>
        </is>
      </c>
      <c r="CQ162" s="245" t="inlineStr">
        <is>
          <t>ND</t>
        </is>
      </c>
      <c r="CR162" s="245" t="inlineStr">
        <is>
          <t>227-7-М/26</t>
        </is>
      </c>
      <c r="CS162" s="245" t="inlineStr">
        <is>
          <t>16.09.2026</t>
        </is>
      </c>
      <c r="CT162" s="245" t="inlineStr">
        <is>
          <t>Farmahem</t>
        </is>
      </c>
      <c r="CU162" s="245" t="inlineStr">
        <is>
          <t>ND</t>
        </is>
      </c>
      <c r="CV162" s="245" t="inlineStr">
        <is>
          <t>227-7-М/26</t>
        </is>
      </c>
      <c r="CW162" s="245" t="inlineStr">
        <is>
          <t>16.09.2026</t>
        </is>
      </c>
      <c r="CX162" s="245" t="inlineStr">
        <is>
          <t>Farmahem</t>
        </is>
      </c>
      <c r="CY162" s="245" t="inlineStr">
        <is>
          <t>carried from the initial testing — not tested</t>
        </is>
      </c>
      <c r="CZ162" s="245" t="inlineStr">
        <is>
          <t>—</t>
        </is>
      </c>
      <c r="DA162" s="245" t="inlineStr">
        <is>
          <t>—</t>
        </is>
      </c>
      <c r="DB162" s="245" t="inlineStr">
        <is>
          <t>—</t>
        </is>
      </c>
      <c r="DC162" s="245" t="inlineStr">
        <is>
          <t>carried from the initial testing — not tested</t>
        </is>
      </c>
      <c r="DD162" s="245" t="inlineStr">
        <is>
          <t>—</t>
        </is>
      </c>
      <c r="DE162" s="245" t="inlineStr">
        <is>
          <t>—</t>
        </is>
      </c>
      <c r="DF162" s="245" t="inlineStr">
        <is>
          <t>—</t>
        </is>
      </c>
      <c r="DG162" s="245" t="inlineStr">
        <is>
          <t>carried from the initial testing — not tested</t>
        </is>
      </c>
      <c r="DH162" s="245" t="inlineStr">
        <is>
          <t>—</t>
        </is>
      </c>
      <c r="DI162" s="245" t="inlineStr">
        <is>
          <t>—</t>
        </is>
      </c>
      <c r="DJ162" s="245" t="inlineStr">
        <is>
          <t>—</t>
        </is>
      </c>
      <c r="DK162" s="245" t="inlineStr">
        <is>
          <t>carried from the initial testing — not tested</t>
        </is>
      </c>
      <c r="DL162" s="245" t="inlineStr">
        <is>
          <t>—</t>
        </is>
      </c>
      <c r="DM162" s="245" t="inlineStr">
        <is>
          <t>—</t>
        </is>
      </c>
      <c r="DN162" s="245" t="inlineStr">
        <is>
          <t>—</t>
        </is>
      </c>
      <c r="DO162" s="245" t="inlineStr">
        <is>
          <t>carried from the initial testing — not tested</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5" t="inlineStr">
        <is>
          <t>Conforms | Одговара</t>
        </is>
      </c>
      <c r="AF163" s="245" t="inlineStr">
        <is>
          <t>iCoA-PP_26-159</t>
        </is>
      </c>
      <c r="AG163" s="245" t="inlineStr">
        <is>
          <t>24.08.2026</t>
        </is>
      </c>
      <c r="AH163" s="245" t="inlineStr">
        <is>
          <t>Purely Plant GmbH (in-house)</t>
        </is>
      </c>
      <c r="AI163" s="245" t="inlineStr">
        <is>
          <t>Conforms | Одговара</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5" t="inlineStr">
        <is>
          <t>Conforms | Одговара</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5,2 × 10²</t>
        </is>
      </c>
      <c r="BL163" s="245" t="inlineStr">
        <is>
          <t>549/1080/26</t>
        </is>
      </c>
      <c r="BM163" s="245" t="inlineStr">
        <is>
          <t>31.08.2026</t>
        </is>
      </c>
      <c r="BN163" s="245" t="inlineStr">
        <is>
          <t>IPH — Institute of Public Health</t>
        </is>
      </c>
      <c r="BO163" s="245" t="inlineStr">
        <is>
          <t>4,3 × 10²</t>
        </is>
      </c>
      <c r="BP163" s="245" t="inlineStr">
        <is>
          <t>549/1080/26</t>
        </is>
      </c>
      <c r="BQ163" s="245" t="inlineStr">
        <is>
          <t>31.08.2026</t>
        </is>
      </c>
      <c r="BR163" s="245" t="inlineStr">
        <is>
          <t>IPH — Institute of Public Health</t>
        </is>
      </c>
      <c r="BS163" s="245" t="inlineStr">
        <is>
          <t>&lt; 10</t>
        </is>
      </c>
      <c r="BT163" s="245" t="inlineStr">
        <is>
          <t>549/1080/26</t>
        </is>
      </c>
      <c r="BU163" s="245" t="inlineStr">
        <is>
          <t>31.08.2026</t>
        </is>
      </c>
      <c r="BV163" s="245" t="inlineStr">
        <is>
          <t>IPH — Institute of Public Health</t>
        </is>
      </c>
      <c r="BW163" s="245" t="inlineStr">
        <is>
          <t>Absent | Отсутна</t>
        </is>
      </c>
      <c r="BX163" s="245" t="inlineStr">
        <is>
          <t>549/1080/26</t>
        </is>
      </c>
      <c r="BY163" s="245" t="inlineStr">
        <is>
          <t>31.08.2026</t>
        </is>
      </c>
      <c r="BZ163" s="245" t="inlineStr">
        <is>
          <t>IPH — Institute of Public Health</t>
        </is>
      </c>
      <c r="CA163" s="245" t="inlineStr">
        <is>
          <t>Absent | Отсутна</t>
        </is>
      </c>
      <c r="CB163" s="245" t="inlineStr">
        <is>
          <t>549/1080/26</t>
        </is>
      </c>
      <c r="CC163" s="245" t="inlineStr">
        <is>
          <t>31.08.2026</t>
        </is>
      </c>
      <c r="CD163" s="245" t="inlineStr">
        <is>
          <t>IPH — Institute of Public Health</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5" t="inlineStr">
        <is>
          <t>ND</t>
        </is>
      </c>
      <c r="CN163" s="245" t="inlineStr">
        <is>
          <t>227-6-М/26</t>
        </is>
      </c>
      <c r="CO163" s="245" t="inlineStr">
        <is>
          <t>16.09.2026</t>
        </is>
      </c>
      <c r="CP163" s="245" t="inlineStr">
        <is>
          <t>Farmahem</t>
        </is>
      </c>
      <c r="CQ163" s="245" t="inlineStr">
        <is>
          <t>ND</t>
        </is>
      </c>
      <c r="CR163" s="245" t="inlineStr">
        <is>
          <t>227-6-М/26</t>
        </is>
      </c>
      <c r="CS163" s="245" t="inlineStr">
        <is>
          <t>16.09.2026</t>
        </is>
      </c>
      <c r="CT163" s="245" t="inlineStr">
        <is>
          <t>Farmahem</t>
        </is>
      </c>
      <c r="CU163" s="245" t="inlineStr">
        <is>
          <t>ND</t>
        </is>
      </c>
      <c r="CV163" s="245" t="inlineStr">
        <is>
          <t>227-6-М/26</t>
        </is>
      </c>
      <c r="CW163" s="245" t="inlineStr">
        <is>
          <t>16.09.2026</t>
        </is>
      </c>
      <c r="CX163" s="245" t="inlineStr">
        <is>
          <t>Farmahem</t>
        </is>
      </c>
      <c r="CY163" s="245" t="inlineStr">
        <is>
          <t>carried from the initial testing — not tested</t>
        </is>
      </c>
      <c r="CZ163" s="245" t="inlineStr">
        <is>
          <t>—</t>
        </is>
      </c>
      <c r="DA163" s="245" t="inlineStr">
        <is>
          <t>—</t>
        </is>
      </c>
      <c r="DB163" s="245" t="inlineStr">
        <is>
          <t>—</t>
        </is>
      </c>
      <c r="DC163" s="245" t="inlineStr">
        <is>
          <t>carried from the initial testing — not tested</t>
        </is>
      </c>
      <c r="DD163" s="245" t="inlineStr">
        <is>
          <t>—</t>
        </is>
      </c>
      <c r="DE163" s="245" t="inlineStr">
        <is>
          <t>—</t>
        </is>
      </c>
      <c r="DF163" s="245" t="inlineStr">
        <is>
          <t>—</t>
        </is>
      </c>
      <c r="DG163" s="245" t="inlineStr">
        <is>
          <t>carried from the initial testing — not tested</t>
        </is>
      </c>
      <c r="DH163" s="245" t="inlineStr">
        <is>
          <t>—</t>
        </is>
      </c>
      <c r="DI163" s="245" t="inlineStr">
        <is>
          <t>—</t>
        </is>
      </c>
      <c r="DJ163" s="245" t="inlineStr">
        <is>
          <t>—</t>
        </is>
      </c>
      <c r="DK163" s="245" t="inlineStr">
        <is>
          <t>carried from the initial testing — not tested</t>
        </is>
      </c>
      <c r="DL163" s="245" t="inlineStr">
        <is>
          <t>—</t>
        </is>
      </c>
      <c r="DM163" s="245" t="inlineStr">
        <is>
          <t>—</t>
        </is>
      </c>
      <c r="DN163" s="245" t="inlineStr">
        <is>
          <t>—</t>
        </is>
      </c>
      <c r="DO163" s="245" t="inlineStr">
        <is>
          <t>carried from the initial testing — not tested</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replaces the issued QCSP_001_SJ-I_v.01 (was SJ_THC27:CBD1, 27.00% ± 3.00%); now SJ_THC12 : CBD1 11.00 – 12.99 %</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5" t="inlineStr">
        <is>
          <t>Conforms | Одговара</t>
        </is>
      </c>
      <c r="AF164" s="245" t="inlineStr">
        <is>
          <t>iCoA-PP_26-160</t>
        </is>
      </c>
      <c r="AG164" s="245" t="inlineStr">
        <is>
          <t>24.08.2026</t>
        </is>
      </c>
      <c r="AH164" s="245" t="inlineStr">
        <is>
          <t>Purely Plant GmbH (in-house)</t>
        </is>
      </c>
      <c r="AI164" s="245" t="inlineStr">
        <is>
          <t>Conforms | Одговара</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5" t="inlineStr">
        <is>
          <t>Conforms | Одговара</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 not tested</t>
        </is>
      </c>
      <c r="BL164" s="245" t="inlineStr">
        <is>
          <t>—</t>
        </is>
      </c>
      <c r="BM164" s="245" t="inlineStr">
        <is>
          <t>—</t>
        </is>
      </c>
      <c r="BN164" s="245" t="inlineStr">
        <is>
          <t>—</t>
        </is>
      </c>
      <c r="BO164" s="245" t="inlineStr">
        <is>
          <t>carried from the initial testing — not tested</t>
        </is>
      </c>
      <c r="BP164" s="245" t="inlineStr">
        <is>
          <t>—</t>
        </is>
      </c>
      <c r="BQ164" s="245" t="inlineStr">
        <is>
          <t>—</t>
        </is>
      </c>
      <c r="BR164" s="245" t="inlineStr">
        <is>
          <t>—</t>
        </is>
      </c>
      <c r="BS164" s="245" t="inlineStr">
        <is>
          <t>carried from the initial testing — not tested</t>
        </is>
      </c>
      <c r="BT164" s="245" t="inlineStr">
        <is>
          <t>—</t>
        </is>
      </c>
      <c r="BU164" s="245" t="inlineStr">
        <is>
          <t>—</t>
        </is>
      </c>
      <c r="BV164" s="245" t="inlineStr">
        <is>
          <t>—</t>
        </is>
      </c>
      <c r="BW164" s="245" t="inlineStr">
        <is>
          <t>carried from the initial testing — not tested</t>
        </is>
      </c>
      <c r="BX164" s="245" t="inlineStr">
        <is>
          <t>—</t>
        </is>
      </c>
      <c r="BY164" s="245" t="inlineStr">
        <is>
          <t>—</t>
        </is>
      </c>
      <c r="BZ164" s="245" t="inlineStr">
        <is>
          <t>—</t>
        </is>
      </c>
      <c r="CA164" s="245" t="inlineStr">
        <is>
          <t>carried from the initial testing — not tested</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5" t="inlineStr">
        <is>
          <t>ND</t>
        </is>
      </c>
      <c r="CN164" s="245" t="inlineStr">
        <is>
          <t>227-5-М/26</t>
        </is>
      </c>
      <c r="CO164" s="245" t="inlineStr">
        <is>
          <t>16.09.2026</t>
        </is>
      </c>
      <c r="CP164" s="245" t="inlineStr">
        <is>
          <t>Farmahem</t>
        </is>
      </c>
      <c r="CQ164" s="245" t="inlineStr">
        <is>
          <t>ND</t>
        </is>
      </c>
      <c r="CR164" s="245" t="inlineStr">
        <is>
          <t>227-5-М/26</t>
        </is>
      </c>
      <c r="CS164" s="245" t="inlineStr">
        <is>
          <t>16.09.2026</t>
        </is>
      </c>
      <c r="CT164" s="245" t="inlineStr">
        <is>
          <t>Farmahem</t>
        </is>
      </c>
      <c r="CU164" s="245" t="inlineStr">
        <is>
          <t>ND</t>
        </is>
      </c>
      <c r="CV164" s="245" t="inlineStr">
        <is>
          <t>227-5-М/26</t>
        </is>
      </c>
      <c r="CW164" s="245" t="inlineStr">
        <is>
          <t>16.09.2026</t>
        </is>
      </c>
      <c r="CX164" s="245" t="inlineStr">
        <is>
          <t>Farmahem</t>
        </is>
      </c>
      <c r="CY164" s="245" t="inlineStr">
        <is>
          <t>carried from the initial testing — not tested</t>
        </is>
      </c>
      <c r="CZ164" s="245" t="inlineStr">
        <is>
          <t>—</t>
        </is>
      </c>
      <c r="DA164" s="245" t="inlineStr">
        <is>
          <t>—</t>
        </is>
      </c>
      <c r="DB164" s="245" t="inlineStr">
        <is>
          <t>—</t>
        </is>
      </c>
      <c r="DC164" s="245" t="inlineStr">
        <is>
          <t>carried from the initial testing — not tested</t>
        </is>
      </c>
      <c r="DD164" s="245" t="inlineStr">
        <is>
          <t>—</t>
        </is>
      </c>
      <c r="DE164" s="245" t="inlineStr">
        <is>
          <t>—</t>
        </is>
      </c>
      <c r="DF164" s="245" t="inlineStr">
        <is>
          <t>—</t>
        </is>
      </c>
      <c r="DG164" s="245" t="inlineStr">
        <is>
          <t>carried from the initial testing — not tested</t>
        </is>
      </c>
      <c r="DH164" s="245" t="inlineStr">
        <is>
          <t>—</t>
        </is>
      </c>
      <c r="DI164" s="245" t="inlineStr">
        <is>
          <t>—</t>
        </is>
      </c>
      <c r="DJ164" s="245" t="inlineStr">
        <is>
          <t>—</t>
        </is>
      </c>
      <c r="DK164" s="245" t="inlineStr">
        <is>
          <t>carried from the initial testing — not tested</t>
        </is>
      </c>
      <c r="DL164" s="245" t="inlineStr">
        <is>
          <t>—</t>
        </is>
      </c>
      <c r="DM164" s="245" t="inlineStr">
        <is>
          <t>—</t>
        </is>
      </c>
      <c r="DN164" s="245" t="inlineStr">
        <is>
          <t>—</t>
        </is>
      </c>
      <c r="DO164" s="245" t="inlineStr">
        <is>
          <t>carried from the initial testing — not tested</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16.09.2026</t>
        </is>
      </c>
      <c r="AE165" s="245" t="inlineStr">
        <is>
          <t>Conforms | Одговара</t>
        </is>
      </c>
      <c r="AF165" s="245" t="inlineStr">
        <is>
          <t>iCoA-PP_26-161</t>
        </is>
      </c>
      <c r="AG165" s="245" t="inlineStr">
        <is>
          <t>24.08.2026</t>
        </is>
      </c>
      <c r="AH165" s="245" t="inlineStr">
        <is>
          <t>Purely Plant GmbH (in-house)</t>
        </is>
      </c>
      <c r="AI165" s="245" t="inlineStr">
        <is>
          <t>Conforms | Одговара</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5" t="inlineStr">
        <is>
          <t>Conforms | Одговара</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&lt; 10</t>
        </is>
      </c>
      <c r="BL165" s="245" t="inlineStr">
        <is>
          <t>555/1086/26</t>
        </is>
      </c>
      <c r="BM165" s="245" t="inlineStr">
        <is>
          <t>01.09.2026</t>
        </is>
      </c>
      <c r="BN165" s="245" t="inlineStr">
        <is>
          <t>IPH — Institute of Public Health</t>
        </is>
      </c>
      <c r="BO165" s="245" t="inlineStr">
        <is>
          <t>&lt; 10</t>
        </is>
      </c>
      <c r="BP165" s="245" t="inlineStr">
        <is>
          <t>555/1086/26</t>
        </is>
      </c>
      <c r="BQ165" s="245" t="inlineStr">
        <is>
          <t>01.09.2026</t>
        </is>
      </c>
      <c r="BR165" s="245" t="inlineStr">
        <is>
          <t>IPH — Institute of Public Health</t>
        </is>
      </c>
      <c r="BS165" s="245" t="inlineStr">
        <is>
          <t>&lt; 10</t>
        </is>
      </c>
      <c r="BT165" s="245" t="inlineStr">
        <is>
          <t>555/1086/26</t>
        </is>
      </c>
      <c r="BU165" s="245" t="inlineStr">
        <is>
          <t>01.09.2026</t>
        </is>
      </c>
      <c r="BV165" s="245" t="inlineStr">
        <is>
          <t>IPH — Institute of Public Health</t>
        </is>
      </c>
      <c r="BW165" s="245" t="inlineStr">
        <is>
          <t>Absent | Отсутна</t>
        </is>
      </c>
      <c r="BX165" s="245" t="inlineStr">
        <is>
          <t>555/1086/26</t>
        </is>
      </c>
      <c r="BY165" s="245" t="inlineStr">
        <is>
          <t>01.09.2026</t>
        </is>
      </c>
      <c r="BZ165" s="245" t="inlineStr">
        <is>
          <t>IPH — Institute of Public Health</t>
        </is>
      </c>
      <c r="CA165" s="245" t="inlineStr">
        <is>
          <t>Absent | Отсутна</t>
        </is>
      </c>
      <c r="CB165" s="245" t="inlineStr">
        <is>
          <t>555/1086/26</t>
        </is>
      </c>
      <c r="CC165" s="245" t="inlineStr">
        <is>
          <t>01.09.2026</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5" t="inlineStr">
        <is>
          <t>ND</t>
        </is>
      </c>
      <c r="CN165" s="245" t="inlineStr">
        <is>
          <t>227-3-М/26</t>
        </is>
      </c>
      <c r="CO165" s="245" t="inlineStr">
        <is>
          <t>16.09.2026</t>
        </is>
      </c>
      <c r="CP165" s="245" t="inlineStr">
        <is>
          <t>Farmahem</t>
        </is>
      </c>
      <c r="CQ165" s="245" t="inlineStr">
        <is>
          <t>ND</t>
        </is>
      </c>
      <c r="CR165" s="245" t="inlineStr">
        <is>
          <t>227-3-М/26</t>
        </is>
      </c>
      <c r="CS165" s="245" t="inlineStr">
        <is>
          <t>16.09.2026</t>
        </is>
      </c>
      <c r="CT165" s="245" t="inlineStr">
        <is>
          <t>Farmahem</t>
        </is>
      </c>
      <c r="CU165" s="245" t="inlineStr">
        <is>
          <t>ND</t>
        </is>
      </c>
      <c r="CV165" s="245" t="inlineStr">
        <is>
          <t>227-3-М/26</t>
        </is>
      </c>
      <c r="CW165" s="245" t="inlineStr">
        <is>
          <t>16.09.2026</t>
        </is>
      </c>
      <c r="CX165" s="245" t="inlineStr">
        <is>
          <t>Farmahem</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I</t>
        </is>
      </c>
      <c r="U166" s="245" t="inlineStr">
        <is>
          <t>23.40 – 28.59 %</t>
        </is>
      </c>
      <c r="V166" s="245" t="inlineStr">
        <is>
          <t>WED_THC26 : CBD1</t>
        </is>
      </c>
      <c r="W166" s="245" t="inlineStr">
        <is>
          <t>QCSP_001_WED-I_v.01</t>
        </is>
      </c>
      <c r="X166" s="245" t="inlineStr">
        <is>
          <t>for review — replaces the issued QCSP_001_WED-I_v.01 (was WED_THC28.5:CBD1, 28.50% ± 1.50%); now WED_THC26 : CBD1 23.40 – 28.59 %</t>
        </is>
      </c>
      <c r="Y166" s="245" t="inlineStr">
        <is>
          <t>HYBRID</t>
        </is>
      </c>
      <c r="Z166" s="245" t="inlineStr">
        <is>
          <t>THC</t>
        </is>
      </c>
      <c r="AA166" s="245" t="inlineStr">
        <is>
          <t>MACHINE TRIMMED</t>
        </is>
      </c>
      <c r="AB166" s="245" t="inlineStr">
        <is>
          <t>TO BE DETERMINED</t>
        </is>
      </c>
      <c r="AC166" s="245" t="inlineStr">
        <is>
          <t>Triplex Alu Bag | Триплекс Aлу Kеса, PET 12 · ALU 7 · PE 80, 300 × 500 mm, net. 400.0 g ±3%</t>
        </is>
      </c>
      <c r="AD166" s="245" t="inlineStr">
        <is>
          <t>11.09.2026</t>
        </is>
      </c>
      <c r="AE166" s="245" t="inlineStr">
        <is>
          <t>Conforms | Одговара</t>
        </is>
      </c>
      <c r="AF166" s="245" t="inlineStr">
        <is>
          <t>iCoA-PP_26-162</t>
        </is>
      </c>
      <c r="AG166" s="245" t="inlineStr">
        <is>
          <t>24.08.2026</t>
        </is>
      </c>
      <c r="AH166" s="245" t="inlineStr">
        <is>
          <t>Purely Plant GmbH (in-house)</t>
        </is>
      </c>
      <c r="AI166" s="245" t="inlineStr">
        <is>
          <t>Conforms | Одговара</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5" t="inlineStr">
        <is>
          <t>Conforms | Одговара</t>
        </is>
      </c>
      <c r="BD166" s="245" t="inlineStr">
        <is>
          <t>iCoA-PP_26-162</t>
        </is>
      </c>
      <c r="BE166" s="245" t="inlineStr">
        <is>
          <t>24.08.2026</t>
        </is>
      </c>
      <c r="BF166" s="245" t="inlineStr">
        <is>
          <t>Purely Plant GmbH (in-house)</t>
        </is>
      </c>
      <c r="BG166" s="245" t="inlineStr">
        <is>
          <t>6,8 %</t>
        </is>
      </c>
      <c r="BH166" s="245" t="inlineStr">
        <is>
          <t>031-3-ГС/26</t>
        </is>
      </c>
      <c r="BI166" s="245" t="inlineStr">
        <is>
          <t>12.02.2026</t>
        </is>
      </c>
      <c r="BJ166" s="245" t="inlineStr">
        <is>
          <t>Farmahem</t>
        </is>
      </c>
      <c r="BK166" s="245" t="inlineStr">
        <is>
          <t>&lt; 10</t>
        </is>
      </c>
      <c r="BL166" s="245" t="inlineStr">
        <is>
          <t>551/1082/26</t>
        </is>
      </c>
      <c r="BM166" s="245" t="inlineStr">
        <is>
          <t>01.09.2026</t>
        </is>
      </c>
      <c r="BN166" s="245" t="inlineStr">
        <is>
          <t>IPH — Institute of Public Health</t>
        </is>
      </c>
      <c r="BO166" s="245" t="inlineStr">
        <is>
          <t>&lt; 10</t>
        </is>
      </c>
      <c r="BP166" s="245" t="inlineStr">
        <is>
          <t>551/1082/26</t>
        </is>
      </c>
      <c r="BQ166" s="245" t="inlineStr">
        <is>
          <t>01.09.2026</t>
        </is>
      </c>
      <c r="BR166" s="245" t="inlineStr">
        <is>
          <t>IPH — Institute of Public Health</t>
        </is>
      </c>
      <c r="BS166" s="245" t="inlineStr">
        <is>
          <t>&lt; 10</t>
        </is>
      </c>
      <c r="BT166" s="245" t="inlineStr">
        <is>
          <t>551/1082/26</t>
        </is>
      </c>
      <c r="BU166" s="245" t="inlineStr">
        <is>
          <t>01.09.2026</t>
        </is>
      </c>
      <c r="BV166" s="245" t="inlineStr">
        <is>
          <t>IPH — Institute of Public Health</t>
        </is>
      </c>
      <c r="BW166" s="245" t="inlineStr">
        <is>
          <t>Absent | Отсутна</t>
        </is>
      </c>
      <c r="BX166" s="245" t="inlineStr">
        <is>
          <t>551/1082/26</t>
        </is>
      </c>
      <c r="BY166" s="245" t="inlineStr">
        <is>
          <t>01.09.2026</t>
        </is>
      </c>
      <c r="BZ166" s="245" t="inlineStr">
        <is>
          <t>IPH — Institute of Public Health</t>
        </is>
      </c>
      <c r="CA166" s="245" t="inlineStr">
        <is>
          <t>Absent | Отсутна</t>
        </is>
      </c>
      <c r="CB166" s="245" t="inlineStr">
        <is>
          <t>551/1082/26</t>
        </is>
      </c>
      <c r="CC166" s="245" t="inlineStr">
        <is>
          <t>01.09.2026</t>
        </is>
      </c>
      <c r="CD166" s="245" t="inlineStr">
        <is>
          <t>IPH — Institute of Public Health</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5" t="inlineStr">
        <is>
          <t>ND</t>
        </is>
      </c>
      <c r="CN166" s="245" t="inlineStr">
        <is>
          <t>227-4-М/26</t>
        </is>
      </c>
      <c r="CO166" s="245" t="inlineStr">
        <is>
          <t>16.09.2026</t>
        </is>
      </c>
      <c r="CP166" s="245" t="inlineStr">
        <is>
          <t>Farmahem</t>
        </is>
      </c>
      <c r="CQ166" s="245" t="inlineStr">
        <is>
          <t>ND</t>
        </is>
      </c>
      <c r="CR166" s="245" t="inlineStr">
        <is>
          <t>227-4-М/26</t>
        </is>
      </c>
      <c r="CS166" s="245" t="inlineStr">
        <is>
          <t>16.09.2026</t>
        </is>
      </c>
      <c r="CT166" s="245" t="inlineStr">
        <is>
          <t>Farmahem</t>
        </is>
      </c>
      <c r="CU166" s="245" t="inlineStr">
        <is>
          <t>ND</t>
        </is>
      </c>
      <c r="CV166" s="245" t="inlineStr">
        <is>
          <t>227-4-М/26</t>
        </is>
      </c>
      <c r="CW166" s="245" t="inlineStr">
        <is>
          <t>16.09.2026</t>
        </is>
      </c>
      <c r="CX166" s="245" t="inlineStr">
        <is>
          <t>Farmahem</t>
        </is>
      </c>
      <c r="CY166" s="245" t="inlineStr">
        <is>
          <t>carried from the initial testing — not tested</t>
        </is>
      </c>
      <c r="CZ166" s="245" t="inlineStr">
        <is>
          <t>—</t>
        </is>
      </c>
      <c r="DA166" s="245" t="inlineStr">
        <is>
          <t>—</t>
        </is>
      </c>
      <c r="DB166" s="245" t="inlineStr">
        <is>
          <t>—</t>
        </is>
      </c>
      <c r="DC166" s="245" t="inlineStr">
        <is>
          <t>carried from the initial testing — not tested</t>
        </is>
      </c>
      <c r="DD166" s="245" t="inlineStr">
        <is>
          <t>—</t>
        </is>
      </c>
      <c r="DE166" s="245" t="inlineStr">
        <is>
          <t>—</t>
        </is>
      </c>
      <c r="DF166" s="245" t="inlineStr">
        <is>
          <t>—</t>
        </is>
      </c>
      <c r="DG166" s="245" t="inlineStr">
        <is>
          <t>carried from the initial testing — not tested</t>
        </is>
      </c>
      <c r="DH166" s="245" t="inlineStr">
        <is>
          <t>—</t>
        </is>
      </c>
      <c r="DI166" s="245" t="inlineStr">
        <is>
          <t>—</t>
        </is>
      </c>
      <c r="DJ166" s="245" t="inlineStr">
        <is>
          <t>—</t>
        </is>
      </c>
      <c r="DK166" s="245" t="inlineStr">
        <is>
          <t>carried from the initial testing — not tested</t>
        </is>
      </c>
      <c r="DL166" s="245" t="inlineStr">
        <is>
          <t>—</t>
        </is>
      </c>
      <c r="DM166" s="245" t="inlineStr">
        <is>
          <t>—</t>
        </is>
      </c>
      <c r="DN166" s="245" t="inlineStr">
        <is>
          <t>—</t>
        </is>
      </c>
      <c r="DO166" s="245" t="inlineStr">
        <is>
          <t>carried from the initial testing — not tested</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5" t="inlineStr">
        <is>
          <t>Conforms | Одговара</t>
        </is>
      </c>
      <c r="AF168" s="245" t="inlineStr">
        <is>
          <t>iCoA-PP_26-144</t>
        </is>
      </c>
      <c r="AG168" s="245" t="inlineStr">
        <is>
          <t>17.08.2026</t>
        </is>
      </c>
      <c r="AH168" s="245" t="inlineStr">
        <is>
          <t>Purely Plant GmbH (in-house)</t>
        </is>
      </c>
      <c r="AI168" s="245" t="inlineStr">
        <is>
          <t>Conforms | Одговара</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5" t="inlineStr">
        <is>
          <t>Conforms | Одговара</t>
        </is>
      </c>
      <c r="BD168" s="245" t="inlineStr">
        <is>
          <t>iCoA-PP_26-144</t>
        </is>
      </c>
      <c r="BE168" s="245" t="inlineStr">
        <is>
          <t>17.08.2026</t>
        </is>
      </c>
      <c r="BF168" s="245" t="inlineStr">
        <is>
          <t>Purely Plant GmbH (in-house)</t>
        </is>
      </c>
      <c r="BG168" s="245" t="inlineStr">
        <is>
          <t>carried from the initial testing — not tested</t>
        </is>
      </c>
      <c r="BH168" s="245" t="inlineStr">
        <is>
          <t>—</t>
        </is>
      </c>
      <c r="BI168" s="245" t="inlineStr">
        <is>
          <t>—</t>
        </is>
      </c>
      <c r="BJ168" s="245" t="inlineStr">
        <is>
          <t>—</t>
        </is>
      </c>
      <c r="BK168" s="245" t="inlineStr">
        <is>
          <t>carried from the initial testing — not tested</t>
        </is>
      </c>
      <c r="BL168" s="245" t="inlineStr">
        <is>
          <t>—</t>
        </is>
      </c>
      <c r="BM168" s="245" t="inlineStr">
        <is>
          <t>—</t>
        </is>
      </c>
      <c r="BN168" s="245" t="inlineStr">
        <is>
          <t>—</t>
        </is>
      </c>
      <c r="BO168" s="245" t="inlineStr">
        <is>
          <t>carried from the initial testing — not tested</t>
        </is>
      </c>
      <c r="BP168" s="245" t="inlineStr">
        <is>
          <t>—</t>
        </is>
      </c>
      <c r="BQ168" s="245" t="inlineStr">
        <is>
          <t>—</t>
        </is>
      </c>
      <c r="BR168" s="245" t="inlineStr">
        <is>
          <t>—</t>
        </is>
      </c>
      <c r="BS168" s="245" t="inlineStr">
        <is>
          <t>carried from the initial testing — not tested</t>
        </is>
      </c>
      <c r="BT168" s="245" t="inlineStr">
        <is>
          <t>—</t>
        </is>
      </c>
      <c r="BU168" s="245" t="inlineStr">
        <is>
          <t>—</t>
        </is>
      </c>
      <c r="BV168" s="245" t="inlineStr">
        <is>
          <t>—</t>
        </is>
      </c>
      <c r="BW168" s="245" t="inlineStr">
        <is>
          <t>carried from the initial testing — not tested</t>
        </is>
      </c>
      <c r="BX168" s="245" t="inlineStr">
        <is>
          <t>—</t>
        </is>
      </c>
      <c r="BY168" s="245" t="inlineStr">
        <is>
          <t>—</t>
        </is>
      </c>
      <c r="BZ168" s="245" t="inlineStr">
        <is>
          <t>—</t>
        </is>
      </c>
      <c r="CA168" s="245" t="inlineStr">
        <is>
          <t>carried from the initial testing — not tested</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 not tested</t>
        </is>
      </c>
      <c r="CZ168" s="245" t="inlineStr">
        <is>
          <t>—</t>
        </is>
      </c>
      <c r="DA168" s="245" t="inlineStr">
        <is>
          <t>—</t>
        </is>
      </c>
      <c r="DB168" s="245" t="inlineStr">
        <is>
          <t>—</t>
        </is>
      </c>
      <c r="DC168" s="245" t="inlineStr">
        <is>
          <t>carried from the initial testing — not tested</t>
        </is>
      </c>
      <c r="DD168" s="245" t="inlineStr">
        <is>
          <t>—</t>
        </is>
      </c>
      <c r="DE168" s="245" t="inlineStr">
        <is>
          <t>—</t>
        </is>
      </c>
      <c r="DF168" s="245" t="inlineStr">
        <is>
          <t>—</t>
        </is>
      </c>
      <c r="DG168" s="245" t="inlineStr">
        <is>
          <t>carried from the initial testing — not tested</t>
        </is>
      </c>
      <c r="DH168" s="245" t="inlineStr">
        <is>
          <t>—</t>
        </is>
      </c>
      <c r="DI168" s="245" t="inlineStr">
        <is>
          <t>—</t>
        </is>
      </c>
      <c r="DJ168" s="245" t="inlineStr">
        <is>
          <t>—</t>
        </is>
      </c>
      <c r="DK168" s="245" t="inlineStr">
        <is>
          <t>carried from the initial testing — not tested</t>
        </is>
      </c>
      <c r="DL168" s="245" t="inlineStr">
        <is>
          <t>—</t>
        </is>
      </c>
      <c r="DM168" s="245" t="inlineStr">
        <is>
          <t>—</t>
        </is>
      </c>
      <c r="DN168" s="245" t="inlineStr">
        <is>
          <t>—</t>
        </is>
      </c>
      <c r="DO168" s="245" t="inlineStr">
        <is>
          <t>carried from the initial testing — not tested</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5" t="inlineStr">
        <is>
          <t>Conforms | Одговара</t>
        </is>
      </c>
      <c r="AF170" s="245" t="inlineStr">
        <is>
          <t>iCoA-PP_26-145</t>
        </is>
      </c>
      <c r="AG170" s="245" t="inlineStr">
        <is>
          <t>17.08.2026</t>
        </is>
      </c>
      <c r="AH170" s="245" t="inlineStr">
        <is>
          <t>Purely Plant GmbH (in-house)</t>
        </is>
      </c>
      <c r="AI170" s="245" t="inlineStr">
        <is>
          <t>Conforms | Одговара</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5" t="inlineStr">
        <is>
          <t>Conforms | Одговара</t>
        </is>
      </c>
      <c r="BD170" s="245" t="inlineStr">
        <is>
          <t>iCoA-PP_26-145</t>
        </is>
      </c>
      <c r="BE170" s="245" t="inlineStr">
        <is>
          <t>17.08.2026</t>
        </is>
      </c>
      <c r="BF170" s="245" t="inlineStr">
        <is>
          <t>Purely Plant GmbH (in-house)</t>
        </is>
      </c>
      <c r="BG170" s="245" t="inlineStr">
        <is>
          <t>carried from the initial testing — not tested</t>
        </is>
      </c>
      <c r="BH170" s="245" t="inlineStr">
        <is>
          <t>—</t>
        </is>
      </c>
      <c r="BI170" s="245" t="inlineStr">
        <is>
          <t>—</t>
        </is>
      </c>
      <c r="BJ170" s="245" t="inlineStr">
        <is>
          <t>—</t>
        </is>
      </c>
      <c r="BK170" s="245" t="inlineStr">
        <is>
          <t>carried from the initial testing — not tested</t>
        </is>
      </c>
      <c r="BL170" s="245" t="inlineStr">
        <is>
          <t>—</t>
        </is>
      </c>
      <c r="BM170" s="245" t="inlineStr">
        <is>
          <t>—</t>
        </is>
      </c>
      <c r="BN170" s="245" t="inlineStr">
        <is>
          <t>—</t>
        </is>
      </c>
      <c r="BO170" s="245" t="inlineStr">
        <is>
          <t>carried from the initial testing — not tested</t>
        </is>
      </c>
      <c r="BP170" s="245" t="inlineStr">
        <is>
          <t>—</t>
        </is>
      </c>
      <c r="BQ170" s="245" t="inlineStr">
        <is>
          <t>—</t>
        </is>
      </c>
      <c r="BR170" s="245" t="inlineStr">
        <is>
          <t>—</t>
        </is>
      </c>
      <c r="BS170" s="245" t="inlineStr">
        <is>
          <t>carried from the initial testing — not tested</t>
        </is>
      </c>
      <c r="BT170" s="245" t="inlineStr">
        <is>
          <t>—</t>
        </is>
      </c>
      <c r="BU170" s="245" t="inlineStr">
        <is>
          <t>—</t>
        </is>
      </c>
      <c r="BV170" s="245" t="inlineStr">
        <is>
          <t>—</t>
        </is>
      </c>
      <c r="BW170" s="245" t="inlineStr">
        <is>
          <t>carried from the initial testing — not tested</t>
        </is>
      </c>
      <c r="BX170" s="245" t="inlineStr">
        <is>
          <t>—</t>
        </is>
      </c>
      <c r="BY170" s="245" t="inlineStr">
        <is>
          <t>—</t>
        </is>
      </c>
      <c r="BZ170" s="245" t="inlineStr">
        <is>
          <t>—</t>
        </is>
      </c>
      <c r="CA170" s="245" t="inlineStr">
        <is>
          <t>carried from the initial testing — not tested</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 not tested</t>
        </is>
      </c>
      <c r="CZ170" s="245" t="inlineStr">
        <is>
          <t>—</t>
        </is>
      </c>
      <c r="DA170" s="245" t="inlineStr">
        <is>
          <t>—</t>
        </is>
      </c>
      <c r="DB170" s="245" t="inlineStr">
        <is>
          <t>—</t>
        </is>
      </c>
      <c r="DC170" s="245" t="inlineStr">
        <is>
          <t>carried from the initial testing — not tested</t>
        </is>
      </c>
      <c r="DD170" s="245" t="inlineStr">
        <is>
          <t>—</t>
        </is>
      </c>
      <c r="DE170" s="245" t="inlineStr">
        <is>
          <t>—</t>
        </is>
      </c>
      <c r="DF170" s="245" t="inlineStr">
        <is>
          <t>—</t>
        </is>
      </c>
      <c r="DG170" s="245" t="inlineStr">
        <is>
          <t>carried from the initial testing — not tested</t>
        </is>
      </c>
      <c r="DH170" s="245" t="inlineStr">
        <is>
          <t>—</t>
        </is>
      </c>
      <c r="DI170" s="245" t="inlineStr">
        <is>
          <t>—</t>
        </is>
      </c>
      <c r="DJ170" s="245" t="inlineStr">
        <is>
          <t>—</t>
        </is>
      </c>
      <c r="DK170" s="245" t="inlineStr">
        <is>
          <t>carried from the initial testing — not tested</t>
        </is>
      </c>
      <c r="DL170" s="245" t="inlineStr">
        <is>
          <t>—</t>
        </is>
      </c>
      <c r="DM170" s="245" t="inlineStr">
        <is>
          <t>—</t>
        </is>
      </c>
      <c r="DN170" s="245" t="inlineStr">
        <is>
          <t>—</t>
        </is>
      </c>
      <c r="DO170" s="245" t="inlineStr">
        <is>
          <t>carried from the initial testing — not tested</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5" t="inlineStr">
        <is>
          <t>Conforms | Одговара</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not tested</t>
        </is>
      </c>
      <c r="L73" s="245" t="inlineStr">
        <is>
          <t>—</t>
        </is>
      </c>
      <c r="M73" s="245" t="inlineStr">
        <is>
          <t>—</t>
        </is>
      </c>
      <c r="N73" s="245" t="inlineStr">
        <is>
          <t>—</t>
        </is>
      </c>
      <c r="O73" s="245" t="inlineStr">
        <is>
          <t>—</t>
        </is>
      </c>
      <c r="P73" s="245" t="inlineStr">
        <is>
          <t>not tested — no certificate covers it</t>
        </is>
      </c>
      <c r="Q73" s="245" t="inlineStr">
        <is>
          <t>outside laboratory — the HPLC cannabinoid certificate discharges Ident C (Farmahem -K- or CNP); in-house iCoA P03 only where none exists</t>
        </is>
      </c>
      <c r="R73" s="245" t="inlineStr">
        <is>
          <t>Conforms | Одговара (in-house record of 23.04.2025, no certificate)</t>
        </is>
      </c>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 13.34 (in-house record of 23.04.2025, no certificate)</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 0.03 (in-house record of 23.04.2025, no certificate)</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7.8</t>
        </is>
      </c>
      <c r="L78" s="245" t="inlineStr">
        <is>
          <t>ППК25008</t>
        </is>
      </c>
      <c r="M78" s="245" t="inlineStr">
        <is>
          <t>29.01.2025</t>
        </is>
      </c>
      <c r="N78" s="245" t="inlineStr">
        <is>
          <t>CNP</t>
        </is>
      </c>
      <c r="O78" s="245" t="inlineStr">
        <is>
          <t>—</t>
        </is>
      </c>
      <c r="P78" s="245" t="inlineStr">
        <is>
          <t>covered</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5" t="inlineStr">
        <is>
          <t>1.1 × 10⁴ CFU/g</t>
        </is>
      </c>
      <c r="L79" s="245" t="inlineStr">
        <is>
          <t>166/0274/25</t>
        </is>
      </c>
      <c r="M79" s="245" t="inlineStr">
        <is>
          <t>24.02.2025</t>
        </is>
      </c>
      <c r="N79" s="245" t="inlineStr">
        <is>
          <t>IPH — Institute of Public Health</t>
        </is>
      </c>
      <c r="O79" s="245" t="inlineStr">
        <is>
          <t>—</t>
        </is>
      </c>
      <c r="P79" s="245" t="inlineStr">
        <is>
          <t>covered</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5" t="inlineStr">
        <is>
          <t>&lt; 10</t>
        </is>
      </c>
      <c r="L80" s="245" t="inlineStr">
        <is>
          <t>166/0274/25</t>
        </is>
      </c>
      <c r="M80" s="245" t="inlineStr">
        <is>
          <t>24.02.2025</t>
        </is>
      </c>
      <c r="N80" s="245" t="inlineStr">
        <is>
          <t>IPH — Institute of Public Health</t>
        </is>
      </c>
      <c r="O80" s="245" t="inlineStr">
        <is>
          <t>—</t>
        </is>
      </c>
      <c r="P80" s="245" t="inlineStr">
        <is>
          <t>covered</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5" t="inlineStr">
        <is>
          <t>&lt; 10² and &gt; 10 CFU/g</t>
        </is>
      </c>
      <c r="L81" s="245" t="inlineStr">
        <is>
          <t>166/0274/25</t>
        </is>
      </c>
      <c r="M81" s="245" t="inlineStr">
        <is>
          <t>24.02.2025</t>
        </is>
      </c>
      <c r="N81" s="245" t="inlineStr">
        <is>
          <t>IPH — Institute of Public Health</t>
        </is>
      </c>
      <c r="O81" s="245" t="inlineStr">
        <is>
          <t>—</t>
        </is>
      </c>
      <c r="P81" s="245" t="inlineStr">
        <is>
          <t>covered</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5" t="inlineStr">
        <is>
          <t>Absent | Отсутна</t>
        </is>
      </c>
      <c r="L82" s="245" t="inlineStr">
        <is>
          <t>166/0274/25</t>
        </is>
      </c>
      <c r="M82" s="245" t="inlineStr">
        <is>
          <t>24.02.2025</t>
        </is>
      </c>
      <c r="N82" s="245" t="inlineStr">
        <is>
          <t>IPH — Institute of Public Health</t>
        </is>
      </c>
      <c r="O82" s="245" t="inlineStr">
        <is>
          <t>—</t>
        </is>
      </c>
      <c r="P82" s="245" t="inlineStr">
        <is>
          <t>covered</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5" t="inlineStr">
        <is>
          <t>Absent | Отсутна</t>
        </is>
      </c>
      <c r="L83" s="245" t="inlineStr">
        <is>
          <t>166/0274/25</t>
        </is>
      </c>
      <c r="M83" s="245" t="inlineStr">
        <is>
          <t>24.02.2025</t>
        </is>
      </c>
      <c r="N83" s="245" t="inlineStr">
        <is>
          <t>IPH — Institute of Public Health</t>
        </is>
      </c>
      <c r="O83" s="245" t="inlineStr">
        <is>
          <t>—</t>
        </is>
      </c>
      <c r="P83" s="245" t="inlineStr">
        <is>
          <t>covered</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5" t="inlineStr">
        <is>
          <t>&lt; 2</t>
        </is>
      </c>
      <c r="L87" s="245" t="inlineStr">
        <is>
          <t>748/2025</t>
        </is>
      </c>
      <c r="M87" s="245" t="inlineStr">
        <is>
          <t>04.03.2025</t>
        </is>
      </c>
      <c r="N87" s="245" t="inlineStr">
        <is>
          <t>IPH — Institute of Public Health</t>
        </is>
      </c>
      <c r="O87" s="245" t="inlineStr">
        <is>
          <t>—</t>
        </is>
      </c>
      <c r="P87" s="245" t="inlineStr">
        <is>
          <t>covered</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5" t="inlineStr">
        <is>
          <t>0.052</t>
        </is>
      </c>
      <c r="L89" s="245" t="inlineStr">
        <is>
          <t>748/2025</t>
        </is>
      </c>
      <c r="M89" s="245" t="inlineStr">
        <is>
          <t>04.03.2025</t>
        </is>
      </c>
      <c r="N89" s="245" t="inlineStr">
        <is>
          <t>IPH — Institute of Public Health</t>
        </is>
      </c>
      <c r="O89" s="245" t="inlineStr">
        <is>
          <t>—</t>
        </is>
      </c>
      <c r="P89" s="245" t="inlineStr">
        <is>
          <t>covered</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5" t="inlineStr">
        <is>
          <t>0.016</t>
        </is>
      </c>
      <c r="L90" s="245" t="inlineStr">
        <is>
          <t>748/2025</t>
        </is>
      </c>
      <c r="M90" s="245" t="inlineStr">
        <is>
          <t>04.03.2025</t>
        </is>
      </c>
      <c r="N90" s="245" t="inlineStr">
        <is>
          <t>IPH — Institute of Public Health</t>
        </is>
      </c>
      <c r="O90" s="245" t="inlineStr">
        <is>
          <t>—</t>
        </is>
      </c>
      <c r="P90" s="245" t="inlineStr">
        <is>
          <t>covered</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5" t="inlineStr">
        <is>
          <t>0.04</t>
        </is>
      </c>
      <c r="L91" s="245" t="inlineStr">
        <is>
          <t>748/2025</t>
        </is>
      </c>
      <c r="M91" s="245" t="inlineStr">
        <is>
          <t>04.03.2025</t>
        </is>
      </c>
      <c r="N91" s="245" t="inlineStr">
        <is>
          <t>IPH — Institute of Public Health</t>
        </is>
      </c>
      <c r="O91" s="245" t="inlineStr">
        <is>
          <t>—</t>
        </is>
      </c>
      <c r="P91" s="245" t="inlineStr">
        <is>
          <t>covered</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5" t="inlineStr">
        <is>
          <t>0.004</t>
        </is>
      </c>
      <c r="L92" s="245" t="inlineStr">
        <is>
          <t>748/2025</t>
        </is>
      </c>
      <c r="M92" s="245" t="inlineStr">
        <is>
          <t>04.03.2025</t>
        </is>
      </c>
      <c r="N92" s="245" t="inlineStr">
        <is>
          <t>IPH — Institute of Public Health</t>
        </is>
      </c>
      <c r="O92" s="245" t="inlineStr">
        <is>
          <t>—</t>
        </is>
      </c>
      <c r="P92" s="245" t="inlineStr">
        <is>
          <t>covered</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8" t="inlineStr">
        <is>
          <t>not tested</t>
        </is>
      </c>
      <c r="L96" s="245" t="inlineStr">
        <is>
          <t>—</t>
        </is>
      </c>
      <c r="M96" s="245" t="inlineStr">
        <is>
          <t>—</t>
        </is>
      </c>
      <c r="N96" s="245" t="inlineStr">
        <is>
          <t>—</t>
        </is>
      </c>
      <c r="O96" s="245" t="inlineStr">
        <is>
          <t>—</t>
        </is>
      </c>
      <c r="P96" s="245" t="inlineStr">
        <is>
          <t>not tested — no certificate covers it</t>
        </is>
      </c>
      <c r="Q96" s="245" t="inlineStr"/>
      <c r="R96" s="245" t="inlineStr">
        <is>
          <t>Conforms | Одговара (in-house record of 23.01.2025, no certificate)</t>
        </is>
      </c>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8" t="inlineStr">
        <is>
          <t>not tested</t>
        </is>
      </c>
      <c r="L119" s="245" t="inlineStr">
        <is>
          <t>—</t>
        </is>
      </c>
      <c r="M119" s="245" t="inlineStr">
        <is>
          <t>—</t>
        </is>
      </c>
      <c r="N119" s="245" t="inlineStr">
        <is>
          <t>—</t>
        </is>
      </c>
      <c r="O119" s="245" t="inlineStr">
        <is>
          <t>—</t>
        </is>
      </c>
      <c r="P119" s="245" t="inlineStr">
        <is>
          <t>not tested — no certificate covers it</t>
        </is>
      </c>
      <c r="Q119" s="245" t="inlineStr"/>
      <c r="R119" s="245" t="inlineStr">
        <is>
          <t>Conforms | Одговара (in-house record of 23.04.2025, no certificate)</t>
        </is>
      </c>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700</t>
        </is>
      </c>
      <c r="L148" s="245" t="inlineStr">
        <is>
          <t>471-0862-25</t>
        </is>
      </c>
      <c r="M148" s="245" t="inlineStr">
        <is>
          <t>22.05.2025</t>
        </is>
      </c>
      <c r="N148" s="245" t="inlineStr">
        <is>
          <t>IPH — Institute of Public Health</t>
        </is>
      </c>
      <c r="O148" s="245" t="inlineStr">
        <is>
          <t>16.05.2025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471-0862-25</t>
        </is>
      </c>
      <c r="M149" s="245" t="inlineStr">
        <is>
          <t>22.05.2025</t>
        </is>
      </c>
      <c r="N149" s="245" t="inlineStr">
        <is>
          <t>IPH — Institute of Public Health</t>
        </is>
      </c>
      <c r="O149" s="245" t="inlineStr">
        <is>
          <t>16.05.2025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10² and &gt; 10</t>
        </is>
      </c>
      <c r="L150" s="245" t="inlineStr">
        <is>
          <t>471-0862-25</t>
        </is>
      </c>
      <c r="M150" s="245" t="inlineStr">
        <is>
          <t>22.05.2025</t>
        </is>
      </c>
      <c r="N150" s="245" t="inlineStr">
        <is>
          <t>IPH — Institute of Public Health</t>
        </is>
      </c>
      <c r="O150" s="245" t="inlineStr">
        <is>
          <t>16.05.2025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471-0862-25</t>
        </is>
      </c>
      <c r="M151" s="245" t="inlineStr">
        <is>
          <t>22.05.2025</t>
        </is>
      </c>
      <c r="N151" s="245" t="inlineStr">
        <is>
          <t>IPH — Institute of Public Health</t>
        </is>
      </c>
      <c r="O151" s="245" t="inlineStr">
        <is>
          <t>16.05.2025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471-0862-25</t>
        </is>
      </c>
      <c r="M152" s="245" t="inlineStr">
        <is>
          <t>22.05.2025</t>
        </is>
      </c>
      <c r="N152" s="245" t="inlineStr">
        <is>
          <t>IPH — Institute of Public Health</t>
        </is>
      </c>
      <c r="O152" s="245" t="inlineStr">
        <is>
          <t>16.05.2025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2471-2025</t>
        </is>
      </c>
      <c r="M156" s="245" t="inlineStr">
        <is>
          <t>30.05.2025</t>
        </is>
      </c>
      <c r="N156" s="245" t="inlineStr">
        <is>
          <t>IPH — Institute of Public Health</t>
        </is>
      </c>
      <c r="O156" s="245" t="inlineStr">
        <is>
          <t>15.05.2025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2471-2025</t>
        </is>
      </c>
      <c r="M158" s="245" t="inlineStr">
        <is>
          <t>30.05.2025</t>
        </is>
      </c>
      <c r="N158" s="245" t="inlineStr">
        <is>
          <t>IPH — Institute of Public Health</t>
        </is>
      </c>
      <c r="O158" s="245" t="inlineStr">
        <is>
          <t>15.05.2025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2471-2025</t>
        </is>
      </c>
      <c r="M159" s="245" t="inlineStr">
        <is>
          <t>30.05.2025</t>
        </is>
      </c>
      <c r="N159" s="245" t="inlineStr">
        <is>
          <t>IPH — Institute of Public Health</t>
        </is>
      </c>
      <c r="O159" s="245" t="inlineStr">
        <is>
          <t>15.05.2025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ND</t>
        </is>
      </c>
      <c r="L160" s="245" t="inlineStr">
        <is>
          <t>2471-2025</t>
        </is>
      </c>
      <c r="M160" s="245" t="inlineStr">
        <is>
          <t>30.05.2025</t>
        </is>
      </c>
      <c r="N160" s="245" t="inlineStr">
        <is>
          <t>IPH — Institute of Public Health</t>
        </is>
      </c>
      <c r="O160" s="245" t="inlineStr">
        <is>
          <t>15.05.2025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2471-2025</t>
        </is>
      </c>
      <c r="M161" s="245" t="inlineStr">
        <is>
          <t>30.05.2025</t>
        </is>
      </c>
      <c r="N161" s="245" t="inlineStr">
        <is>
          <t>IPH — Institute of Public Health</t>
        </is>
      </c>
      <c r="O161" s="245" t="inlineStr">
        <is>
          <t>15.05.2025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2471-2025</t>
        </is>
      </c>
      <c r="M162" s="245" t="inlineStr">
        <is>
          <t>30.05.2025</t>
        </is>
      </c>
      <c r="N162" s="245" t="inlineStr">
        <is>
          <t>IPH — Institute of Public Health</t>
        </is>
      </c>
      <c r="O162" s="245" t="inlineStr">
        <is>
          <t>15.05.2025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5" t="inlineStr">
        <is>
          <t>Conforms | Одговара</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5" t="inlineStr">
        <is>
          <t>Conforms | Одговара</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10</t>
        </is>
      </c>
      <c r="L217" s="245" t="inlineStr">
        <is>
          <t>407-0745-25</t>
        </is>
      </c>
      <c r="M217" s="245" t="inlineStr">
        <is>
          <t>05.05.2025</t>
        </is>
      </c>
      <c r="N217" s="245" t="inlineStr">
        <is>
          <t>IPH — Institute of Public Health</t>
        </is>
      </c>
      <c r="O217" s="245" t="inlineStr">
        <is>
          <t>29.04.2025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407-0745-25</t>
        </is>
      </c>
      <c r="M218" s="245" t="inlineStr">
        <is>
          <t>05.05.2025</t>
        </is>
      </c>
      <c r="N218" s="245" t="inlineStr">
        <is>
          <t>IPH — Institute of Public Health</t>
        </is>
      </c>
      <c r="O218" s="245" t="inlineStr">
        <is>
          <t>29.04.2025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407-0745-25</t>
        </is>
      </c>
      <c r="M219" s="245" t="inlineStr">
        <is>
          <t>05.05.2025</t>
        </is>
      </c>
      <c r="N219" s="245" t="inlineStr">
        <is>
          <t>IPH — Institute of Public Health</t>
        </is>
      </c>
      <c r="O219" s="245" t="inlineStr">
        <is>
          <t>29.04.2025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407-0745-25</t>
        </is>
      </c>
      <c r="M220" s="245" t="inlineStr">
        <is>
          <t>05.05.2025</t>
        </is>
      </c>
      <c r="N220" s="245" t="inlineStr">
        <is>
          <t>IPH — Institute of Public Health</t>
        </is>
      </c>
      <c r="O220" s="245" t="inlineStr">
        <is>
          <t>29.04.2025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407-0745-25</t>
        </is>
      </c>
      <c r="M221" s="245" t="inlineStr">
        <is>
          <t>05.05.2025</t>
        </is>
      </c>
      <c r="N221" s="245" t="inlineStr">
        <is>
          <t>IPH — Institute of Public Health</t>
        </is>
      </c>
      <c r="O221" s="245" t="inlineStr">
        <is>
          <t>29.04.2025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5" t="inlineStr">
        <is>
          <t>Conforms | Одговара</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5" t="inlineStr">
        <is>
          <t>Conforms | Одговара</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5" t="inlineStr">
        <is>
          <t>Conforms | Одговара</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5" t="inlineStr">
        <is>
          <t>Conforms | Одговара</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5" t="inlineStr">
        <is>
          <t>Conforms | Одговара</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5" t="inlineStr">
        <is>
          <t>Conforms | Одговара</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5" t="inlineStr">
        <is>
          <t>Conforms | Одговара</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8" t="inlineStr">
        <is>
          <t>not tested</t>
        </is>
      </c>
      <c r="L556" s="245" t="inlineStr">
        <is>
          <t>—</t>
        </is>
      </c>
      <c r="M556" s="245" t="inlineStr">
        <is>
          <t>—</t>
        </is>
      </c>
      <c r="N556" s="245" t="inlineStr">
        <is>
          <t>—</t>
        </is>
      </c>
      <c r="O556" s="245" t="inlineStr">
        <is>
          <t>—</t>
        </is>
      </c>
      <c r="P556" s="245" t="inlineStr">
        <is>
          <t>not tested — no certificate covers it</t>
        </is>
      </c>
      <c r="Q556" s="245" t="inlineStr"/>
      <c r="R556" s="245" t="inlineStr">
        <is>
          <t>Conforms | Одговара (in-house record of 28.11.2025, no certificate)</t>
        </is>
      </c>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5" t="inlineStr">
        <is>
          <t>Conforms | Одговара</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8" t="inlineStr">
        <is>
          <t>not tested</t>
        </is>
      </c>
      <c r="L579" s="245" t="inlineStr">
        <is>
          <t>—</t>
        </is>
      </c>
      <c r="M579" s="245" t="inlineStr">
        <is>
          <t>—</t>
        </is>
      </c>
      <c r="N579" s="245" t="inlineStr">
        <is>
          <t>—</t>
        </is>
      </c>
      <c r="O579" s="245" t="inlineStr">
        <is>
          <t>—</t>
        </is>
      </c>
      <c r="P579" s="245" t="inlineStr">
        <is>
          <t>not tested — no certificate covers it</t>
        </is>
      </c>
      <c r="Q579" s="245" t="inlineStr"/>
      <c r="R579" s="245" t="inlineStr">
        <is>
          <t>Conforms | Одговара (in-house record of 28.11.2025, no certificate)</t>
        </is>
      </c>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5" t="inlineStr">
        <is>
          <t>Conforms | Одговара</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5" t="inlineStr">
        <is>
          <t>Conforms | Одговара</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5" t="inlineStr">
        <is>
          <t>Conforms | Одговара</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5" t="inlineStr">
        <is>
          <t>Conforms | Одговара</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5" t="inlineStr">
        <is>
          <t>Conforms | Одговара</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5" t="inlineStr">
        <is>
          <t>Conforms | Одговара</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5" t="inlineStr">
        <is>
          <t>Conforms | Одговара</t>
        </is>
      </c>
      <c r="L692" s="245" t="inlineStr">
        <is>
          <t>iCoA-PP_26-029</t>
        </is>
      </c>
      <c r="M692" s="245" t="inlineStr">
        <is>
          <t>03.06.2026</t>
        </is>
      </c>
      <c r="N692" s="245" t="inlineStr">
        <is>
          <t>Purely Plant GmbH (in-house)</t>
        </is>
      </c>
      <c r="O692" s="245" t="inlineStr">
        <is>
          <t>—</t>
        </is>
      </c>
      <c r="P692" s="245" t="inlineStr">
        <is>
          <t>covered</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5" t="inlineStr">
        <is>
          <t>Conforms | Одговара</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5" t="inlineStr">
        <is>
          <t>Conforms | Одговара</t>
        </is>
      </c>
      <c r="L698" s="245" t="inlineStr">
        <is>
          <t>iCoA-PP_26-029</t>
        </is>
      </c>
      <c r="M698" s="245" t="inlineStr">
        <is>
          <t>03.06.2026</t>
        </is>
      </c>
      <c r="N698" s="245" t="inlineStr">
        <is>
          <t>Purely Plant GmbH (in-house)</t>
        </is>
      </c>
      <c r="O698" s="245" t="inlineStr">
        <is>
          <t>—</t>
        </is>
      </c>
      <c r="P698" s="245" t="inlineStr">
        <is>
          <t>covered</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ППК25370</t>
        </is>
      </c>
      <c r="M717" s="245" t="inlineStr">
        <is>
          <t>28.11.2025</t>
        </is>
      </c>
      <c r="N717" s="245" t="inlineStr">
        <is>
          <t>CNP</t>
        </is>
      </c>
      <c r="O717" s="245" t="inlineStr">
        <is>
          <t>24.11.2025</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ППК25370</t>
        </is>
      </c>
      <c r="M718" s="245" t="inlineStr">
        <is>
          <t>28.11.2025</t>
        </is>
      </c>
      <c r="N718" s="245" t="inlineStr">
        <is>
          <t>CNP</t>
        </is>
      </c>
      <c r="O718" s="245" t="inlineStr">
        <is>
          <t>24.11.2025</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ППК25370</t>
        </is>
      </c>
      <c r="M719" s="245" t="inlineStr">
        <is>
          <t>28.11.2025</t>
        </is>
      </c>
      <c r="N719" s="245" t="inlineStr">
        <is>
          <t>CNP</t>
        </is>
      </c>
      <c r="O719" s="245" t="inlineStr">
        <is>
          <t>24.11.2025</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ППК25370</t>
        </is>
      </c>
      <c r="M722" s="245" t="inlineStr">
        <is>
          <t>28.11.2025</t>
        </is>
      </c>
      <c r="N722" s="245" t="inlineStr">
        <is>
          <t>CNP</t>
        </is>
      </c>
      <c r="O722" s="245" t="inlineStr">
        <is>
          <t>24.11.2025</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5" t="inlineStr">
        <is>
          <t>Conforms | Одговара</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ППК25378</t>
        </is>
      </c>
      <c r="M740" s="245" t="inlineStr">
        <is>
          <t>12.12.2025</t>
        </is>
      </c>
      <c r="N740" s="245" t="inlineStr">
        <is>
          <t>UKIM Faculty of Pharmacy — Center for Natural Products</t>
        </is>
      </c>
      <c r="O740" s="245" t="inlineStr">
        <is>
          <t>01.12.2025</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ППК25378</t>
        </is>
      </c>
      <c r="M741" s="245" t="inlineStr">
        <is>
          <t>12.12.2025</t>
        </is>
      </c>
      <c r="N741" s="245" t="inlineStr">
        <is>
          <t>UKIM Faculty of Pharmacy — Center for Natural Products</t>
        </is>
      </c>
      <c r="O741" s="245" t="inlineStr">
        <is>
          <t>01.12.2025</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ППК25378</t>
        </is>
      </c>
      <c r="M742" s="245" t="inlineStr">
        <is>
          <t>12.12.2025</t>
        </is>
      </c>
      <c r="N742" s="245" t="inlineStr">
        <is>
          <t>UKIM Faculty of Pharmacy — Center for Natural Products</t>
        </is>
      </c>
      <c r="O742" s="245" t="inlineStr">
        <is>
          <t>01.12.2025</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ППК25378</t>
        </is>
      </c>
      <c r="M745" s="245" t="inlineStr">
        <is>
          <t>12.12.2025</t>
        </is>
      </c>
      <c r="N745" s="245" t="inlineStr">
        <is>
          <t>UKIM Faculty of Pharmacy — Center for Natural Products</t>
        </is>
      </c>
      <c r="O745" s="245" t="inlineStr">
        <is>
          <t>01.12.2025</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ППК25379</t>
        </is>
      </c>
      <c r="M763" s="245" t="inlineStr">
        <is>
          <t>12.12.2025</t>
        </is>
      </c>
      <c r="N763" s="245" t="inlineStr">
        <is>
          <t>CNP</t>
        </is>
      </c>
      <c r="O763" s="245" t="inlineStr">
        <is>
          <t>01.12.2025</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ППК25379</t>
        </is>
      </c>
      <c r="M764" s="245" t="inlineStr">
        <is>
          <t>12.12.2025</t>
        </is>
      </c>
      <c r="N764" s="245" t="inlineStr">
        <is>
          <t>CNP</t>
        </is>
      </c>
      <c r="O764" s="245" t="inlineStr">
        <is>
          <t>01.12.2025</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ППК25379</t>
        </is>
      </c>
      <c r="M765" s="245" t="inlineStr">
        <is>
          <t>12.12.2025</t>
        </is>
      </c>
      <c r="N765" s="245" t="inlineStr">
        <is>
          <t>CNP</t>
        </is>
      </c>
      <c r="O765" s="245" t="inlineStr">
        <is>
          <t>01.12.2025</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ППК25379</t>
        </is>
      </c>
      <c r="M768" s="245" t="inlineStr">
        <is>
          <t>12.12.2025</t>
        </is>
      </c>
      <c r="N768" s="245" t="inlineStr">
        <is>
          <t>CNP</t>
        </is>
      </c>
      <c r="O768" s="245" t="inlineStr">
        <is>
          <t>01.12.2025</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ППК25380</t>
        </is>
      </c>
      <c r="M786" s="245" t="inlineStr">
        <is>
          <t>12.12.2025</t>
        </is>
      </c>
      <c r="N786" s="245" t="inlineStr">
        <is>
          <t>CNP</t>
        </is>
      </c>
      <c r="O786" s="245" t="inlineStr">
        <is>
          <t>01.12.2025</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ППК25380</t>
        </is>
      </c>
      <c r="M787" s="245" t="inlineStr">
        <is>
          <t>12.12.2025</t>
        </is>
      </c>
      <c r="N787" s="245" t="inlineStr">
        <is>
          <t>CNP</t>
        </is>
      </c>
      <c r="O787" s="245" t="inlineStr">
        <is>
          <t>01.12.2025</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ППК25380</t>
        </is>
      </c>
      <c r="M788" s="245" t="inlineStr">
        <is>
          <t>12.12.2025</t>
        </is>
      </c>
      <c r="N788" s="245" t="inlineStr">
        <is>
          <t>CNP</t>
        </is>
      </c>
      <c r="O788" s="245" t="inlineStr">
        <is>
          <t>01.12.2025</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ППК25380</t>
        </is>
      </c>
      <c r="M791" s="245" t="inlineStr">
        <is>
          <t>12.12.2025</t>
        </is>
      </c>
      <c r="N791" s="245" t="inlineStr">
        <is>
          <t>CNP</t>
        </is>
      </c>
      <c r="O791" s="245" t="inlineStr">
        <is>
          <t>01.12.2025</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ППК25381</t>
        </is>
      </c>
      <c r="M809" s="245" t="inlineStr">
        <is>
          <t>12.12.2025</t>
        </is>
      </c>
      <c r="N809" s="245" t="inlineStr">
        <is>
          <t>CNP</t>
        </is>
      </c>
      <c r="O809" s="245" t="inlineStr">
        <is>
          <t>01.12.2025</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ППК25381</t>
        </is>
      </c>
      <c r="M810" s="245" t="inlineStr">
        <is>
          <t>12.12.2025</t>
        </is>
      </c>
      <c r="N810" s="245" t="inlineStr">
        <is>
          <t>CNP</t>
        </is>
      </c>
      <c r="O810" s="245" t="inlineStr">
        <is>
          <t>01.12.2025</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ППК25381</t>
        </is>
      </c>
      <c r="M811" s="245" t="inlineStr">
        <is>
          <t>12.12.2025</t>
        </is>
      </c>
      <c r="N811" s="245" t="inlineStr">
        <is>
          <t>CNP</t>
        </is>
      </c>
      <c r="O811" s="245" t="inlineStr">
        <is>
          <t>01.12.2025</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ППК25381</t>
        </is>
      </c>
      <c r="M814" s="245" t="inlineStr">
        <is>
          <t>12.12.2025</t>
        </is>
      </c>
      <c r="N814" s="245" t="inlineStr">
        <is>
          <t>CNP</t>
        </is>
      </c>
      <c r="O814" s="245" t="inlineStr">
        <is>
          <t>01.12.2025</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5" t="inlineStr">
        <is>
          <t>Conforms | Одговара</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ППК26005</t>
        </is>
      </c>
      <c r="M924" s="245" t="inlineStr">
        <is>
          <t>21.01.2026</t>
        </is>
      </c>
      <c r="N924" s="245" t="inlineStr">
        <is>
          <t>UKIM Faculty of Pharmacy — Center for Natural Products</t>
        </is>
      </c>
      <c r="O924" s="245" t="inlineStr">
        <is>
          <t>08.01.2026</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ППК26005</t>
        </is>
      </c>
      <c r="M925" s="245" t="inlineStr">
        <is>
          <t>21.01.2026</t>
        </is>
      </c>
      <c r="N925" s="245" t="inlineStr">
        <is>
          <t>UKIM Faculty of Pharmacy — Center for Natural Products</t>
        </is>
      </c>
      <c r="O925" s="245" t="inlineStr">
        <is>
          <t>08.01.2026</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ППК26005</t>
        </is>
      </c>
      <c r="M926" s="245" t="inlineStr">
        <is>
          <t>21.01.2026</t>
        </is>
      </c>
      <c r="N926" s="245" t="inlineStr">
        <is>
          <t>UKIM Faculty of Pharmacy — Center for Natural Products</t>
        </is>
      </c>
      <c r="O926" s="245" t="inlineStr">
        <is>
          <t>08.01.2026</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ППК26005</t>
        </is>
      </c>
      <c r="M929" s="245" t="inlineStr">
        <is>
          <t>21.01.2026</t>
        </is>
      </c>
      <c r="N929" s="245" t="inlineStr">
        <is>
          <t>UKIM Faculty of Pharmacy — Center for Natural Products</t>
        </is>
      </c>
      <c r="O929" s="245" t="inlineStr">
        <is>
          <t>08.01.2026</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5" t="inlineStr">
        <is>
          <t>Conforms | Одговара</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5" t="inlineStr">
        <is>
          <t>Conforms | Одговара</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5" t="inlineStr">
        <is>
          <t>Conforms | Одговара</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5" t="inlineStr">
        <is>
          <t>Conforms | Одговара</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5" t="inlineStr">
        <is>
          <t>6,8 %</t>
        </is>
      </c>
      <c r="L1044" s="245" t="inlineStr">
        <is>
          <t>031-3-ГС/26</t>
        </is>
      </c>
      <c r="M1044" s="245" t="inlineStr">
        <is>
          <t>12.02.2026</t>
        </is>
      </c>
      <c r="N1044" s="245" t="inlineStr">
        <is>
          <t>Farmahem</t>
        </is>
      </c>
      <c r="O1044" s="245" t="inlineStr">
        <is>
          <t>—</t>
        </is>
      </c>
      <c r="P1044" s="245" t="inlineStr">
        <is>
          <t>covered</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5" t="inlineStr">
        <is>
          <t>Conforms | Одговара</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5" t="inlineStr">
        <is>
          <t>Conforms | Одговара</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031-2-К/26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031-2-К/26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031-2-К/26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5" t="inlineStr">
        <is>
          <t>Conforms | Одговара</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5" t="inlineStr">
        <is>
          <t>5 × 10¹</t>
        </is>
      </c>
      <c r="L1068" s="245" t="inlineStr">
        <is>
          <t>74/0117/26</t>
        </is>
      </c>
      <c r="M1068" s="245" t="inlineStr">
        <is>
          <t>09.02.2026</t>
        </is>
      </c>
      <c r="N1068" s="245" t="inlineStr">
        <is>
          <t>IPH — Institute of Public Health</t>
        </is>
      </c>
      <c r="O1068" s="245" t="inlineStr">
        <is>
          <t>—</t>
        </is>
      </c>
      <c r="P1068" s="245" t="inlineStr">
        <is>
          <t>covered</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5" t="inlineStr">
        <is>
          <t>5 × 10¹</t>
        </is>
      </c>
      <c r="L1069" s="245" t="inlineStr">
        <is>
          <t>74/0117/26</t>
        </is>
      </c>
      <c r="M1069" s="245" t="inlineStr">
        <is>
          <t>09.02.2026</t>
        </is>
      </c>
      <c r="N1069" s="245" t="inlineStr">
        <is>
          <t>IPH — Institute of Public Health</t>
        </is>
      </c>
      <c r="O1069" s="245" t="inlineStr">
        <is>
          <t>—</t>
        </is>
      </c>
      <c r="P1069" s="245" t="inlineStr">
        <is>
          <t>covered</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5" t="inlineStr">
        <is>
          <t>&lt; 10</t>
        </is>
      </c>
      <c r="L1070" s="245" t="inlineStr">
        <is>
          <t>74/0117/26</t>
        </is>
      </c>
      <c r="M1070" s="245" t="inlineStr">
        <is>
          <t>09.02.2026</t>
        </is>
      </c>
      <c r="N1070" s="245" t="inlineStr">
        <is>
          <t>IPH — Institute of Public Health</t>
        </is>
      </c>
      <c r="O1070" s="245" t="inlineStr">
        <is>
          <t>—</t>
        </is>
      </c>
      <c r="P1070" s="245" t="inlineStr">
        <is>
          <t>covered</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5" t="inlineStr">
        <is>
          <t>Absent | Отсутна</t>
        </is>
      </c>
      <c r="L1071" s="245" t="inlineStr">
        <is>
          <t>74/0117/26</t>
        </is>
      </c>
      <c r="M1071" s="245" t="inlineStr">
        <is>
          <t>09.02.2026</t>
        </is>
      </c>
      <c r="N1071" s="245" t="inlineStr">
        <is>
          <t>IPH — Institute of Public Health</t>
        </is>
      </c>
      <c r="O1071" s="245" t="inlineStr">
        <is>
          <t>—</t>
        </is>
      </c>
      <c r="P1071" s="245" t="inlineStr">
        <is>
          <t>covered</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5" t="inlineStr">
        <is>
          <t>Absent | Отсутна</t>
        </is>
      </c>
      <c r="L1072" s="245" t="inlineStr">
        <is>
          <t>74/0117/26</t>
        </is>
      </c>
      <c r="M1072" s="245" t="inlineStr">
        <is>
          <t>09.02.2026</t>
        </is>
      </c>
      <c r="N1072" s="245" t="inlineStr">
        <is>
          <t>IPH — Institute of Public Health</t>
        </is>
      </c>
      <c r="O1072" s="245" t="inlineStr">
        <is>
          <t>—</t>
        </is>
      </c>
      <c r="P1072" s="245" t="inlineStr">
        <is>
          <t>covered</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5" t="inlineStr">
        <is>
          <t>&lt; 2</t>
        </is>
      </c>
      <c r="L1076" s="245" t="inlineStr">
        <is>
          <t>327/2026</t>
        </is>
      </c>
      <c r="M1076" s="245" t="inlineStr">
        <is>
          <t>11.02.2026</t>
        </is>
      </c>
      <c r="N1076" s="245" t="inlineStr">
        <is>
          <t>IPH — Institute of Public Health</t>
        </is>
      </c>
      <c r="O1076" s="245" t="inlineStr">
        <is>
          <t>—</t>
        </is>
      </c>
      <c r="P1076" s="245" t="inlineStr">
        <is>
          <t>covered</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5" t="inlineStr">
        <is>
          <t>0.078</t>
        </is>
      </c>
      <c r="L1078" s="245" t="inlineStr">
        <is>
          <t>327/2026</t>
        </is>
      </c>
      <c r="M1078" s="245" t="inlineStr">
        <is>
          <t>11.02.2026</t>
        </is>
      </c>
      <c r="N1078" s="245" t="inlineStr">
        <is>
          <t>IPH — Institute of Public Health</t>
        </is>
      </c>
      <c r="O1078" s="245" t="inlineStr">
        <is>
          <t>—</t>
        </is>
      </c>
      <c r="P1078" s="245" t="inlineStr">
        <is>
          <t>covered</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5" t="inlineStr">
        <is>
          <t>ND</t>
        </is>
      </c>
      <c r="L1079" s="245" t="inlineStr">
        <is>
          <t>327/2026</t>
        </is>
      </c>
      <c r="M1079" s="245" t="inlineStr">
        <is>
          <t>11.02.2026</t>
        </is>
      </c>
      <c r="N1079" s="245" t="inlineStr">
        <is>
          <t>IPH — Institute of Public Health</t>
        </is>
      </c>
      <c r="O1079" s="245" t="inlineStr">
        <is>
          <t>—</t>
        </is>
      </c>
      <c r="P1079" s="245" t="inlineStr">
        <is>
          <t>covered</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5" t="inlineStr">
        <is>
          <t>0.0187</t>
        </is>
      </c>
      <c r="L1080" s="245" t="inlineStr">
        <is>
          <t>327/2026</t>
        </is>
      </c>
      <c r="M1080" s="245" t="inlineStr">
        <is>
          <t>11.02.2026</t>
        </is>
      </c>
      <c r="N1080" s="245" t="inlineStr">
        <is>
          <t>IPH — Institute of Public Health</t>
        </is>
      </c>
      <c r="O1080" s="245" t="inlineStr">
        <is>
          <t>—</t>
        </is>
      </c>
      <c r="P1080" s="245" t="inlineStr">
        <is>
          <t>covered</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5" t="inlineStr">
        <is>
          <t>ND</t>
        </is>
      </c>
      <c r="L1081" s="245" t="inlineStr">
        <is>
          <t>327/2026</t>
        </is>
      </c>
      <c r="M1081" s="245" t="inlineStr">
        <is>
          <t>11.02.2026</t>
        </is>
      </c>
      <c r="N1081" s="245" t="inlineStr">
        <is>
          <t>IPH — Institute of Public Health</t>
        </is>
      </c>
      <c r="O1081" s="245" t="inlineStr">
        <is>
          <t>—</t>
        </is>
      </c>
      <c r="P1081" s="245" t="inlineStr">
        <is>
          <t>covered</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5" t="inlineStr">
        <is>
          <t>Conforms | Одговара</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5" t="inlineStr">
        <is>
          <t>Conforms | Одговара</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031-5-К/26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5" t="inlineStr">
        <is>
          <t>Conforms | Одговара</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5" t="inlineStr">
        <is>
          <t>1 × 10³</t>
        </is>
      </c>
      <c r="L1091" s="245" t="inlineStr">
        <is>
          <t>77/0120/26</t>
        </is>
      </c>
      <c r="M1091" s="245" t="inlineStr">
        <is>
          <t>09.02.2026</t>
        </is>
      </c>
      <c r="N1091" s="245" t="inlineStr">
        <is>
          <t>IPH — Institute of Public Health</t>
        </is>
      </c>
      <c r="O1091" s="245" t="inlineStr">
        <is>
          <t>—</t>
        </is>
      </c>
      <c r="P1091" s="245" t="inlineStr">
        <is>
          <t>covered</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5" t="inlineStr">
        <is>
          <t>1.6 × 10³</t>
        </is>
      </c>
      <c r="L1092" s="245" t="inlineStr">
        <is>
          <t>77/0120/26</t>
        </is>
      </c>
      <c r="M1092" s="245" t="inlineStr">
        <is>
          <t>09.02.2026</t>
        </is>
      </c>
      <c r="N1092" s="245" t="inlineStr">
        <is>
          <t>IPH — Institute of Public Health</t>
        </is>
      </c>
      <c r="O1092" s="245" t="inlineStr">
        <is>
          <t>—</t>
        </is>
      </c>
      <c r="P1092" s="245" t="inlineStr">
        <is>
          <t>covered</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5" t="inlineStr">
        <is>
          <t>&lt; 10</t>
        </is>
      </c>
      <c r="L1093" s="245" t="inlineStr">
        <is>
          <t>77/0120/26</t>
        </is>
      </c>
      <c r="M1093" s="245" t="inlineStr">
        <is>
          <t>09.02.2026</t>
        </is>
      </c>
      <c r="N1093" s="245" t="inlineStr">
        <is>
          <t>IPH — Institute of Public Health</t>
        </is>
      </c>
      <c r="O1093" s="245" t="inlineStr">
        <is>
          <t>—</t>
        </is>
      </c>
      <c r="P1093" s="245" t="inlineStr">
        <is>
          <t>covered</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5" t="inlineStr">
        <is>
          <t>Absent | Отсутна</t>
        </is>
      </c>
      <c r="L1094" s="245" t="inlineStr">
        <is>
          <t>77/0120/26</t>
        </is>
      </c>
      <c r="M1094" s="245" t="inlineStr">
        <is>
          <t>09.02.2026</t>
        </is>
      </c>
      <c r="N1094" s="245" t="inlineStr">
        <is>
          <t>IPH — Institute of Public Health</t>
        </is>
      </c>
      <c r="O1094" s="245" t="inlineStr">
        <is>
          <t>—</t>
        </is>
      </c>
      <c r="P1094" s="245" t="inlineStr">
        <is>
          <t>covered</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5" t="inlineStr">
        <is>
          <t>Absent | Отсутна</t>
        </is>
      </c>
      <c r="L1095" s="245" t="inlineStr">
        <is>
          <t>77/0120/26</t>
        </is>
      </c>
      <c r="M1095" s="245" t="inlineStr">
        <is>
          <t>09.02.2026</t>
        </is>
      </c>
      <c r="N1095" s="245" t="inlineStr">
        <is>
          <t>IPH — Institute of Public Health</t>
        </is>
      </c>
      <c r="O1095" s="245" t="inlineStr">
        <is>
          <t>—</t>
        </is>
      </c>
      <c r="P1095" s="245" t="inlineStr">
        <is>
          <t>covered</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5" t="inlineStr">
        <is>
          <t>2.3</t>
        </is>
      </c>
      <c r="L1099" s="245" t="inlineStr">
        <is>
          <t>326/2026</t>
        </is>
      </c>
      <c r="M1099" s="245" t="inlineStr">
        <is>
          <t>11.02.2026</t>
        </is>
      </c>
      <c r="N1099" s="245" t="inlineStr">
        <is>
          <t>IPH — Institute of Public Health</t>
        </is>
      </c>
      <c r="O1099" s="245" t="inlineStr">
        <is>
          <t>—</t>
        </is>
      </c>
      <c r="P1099" s="245" t="inlineStr">
        <is>
          <t>covered</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5" t="inlineStr">
        <is>
          <t>0.078</t>
        </is>
      </c>
      <c r="L1101" s="245" t="inlineStr">
        <is>
          <t>326/2026</t>
        </is>
      </c>
      <c r="M1101" s="245" t="inlineStr">
        <is>
          <t>11.02.2026</t>
        </is>
      </c>
      <c r="N1101" s="245" t="inlineStr">
        <is>
          <t>IPH — Institute of Public Health</t>
        </is>
      </c>
      <c r="O1101" s="245" t="inlineStr">
        <is>
          <t>—</t>
        </is>
      </c>
      <c r="P1101" s="245" t="inlineStr">
        <is>
          <t>covered</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5" t="inlineStr">
        <is>
          <t>ND</t>
        </is>
      </c>
      <c r="L1102" s="245" t="inlineStr">
        <is>
          <t>326/2026</t>
        </is>
      </c>
      <c r="M1102" s="245" t="inlineStr">
        <is>
          <t>11.02.2026</t>
        </is>
      </c>
      <c r="N1102" s="245" t="inlineStr">
        <is>
          <t>IPH — Institute of Public Health</t>
        </is>
      </c>
      <c r="O1102" s="245" t="inlineStr">
        <is>
          <t>—</t>
        </is>
      </c>
      <c r="P1102" s="245" t="inlineStr">
        <is>
          <t>covered</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5" t="inlineStr">
        <is>
          <t>0.022</t>
        </is>
      </c>
      <c r="L1103" s="245" t="inlineStr">
        <is>
          <t>326/2026</t>
        </is>
      </c>
      <c r="M1103" s="245" t="inlineStr">
        <is>
          <t>11.02.2026</t>
        </is>
      </c>
      <c r="N1103" s="245" t="inlineStr">
        <is>
          <t>IPH — Institute of Public Health</t>
        </is>
      </c>
      <c r="O1103" s="245" t="inlineStr">
        <is>
          <t>—</t>
        </is>
      </c>
      <c r="P1103" s="245" t="inlineStr">
        <is>
          <t>covered</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5" t="inlineStr">
        <is>
          <t>ND</t>
        </is>
      </c>
      <c r="L1104" s="245" t="inlineStr">
        <is>
          <t>326/2026</t>
        </is>
      </c>
      <c r="M1104" s="245" t="inlineStr">
        <is>
          <t>11.02.2026</t>
        </is>
      </c>
      <c r="N1104" s="245" t="inlineStr">
        <is>
          <t>IPH — Institute of Public Health</t>
        </is>
      </c>
      <c r="O1104" s="245" t="inlineStr">
        <is>
          <t>—</t>
        </is>
      </c>
      <c r="P1104" s="245" t="inlineStr">
        <is>
          <t>covered</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5" t="inlineStr">
        <is>
          <t>Conforms | Одговара</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5" t="inlineStr">
        <is>
          <t>Conforms | Одговара</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031-4-К/26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5" t="inlineStr">
        <is>
          <t>Conforms | Одговара</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5" t="inlineStr">
        <is>
          <t>3.1 × 10⁴</t>
        </is>
      </c>
      <c r="L1114" s="245" t="inlineStr">
        <is>
          <t>73/0116/26</t>
        </is>
      </c>
      <c r="M1114" s="245" t="inlineStr">
        <is>
          <t>09.02.2026</t>
        </is>
      </c>
      <c r="N1114" s="245" t="inlineStr">
        <is>
          <t>IPH — Institute of Public Health</t>
        </is>
      </c>
      <c r="O1114" s="245" t="inlineStr">
        <is>
          <t>—</t>
        </is>
      </c>
      <c r="P1114" s="245" t="inlineStr">
        <is>
          <t>covered</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5" t="inlineStr">
        <is>
          <t>3.9 × 10⁴</t>
        </is>
      </c>
      <c r="L1115" s="245" t="inlineStr">
        <is>
          <t>73/0116/26</t>
        </is>
      </c>
      <c r="M1115" s="245" t="inlineStr">
        <is>
          <t>09.02.2026</t>
        </is>
      </c>
      <c r="N1115" s="245" t="inlineStr">
        <is>
          <t>IPH — Institute of Public Health</t>
        </is>
      </c>
      <c r="O1115" s="245" t="inlineStr">
        <is>
          <t>—</t>
        </is>
      </c>
      <c r="P1115" s="245" t="inlineStr">
        <is>
          <t>OUT OF SPECIFICATION — covered</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5" t="inlineStr">
        <is>
          <t>&lt; 10³ and &gt; 10²</t>
        </is>
      </c>
      <c r="L1116" s="245" t="inlineStr">
        <is>
          <t>73/0116/26</t>
        </is>
      </c>
      <c r="M1116" s="245" t="inlineStr">
        <is>
          <t>09.02.2026</t>
        </is>
      </c>
      <c r="N1116" s="245" t="inlineStr">
        <is>
          <t>IPH — Institute of Public Health</t>
        </is>
      </c>
      <c r="O1116" s="245" t="inlineStr">
        <is>
          <t>—</t>
        </is>
      </c>
      <c r="P1116" s="245" t="inlineStr">
        <is>
          <t>covered</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5" t="inlineStr">
        <is>
          <t>Absent | Отсутна</t>
        </is>
      </c>
      <c r="L1117" s="245" t="inlineStr">
        <is>
          <t>73/0116/26</t>
        </is>
      </c>
      <c r="M1117" s="245" t="inlineStr">
        <is>
          <t>09.02.2026</t>
        </is>
      </c>
      <c r="N1117" s="245" t="inlineStr">
        <is>
          <t>IPH — Institute of Public Health</t>
        </is>
      </c>
      <c r="O1117" s="245" t="inlineStr">
        <is>
          <t>—</t>
        </is>
      </c>
      <c r="P1117" s="245" t="inlineStr">
        <is>
          <t>covered</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5" t="inlineStr">
        <is>
          <t>Absent | Отсутна</t>
        </is>
      </c>
      <c r="L1118" s="245" t="inlineStr">
        <is>
          <t>73/0116/26</t>
        </is>
      </c>
      <c r="M1118" s="245" t="inlineStr">
        <is>
          <t>09.02.2026</t>
        </is>
      </c>
      <c r="N1118" s="245" t="inlineStr">
        <is>
          <t>IPH — Institute of Public Health</t>
        </is>
      </c>
      <c r="O1118" s="245" t="inlineStr">
        <is>
          <t>—</t>
        </is>
      </c>
      <c r="P1118" s="245" t="inlineStr">
        <is>
          <t>covered</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5" t="inlineStr">
        <is>
          <t>2.1</t>
        </is>
      </c>
      <c r="L1122" s="245" t="inlineStr">
        <is>
          <t>330/2026</t>
        </is>
      </c>
      <c r="M1122" s="245" t="inlineStr">
        <is>
          <t>11.02.2026</t>
        </is>
      </c>
      <c r="N1122" s="245" t="inlineStr">
        <is>
          <t>IPH — Institute of Public Health</t>
        </is>
      </c>
      <c r="O1122" s="245" t="inlineStr">
        <is>
          <t>—</t>
        </is>
      </c>
      <c r="P1122" s="245" t="inlineStr">
        <is>
          <t>covered</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5" t="inlineStr">
        <is>
          <t>0.07</t>
        </is>
      </c>
      <c r="L1124" s="245" t="inlineStr">
        <is>
          <t>330/2026</t>
        </is>
      </c>
      <c r="M1124" s="245" t="inlineStr">
        <is>
          <t>11.02.2026</t>
        </is>
      </c>
      <c r="N1124" s="245" t="inlineStr">
        <is>
          <t>IPH — Institute of Public Health</t>
        </is>
      </c>
      <c r="O1124" s="245" t="inlineStr">
        <is>
          <t>—</t>
        </is>
      </c>
      <c r="P1124" s="245" t="inlineStr">
        <is>
          <t>covered</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5" t="inlineStr">
        <is>
          <t>ND</t>
        </is>
      </c>
      <c r="L1125" s="245" t="inlineStr">
        <is>
          <t>330/2026</t>
        </is>
      </c>
      <c r="M1125" s="245" t="inlineStr">
        <is>
          <t>11.02.2026</t>
        </is>
      </c>
      <c r="N1125" s="245" t="inlineStr">
        <is>
          <t>IPH — Institute of Public Health</t>
        </is>
      </c>
      <c r="O1125" s="245" t="inlineStr">
        <is>
          <t>—</t>
        </is>
      </c>
      <c r="P1125" s="245" t="inlineStr">
        <is>
          <t>covered</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5" t="inlineStr">
        <is>
          <t>0.0942</t>
        </is>
      </c>
      <c r="L1126" s="245" t="inlineStr">
        <is>
          <t>330/2026</t>
        </is>
      </c>
      <c r="M1126" s="245" t="inlineStr">
        <is>
          <t>11.02.2026</t>
        </is>
      </c>
      <c r="N1126" s="245" t="inlineStr">
        <is>
          <t>IPH — Institute of Public Health</t>
        </is>
      </c>
      <c r="O1126" s="245" t="inlineStr">
        <is>
          <t>—</t>
        </is>
      </c>
      <c r="P1126" s="245" t="inlineStr">
        <is>
          <t>covered</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5" t="inlineStr">
        <is>
          <t>ND</t>
        </is>
      </c>
      <c r="L1127" s="245" t="inlineStr">
        <is>
          <t>330/2026</t>
        </is>
      </c>
      <c r="M1127" s="245" t="inlineStr">
        <is>
          <t>11.02.2026</t>
        </is>
      </c>
      <c r="N1127" s="245" t="inlineStr">
        <is>
          <t>IPH — Institute of Public Health</t>
        </is>
      </c>
      <c r="O1127" s="245" t="inlineStr">
        <is>
          <t>—</t>
        </is>
      </c>
      <c r="P1127" s="245" t="inlineStr">
        <is>
          <t>covered</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5" t="inlineStr">
        <is>
          <t>Conforms | Одговара</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5" t="inlineStr">
        <is>
          <t>Conforms | Одговара</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5" t="inlineStr">
        <is>
          <t>Conforms | Одговара</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051-1-К/26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051-1-К/26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051-1-К/26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051-1-К/26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5" t="inlineStr">
        <is>
          <t>1.6 × 10²</t>
        </is>
      </c>
      <c r="L1160" s="245" t="inlineStr">
        <is>
          <t>133/0230/26</t>
        </is>
      </c>
      <c r="M1160" s="245" t="inlineStr">
        <is>
          <t>06.03.2026</t>
        </is>
      </c>
      <c r="N1160" s="245" t="inlineStr">
        <is>
          <t>IPH — Institute of Public Health</t>
        </is>
      </c>
      <c r="O1160" s="245" t="inlineStr">
        <is>
          <t>—</t>
        </is>
      </c>
      <c r="P1160" s="245" t="inlineStr">
        <is>
          <t>covered</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5" t="inlineStr">
        <is>
          <t>1.9 × 10²</t>
        </is>
      </c>
      <c r="L1161" s="245" t="inlineStr">
        <is>
          <t>133/0230/26</t>
        </is>
      </c>
      <c r="M1161" s="245" t="inlineStr">
        <is>
          <t>06.03.2026</t>
        </is>
      </c>
      <c r="N1161" s="245" t="inlineStr">
        <is>
          <t>IPH — Institute of Public Health</t>
        </is>
      </c>
      <c r="O1161" s="245" t="inlineStr">
        <is>
          <t>—</t>
        </is>
      </c>
      <c r="P1161" s="245" t="inlineStr">
        <is>
          <t>covered</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5" t="inlineStr">
        <is>
          <t>&lt; 10</t>
        </is>
      </c>
      <c r="L1162" s="245" t="inlineStr">
        <is>
          <t>133/0230/26</t>
        </is>
      </c>
      <c r="M1162" s="245" t="inlineStr">
        <is>
          <t>06.03.2026</t>
        </is>
      </c>
      <c r="N1162" s="245" t="inlineStr">
        <is>
          <t>IPH — Institute of Public Health</t>
        </is>
      </c>
      <c r="O1162" s="245" t="inlineStr">
        <is>
          <t>—</t>
        </is>
      </c>
      <c r="P1162" s="245" t="inlineStr">
        <is>
          <t>covered</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5" t="inlineStr">
        <is>
          <t>Absent | Отсутна</t>
        </is>
      </c>
      <c r="L1163" s="245" t="inlineStr">
        <is>
          <t>133/0230/26</t>
        </is>
      </c>
      <c r="M1163" s="245" t="inlineStr">
        <is>
          <t>06.03.2026</t>
        </is>
      </c>
      <c r="N1163" s="245" t="inlineStr">
        <is>
          <t>IPH — Institute of Public Health</t>
        </is>
      </c>
      <c r="O1163" s="245" t="inlineStr">
        <is>
          <t>—</t>
        </is>
      </c>
      <c r="P1163" s="245" t="inlineStr">
        <is>
          <t>covered</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5" t="inlineStr">
        <is>
          <t>Absent | Отсутна</t>
        </is>
      </c>
      <c r="L1164" s="245" t="inlineStr">
        <is>
          <t>133/0230/26</t>
        </is>
      </c>
      <c r="M1164" s="245" t="inlineStr">
        <is>
          <t>06.03.2026</t>
        </is>
      </c>
      <c r="N1164" s="245" t="inlineStr">
        <is>
          <t>IPH — Institute of Public Health</t>
        </is>
      </c>
      <c r="O1164" s="245" t="inlineStr">
        <is>
          <t>—</t>
        </is>
      </c>
      <c r="P1164" s="245" t="inlineStr">
        <is>
          <t>covered</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5" t="inlineStr">
        <is>
          <t>&lt; 2</t>
        </is>
      </c>
      <c r="L1168" s="245" t="inlineStr">
        <is>
          <t>1056/2026</t>
        </is>
      </c>
      <c r="M1168" s="245" t="inlineStr">
        <is>
          <t>09.03.2026</t>
        </is>
      </c>
      <c r="N1168" s="245" t="inlineStr">
        <is>
          <t>IPH — Institute of Public Health</t>
        </is>
      </c>
      <c r="O1168" s="245" t="inlineStr">
        <is>
          <t>—</t>
        </is>
      </c>
      <c r="P1168" s="245" t="inlineStr">
        <is>
          <t>covered</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5" t="inlineStr">
        <is>
          <t>0.061</t>
        </is>
      </c>
      <c r="L1170" s="245" t="inlineStr">
        <is>
          <t>1056/2026</t>
        </is>
      </c>
      <c r="M1170" s="245" t="inlineStr">
        <is>
          <t>09.03.2026</t>
        </is>
      </c>
      <c r="N1170" s="245" t="inlineStr">
        <is>
          <t>IPH — Institute of Public Health</t>
        </is>
      </c>
      <c r="O1170" s="245" t="inlineStr">
        <is>
          <t>—</t>
        </is>
      </c>
      <c r="P1170" s="245" t="inlineStr">
        <is>
          <t>covered</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5" t="inlineStr">
        <is>
          <t>ND</t>
        </is>
      </c>
      <c r="L1171" s="245" t="inlineStr">
        <is>
          <t>1056/2026</t>
        </is>
      </c>
      <c r="M1171" s="245" t="inlineStr">
        <is>
          <t>09.03.2026</t>
        </is>
      </c>
      <c r="N1171" s="245" t="inlineStr">
        <is>
          <t>IPH — Institute of Public Health</t>
        </is>
      </c>
      <c r="O1171" s="245" t="inlineStr">
        <is>
          <t>—</t>
        </is>
      </c>
      <c r="P1171" s="245" t="inlineStr">
        <is>
          <t>covered</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5" t="inlineStr">
        <is>
          <t>ND</t>
        </is>
      </c>
      <c r="L1172" s="245" t="inlineStr">
        <is>
          <t>1056/2026</t>
        </is>
      </c>
      <c r="M1172" s="245" t="inlineStr">
        <is>
          <t>09.03.2026</t>
        </is>
      </c>
      <c r="N1172" s="245" t="inlineStr">
        <is>
          <t>IPH — Institute of Public Health</t>
        </is>
      </c>
      <c r="O1172" s="245" t="inlineStr">
        <is>
          <t>—</t>
        </is>
      </c>
      <c r="P1172" s="245" t="inlineStr">
        <is>
          <t>covered</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5" t="inlineStr">
        <is>
          <t>ND</t>
        </is>
      </c>
      <c r="L1173" s="245" t="inlineStr">
        <is>
          <t>1056/2026</t>
        </is>
      </c>
      <c r="M1173" s="245" t="inlineStr">
        <is>
          <t>09.03.2026</t>
        </is>
      </c>
      <c r="N1173" s="245" t="inlineStr">
        <is>
          <t>IPH — Institute of Public Health</t>
        </is>
      </c>
      <c r="O1173" s="245" t="inlineStr">
        <is>
          <t>—</t>
        </is>
      </c>
      <c r="P1173" s="245" t="inlineStr">
        <is>
          <t>covered</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5" t="inlineStr">
        <is>
          <t>Conforms | Одговара</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5" t="inlineStr">
        <is>
          <t>Conforms | Одговара</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051-3-К/26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051-3-К/26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051-3-К/26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051-3-К/26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5" t="inlineStr">
        <is>
          <t>Conforms | Одговара</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051-4-К/26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051-4-К/26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051-4-К/26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051-4-К/26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5" t="inlineStr">
        <is>
          <t>3.8 × 10³</t>
        </is>
      </c>
      <c r="L1206" s="245" t="inlineStr">
        <is>
          <t>129/0226/26</t>
        </is>
      </c>
      <c r="M1206" s="245" t="inlineStr">
        <is>
          <t>06.03.2026</t>
        </is>
      </c>
      <c r="N1206" s="245" t="inlineStr">
        <is>
          <t>IPH — Institute of Public Health</t>
        </is>
      </c>
      <c r="O1206" s="245" t="inlineStr">
        <is>
          <t>—</t>
        </is>
      </c>
      <c r="P1206" s="245" t="inlineStr">
        <is>
          <t>covered</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5" t="inlineStr">
        <is>
          <t>6.8 × 10³</t>
        </is>
      </c>
      <c r="L1207" s="245" t="inlineStr">
        <is>
          <t>129/0226/26</t>
        </is>
      </c>
      <c r="M1207" s="245" t="inlineStr">
        <is>
          <t>06.03.2026</t>
        </is>
      </c>
      <c r="N1207" s="245" t="inlineStr">
        <is>
          <t>IPH — Institute of Public Health</t>
        </is>
      </c>
      <c r="O1207" s="245" t="inlineStr">
        <is>
          <t>—</t>
        </is>
      </c>
      <c r="P1207" s="245" t="inlineStr">
        <is>
          <t>covered</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5" t="inlineStr">
        <is>
          <t>&lt; 10³ and &gt; 10²</t>
        </is>
      </c>
      <c r="L1208" s="245" t="inlineStr">
        <is>
          <t>129/0226/26</t>
        </is>
      </c>
      <c r="M1208" s="245" t="inlineStr">
        <is>
          <t>06.03.2026</t>
        </is>
      </c>
      <c r="N1208" s="245" t="inlineStr">
        <is>
          <t>IPH — Institute of Public Health</t>
        </is>
      </c>
      <c r="O1208" s="245" t="inlineStr">
        <is>
          <t>—</t>
        </is>
      </c>
      <c r="P1208" s="245" t="inlineStr">
        <is>
          <t>covered</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5" t="inlineStr">
        <is>
          <t>Absent | Отсутна</t>
        </is>
      </c>
      <c r="L1209" s="245" t="inlineStr">
        <is>
          <t>129/0226/26</t>
        </is>
      </c>
      <c r="M1209" s="245" t="inlineStr">
        <is>
          <t>06.03.2026</t>
        </is>
      </c>
      <c r="N1209" s="245" t="inlineStr">
        <is>
          <t>IPH — Institute of Public Health</t>
        </is>
      </c>
      <c r="O1209" s="245" t="inlineStr">
        <is>
          <t>—</t>
        </is>
      </c>
      <c r="P1209" s="245" t="inlineStr">
        <is>
          <t>covered</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5" t="inlineStr">
        <is>
          <t>Absent | Отсутна</t>
        </is>
      </c>
      <c r="L1210" s="245" t="inlineStr">
        <is>
          <t>129/0226/26</t>
        </is>
      </c>
      <c r="M1210" s="245" t="inlineStr">
        <is>
          <t>06.03.2026</t>
        </is>
      </c>
      <c r="N1210" s="245" t="inlineStr">
        <is>
          <t>IPH — Institute of Public Health</t>
        </is>
      </c>
      <c r="O1210" s="245" t="inlineStr">
        <is>
          <t>—</t>
        </is>
      </c>
      <c r="P1210" s="245" t="inlineStr">
        <is>
          <t>covered</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5" t="inlineStr">
        <is>
          <t>2.8</t>
        </is>
      </c>
      <c r="L1214" s="245" t="inlineStr">
        <is>
          <t>1058/2026</t>
        </is>
      </c>
      <c r="M1214" s="245" t="inlineStr">
        <is>
          <t>09.03.2026</t>
        </is>
      </c>
      <c r="N1214" s="245" t="inlineStr">
        <is>
          <t>IPH — Institute of Public Health</t>
        </is>
      </c>
      <c r="O1214" s="245" t="inlineStr">
        <is>
          <t>—</t>
        </is>
      </c>
      <c r="P1214" s="245" t="inlineStr">
        <is>
          <t>covered</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5" t="inlineStr">
        <is>
          <t>ND</t>
        </is>
      </c>
      <c r="L1216" s="245" t="inlineStr">
        <is>
          <t>1058/2026</t>
        </is>
      </c>
      <c r="M1216" s="245" t="inlineStr">
        <is>
          <t>09.03.2026</t>
        </is>
      </c>
      <c r="N1216" s="245" t="inlineStr">
        <is>
          <t>IPH — Institute of Public Health</t>
        </is>
      </c>
      <c r="O1216" s="245" t="inlineStr">
        <is>
          <t>—</t>
        </is>
      </c>
      <c r="P1216" s="245" t="inlineStr">
        <is>
          <t>covered</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5" t="inlineStr">
        <is>
          <t>ND</t>
        </is>
      </c>
      <c r="L1217" s="245" t="inlineStr">
        <is>
          <t>1058/2026</t>
        </is>
      </c>
      <c r="M1217" s="245" t="inlineStr">
        <is>
          <t>09.03.2026</t>
        </is>
      </c>
      <c r="N1217" s="245" t="inlineStr">
        <is>
          <t>IPH — Institute of Public Health</t>
        </is>
      </c>
      <c r="O1217" s="245" t="inlineStr">
        <is>
          <t>—</t>
        </is>
      </c>
      <c r="P1217" s="245" t="inlineStr">
        <is>
          <t>covered</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5" t="inlineStr">
        <is>
          <t>ND</t>
        </is>
      </c>
      <c r="L1218" s="245" t="inlineStr">
        <is>
          <t>1058/2026</t>
        </is>
      </c>
      <c r="M1218" s="245" t="inlineStr">
        <is>
          <t>09.03.2026</t>
        </is>
      </c>
      <c r="N1218" s="245" t="inlineStr">
        <is>
          <t>IPH — Institute of Public Health</t>
        </is>
      </c>
      <c r="O1218" s="245" t="inlineStr">
        <is>
          <t>—</t>
        </is>
      </c>
      <c r="P1218" s="245" t="inlineStr">
        <is>
          <t>covered</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5" t="inlineStr">
        <is>
          <t>ND</t>
        </is>
      </c>
      <c r="L1219" s="245" t="inlineStr">
        <is>
          <t>1058/2026</t>
        </is>
      </c>
      <c r="M1219" s="245" t="inlineStr">
        <is>
          <t>09.03.2026</t>
        </is>
      </c>
      <c r="N1219" s="245" t="inlineStr">
        <is>
          <t>IPH — Institute of Public Health</t>
        </is>
      </c>
      <c r="O1219" s="245" t="inlineStr">
        <is>
          <t>—</t>
        </is>
      </c>
      <c r="P1219" s="245" t="inlineStr">
        <is>
          <t>covered</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5" t="inlineStr">
        <is>
          <t>Conforms | Одговара</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5" t="inlineStr">
        <is>
          <t>Conforms | Одговара</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051-6-К/26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051-6-К/26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051-6-К/26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051-6-К/26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5" t="inlineStr">
        <is>
          <t>Conforms | Одговара</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5" t="inlineStr">
        <is>
          <t>Conforms | Одговара</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5" t="inlineStr">
        <is>
          <t>Conforms | Одговара</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051-2-К/26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051-2-К/26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051-2-К/26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051-2-К/26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5" t="inlineStr">
        <is>
          <t>Conforms | Одговара</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5" t="inlineStr">
        <is>
          <t>Conforms | Одговара</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5" t="inlineStr">
        <is>
          <t>Conforms | Одговара</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051-5-К/26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051-5-К/26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051-5-К/26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051-5-К/26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5" t="inlineStr">
        <is>
          <t>Conforms | Одговара</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5" t="inlineStr">
        <is>
          <t>Conforms | Одговара</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5" t="inlineStr">
        <is>
          <t>Conforms | Одговара</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5" t="inlineStr">
        <is>
          <t>Conforms | Одговара</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5" t="inlineStr">
        <is>
          <t>10</t>
        </is>
      </c>
      <c r="L1344" s="245" t="inlineStr">
        <is>
          <t>135/0232/26</t>
        </is>
      </c>
      <c r="M1344" s="245" t="inlineStr">
        <is>
          <t>06.03.2026</t>
        </is>
      </c>
      <c r="N1344" s="245" t="inlineStr">
        <is>
          <t>IPH — Institute of Public Health</t>
        </is>
      </c>
      <c r="O1344" s="245" t="inlineStr">
        <is>
          <t>—</t>
        </is>
      </c>
      <c r="P1344" s="245" t="inlineStr">
        <is>
          <t>covered</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5" t="inlineStr">
        <is>
          <t>&lt; 10</t>
        </is>
      </c>
      <c r="L1345" s="245" t="inlineStr">
        <is>
          <t>135/0232/26</t>
        </is>
      </c>
      <c r="M1345" s="245" t="inlineStr">
        <is>
          <t>06.03.2026</t>
        </is>
      </c>
      <c r="N1345" s="245" t="inlineStr">
        <is>
          <t>IPH — Institute of Public Health</t>
        </is>
      </c>
      <c r="O1345" s="245" t="inlineStr">
        <is>
          <t>—</t>
        </is>
      </c>
      <c r="P1345" s="245" t="inlineStr">
        <is>
          <t>covered</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5" t="inlineStr">
        <is>
          <t>&lt; 10</t>
        </is>
      </c>
      <c r="L1346" s="245" t="inlineStr">
        <is>
          <t>135/0232/26</t>
        </is>
      </c>
      <c r="M1346" s="245" t="inlineStr">
        <is>
          <t>06.03.2026</t>
        </is>
      </c>
      <c r="N1346" s="245" t="inlineStr">
        <is>
          <t>IPH — Institute of Public Health</t>
        </is>
      </c>
      <c r="O1346" s="245" t="inlineStr">
        <is>
          <t>—</t>
        </is>
      </c>
      <c r="P1346" s="245" t="inlineStr">
        <is>
          <t>covered</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5" t="inlineStr">
        <is>
          <t>Absent | Отсутна</t>
        </is>
      </c>
      <c r="L1347" s="245" t="inlineStr">
        <is>
          <t>135/0232/26</t>
        </is>
      </c>
      <c r="M1347" s="245" t="inlineStr">
        <is>
          <t>06.03.2026</t>
        </is>
      </c>
      <c r="N1347" s="245" t="inlineStr">
        <is>
          <t>IPH — Institute of Public Health</t>
        </is>
      </c>
      <c r="O1347" s="245" t="inlineStr">
        <is>
          <t>—</t>
        </is>
      </c>
      <c r="P1347" s="245" t="inlineStr">
        <is>
          <t>covered</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5" t="inlineStr">
        <is>
          <t>Absent | Отсутна</t>
        </is>
      </c>
      <c r="L1348" s="245" t="inlineStr">
        <is>
          <t>135/0232/26</t>
        </is>
      </c>
      <c r="M1348" s="245" t="inlineStr">
        <is>
          <t>06.03.2026</t>
        </is>
      </c>
      <c r="N1348" s="245" t="inlineStr">
        <is>
          <t>IPH — Institute of Public Health</t>
        </is>
      </c>
      <c r="O1348" s="245" t="inlineStr">
        <is>
          <t>—</t>
        </is>
      </c>
      <c r="P1348" s="245" t="inlineStr">
        <is>
          <t>covered</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5" t="inlineStr">
        <is>
          <t>2.2</t>
        </is>
      </c>
      <c r="L1352" s="245" t="inlineStr">
        <is>
          <t>1059/2026</t>
        </is>
      </c>
      <c r="M1352" s="245" t="inlineStr">
        <is>
          <t>09.03.2026</t>
        </is>
      </c>
      <c r="N1352" s="245" t="inlineStr">
        <is>
          <t>IPH — Institute of Public Health</t>
        </is>
      </c>
      <c r="O1352" s="245" t="inlineStr">
        <is>
          <t>—</t>
        </is>
      </c>
      <c r="P1352" s="245" t="inlineStr">
        <is>
          <t>covered</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5" t="inlineStr">
        <is>
          <t>ND</t>
        </is>
      </c>
      <c r="L1354" s="245" t="inlineStr">
        <is>
          <t>1059/2026</t>
        </is>
      </c>
      <c r="M1354" s="245" t="inlineStr">
        <is>
          <t>09.03.2026</t>
        </is>
      </c>
      <c r="N1354" s="245" t="inlineStr">
        <is>
          <t>IPH — Institute of Public Health</t>
        </is>
      </c>
      <c r="O1354" s="245" t="inlineStr">
        <is>
          <t>—</t>
        </is>
      </c>
      <c r="P1354" s="245" t="inlineStr">
        <is>
          <t>covered</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5" t="inlineStr">
        <is>
          <t>ND</t>
        </is>
      </c>
      <c r="L1355" s="245" t="inlineStr">
        <is>
          <t>1059/2026</t>
        </is>
      </c>
      <c r="M1355" s="245" t="inlineStr">
        <is>
          <t>09.03.2026</t>
        </is>
      </c>
      <c r="N1355" s="245" t="inlineStr">
        <is>
          <t>IPH — Institute of Public Health</t>
        </is>
      </c>
      <c r="O1355" s="245" t="inlineStr">
        <is>
          <t>—</t>
        </is>
      </c>
      <c r="P1355" s="245" t="inlineStr">
        <is>
          <t>covered</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5" t="inlineStr">
        <is>
          <t>ND</t>
        </is>
      </c>
      <c r="L1356" s="245" t="inlineStr">
        <is>
          <t>1059/2026</t>
        </is>
      </c>
      <c r="M1356" s="245" t="inlineStr">
        <is>
          <t>09.03.2026</t>
        </is>
      </c>
      <c r="N1356" s="245" t="inlineStr">
        <is>
          <t>IPH — Institute of Public Health</t>
        </is>
      </c>
      <c r="O1356" s="245" t="inlineStr">
        <is>
          <t>—</t>
        </is>
      </c>
      <c r="P1356" s="245" t="inlineStr">
        <is>
          <t>covered</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5" t="inlineStr">
        <is>
          <t>ND</t>
        </is>
      </c>
      <c r="L1357" s="245" t="inlineStr">
        <is>
          <t>1059/2026</t>
        </is>
      </c>
      <c r="M1357" s="245" t="inlineStr">
        <is>
          <t>09.03.2026</t>
        </is>
      </c>
      <c r="N1357" s="245" t="inlineStr">
        <is>
          <t>IPH — Institute of Public Health</t>
        </is>
      </c>
      <c r="O1357" s="245" t="inlineStr">
        <is>
          <t>—</t>
        </is>
      </c>
      <c r="P1357" s="245" t="inlineStr">
        <is>
          <t>covered</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5" t="inlineStr">
        <is>
          <t>Conforms | Одговара</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5" t="inlineStr">
        <is>
          <t>Conforms | Одговара</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5" t="inlineStr">
        <is>
          <t>Conforms | Одговара</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5" t="inlineStr">
        <is>
          <t>Conforms | Одговара</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5" t="inlineStr">
        <is>
          <t>Conforms | Одговара</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5" t="inlineStr">
        <is>
          <t>Conforms | Одговара</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5" t="inlineStr">
        <is>
          <t>Conforms | Одговара</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5" t="inlineStr">
        <is>
          <t>Conforms | Одговара</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5" t="inlineStr">
        <is>
          <t>Conforms | Одговара</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5" t="inlineStr">
        <is>
          <t>Conforms | Одговара</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5" t="inlineStr">
        <is>
          <t>Conforms | Одговара</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5" t="inlineStr">
        <is>
          <t>Conforms | Одговара</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5" t="inlineStr">
        <is>
          <t>Conforms | Одговара</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5" t="inlineStr">
        <is>
          <t>Conforms | Одговара</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5" t="inlineStr">
        <is>
          <t>Conforms | Одговара</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5" t="inlineStr">
        <is>
          <t>Conforms | Одговара</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5" t="inlineStr">
        <is>
          <t>Conforms | Одговара</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5" t="inlineStr">
        <is>
          <t>Conforms | Одговара</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5" t="inlineStr">
        <is>
          <t>7.8 × 10⁴</t>
        </is>
      </c>
      <c r="L1551" s="245" t="inlineStr">
        <is>
          <t>361/0691/26</t>
        </is>
      </c>
      <c r="M1551" s="245" t="inlineStr">
        <is>
          <t>01.06.2026</t>
        </is>
      </c>
      <c r="N1551" s="245" t="inlineStr">
        <is>
          <t>IPH — Institute of Public Health</t>
        </is>
      </c>
      <c r="O1551" s="245" t="inlineStr">
        <is>
          <t>—</t>
        </is>
      </c>
      <c r="P1551" s="245" t="inlineStr">
        <is>
          <t>covered</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5" t="inlineStr">
        <is>
          <t>2.2 × 10⁴</t>
        </is>
      </c>
      <c r="L1552" s="245" t="inlineStr">
        <is>
          <t>361/0691/26</t>
        </is>
      </c>
      <c r="M1552" s="245" t="inlineStr">
        <is>
          <t>01.06.2026</t>
        </is>
      </c>
      <c r="N1552" s="245" t="inlineStr">
        <is>
          <t>IPH — Institute of Public Health</t>
        </is>
      </c>
      <c r="O1552" s="245" t="inlineStr">
        <is>
          <t>—</t>
        </is>
      </c>
      <c r="P1552" s="245" t="inlineStr">
        <is>
          <t>OUT OF SPECIFICATION — covered</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5" t="inlineStr">
        <is>
          <t>&lt; 10</t>
        </is>
      </c>
      <c r="L1553" s="245" t="inlineStr">
        <is>
          <t>361/0691/26</t>
        </is>
      </c>
      <c r="M1553" s="245" t="inlineStr">
        <is>
          <t>01.06.2026</t>
        </is>
      </c>
      <c r="N1553" s="245" t="inlineStr">
        <is>
          <t>IPH — Institute of Public Health</t>
        </is>
      </c>
      <c r="O1553" s="245" t="inlineStr">
        <is>
          <t>—</t>
        </is>
      </c>
      <c r="P1553" s="245" t="inlineStr">
        <is>
          <t>covered</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5" t="inlineStr">
        <is>
          <t>Absent | Отсутна</t>
        </is>
      </c>
      <c r="L1554" s="245" t="inlineStr">
        <is>
          <t>361/0691/26</t>
        </is>
      </c>
      <c r="M1554" s="245" t="inlineStr">
        <is>
          <t>01.06.2026</t>
        </is>
      </c>
      <c r="N1554" s="245" t="inlineStr">
        <is>
          <t>IPH — Institute of Public Health</t>
        </is>
      </c>
      <c r="O1554" s="245" t="inlineStr">
        <is>
          <t>—</t>
        </is>
      </c>
      <c r="P1554" s="245" t="inlineStr">
        <is>
          <t>covered</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5" t="inlineStr">
        <is>
          <t>Absent | Отсутна</t>
        </is>
      </c>
      <c r="L1555" s="245" t="inlineStr">
        <is>
          <t>361/0691/26</t>
        </is>
      </c>
      <c r="M1555" s="245" t="inlineStr">
        <is>
          <t>01.06.2026</t>
        </is>
      </c>
      <c r="N1555" s="245" t="inlineStr">
        <is>
          <t>IPH — Institute of Public Health</t>
        </is>
      </c>
      <c r="O1555" s="245" t="inlineStr">
        <is>
          <t>—</t>
        </is>
      </c>
      <c r="P1555" s="245" t="inlineStr">
        <is>
          <t>covered</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5" t="inlineStr">
        <is>
          <t>6.3 × 10⁴</t>
        </is>
      </c>
      <c r="L1597" s="245" t="inlineStr">
        <is>
          <t>366/0696/26</t>
        </is>
      </c>
      <c r="M1597" s="245" t="inlineStr">
        <is>
          <t>01.06.2026</t>
        </is>
      </c>
      <c r="N1597" s="245" t="inlineStr">
        <is>
          <t>IPH — Institute of Public Health</t>
        </is>
      </c>
      <c r="O1597" s="245" t="inlineStr">
        <is>
          <t>—</t>
        </is>
      </c>
      <c r="P1597" s="245" t="inlineStr">
        <is>
          <t>covered</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5" t="inlineStr">
        <is>
          <t>2.2 × 10⁴</t>
        </is>
      </c>
      <c r="L1598" s="245" t="inlineStr">
        <is>
          <t>366/0696/26</t>
        </is>
      </c>
      <c r="M1598" s="245" t="inlineStr">
        <is>
          <t>01.06.2026</t>
        </is>
      </c>
      <c r="N1598" s="245" t="inlineStr">
        <is>
          <t>IPH — Institute of Public Health</t>
        </is>
      </c>
      <c r="O1598" s="245" t="inlineStr">
        <is>
          <t>—</t>
        </is>
      </c>
      <c r="P1598" s="245" t="inlineStr">
        <is>
          <t>OUT OF SPECIFICATION — covered</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5" t="inlineStr">
        <is>
          <t>&lt; 10</t>
        </is>
      </c>
      <c r="L1599" s="245" t="inlineStr">
        <is>
          <t>366/0696/26</t>
        </is>
      </c>
      <c r="M1599" s="245" t="inlineStr">
        <is>
          <t>01.06.2026</t>
        </is>
      </c>
      <c r="N1599" s="245" t="inlineStr">
        <is>
          <t>IPH — Institute of Public Health</t>
        </is>
      </c>
      <c r="O1599" s="245" t="inlineStr">
        <is>
          <t>—</t>
        </is>
      </c>
      <c r="P1599" s="245" t="inlineStr">
        <is>
          <t>covered</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5" t="inlineStr">
        <is>
          <t>Absent | Отсутна</t>
        </is>
      </c>
      <c r="L1600" s="245" t="inlineStr">
        <is>
          <t>366/0696/26</t>
        </is>
      </c>
      <c r="M1600" s="245" t="inlineStr">
        <is>
          <t>01.06.2026</t>
        </is>
      </c>
      <c r="N1600" s="245" t="inlineStr">
        <is>
          <t>IPH — Institute of Public Health</t>
        </is>
      </c>
      <c r="O1600" s="245" t="inlineStr">
        <is>
          <t>—</t>
        </is>
      </c>
      <c r="P1600" s="245" t="inlineStr">
        <is>
          <t>covered</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5" t="inlineStr">
        <is>
          <t>Absent | Отсутна</t>
        </is>
      </c>
      <c r="L1601" s="245" t="inlineStr">
        <is>
          <t>366/0696/26</t>
        </is>
      </c>
      <c r="M1601" s="245" t="inlineStr">
        <is>
          <t>01.06.2026</t>
        </is>
      </c>
      <c r="N1601" s="245" t="inlineStr">
        <is>
          <t>IPH — Institute of Public Health</t>
        </is>
      </c>
      <c r="O1601" s="245" t="inlineStr">
        <is>
          <t>—</t>
        </is>
      </c>
      <c r="P1601" s="245" t="inlineStr">
        <is>
          <t>covered</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5" t="inlineStr">
        <is>
          <t>2 × 10²</t>
        </is>
      </c>
      <c r="L1620" s="245" t="inlineStr">
        <is>
          <t>365/0695/26</t>
        </is>
      </c>
      <c r="M1620" s="245" t="inlineStr">
        <is>
          <t>01.06.2026</t>
        </is>
      </c>
      <c r="N1620" s="245" t="inlineStr">
        <is>
          <t>IPH — Institute of Public Health</t>
        </is>
      </c>
      <c r="O1620" s="245" t="inlineStr">
        <is>
          <t>—</t>
        </is>
      </c>
      <c r="P1620" s="245" t="inlineStr">
        <is>
          <t>covered</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5" t="inlineStr">
        <is>
          <t>1 × 10²</t>
        </is>
      </c>
      <c r="L1621" s="245" t="inlineStr">
        <is>
          <t>365/0695/26</t>
        </is>
      </c>
      <c r="M1621" s="245" t="inlineStr">
        <is>
          <t>01.06.2026</t>
        </is>
      </c>
      <c r="N1621" s="245" t="inlineStr">
        <is>
          <t>IPH — Institute of Public Health</t>
        </is>
      </c>
      <c r="O1621" s="245" t="inlineStr">
        <is>
          <t>—</t>
        </is>
      </c>
      <c r="P1621" s="245" t="inlineStr">
        <is>
          <t>covered</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5" t="inlineStr">
        <is>
          <t>&lt; 10</t>
        </is>
      </c>
      <c r="L1622" s="245" t="inlineStr">
        <is>
          <t>365/0695/26</t>
        </is>
      </c>
      <c r="M1622" s="245" t="inlineStr">
        <is>
          <t>01.06.2026</t>
        </is>
      </c>
      <c r="N1622" s="245" t="inlineStr">
        <is>
          <t>IPH — Institute of Public Health</t>
        </is>
      </c>
      <c r="O1622" s="245" t="inlineStr">
        <is>
          <t>—</t>
        </is>
      </c>
      <c r="P1622" s="245" t="inlineStr">
        <is>
          <t>covered</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5" t="inlineStr">
        <is>
          <t>Absent | Отсутна</t>
        </is>
      </c>
      <c r="L1623" s="245" t="inlineStr">
        <is>
          <t>365/0695/26</t>
        </is>
      </c>
      <c r="M1623" s="245" t="inlineStr">
        <is>
          <t>01.06.2026</t>
        </is>
      </c>
      <c r="N1623" s="245" t="inlineStr">
        <is>
          <t>IPH — Institute of Public Health</t>
        </is>
      </c>
      <c r="O1623" s="245" t="inlineStr">
        <is>
          <t>—</t>
        </is>
      </c>
      <c r="P1623" s="245" t="inlineStr">
        <is>
          <t>covered</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5" t="inlineStr">
        <is>
          <t>Absent | Отсутна</t>
        </is>
      </c>
      <c r="L1624" s="245" t="inlineStr">
        <is>
          <t>365/0695/26</t>
        </is>
      </c>
      <c r="M1624" s="245" t="inlineStr">
        <is>
          <t>01.06.2026</t>
        </is>
      </c>
      <c r="N1624" s="245" t="inlineStr">
        <is>
          <t>IPH — Institute of Public Health</t>
        </is>
      </c>
      <c r="O1624" s="245" t="inlineStr">
        <is>
          <t>—</t>
        </is>
      </c>
      <c r="P1624" s="245" t="inlineStr">
        <is>
          <t>covered</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5" t="inlineStr">
        <is>
          <t>Conforms | Одговара</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5" t="inlineStr">
        <is>
          <t>Conforms | Одговара</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5" t="inlineStr">
        <is>
          <t>Conforms | Одговара</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5" t="inlineStr">
        <is>
          <t>2.7 × 10³</t>
        </is>
      </c>
      <c r="L1643" s="245" t="inlineStr">
        <is>
          <t>363/0693/26</t>
        </is>
      </c>
      <c r="M1643" s="245" t="inlineStr">
        <is>
          <t>01.06.2026</t>
        </is>
      </c>
      <c r="N1643" s="245" t="inlineStr">
        <is>
          <t>IPH — Institute of Public Health</t>
        </is>
      </c>
      <c r="O1643" s="245" t="inlineStr">
        <is>
          <t>—</t>
        </is>
      </c>
      <c r="P1643" s="245" t="inlineStr">
        <is>
          <t>covered</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5" t="inlineStr">
        <is>
          <t>1.6 × 10¹</t>
        </is>
      </c>
      <c r="L1644" s="245" t="inlineStr">
        <is>
          <t>363/0693/26</t>
        </is>
      </c>
      <c r="M1644" s="245" t="inlineStr">
        <is>
          <t>01.06.2026</t>
        </is>
      </c>
      <c r="N1644" s="245" t="inlineStr">
        <is>
          <t>IPH — Institute of Public Health</t>
        </is>
      </c>
      <c r="O1644" s="245" t="inlineStr">
        <is>
          <t>—</t>
        </is>
      </c>
      <c r="P1644" s="245" t="inlineStr">
        <is>
          <t>covered</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5" t="inlineStr">
        <is>
          <t>&lt; 10</t>
        </is>
      </c>
      <c r="L1645" s="245" t="inlineStr">
        <is>
          <t>363/0693/26</t>
        </is>
      </c>
      <c r="M1645" s="245" t="inlineStr">
        <is>
          <t>01.06.2026</t>
        </is>
      </c>
      <c r="N1645" s="245" t="inlineStr">
        <is>
          <t>IPH — Institute of Public Health</t>
        </is>
      </c>
      <c r="O1645" s="245" t="inlineStr">
        <is>
          <t>—</t>
        </is>
      </c>
      <c r="P1645" s="245" t="inlineStr">
        <is>
          <t>covered</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5" t="inlineStr">
        <is>
          <t>Absent | Отсутна</t>
        </is>
      </c>
      <c r="L1646" s="245" t="inlineStr">
        <is>
          <t>363/0693/26</t>
        </is>
      </c>
      <c r="M1646" s="245" t="inlineStr">
        <is>
          <t>01.06.2026</t>
        </is>
      </c>
      <c r="N1646" s="245" t="inlineStr">
        <is>
          <t>IPH — Institute of Public Health</t>
        </is>
      </c>
      <c r="O1646" s="245" t="inlineStr">
        <is>
          <t>—</t>
        </is>
      </c>
      <c r="P1646" s="245" t="inlineStr">
        <is>
          <t>covered</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5" t="inlineStr">
        <is>
          <t>Absent | Отсутна</t>
        </is>
      </c>
      <c r="L1647" s="245" t="inlineStr">
        <is>
          <t>363/0693/26</t>
        </is>
      </c>
      <c r="M1647" s="245" t="inlineStr">
        <is>
          <t>01.06.2026</t>
        </is>
      </c>
      <c r="N1647" s="245" t="inlineStr">
        <is>
          <t>IPH — Institute of Public Health</t>
        </is>
      </c>
      <c r="O1647" s="245" t="inlineStr">
        <is>
          <t>—</t>
        </is>
      </c>
      <c r="P1647" s="245" t="inlineStr">
        <is>
          <t>covered</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5" t="inlineStr">
        <is>
          <t>Conforms | Одговара</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5" t="inlineStr">
        <is>
          <t>Conforms | Одговара</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5" t="inlineStr">
        <is>
          <t>Conforms | Одговара</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5" t="inlineStr">
        <is>
          <t>5.4 × 10⁴</t>
        </is>
      </c>
      <c r="L1689" s="245" t="inlineStr">
        <is>
          <t>364/0694/26</t>
        </is>
      </c>
      <c r="M1689" s="245" t="inlineStr">
        <is>
          <t>01.06.2026</t>
        </is>
      </c>
      <c r="N1689" s="245" t="inlineStr">
        <is>
          <t>IPH — Institute of Public Health</t>
        </is>
      </c>
      <c r="O1689" s="245" t="inlineStr">
        <is>
          <t>—</t>
        </is>
      </c>
      <c r="P1689" s="245" t="inlineStr">
        <is>
          <t>covered</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5" t="inlineStr">
        <is>
          <t>1.8 × 10⁴</t>
        </is>
      </c>
      <c r="L1690" s="245" t="inlineStr">
        <is>
          <t>364/0694/26</t>
        </is>
      </c>
      <c r="M1690" s="245" t="inlineStr">
        <is>
          <t>01.06.2026</t>
        </is>
      </c>
      <c r="N1690" s="245" t="inlineStr">
        <is>
          <t>IPH — Institute of Public Health</t>
        </is>
      </c>
      <c r="O1690" s="245" t="inlineStr">
        <is>
          <t>—</t>
        </is>
      </c>
      <c r="P1690" s="245" t="inlineStr">
        <is>
          <t>UNDETERMINED (Ph. Eur. 5.1.4) — covered</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5" t="inlineStr">
        <is>
          <t>&lt; 10</t>
        </is>
      </c>
      <c r="L1691" s="245" t="inlineStr">
        <is>
          <t>364/0694/26</t>
        </is>
      </c>
      <c r="M1691" s="245" t="inlineStr">
        <is>
          <t>01.06.2026</t>
        </is>
      </c>
      <c r="N1691" s="245" t="inlineStr">
        <is>
          <t>IPH — Institute of Public Health</t>
        </is>
      </c>
      <c r="O1691" s="245" t="inlineStr">
        <is>
          <t>—</t>
        </is>
      </c>
      <c r="P1691" s="245" t="inlineStr">
        <is>
          <t>covered</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5" t="inlineStr">
        <is>
          <t>Absent | Отсутна</t>
        </is>
      </c>
      <c r="L1692" s="245" t="inlineStr">
        <is>
          <t>364/0694/26</t>
        </is>
      </c>
      <c r="M1692" s="245" t="inlineStr">
        <is>
          <t>01.06.2026</t>
        </is>
      </c>
      <c r="N1692" s="245" t="inlineStr">
        <is>
          <t>IPH — Institute of Public Health</t>
        </is>
      </c>
      <c r="O1692" s="245" t="inlineStr">
        <is>
          <t>—</t>
        </is>
      </c>
      <c r="P1692" s="245" t="inlineStr">
        <is>
          <t>covered</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5" t="inlineStr">
        <is>
          <t>Absent | Отсутна</t>
        </is>
      </c>
      <c r="L1693" s="245" t="inlineStr">
        <is>
          <t>364/0694/26</t>
        </is>
      </c>
      <c r="M1693" s="245" t="inlineStr">
        <is>
          <t>01.06.2026</t>
        </is>
      </c>
      <c r="N1693" s="245" t="inlineStr">
        <is>
          <t>IPH — Institute of Public Health</t>
        </is>
      </c>
      <c r="O1693" s="245" t="inlineStr">
        <is>
          <t>—</t>
        </is>
      </c>
      <c r="P1693" s="245" t="inlineStr">
        <is>
          <t>covered</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5" t="inlineStr">
        <is>
          <t>5 × 10³</t>
        </is>
      </c>
      <c r="L1758" s="245" t="inlineStr">
        <is>
          <t>404/0787/26</t>
        </is>
      </c>
      <c r="M1758" s="245" t="inlineStr">
        <is>
          <t>24.06.2026</t>
        </is>
      </c>
      <c r="N1758" s="245" t="inlineStr">
        <is>
          <t>IPH — Institute of Public Health</t>
        </is>
      </c>
      <c r="O1758" s="245" t="inlineStr">
        <is>
          <t>—</t>
        </is>
      </c>
      <c r="P1758" s="245" t="inlineStr">
        <is>
          <t>covered</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5" t="inlineStr">
        <is>
          <t>4.1 × 10³</t>
        </is>
      </c>
      <c r="L1759" s="245" t="inlineStr">
        <is>
          <t>404/0787/26</t>
        </is>
      </c>
      <c r="M1759" s="245" t="inlineStr">
        <is>
          <t>24.06.2026</t>
        </is>
      </c>
      <c r="N1759" s="245" t="inlineStr">
        <is>
          <t>IPH — Institute of Public Health</t>
        </is>
      </c>
      <c r="O1759" s="245" t="inlineStr">
        <is>
          <t>—</t>
        </is>
      </c>
      <c r="P1759" s="245" t="inlineStr">
        <is>
          <t>covered</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5" t="inlineStr">
        <is>
          <t>&lt; 10</t>
        </is>
      </c>
      <c r="L1760" s="245" t="inlineStr">
        <is>
          <t>404/0787/26</t>
        </is>
      </c>
      <c r="M1760" s="245" t="inlineStr">
        <is>
          <t>24.06.2026</t>
        </is>
      </c>
      <c r="N1760" s="245" t="inlineStr">
        <is>
          <t>IPH — Institute of Public Health</t>
        </is>
      </c>
      <c r="O1760" s="245" t="inlineStr">
        <is>
          <t>—</t>
        </is>
      </c>
      <c r="P1760" s="245" t="inlineStr">
        <is>
          <t>covered</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5" t="inlineStr">
        <is>
          <t>Absent | Отсутна</t>
        </is>
      </c>
      <c r="L1761" s="245" t="inlineStr">
        <is>
          <t>404/0787/26</t>
        </is>
      </c>
      <c r="M1761" s="245" t="inlineStr">
        <is>
          <t>24.06.2026</t>
        </is>
      </c>
      <c r="N1761" s="245" t="inlineStr">
        <is>
          <t>IPH — Institute of Public Health</t>
        </is>
      </c>
      <c r="O1761" s="245" t="inlineStr">
        <is>
          <t>—</t>
        </is>
      </c>
      <c r="P1761" s="245" t="inlineStr">
        <is>
          <t>covered</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5" t="inlineStr">
        <is>
          <t>Absent | Отсутна</t>
        </is>
      </c>
      <c r="L1762" s="245" t="inlineStr">
        <is>
          <t>404/0787/26</t>
        </is>
      </c>
      <c r="M1762" s="245" t="inlineStr">
        <is>
          <t>24.06.2026</t>
        </is>
      </c>
      <c r="N1762" s="245" t="inlineStr">
        <is>
          <t>IPH — Institute of Public Health</t>
        </is>
      </c>
      <c r="O1762" s="245" t="inlineStr">
        <is>
          <t>—</t>
        </is>
      </c>
      <c r="P1762" s="245" t="inlineStr">
        <is>
          <t>covered</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5" t="inlineStr">
        <is>
          <t>&lt; 2</t>
        </is>
      </c>
      <c r="L1766" s="245" t="inlineStr">
        <is>
          <t>3659/2026</t>
        </is>
      </c>
      <c r="M1766" s="245" t="inlineStr">
        <is>
          <t>22.06.2026</t>
        </is>
      </c>
      <c r="N1766" s="245" t="inlineStr">
        <is>
          <t>IPH — Institute of Public Health</t>
        </is>
      </c>
      <c r="O1766" s="245" t="inlineStr">
        <is>
          <t>—</t>
        </is>
      </c>
      <c r="P1766" s="245" t="inlineStr">
        <is>
          <t>covered</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5" t="inlineStr">
        <is>
          <t>0.059</t>
        </is>
      </c>
      <c r="L1768" s="245" t="inlineStr">
        <is>
          <t>3659/2026</t>
        </is>
      </c>
      <c r="M1768" s="245" t="inlineStr">
        <is>
          <t>22.06.2026</t>
        </is>
      </c>
      <c r="N1768" s="245" t="inlineStr">
        <is>
          <t>IPH — Institute of Public Health</t>
        </is>
      </c>
      <c r="O1768" s="245" t="inlineStr">
        <is>
          <t>—</t>
        </is>
      </c>
      <c r="P1768" s="245" t="inlineStr">
        <is>
          <t>covered</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5" t="inlineStr">
        <is>
          <t>0.03</t>
        </is>
      </c>
      <c r="L1769" s="245" t="inlineStr">
        <is>
          <t>3659/2026</t>
        </is>
      </c>
      <c r="M1769" s="245" t="inlineStr">
        <is>
          <t>22.06.2026</t>
        </is>
      </c>
      <c r="N1769" s="245" t="inlineStr">
        <is>
          <t>IPH — Institute of Public Health</t>
        </is>
      </c>
      <c r="O1769" s="245" t="inlineStr">
        <is>
          <t>—</t>
        </is>
      </c>
      <c r="P1769" s="245" t="inlineStr">
        <is>
          <t>covered</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5" t="inlineStr">
        <is>
          <t>0.05</t>
        </is>
      </c>
      <c r="L1770" s="245" t="inlineStr">
        <is>
          <t>3659/2026</t>
        </is>
      </c>
      <c r="M1770" s="245" t="inlineStr">
        <is>
          <t>22.06.2026</t>
        </is>
      </c>
      <c r="N1770" s="245" t="inlineStr">
        <is>
          <t>IPH — Institute of Public Health</t>
        </is>
      </c>
      <c r="O1770" s="245" t="inlineStr">
        <is>
          <t>—</t>
        </is>
      </c>
      <c r="P1770" s="245" t="inlineStr">
        <is>
          <t>covered</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5" t="inlineStr">
        <is>
          <t>0.015</t>
        </is>
      </c>
      <c r="L1771" s="245" t="inlineStr">
        <is>
          <t>3659/2026</t>
        </is>
      </c>
      <c r="M1771" s="245" t="inlineStr">
        <is>
          <t>22.06.2026</t>
        </is>
      </c>
      <c r="N1771" s="245" t="inlineStr">
        <is>
          <t>IPH — Institute of Public Health</t>
        </is>
      </c>
      <c r="O1771" s="245" t="inlineStr">
        <is>
          <t>—</t>
        </is>
      </c>
      <c r="P1771" s="245" t="inlineStr">
        <is>
          <t>covered</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5" t="inlineStr">
        <is>
          <t>Conforms | Одговара</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5" t="inlineStr">
        <is>
          <t>Conforms | Одговара</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5" t="inlineStr">
        <is>
          <t>Conforms | Одговара</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5" t="inlineStr">
        <is>
          <t>Conforms | Одговара</t>
        </is>
      </c>
      <c r="L1934" s="245" t="inlineStr">
        <is>
          <t>iCoA-PP_26-098</t>
        </is>
      </c>
      <c r="M1934" s="245" t="inlineStr">
        <is>
          <t>27.07.2026</t>
        </is>
      </c>
      <c r="N1934" s="245" t="inlineStr">
        <is>
          <t>Purely Plant GmbH (in-house)</t>
        </is>
      </c>
      <c r="O1934" s="245" t="inlineStr">
        <is>
          <t>—</t>
        </is>
      </c>
      <c r="P1934" s="245" t="inlineStr">
        <is>
          <t>covered</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5" t="inlineStr">
        <is>
          <t>Conforms | Одговара</t>
        </is>
      </c>
      <c r="L1935" s="245" t="inlineStr">
        <is>
          <t>iCoA-PP_26-098</t>
        </is>
      </c>
      <c r="M1935" s="245" t="inlineStr">
        <is>
          <t>27.07.2026</t>
        </is>
      </c>
      <c r="N1935" s="245" t="inlineStr">
        <is>
          <t>Purely Plant GmbH (in-house)</t>
        </is>
      </c>
      <c r="O1935" s="245" t="inlineStr">
        <is>
          <t>—</t>
        </is>
      </c>
      <c r="P1935" s="245" t="inlineStr">
        <is>
          <t>covered</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5" t="inlineStr">
        <is>
          <t>Conforms | Одговара</t>
        </is>
      </c>
      <c r="L1940" s="245" t="inlineStr">
        <is>
          <t>iCoA-PP_26-098</t>
        </is>
      </c>
      <c r="M1940" s="245" t="inlineStr">
        <is>
          <t>27.07.2026</t>
        </is>
      </c>
      <c r="N1940" s="245" t="inlineStr">
        <is>
          <t>Purely Plant GmbH (in-house)</t>
        </is>
      </c>
      <c r="O1940" s="245" t="inlineStr">
        <is>
          <t>—</t>
        </is>
      </c>
      <c r="P1940" s="245" t="inlineStr">
        <is>
          <t>covered</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5" t="inlineStr">
        <is>
          <t>Conforms | Одговара</t>
        </is>
      </c>
      <c r="L1957" s="245" t="inlineStr">
        <is>
          <t>iCoA-PP_26-099</t>
        </is>
      </c>
      <c r="M1957" s="245" t="inlineStr">
        <is>
          <t>27.07.2026</t>
        </is>
      </c>
      <c r="N1957" s="245" t="inlineStr">
        <is>
          <t>Purely Plant GmbH (in-house)</t>
        </is>
      </c>
      <c r="O1957" s="245" t="inlineStr">
        <is>
          <t>—</t>
        </is>
      </c>
      <c r="P1957" s="245" t="inlineStr">
        <is>
          <t>covered</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5" t="inlineStr">
        <is>
          <t>Conforms | Одговара</t>
        </is>
      </c>
      <c r="L1958" s="245" t="inlineStr">
        <is>
          <t>iCoA-PP_26-099</t>
        </is>
      </c>
      <c r="M1958" s="245" t="inlineStr">
        <is>
          <t>27.07.2026</t>
        </is>
      </c>
      <c r="N1958" s="245" t="inlineStr">
        <is>
          <t>Purely Plant GmbH (in-house)</t>
        </is>
      </c>
      <c r="O1958" s="245" t="inlineStr">
        <is>
          <t>—</t>
        </is>
      </c>
      <c r="P1958" s="245" t="inlineStr">
        <is>
          <t>covered</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5" t="inlineStr">
        <is>
          <t>Conforms | Одговара</t>
        </is>
      </c>
      <c r="L1963" s="245" t="inlineStr">
        <is>
          <t>iCoA-PP_26-099</t>
        </is>
      </c>
      <c r="M1963" s="245" t="inlineStr">
        <is>
          <t>27.07.2026</t>
        </is>
      </c>
      <c r="N1963" s="245" t="inlineStr">
        <is>
          <t>Purely Plant GmbH (in-house)</t>
        </is>
      </c>
      <c r="O1963" s="245" t="inlineStr">
        <is>
          <t>—</t>
        </is>
      </c>
      <c r="P1963" s="245" t="inlineStr">
        <is>
          <t>covered</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5" t="inlineStr">
        <is>
          <t>Conforms | Одговара</t>
        </is>
      </c>
      <c r="L1980" s="245" t="inlineStr">
        <is>
          <t>iCoA-PP_26-103</t>
        </is>
      </c>
      <c r="M1980" s="245" t="inlineStr">
        <is>
          <t>27.07.2026</t>
        </is>
      </c>
      <c r="N1980" s="245" t="inlineStr">
        <is>
          <t>Purely Plant GmbH (in-house)</t>
        </is>
      </c>
      <c r="O1980" s="245" t="inlineStr">
        <is>
          <t>—</t>
        </is>
      </c>
      <c r="P1980" s="245" t="inlineStr">
        <is>
          <t>covered</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5" t="inlineStr">
        <is>
          <t>Conforms | Одговара</t>
        </is>
      </c>
      <c r="L1981" s="245" t="inlineStr">
        <is>
          <t>iCoA-PP_26-103</t>
        </is>
      </c>
      <c r="M1981" s="245" t="inlineStr">
        <is>
          <t>27.07.2026</t>
        </is>
      </c>
      <c r="N1981" s="245" t="inlineStr">
        <is>
          <t>Purely Plant GmbH (in-house)</t>
        </is>
      </c>
      <c r="O1981" s="245" t="inlineStr">
        <is>
          <t>—</t>
        </is>
      </c>
      <c r="P1981" s="245" t="inlineStr">
        <is>
          <t>covered</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5" t="inlineStr">
        <is>
          <t>Conforms | Одговара</t>
        </is>
      </c>
      <c r="L1986" s="245" t="inlineStr">
        <is>
          <t>iCoA-PP_26-103</t>
        </is>
      </c>
      <c r="M1986" s="245" t="inlineStr">
        <is>
          <t>27.07.2026</t>
        </is>
      </c>
      <c r="N1986" s="245" t="inlineStr">
        <is>
          <t>Purely Plant GmbH (in-house)</t>
        </is>
      </c>
      <c r="O1986" s="245" t="inlineStr">
        <is>
          <t>—</t>
        </is>
      </c>
      <c r="P1986" s="245" t="inlineStr">
        <is>
          <t>covered</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 not tested</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7.8 × 10⁴</t>
        </is>
      </c>
      <c r="L1988" s="245" t="inlineStr">
        <is>
          <t>361/0691/26</t>
        </is>
      </c>
      <c r="M1988" s="245" t="inlineStr">
        <is>
          <t>01.06.2026</t>
        </is>
      </c>
      <c r="N1988" s="245" t="inlineStr">
        <is>
          <t>IPH — Institute of Public Health</t>
        </is>
      </c>
      <c r="O1988" s="245" t="inlineStr">
        <is>
          <t>—</t>
        </is>
      </c>
      <c r="P1988" s="245" t="inlineStr">
        <is>
          <t>covered</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2.2 × 10⁴</t>
        </is>
      </c>
      <c r="L1989" s="245" t="inlineStr">
        <is>
          <t>361/0691/26</t>
        </is>
      </c>
      <c r="M1989" s="245" t="inlineStr">
        <is>
          <t>01.06.2026</t>
        </is>
      </c>
      <c r="N1989" s="245" t="inlineStr">
        <is>
          <t>IPH — Institute of Public Health</t>
        </is>
      </c>
      <c r="O1989" s="245" t="inlineStr">
        <is>
          <t>—</t>
        </is>
      </c>
      <c r="P1989" s="245" t="inlineStr">
        <is>
          <t>OUT OF SPECIFICATION — covered</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&lt; 10</t>
        </is>
      </c>
      <c r="L1990" s="245" t="inlineStr">
        <is>
          <t>361/0691/26</t>
        </is>
      </c>
      <c r="M1990" s="245" t="inlineStr">
        <is>
          <t>01.06.2026</t>
        </is>
      </c>
      <c r="N1990" s="245" t="inlineStr">
        <is>
          <t>IPH — Institute of Public Health</t>
        </is>
      </c>
      <c r="O1990" s="245" t="inlineStr">
        <is>
          <t>—</t>
        </is>
      </c>
      <c r="P1990" s="245" t="inlineStr">
        <is>
          <t>covered</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Absent | Отсутна</t>
        </is>
      </c>
      <c r="L1991" s="245" t="inlineStr">
        <is>
          <t>361/0691/26</t>
        </is>
      </c>
      <c r="M1991" s="245" t="inlineStr">
        <is>
          <t>01.06.2026</t>
        </is>
      </c>
      <c r="N1991" s="245" t="inlineStr">
        <is>
          <t>IPH — Institute of Public Health</t>
        </is>
      </c>
      <c r="O1991" s="245" t="inlineStr">
        <is>
          <t>—</t>
        </is>
      </c>
      <c r="P1991" s="245" t="inlineStr">
        <is>
          <t>covered</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Absent | Отсутна</t>
        </is>
      </c>
      <c r="L1992" s="245" t="inlineStr">
        <is>
          <t>361/0691/26</t>
        </is>
      </c>
      <c r="M1992" s="245" t="inlineStr">
        <is>
          <t>01.06.2026</t>
        </is>
      </c>
      <c r="N1992" s="245" t="inlineStr">
        <is>
          <t>IPH — Institute of Public Health</t>
        </is>
      </c>
      <c r="O1992" s="245" t="inlineStr">
        <is>
          <t>—</t>
        </is>
      </c>
      <c r="P1992" s="245" t="inlineStr">
        <is>
          <t>covered</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 not tested</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 not tested</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 not tested</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 not tested</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 not tested</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5" t="inlineStr">
        <is>
          <t>Conforms | Одговара</t>
        </is>
      </c>
      <c r="L2003" s="245" t="inlineStr">
        <is>
          <t>iCoA-PP_26-100</t>
        </is>
      </c>
      <c r="M2003" s="245" t="inlineStr">
        <is>
          <t>27.07.2026</t>
        </is>
      </c>
      <c r="N2003" s="245" t="inlineStr">
        <is>
          <t>Purely Plant GmbH (in-house)</t>
        </is>
      </c>
      <c r="O2003" s="245" t="inlineStr">
        <is>
          <t>—</t>
        </is>
      </c>
      <c r="P2003" s="245" t="inlineStr">
        <is>
          <t>covered</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5" t="inlineStr">
        <is>
          <t>Conforms | Одговара</t>
        </is>
      </c>
      <c r="L2004" s="245" t="inlineStr">
        <is>
          <t>iCoA-PP_26-100</t>
        </is>
      </c>
      <c r="M2004" s="245" t="inlineStr">
        <is>
          <t>27.07.2026</t>
        </is>
      </c>
      <c r="N2004" s="245" t="inlineStr">
        <is>
          <t>Purely Plant GmbH (in-house)</t>
        </is>
      </c>
      <c r="O2004" s="245" t="inlineStr">
        <is>
          <t>—</t>
        </is>
      </c>
      <c r="P2004" s="245" t="inlineStr">
        <is>
          <t>covered</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5" t="inlineStr">
        <is>
          <t>Conforms | Одговара</t>
        </is>
      </c>
      <c r="L2009" s="245" t="inlineStr">
        <is>
          <t>iCoA-PP_26-100</t>
        </is>
      </c>
      <c r="M2009" s="245" t="inlineStr">
        <is>
          <t>27.07.2026</t>
        </is>
      </c>
      <c r="N2009" s="245" t="inlineStr">
        <is>
          <t>Purely Plant GmbH (in-house)</t>
        </is>
      </c>
      <c r="O2009" s="245" t="inlineStr">
        <is>
          <t>—</t>
        </is>
      </c>
      <c r="P2009" s="245" t="inlineStr">
        <is>
          <t>covered</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CJ082501/2</t>
        </is>
      </c>
      <c r="D2026" s="245" t="inlineStr">
        <is>
          <t>P060032</t>
        </is>
      </c>
      <c r="E2026" s="245" t="inlineStr">
        <is>
          <t>Cap Junky</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5" t="inlineStr">
        <is>
          <t>Conforms | Одговара</t>
        </is>
      </c>
      <c r="L2026" s="245" t="inlineStr">
        <is>
          <t>iCoA-PP_26-102</t>
        </is>
      </c>
      <c r="M2026" s="245" t="inlineStr">
        <is>
          <t>27.07.2026</t>
        </is>
      </c>
      <c r="N2026" s="245" t="inlineStr">
        <is>
          <t>Purely Plant GmbH (in-house)</t>
        </is>
      </c>
      <c r="O2026" s="245" t="inlineStr">
        <is>
          <t>—</t>
        </is>
      </c>
      <c r="P2026" s="245" t="inlineStr">
        <is>
          <t>covered</t>
        </is>
      </c>
      <c r="Q2026" s="245" t="inlineStr">
        <is>
          <t>Farmahem — Ident A + B + C with the Assay, at retest</t>
        </is>
      </c>
      <c r="R2026" s="245" t="inlineStr"/>
    </row>
    <row r="2027">
      <c r="A2027" s="245" t="inlineStr">
        <is>
          <t>CoQ-PP_26-089</t>
        </is>
      </c>
      <c r="B2027" s="245" t="inlineStr">
        <is>
          <t>reissue — 12-month retest</t>
        </is>
      </c>
      <c r="C2027" s="245" t="inlineStr">
        <is>
          <t>CJ082501/2</t>
        </is>
      </c>
      <c r="D2027" s="245" t="inlineStr">
        <is>
          <t>P060032</t>
        </is>
      </c>
      <c r="E2027" s="245" t="inlineStr">
        <is>
          <t>Cap Junky</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5" t="inlineStr">
        <is>
          <t>Conforms | Одговара</t>
        </is>
      </c>
      <c r="L2027" s="245" t="inlineStr">
        <is>
          <t>iCoA-PP_26-102</t>
        </is>
      </c>
      <c r="M2027" s="245" t="inlineStr">
        <is>
          <t>27.07.2026</t>
        </is>
      </c>
      <c r="N2027" s="245" t="inlineStr">
        <is>
          <t>Purely Plant GmbH (in-house)</t>
        </is>
      </c>
      <c r="O2027" s="245" t="inlineStr">
        <is>
          <t>—</t>
        </is>
      </c>
      <c r="P2027" s="245" t="inlineStr">
        <is>
          <t>covered</t>
        </is>
      </c>
      <c r="Q2027" s="245" t="inlineStr">
        <is>
          <t>Farmahem — Ident A + B + C with the Assay, at retest</t>
        </is>
      </c>
      <c r="R2027" s="245" t="inlineStr"/>
    </row>
    <row r="2028">
      <c r="A2028" s="245" t="inlineStr">
        <is>
          <t>CoQ-PP_26-089</t>
        </is>
      </c>
      <c r="B2028" s="245" t="inlineStr">
        <is>
          <t>reissue — 12-month retest</t>
        </is>
      </c>
      <c r="C2028" s="245" t="inlineStr">
        <is>
          <t>CJ082501/2</t>
        </is>
      </c>
      <c r="D2028" s="245" t="inlineStr">
        <is>
          <t>P060032</t>
        </is>
      </c>
      <c r="E2028" s="245" t="inlineStr">
        <is>
          <t>Cap Junky</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197-5-К/26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CJ082501/2</t>
        </is>
      </c>
      <c r="D2029" s="245" t="inlineStr">
        <is>
          <t>P060032</t>
        </is>
      </c>
      <c r="E2029" s="245" t="inlineStr">
        <is>
          <t>Cap Junky</t>
        </is>
      </c>
      <c r="F2029" s="245" t="inlineStr">
        <is>
          <t>17.08.2026</t>
        </is>
      </c>
      <c r="G2029" s="245" t="inlineStr">
        <is>
          <t>4</t>
        </is>
      </c>
      <c r="H2029" s="245" t="inlineStr">
        <is>
          <t>Assay — Total Δ⁹-THC</t>
        </is>
      </c>
      <c r="I2029" s="245" t="inlineStr">
        <is>
          <t>Ph. Eur. 2.2.29 (HPLC)</t>
        </is>
      </c>
      <c r="J2029" s="245" t="inlineStr">
        <is>
          <t>15.60 – 18.39 %  (grade IV, nominal 17.00 ± 1.40)</t>
        </is>
      </c>
      <c r="K2029" s="245" t="inlineStr">
        <is>
          <t>18.29</t>
        </is>
      </c>
      <c r="L2029" s="245" t="inlineStr">
        <is>
          <t>197-5-К/26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CJ082501/2</t>
        </is>
      </c>
      <c r="D2030" s="245" t="inlineStr">
        <is>
          <t>P060032</t>
        </is>
      </c>
      <c r="E2030" s="245" t="inlineStr">
        <is>
          <t>Cap Junky</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197-5-К/26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CJ082501/2</t>
        </is>
      </c>
      <c r="D2031" s="245" t="inlineStr">
        <is>
          <t>P060032</t>
        </is>
      </c>
      <c r="E2031" s="245" t="inlineStr">
        <is>
          <t>Cap Junky</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197-5-К/26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CJ082501/2</t>
        </is>
      </c>
      <c r="D2032" s="245" t="inlineStr">
        <is>
          <t>P060032</t>
        </is>
      </c>
      <c r="E2032" s="245" t="inlineStr">
        <is>
          <t>Cap Junky</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5" t="inlineStr">
        <is>
          <t>Conforms | Одговара</t>
        </is>
      </c>
      <c r="L2032" s="245" t="inlineStr">
        <is>
          <t>iCoA-PP_26-102</t>
        </is>
      </c>
      <c r="M2032" s="245" t="inlineStr">
        <is>
          <t>27.07.2026</t>
        </is>
      </c>
      <c r="N2032" s="245" t="inlineStr">
        <is>
          <t>Purely Plant GmbH (in-house)</t>
        </is>
      </c>
      <c r="O2032" s="245" t="inlineStr">
        <is>
          <t>—</t>
        </is>
      </c>
      <c r="P2032" s="245" t="inlineStr">
        <is>
          <t>covered</t>
        </is>
      </c>
      <c r="Q2032" s="245" t="inlineStr">
        <is>
          <t>Purely Plant laboratory — iCoA covering Foreign matter</t>
        </is>
      </c>
      <c r="R2032" s="245" t="inlineStr"/>
    </row>
    <row r="2033">
      <c r="A2033" s="245" t="inlineStr">
        <is>
          <t>CoQ-PP_26-089</t>
        </is>
      </c>
      <c r="B2033" s="245" t="inlineStr">
        <is>
          <t>reissue — 12-month retest</t>
        </is>
      </c>
      <c r="C2033" s="245" t="inlineStr">
        <is>
          <t>CJ082501/2</t>
        </is>
      </c>
      <c r="D2033" s="245" t="inlineStr">
        <is>
          <t>P060032</t>
        </is>
      </c>
      <c r="E2033" s="245" t="inlineStr">
        <is>
          <t>Cap Junky</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7.37</t>
        </is>
      </c>
      <c r="L2033" s="245" t="inlineStr">
        <is>
          <t>ППК26003</t>
        </is>
      </c>
      <c r="M2033" s="245" t="inlineStr">
        <is>
          <t>21.01.2026</t>
        </is>
      </c>
      <c r="N2033" s="245" t="inlineStr">
        <is>
          <t>UKIM Faculty of Pharmacy — Center for Natural Products</t>
        </is>
      </c>
      <c r="O2033" s="245" t="inlineStr">
        <is>
          <t>08.01.2026</t>
        </is>
      </c>
      <c r="P2033" s="245" t="inlineStr">
        <is>
          <t>carried from the initial testing (CoQ-PP-2026-0003) — covered</t>
        </is>
      </c>
      <c r="Q2033" s="245" t="inlineStr"/>
      <c r="R2033" s="245" t="inlineStr"/>
    </row>
    <row r="2034">
      <c r="A2034" s="245" t="inlineStr">
        <is>
          <t>CoQ-PP_26-089</t>
        </is>
      </c>
      <c r="B2034" s="245" t="inlineStr">
        <is>
          <t>reissue — 12-month retest</t>
        </is>
      </c>
      <c r="C2034" s="245" t="inlineStr">
        <is>
          <t>CJ082501/2</t>
        </is>
      </c>
      <c r="D2034" s="245" t="inlineStr">
        <is>
          <t>P060032</t>
        </is>
      </c>
      <c r="E2034" s="245" t="inlineStr">
        <is>
          <t>Cap Junky</t>
        </is>
      </c>
      <c r="F2034" s="245" t="inlineStr">
        <is>
          <t>17.08.2026</t>
        </is>
      </c>
      <c r="G2034" s="245" t="inlineStr">
        <is>
          <t>9.1</t>
        </is>
      </c>
      <c r="H2034" s="245" t="inlineStr">
        <is>
          <t>TAMC</t>
        </is>
      </c>
      <c r="I2034" s="245" t="inlineStr">
        <is>
          <t>Ph. Eur. 2.6.12 cat. C</t>
        </is>
      </c>
      <c r="J2034" s="245" t="inlineStr">
        <is>
          <t>≤ 10⁵ CFU/g</t>
        </is>
      </c>
      <c r="K2034" s="245" t="inlineStr">
        <is>
          <t>9.5 × 10²</t>
        </is>
      </c>
      <c r="L2034" s="245" t="inlineStr">
        <is>
          <t>4/0007/26</t>
        </is>
      </c>
      <c r="M2034" s="245" t="inlineStr">
        <is>
          <t>20.01.2026</t>
        </is>
      </c>
      <c r="N2034" s="245" t="inlineStr">
        <is>
          <t>IPH — Institute of Public Health</t>
        </is>
      </c>
      <c r="O2034" s="245" t="inlineStr">
        <is>
          <t>12.01.2025</t>
        </is>
      </c>
      <c r="P2034" s="245" t="inlineStr">
        <is>
          <t>carried from the initial testing (CoQ-PP-2026-0003) — covered</t>
        </is>
      </c>
      <c r="Q2034" s="245" t="inlineStr"/>
      <c r="R2034" s="245" t="inlineStr"/>
    </row>
    <row r="2035">
      <c r="A2035" s="245" t="inlineStr">
        <is>
          <t>CoQ-PP_26-089</t>
        </is>
      </c>
      <c r="B2035" s="245" t="inlineStr">
        <is>
          <t>reissue — 12-month retest</t>
        </is>
      </c>
      <c r="C2035" s="245" t="inlineStr">
        <is>
          <t>CJ082501/2</t>
        </is>
      </c>
      <c r="D2035" s="245" t="inlineStr">
        <is>
          <t>P060032</t>
        </is>
      </c>
      <c r="E2035" s="245" t="inlineStr">
        <is>
          <t>Cap Junky</t>
        </is>
      </c>
      <c r="F2035" s="245" t="inlineStr">
        <is>
          <t>17.08.2026</t>
        </is>
      </c>
      <c r="G2035" s="245" t="inlineStr">
        <is>
          <t>9.2</t>
        </is>
      </c>
      <c r="H2035" s="245" t="inlineStr">
        <is>
          <t>TYMC</t>
        </is>
      </c>
      <c r="I2035" s="245" t="inlineStr">
        <is>
          <t>Ph. Eur. 2.6.12 cat. C</t>
        </is>
      </c>
      <c r="J2035" s="245" t="inlineStr">
        <is>
          <t>≤ 10⁴ CFU/g</t>
        </is>
      </c>
      <c r="K2035" s="245" t="inlineStr">
        <is>
          <t>1.2 × 10³</t>
        </is>
      </c>
      <c r="L2035" s="245" t="inlineStr">
        <is>
          <t>4/0007/26</t>
        </is>
      </c>
      <c r="M2035" s="245" t="inlineStr">
        <is>
          <t>20.01.2026</t>
        </is>
      </c>
      <c r="N2035" s="245" t="inlineStr">
        <is>
          <t>IPH — Institute of Public Health</t>
        </is>
      </c>
      <c r="O2035" s="245" t="inlineStr">
        <is>
          <t>12.01.2025</t>
        </is>
      </c>
      <c r="P2035" s="245" t="inlineStr">
        <is>
          <t>carried from the initial testing (CoQ-PP-2026-0003) — covered</t>
        </is>
      </c>
      <c r="Q2035" s="245" t="inlineStr"/>
      <c r="R2035" s="245" t="inlineStr"/>
    </row>
    <row r="2036">
      <c r="A2036" s="245" t="inlineStr">
        <is>
          <t>CoQ-PP_26-089</t>
        </is>
      </c>
      <c r="B2036" s="245" t="inlineStr">
        <is>
          <t>reissue — 12-month retest</t>
        </is>
      </c>
      <c r="C2036" s="245" t="inlineStr">
        <is>
          <t>CJ082501/2</t>
        </is>
      </c>
      <c r="D2036" s="245" t="inlineStr">
        <is>
          <t>P060032</t>
        </is>
      </c>
      <c r="E2036" s="245" t="inlineStr">
        <is>
          <t>Cap Junky</t>
        </is>
      </c>
      <c r="F2036" s="245" t="inlineStr">
        <is>
          <t>17.08.2026</t>
        </is>
      </c>
      <c r="G2036" s="245" t="inlineStr">
        <is>
          <t>9.3</t>
        </is>
      </c>
      <c r="H2036" s="245" t="inlineStr">
        <is>
          <t>Bile-tolerant gram-neg.</t>
        </is>
      </c>
      <c r="I2036" s="245" t="inlineStr">
        <is>
          <t>Ph. Eur. 2.6.31 cat. C</t>
        </is>
      </c>
      <c r="J2036" s="245" t="inlineStr">
        <is>
          <t>≤ 10⁴ CFU/g</t>
        </is>
      </c>
      <c r="K2036" s="245" t="inlineStr">
        <is>
          <t>&lt; 10</t>
        </is>
      </c>
      <c r="L2036" s="245" t="inlineStr">
        <is>
          <t>4/0007/26</t>
        </is>
      </c>
      <c r="M2036" s="245" t="inlineStr">
        <is>
          <t>20.01.2026</t>
        </is>
      </c>
      <c r="N2036" s="245" t="inlineStr">
        <is>
          <t>IPH — Institute of Public Health</t>
        </is>
      </c>
      <c r="O2036" s="245" t="inlineStr">
        <is>
          <t>12.01.2025</t>
        </is>
      </c>
      <c r="P2036" s="245" t="inlineStr">
        <is>
          <t>carried from the initial testing (CoQ-PP-2026-0003) — covered</t>
        </is>
      </c>
      <c r="Q2036" s="245" t="inlineStr"/>
      <c r="R2036" s="245" t="inlineStr"/>
    </row>
    <row r="2037">
      <c r="A2037" s="245" t="inlineStr">
        <is>
          <t>CoQ-PP_26-089</t>
        </is>
      </c>
      <c r="B2037" s="245" t="inlineStr">
        <is>
          <t>reissue — 12-month retest</t>
        </is>
      </c>
      <c r="C2037" s="245" t="inlineStr">
        <is>
          <t>CJ082501/2</t>
        </is>
      </c>
      <c r="D2037" s="245" t="inlineStr">
        <is>
          <t>P060032</t>
        </is>
      </c>
      <c r="E2037" s="245" t="inlineStr">
        <is>
          <t>Cap Junky</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4/0007/26</t>
        </is>
      </c>
      <c r="M2037" s="245" t="inlineStr">
        <is>
          <t>20.01.2026</t>
        </is>
      </c>
      <c r="N2037" s="245" t="inlineStr">
        <is>
          <t>IPH — Institute of Public Health</t>
        </is>
      </c>
      <c r="O2037" s="245" t="inlineStr">
        <is>
          <t>12.01.2025</t>
        </is>
      </c>
      <c r="P2037" s="245" t="inlineStr">
        <is>
          <t>carried from the initial testing (CoQ-PP-2026-0003) — covered</t>
        </is>
      </c>
      <c r="Q2037" s="245" t="inlineStr"/>
      <c r="R2037" s="245" t="inlineStr"/>
    </row>
    <row r="2038">
      <c r="A2038" s="245" t="inlineStr">
        <is>
          <t>CoQ-PP_26-089</t>
        </is>
      </c>
      <c r="B2038" s="245" t="inlineStr">
        <is>
          <t>reissue — 12-month retest</t>
        </is>
      </c>
      <c r="C2038" s="245" t="inlineStr">
        <is>
          <t>CJ082501/2</t>
        </is>
      </c>
      <c r="D2038" s="245" t="inlineStr">
        <is>
          <t>P060032</t>
        </is>
      </c>
      <c r="E2038" s="245" t="inlineStr">
        <is>
          <t>Cap Junky</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4/0007/26</t>
        </is>
      </c>
      <c r="M2038" s="245" t="inlineStr">
        <is>
          <t>20.01.2026</t>
        </is>
      </c>
      <c r="N2038" s="245" t="inlineStr">
        <is>
          <t>IPH — Institute of Public Health</t>
        </is>
      </c>
      <c r="O2038" s="245" t="inlineStr">
        <is>
          <t>12.01.2025</t>
        </is>
      </c>
      <c r="P2038" s="245" t="inlineStr">
        <is>
          <t>carried from the initial testing (CoQ-PP-2026-0003) — covered</t>
        </is>
      </c>
      <c r="Q2038" s="245" t="inlineStr"/>
      <c r="R2038" s="245" t="inlineStr"/>
    </row>
    <row r="2039">
      <c r="A2039" s="245" t="inlineStr">
        <is>
          <t>CoQ-PP_26-089</t>
        </is>
      </c>
      <c r="B2039" s="245" t="inlineStr">
        <is>
          <t>reissue — 12-month retest</t>
        </is>
      </c>
      <c r="C2039" s="245" t="inlineStr">
        <is>
          <t>CJ082501/2</t>
        </is>
      </c>
      <c r="D2039" s="245" t="inlineStr">
        <is>
          <t>P060032</t>
        </is>
      </c>
      <c r="E2039" s="245" t="inlineStr">
        <is>
          <t>Cap Junky</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CJ082501/2</t>
        </is>
      </c>
      <c r="D2040" s="245" t="inlineStr">
        <is>
          <t>P060032</t>
        </is>
      </c>
      <c r="E2040" s="245" t="inlineStr">
        <is>
          <t>Cap Junky</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CJ082501/2</t>
        </is>
      </c>
      <c r="D2041" s="245" t="inlineStr">
        <is>
          <t>P060032</t>
        </is>
      </c>
      <c r="E2041" s="245" t="inlineStr">
        <is>
          <t>Cap Junky</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197-5-М/26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CJ082501/2</t>
        </is>
      </c>
      <c r="D2042" s="245" t="inlineStr">
        <is>
          <t>P060032</t>
        </is>
      </c>
      <c r="E2042" s="245" t="inlineStr">
        <is>
          <t>Cap Junky</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197-5-М/26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CJ082501/2</t>
        </is>
      </c>
      <c r="D2043" s="245" t="inlineStr">
        <is>
          <t>P060032</t>
        </is>
      </c>
      <c r="E2043" s="245" t="inlineStr">
        <is>
          <t>Cap Junky</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197-5-М/26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CJ082501/2</t>
        </is>
      </c>
      <c r="D2044" s="245" t="inlineStr">
        <is>
          <t>P060032</t>
        </is>
      </c>
      <c r="E2044" s="245" t="inlineStr">
        <is>
          <t>Cap Junky</t>
        </is>
      </c>
      <c r="F2044" s="245" t="inlineStr">
        <is>
          <t>17.08.2026</t>
        </is>
      </c>
      <c r="G2044" s="245" t="inlineStr">
        <is>
          <t>11.1</t>
        </is>
      </c>
      <c r="H2044" s="245" t="inlineStr">
        <is>
          <t>Lead (Pb)</t>
        </is>
      </c>
      <c r="I2044" s="245" t="inlineStr">
        <is>
          <t>Ph. Eur. 2.4.27 (ICP-MS)</t>
        </is>
      </c>
      <c r="J2044" s="245" t="inlineStr">
        <is>
          <t>≤ 0.5 mg/kg</t>
        </is>
      </c>
      <c r="K2044" s="245" t="inlineStr">
        <is>
          <t>0.073</t>
        </is>
      </c>
      <c r="L2044" s="245" t="inlineStr">
        <is>
          <t>82/2026</t>
        </is>
      </c>
      <c r="M2044" s="245" t="inlineStr">
        <is>
          <t>02.02.2026</t>
        </is>
      </c>
      <c r="N2044" s="245" t="inlineStr">
        <is>
          <t>IPH — Institute of Public Health</t>
        </is>
      </c>
      <c r="O2044" s="245" t="inlineStr">
        <is>
          <t>08.01.2026</t>
        </is>
      </c>
      <c r="P2044" s="245" t="inlineStr">
        <is>
          <t>carried from the initial testing (CoQ-PP-2026-0003) — covered</t>
        </is>
      </c>
      <c r="Q2044" s="245" t="inlineStr"/>
      <c r="R2044" s="245" t="inlineStr"/>
    </row>
    <row r="2045">
      <c r="A2045" s="245" t="inlineStr">
        <is>
          <t>CoQ-PP_26-089</t>
        </is>
      </c>
      <c r="B2045" s="245" t="inlineStr">
        <is>
          <t>reissue — 12-month retest</t>
        </is>
      </c>
      <c r="C2045" s="245" t="inlineStr">
        <is>
          <t>CJ082501/2</t>
        </is>
      </c>
      <c r="D2045" s="245" t="inlineStr">
        <is>
          <t>P060032</t>
        </is>
      </c>
      <c r="E2045" s="245" t="inlineStr">
        <is>
          <t>Cap Junky</t>
        </is>
      </c>
      <c r="F2045" s="245" t="inlineStr">
        <is>
          <t>17.08.2026</t>
        </is>
      </c>
      <c r="G2045" s="245" t="inlineStr">
        <is>
          <t>11.2</t>
        </is>
      </c>
      <c r="H2045" s="245" t="inlineStr">
        <is>
          <t>Cadmium (Cd)</t>
        </is>
      </c>
      <c r="I2045" s="245" t="inlineStr">
        <is>
          <t>Ph. Eur. 2.4.27 (ICP-MS)</t>
        </is>
      </c>
      <c r="J2045" s="245" t="inlineStr">
        <is>
          <t>≤ 0.3 mg/kg</t>
        </is>
      </c>
      <c r="K2045" s="245" t="inlineStr">
        <is>
          <t>ND</t>
        </is>
      </c>
      <c r="L2045" s="245" t="inlineStr">
        <is>
          <t>82/2026</t>
        </is>
      </c>
      <c r="M2045" s="245" t="inlineStr">
        <is>
          <t>02.02.2026</t>
        </is>
      </c>
      <c r="N2045" s="245" t="inlineStr">
        <is>
          <t>IPH — Institute of Public Health</t>
        </is>
      </c>
      <c r="O2045" s="245" t="inlineStr">
        <is>
          <t>08.01.2026</t>
        </is>
      </c>
      <c r="P2045" s="245" t="inlineStr">
        <is>
          <t>carried from the initial testing (CoQ-PP-2026-0003) — covered</t>
        </is>
      </c>
      <c r="Q2045" s="245" t="inlineStr"/>
      <c r="R2045" s="245" t="inlineStr"/>
    </row>
    <row r="2046">
      <c r="A2046" s="245" t="inlineStr">
        <is>
          <t>CoQ-PP_26-089</t>
        </is>
      </c>
      <c r="B2046" s="245" t="inlineStr">
        <is>
          <t>reissue — 12-month retest</t>
        </is>
      </c>
      <c r="C2046" s="245" t="inlineStr">
        <is>
          <t>CJ082501/2</t>
        </is>
      </c>
      <c r="D2046" s="245" t="inlineStr">
        <is>
          <t>P060032</t>
        </is>
      </c>
      <c r="E2046" s="245" t="inlineStr">
        <is>
          <t>Cap Junky</t>
        </is>
      </c>
      <c r="F2046" s="245" t="inlineStr">
        <is>
          <t>17.08.2026</t>
        </is>
      </c>
      <c r="G2046" s="245" t="inlineStr">
        <is>
          <t>11.3</t>
        </is>
      </c>
      <c r="H2046" s="245" t="inlineStr">
        <is>
          <t>Arsenic (As)</t>
        </is>
      </c>
      <c r="I2046" s="245" t="inlineStr">
        <is>
          <t>Ph. Eur. 2.4.27 (ICP-MS)</t>
        </is>
      </c>
      <c r="J2046" s="245" t="inlineStr">
        <is>
          <t>≤ 0.2 mg/kg</t>
        </is>
      </c>
      <c r="K2046" s="245" t="inlineStr">
        <is>
          <t>ND</t>
        </is>
      </c>
      <c r="L2046" s="245" t="inlineStr">
        <is>
          <t>82/2026</t>
        </is>
      </c>
      <c r="M2046" s="245" t="inlineStr">
        <is>
          <t>02.02.2026</t>
        </is>
      </c>
      <c r="N2046" s="245" t="inlineStr">
        <is>
          <t>IPH — Institute of Public Health</t>
        </is>
      </c>
      <c r="O2046" s="245" t="inlineStr">
        <is>
          <t>08.01.2026</t>
        </is>
      </c>
      <c r="P2046" s="245" t="inlineStr">
        <is>
          <t>carried from the initial testing (CoQ-PP-2026-0003) — covered</t>
        </is>
      </c>
      <c r="Q2046" s="245" t="inlineStr"/>
      <c r="R2046" s="245" t="inlineStr"/>
    </row>
    <row r="2047">
      <c r="A2047" s="245" t="inlineStr">
        <is>
          <t>CoQ-PP_26-089</t>
        </is>
      </c>
      <c r="B2047" s="245" t="inlineStr">
        <is>
          <t>reissue — 12-month retest</t>
        </is>
      </c>
      <c r="C2047" s="245" t="inlineStr">
        <is>
          <t>CJ082501/2</t>
        </is>
      </c>
      <c r="D2047" s="245" t="inlineStr">
        <is>
          <t>P060032</t>
        </is>
      </c>
      <c r="E2047" s="245" t="inlineStr">
        <is>
          <t>Cap Junky</t>
        </is>
      </c>
      <c r="F2047" s="245" t="inlineStr">
        <is>
          <t>17.08.2026</t>
        </is>
      </c>
      <c r="G2047" s="245" t="inlineStr">
        <is>
          <t>11.4</t>
        </is>
      </c>
      <c r="H2047" s="245" t="inlineStr">
        <is>
          <t>Mercury (Hg)</t>
        </is>
      </c>
      <c r="I2047" s="245" t="inlineStr">
        <is>
          <t>Ph. Eur. 2.4.27 (ICP-MS)</t>
        </is>
      </c>
      <c r="J2047" s="245" t="inlineStr">
        <is>
          <t>≤ 0.1 mg/kg</t>
        </is>
      </c>
      <c r="K2047" s="245" t="inlineStr">
        <is>
          <t>ND</t>
        </is>
      </c>
      <c r="L2047" s="245" t="inlineStr">
        <is>
          <t>82/2026</t>
        </is>
      </c>
      <c r="M2047" s="245" t="inlineStr">
        <is>
          <t>02.02.2026</t>
        </is>
      </c>
      <c r="N2047" s="245" t="inlineStr">
        <is>
          <t>IPH — Institute of Public Health</t>
        </is>
      </c>
      <c r="O2047" s="245" t="inlineStr">
        <is>
          <t>08.01.2026</t>
        </is>
      </c>
      <c r="P2047" s="245" t="inlineStr">
        <is>
          <t>carried from the initial testing (CoQ-PP-2026-0003) — covered</t>
        </is>
      </c>
      <c r="Q2047" s="245" t="inlineStr"/>
      <c r="R2047" s="245" t="inlineStr"/>
    </row>
    <row r="2048">
      <c r="A2048" s="245" t="inlineStr">
        <is>
          <t>CoQ-PP_26-089</t>
        </is>
      </c>
      <c r="B2048" s="245" t="inlineStr">
        <is>
          <t>reissue — 12-month retest</t>
        </is>
      </c>
      <c r="C2048" s="245" t="inlineStr">
        <is>
          <t>CJ082501/2</t>
        </is>
      </c>
      <c r="D2048" s="245" t="inlineStr">
        <is>
          <t>P060032</t>
        </is>
      </c>
      <c r="E2048" s="245" t="inlineStr">
        <is>
          <t>Cap Junky</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82/2026</t>
        </is>
      </c>
      <c r="M2048" s="245" t="inlineStr">
        <is>
          <t>02.02.2026</t>
        </is>
      </c>
      <c r="N2048" s="245" t="inlineStr">
        <is>
          <t>IPH — Institute of Public Health</t>
        </is>
      </c>
      <c r="O2048" s="245" t="inlineStr">
        <is>
          <t>08.01.2026</t>
        </is>
      </c>
      <c r="P2048" s="245" t="inlineStr">
        <is>
          <t>carried from the initial testing (CoQ-PP-2026-0003) — covered</t>
        </is>
      </c>
      <c r="Q2048" s="245" t="inlineStr"/>
      <c r="R2048" s="245" t="inlineStr"/>
    </row>
    <row r="2049">
      <c r="A2049" s="245" t="inlineStr">
        <is>
          <t>CoQ-PP_26-090</t>
        </is>
      </c>
      <c r="B2049" s="245" t="inlineStr">
        <is>
          <t>reissue — 12-month retest</t>
        </is>
      </c>
      <c r="C2049" s="245" t="inlineStr">
        <is>
          <t>FB012602</t>
        </is>
      </c>
      <c r="D2049" s="245" t="inlineStr">
        <is>
          <t>P060352</t>
        </is>
      </c>
      <c r="E2049" s="245" t="inlineStr">
        <is>
          <t>Fat Bastard</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5" t="inlineStr">
        <is>
          <t>Conforms | Одговара</t>
        </is>
      </c>
      <c r="L2049" s="245" t="inlineStr">
        <is>
          <t>iCoA-PP_26-107</t>
        </is>
      </c>
      <c r="M2049" s="245" t="inlineStr">
        <is>
          <t>27.07.2026</t>
        </is>
      </c>
      <c r="N2049" s="245" t="inlineStr">
        <is>
          <t>Purely Plant GmbH (in-house)</t>
        </is>
      </c>
      <c r="O2049" s="245" t="inlineStr">
        <is>
          <t>—</t>
        </is>
      </c>
      <c r="P2049" s="245" t="inlineStr">
        <is>
          <t>covered</t>
        </is>
      </c>
      <c r="Q2049" s="245" t="inlineStr">
        <is>
          <t>Farmahem — Ident A + B + C with the Assay, at retest</t>
        </is>
      </c>
      <c r="R2049" s="245" t="inlineStr"/>
    </row>
    <row r="2050">
      <c r="A2050" s="245" t="inlineStr">
        <is>
          <t>CoQ-PP_26-090</t>
        </is>
      </c>
      <c r="B2050" s="245" t="inlineStr">
        <is>
          <t>reissue — 12-month retest</t>
        </is>
      </c>
      <c r="C2050" s="245" t="inlineStr">
        <is>
          <t>FB012602</t>
        </is>
      </c>
      <c r="D2050" s="245" t="inlineStr">
        <is>
          <t>P060352</t>
        </is>
      </c>
      <c r="E2050" s="245" t="inlineStr">
        <is>
          <t>Fat Bastard</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5" t="inlineStr">
        <is>
          <t>Conforms | Одговара</t>
        </is>
      </c>
      <c r="L2050" s="245" t="inlineStr">
        <is>
          <t>iCoA-PP_26-107</t>
        </is>
      </c>
      <c r="M2050" s="245" t="inlineStr">
        <is>
          <t>27.07.2026</t>
        </is>
      </c>
      <c r="N2050" s="245" t="inlineStr">
        <is>
          <t>Purely Plant GmbH (in-house)</t>
        </is>
      </c>
      <c r="O2050" s="245" t="inlineStr">
        <is>
          <t>—</t>
        </is>
      </c>
      <c r="P2050" s="245" t="inlineStr">
        <is>
          <t>covered</t>
        </is>
      </c>
      <c r="Q2050" s="245" t="inlineStr">
        <is>
          <t>Farmahem — Ident A + B + C with the Assay, at retest</t>
        </is>
      </c>
      <c r="R2050" s="245" t="inlineStr"/>
    </row>
    <row r="2051">
      <c r="A2051" s="245" t="inlineStr">
        <is>
          <t>CoQ-PP_26-090</t>
        </is>
      </c>
      <c r="B2051" s="245" t="inlineStr">
        <is>
          <t>reissue — 12-month retest</t>
        </is>
      </c>
      <c r="C2051" s="245" t="inlineStr">
        <is>
          <t>FB012602</t>
        </is>
      </c>
      <c r="D2051" s="245" t="inlineStr">
        <is>
          <t>P060352</t>
        </is>
      </c>
      <c r="E2051" s="245" t="inlineStr">
        <is>
          <t>Fat Bastard</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197-7-К/26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FB012602</t>
        </is>
      </c>
      <c r="D2052" s="245" t="inlineStr">
        <is>
          <t>P060352</t>
        </is>
      </c>
      <c r="E2052" s="245" t="inlineStr">
        <is>
          <t>Fat Bastard</t>
        </is>
      </c>
      <c r="F2052" s="245" t="inlineStr">
        <is>
          <t>17.08.2026</t>
        </is>
      </c>
      <c r="G2052" s="245" t="inlineStr">
        <is>
          <t>4</t>
        </is>
      </c>
      <c r="H2052" s="245" t="inlineStr">
        <is>
          <t>Assay — Total Δ⁹-THC</t>
        </is>
      </c>
      <c r="I2052" s="245" t="inlineStr">
        <is>
          <t>Ph. Eur. 2.2.29 (HPLC)</t>
        </is>
      </c>
      <c r="J2052" s="245" t="inlineStr">
        <is>
          <t>16.20 – 19.79 %  (grade II, nominal 18.00 ± 1.80)</t>
        </is>
      </c>
      <c r="K2052" s="245" t="inlineStr">
        <is>
          <t>18.86</t>
        </is>
      </c>
      <c r="L2052" s="245" t="inlineStr">
        <is>
          <t>197-7-К/26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FB012602</t>
        </is>
      </c>
      <c r="D2053" s="245" t="inlineStr">
        <is>
          <t>P060352</t>
        </is>
      </c>
      <c r="E2053" s="245" t="inlineStr">
        <is>
          <t>Fat Bastard</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0.22</t>
        </is>
      </c>
      <c r="L2053" s="245" t="inlineStr">
        <is>
          <t>197-7-К/26</t>
        </is>
      </c>
      <c r="M2053" s="245" t="inlineStr">
        <is>
          <t>07.08.2026</t>
        </is>
      </c>
      <c r="N2053" s="245" t="inlineStr">
        <is>
          <t>Farmahem</t>
        </is>
      </c>
      <c r="O2053" s="245" t="inlineStr">
        <is>
          <t>27.07.2026</t>
        </is>
      </c>
      <c r="P2053" s="245" t="inlineStr">
        <is>
          <t>covered — laboratory finding recorded</t>
        </is>
      </c>
      <c r="Q2053" s="245" t="inlineStr"/>
      <c r="R2053" s="245" t="inlineStr"/>
    </row>
    <row r="2054">
      <c r="A2054" s="245" t="inlineStr">
        <is>
          <t>CoQ-PP_26-090</t>
        </is>
      </c>
      <c r="B2054" s="245" t="inlineStr">
        <is>
          <t>reissue — 12-month retest</t>
        </is>
      </c>
      <c r="C2054" s="245" t="inlineStr">
        <is>
          <t>FB012602</t>
        </is>
      </c>
      <c r="D2054" s="245" t="inlineStr">
        <is>
          <t>P060352</t>
        </is>
      </c>
      <c r="E2054" s="245" t="inlineStr">
        <is>
          <t>Fat Bastard</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197-7-К/26</t>
        </is>
      </c>
      <c r="M2054" s="245" t="inlineStr">
        <is>
          <t>07.08.2026</t>
        </is>
      </c>
      <c r="N2054" s="245" t="inlineStr">
        <is>
          <t>Farmahem</t>
        </is>
      </c>
      <c r="O2054" s="245" t="inlineStr">
        <is>
          <t>27.07.2026</t>
        </is>
      </c>
      <c r="P2054" s="245" t="inlineStr">
        <is>
          <t>covered — laboratory finding recorded</t>
        </is>
      </c>
      <c r="Q2054" s="245" t="inlineStr"/>
      <c r="R2054" s="245" t="inlineStr"/>
    </row>
    <row r="2055">
      <c r="A2055" s="245" t="inlineStr">
        <is>
          <t>CoQ-PP_26-090</t>
        </is>
      </c>
      <c r="B2055" s="245" t="inlineStr">
        <is>
          <t>reissue — 12-month retest</t>
        </is>
      </c>
      <c r="C2055" s="245" t="inlineStr">
        <is>
          <t>FB012602</t>
        </is>
      </c>
      <c r="D2055" s="245" t="inlineStr">
        <is>
          <t>P060352</t>
        </is>
      </c>
      <c r="E2055" s="245" t="inlineStr">
        <is>
          <t>Fat Bastard</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5" t="inlineStr">
        <is>
          <t>Conforms | Одговара</t>
        </is>
      </c>
      <c r="L2055" s="245" t="inlineStr">
        <is>
          <t>iCoA-PP_26-107</t>
        </is>
      </c>
      <c r="M2055" s="245" t="inlineStr">
        <is>
          <t>27.07.2026</t>
        </is>
      </c>
      <c r="N2055" s="245" t="inlineStr">
        <is>
          <t>Purely Plant GmbH (in-house)</t>
        </is>
      </c>
      <c r="O2055" s="245" t="inlineStr">
        <is>
          <t>—</t>
        </is>
      </c>
      <c r="P2055" s="245" t="inlineStr">
        <is>
          <t>covered</t>
        </is>
      </c>
      <c r="Q2055" s="245" t="inlineStr">
        <is>
          <t>Purely Plant laboratory — iCoA covering Foreign matter</t>
        </is>
      </c>
      <c r="R2055" s="245" t="inlineStr"/>
    </row>
    <row r="2056">
      <c r="A2056" s="245" t="inlineStr">
        <is>
          <t>CoQ-PP_26-090</t>
        </is>
      </c>
      <c r="B2056" s="245" t="inlineStr">
        <is>
          <t>reissue — 12-month retest</t>
        </is>
      </c>
      <c r="C2056" s="245" t="inlineStr">
        <is>
          <t>FB012602</t>
        </is>
      </c>
      <c r="D2056" s="245" t="inlineStr">
        <is>
          <t>P060352</t>
        </is>
      </c>
      <c r="E2056" s="245" t="inlineStr">
        <is>
          <t>Fat Bastard</t>
        </is>
      </c>
      <c r="F2056" s="245" t="inlineStr">
        <is>
          <t>17.08.2026</t>
        </is>
      </c>
      <c r="G2056" s="245" t="inlineStr">
        <is>
          <t>8</t>
        </is>
      </c>
      <c r="H2056" s="245" t="inlineStr">
        <is>
          <t>Loss on Drying</t>
        </is>
      </c>
      <c r="I2056" s="245" t="inlineStr">
        <is>
          <t>Ph. Eur. 2.2.32 (3028) · at 40 °C, 24 h, 15–25 mbar</t>
        </is>
      </c>
      <c r="J2056" s="245" t="inlineStr">
        <is>
          <t>≤ 12.0%</t>
        </is>
      </c>
      <c r="K2056" s="245" t="inlineStr">
        <is>
          <t>carried from the initial testing — not tested</t>
        </is>
      </c>
      <c r="L2056" s="245" t="inlineStr">
        <is>
          <t>—</t>
        </is>
      </c>
      <c r="M2056" s="245" t="inlineStr">
        <is>
          <t>—</t>
        </is>
      </c>
      <c r="N2056" s="245" t="inlineStr">
        <is>
          <t>—</t>
        </is>
      </c>
      <c r="O2056" s="245" t="inlineStr">
        <is>
          <t>—</t>
        </is>
      </c>
      <c r="P2056" s="245" t="inlineStr">
        <is>
          <t>carried from the initial testing (CoQ-PP-2026-0021) — not tested — no certificate covers it</t>
        </is>
      </c>
      <c r="Q2056" s="245" t="inlineStr"/>
      <c r="R2056" s="245" t="inlineStr"/>
    </row>
    <row r="2057">
      <c r="A2057" s="245" t="inlineStr">
        <is>
          <t>CoQ-PP_26-090</t>
        </is>
      </c>
      <c r="B2057" s="245" t="inlineStr">
        <is>
          <t>reissue — 12-month retest</t>
        </is>
      </c>
      <c r="C2057" s="245" t="inlineStr">
        <is>
          <t>FB012602</t>
        </is>
      </c>
      <c r="D2057" s="245" t="inlineStr">
        <is>
          <t>P060352</t>
        </is>
      </c>
      <c r="E2057" s="245" t="inlineStr">
        <is>
          <t>Fat Bastard</t>
        </is>
      </c>
      <c r="F2057" s="245" t="inlineStr">
        <is>
          <t>17.08.2026</t>
        </is>
      </c>
      <c r="G2057" s="245" t="inlineStr">
        <is>
          <t>9.1</t>
        </is>
      </c>
      <c r="H2057" s="245" t="inlineStr">
        <is>
          <t>TAMC</t>
        </is>
      </c>
      <c r="I2057" s="245" t="inlineStr">
        <is>
          <t>Ph. Eur. 2.6.12 cat. C</t>
        </is>
      </c>
      <c r="J2057" s="245" t="inlineStr">
        <is>
          <t>≤ 10⁵ CFU/g</t>
        </is>
      </c>
      <c r="K2057" s="245" t="inlineStr">
        <is>
          <t>6.3 × 10⁴</t>
        </is>
      </c>
      <c r="L2057" s="245" t="inlineStr">
        <is>
          <t>366/0696/26</t>
        </is>
      </c>
      <c r="M2057" s="245" t="inlineStr">
        <is>
          <t>01.06.2026</t>
        </is>
      </c>
      <c r="N2057" s="245" t="inlineStr">
        <is>
          <t>IPH — Institute of Public Health</t>
        </is>
      </c>
      <c r="O2057" s="245" t="inlineStr">
        <is>
          <t>—</t>
        </is>
      </c>
      <c r="P2057" s="245" t="inlineStr">
        <is>
          <t>covered</t>
        </is>
      </c>
      <c r="Q2057" s="245" t="inlineStr"/>
      <c r="R2057" s="245" t="inlineStr"/>
    </row>
    <row r="2058">
      <c r="A2058" s="245" t="inlineStr">
        <is>
          <t>CoQ-PP_26-090</t>
        </is>
      </c>
      <c r="B2058" s="245" t="inlineStr">
        <is>
          <t>reissue — 12-month retest</t>
        </is>
      </c>
      <c r="C2058" s="245" t="inlineStr">
        <is>
          <t>FB012602</t>
        </is>
      </c>
      <c r="D2058" s="245" t="inlineStr">
        <is>
          <t>P060352</t>
        </is>
      </c>
      <c r="E2058" s="245" t="inlineStr">
        <is>
          <t>Fat Bastard</t>
        </is>
      </c>
      <c r="F2058" s="245" t="inlineStr">
        <is>
          <t>17.08.2026</t>
        </is>
      </c>
      <c r="G2058" s="245" t="inlineStr">
        <is>
          <t>9.2</t>
        </is>
      </c>
      <c r="H2058" s="245" t="inlineStr">
        <is>
          <t>TYMC</t>
        </is>
      </c>
      <c r="I2058" s="245" t="inlineStr">
        <is>
          <t>Ph. Eur. 2.6.12 cat. C</t>
        </is>
      </c>
      <c r="J2058" s="245" t="inlineStr">
        <is>
          <t>≤ 10⁴ CFU/g</t>
        </is>
      </c>
      <c r="K2058" s="245" t="inlineStr">
        <is>
          <t>2.2 × 10⁴</t>
        </is>
      </c>
      <c r="L2058" s="245" t="inlineStr">
        <is>
          <t>366/0696/26</t>
        </is>
      </c>
      <c r="M2058" s="245" t="inlineStr">
        <is>
          <t>01.06.2026</t>
        </is>
      </c>
      <c r="N2058" s="245" t="inlineStr">
        <is>
          <t>IPH — Institute of Public Health</t>
        </is>
      </c>
      <c r="O2058" s="245" t="inlineStr">
        <is>
          <t>—</t>
        </is>
      </c>
      <c r="P2058" s="245" t="inlineStr">
        <is>
          <t>OUT OF SPECIFICATION — covered</t>
        </is>
      </c>
      <c r="Q2058" s="245" t="inlineStr"/>
      <c r="R2058" s="245" t="inlineStr"/>
    </row>
    <row r="2059">
      <c r="A2059" s="245" t="inlineStr">
        <is>
          <t>CoQ-PP_26-090</t>
        </is>
      </c>
      <c r="B2059" s="245" t="inlineStr">
        <is>
          <t>reissue — 12-month retest</t>
        </is>
      </c>
      <c r="C2059" s="245" t="inlineStr">
        <is>
          <t>FB012602</t>
        </is>
      </c>
      <c r="D2059" s="245" t="inlineStr">
        <is>
          <t>P060352</t>
        </is>
      </c>
      <c r="E2059" s="245" t="inlineStr">
        <is>
          <t>Fat Bastard</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366/0696/26</t>
        </is>
      </c>
      <c r="M2059" s="245" t="inlineStr">
        <is>
          <t>01.06.2026</t>
        </is>
      </c>
      <c r="N2059" s="245" t="inlineStr">
        <is>
          <t>IPH — Institute of Public Health</t>
        </is>
      </c>
      <c r="O2059" s="245" t="inlineStr">
        <is>
          <t>—</t>
        </is>
      </c>
      <c r="P2059" s="245" t="inlineStr">
        <is>
          <t>covered</t>
        </is>
      </c>
      <c r="Q2059" s="245" t="inlineStr"/>
      <c r="R2059" s="245" t="inlineStr"/>
    </row>
    <row r="2060">
      <c r="A2060" s="245" t="inlineStr">
        <is>
          <t>CoQ-PP_26-090</t>
        </is>
      </c>
      <c r="B2060" s="245" t="inlineStr">
        <is>
          <t>reissue — 12-month retest</t>
        </is>
      </c>
      <c r="C2060" s="245" t="inlineStr">
        <is>
          <t>FB012602</t>
        </is>
      </c>
      <c r="D2060" s="245" t="inlineStr">
        <is>
          <t>P060352</t>
        </is>
      </c>
      <c r="E2060" s="245" t="inlineStr">
        <is>
          <t>Fat Bastard</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366/0696/26</t>
        </is>
      </c>
      <c r="M2060" s="245" t="inlineStr">
        <is>
          <t>01.06.2026</t>
        </is>
      </c>
      <c r="N2060" s="245" t="inlineStr">
        <is>
          <t>IPH — Institute of Public Health</t>
        </is>
      </c>
      <c r="O2060" s="245" t="inlineStr">
        <is>
          <t>—</t>
        </is>
      </c>
      <c r="P2060" s="245" t="inlineStr">
        <is>
          <t>covered</t>
        </is>
      </c>
      <c r="Q2060" s="245" t="inlineStr"/>
      <c r="R2060" s="245" t="inlineStr"/>
    </row>
    <row r="2061">
      <c r="A2061" s="245" t="inlineStr">
        <is>
          <t>CoQ-PP_26-090</t>
        </is>
      </c>
      <c r="B2061" s="245" t="inlineStr">
        <is>
          <t>reissue — 12-month retest</t>
        </is>
      </c>
      <c r="C2061" s="245" t="inlineStr">
        <is>
          <t>FB012602</t>
        </is>
      </c>
      <c r="D2061" s="245" t="inlineStr">
        <is>
          <t>P060352</t>
        </is>
      </c>
      <c r="E2061" s="245" t="inlineStr">
        <is>
          <t>Fat Bastard</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366/0696/26</t>
        </is>
      </c>
      <c r="M2061" s="245" t="inlineStr">
        <is>
          <t>01.06.2026</t>
        </is>
      </c>
      <c r="N2061" s="245" t="inlineStr">
        <is>
          <t>IPH — Institute of Public Health</t>
        </is>
      </c>
      <c r="O2061" s="245" t="inlineStr">
        <is>
          <t>—</t>
        </is>
      </c>
      <c r="P2061" s="245" t="inlineStr">
        <is>
          <t>covered</t>
        </is>
      </c>
      <c r="Q2061" s="245" t="inlineStr"/>
      <c r="R2061" s="245" t="inlineStr"/>
    </row>
    <row r="2062">
      <c r="A2062" s="245" t="inlineStr">
        <is>
          <t>CoQ-PP_26-090</t>
        </is>
      </c>
      <c r="B2062" s="245" t="inlineStr">
        <is>
          <t>reissue — 12-month retest</t>
        </is>
      </c>
      <c r="C2062" s="245" t="inlineStr">
        <is>
          <t>FB012602</t>
        </is>
      </c>
      <c r="D2062" s="245" t="inlineStr">
        <is>
          <t>P060352</t>
        </is>
      </c>
      <c r="E2062" s="245" t="inlineStr">
        <is>
          <t>Fat Bastard</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FB012602</t>
        </is>
      </c>
      <c r="D2063" s="245" t="inlineStr">
        <is>
          <t>P060352</t>
        </is>
      </c>
      <c r="E2063" s="245" t="inlineStr">
        <is>
          <t>Fat Bastard</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FB012602</t>
        </is>
      </c>
      <c r="D2064" s="245" t="inlineStr">
        <is>
          <t>P060352</t>
        </is>
      </c>
      <c r="E2064" s="245" t="inlineStr">
        <is>
          <t>Fat Bastard</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197-7-М/26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FB012602</t>
        </is>
      </c>
      <c r="D2065" s="245" t="inlineStr">
        <is>
          <t>P060352</t>
        </is>
      </c>
      <c r="E2065" s="245" t="inlineStr">
        <is>
          <t>Fat Bastard</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197-7-М/26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FB012602</t>
        </is>
      </c>
      <c r="D2066" s="245" t="inlineStr">
        <is>
          <t>P060352</t>
        </is>
      </c>
      <c r="E2066" s="245" t="inlineStr">
        <is>
          <t>Fat Bastard</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197-7-М/26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FB012602</t>
        </is>
      </c>
      <c r="D2067" s="245" t="inlineStr">
        <is>
          <t>P060352</t>
        </is>
      </c>
      <c r="E2067" s="245" t="inlineStr">
        <is>
          <t>Fat Bastard</t>
        </is>
      </c>
      <c r="F2067" s="245" t="inlineStr">
        <is>
          <t>17.08.2026</t>
        </is>
      </c>
      <c r="G2067" s="245" t="inlineStr">
        <is>
          <t>11.1</t>
        </is>
      </c>
      <c r="H2067" s="245" t="inlineStr">
        <is>
          <t>Lead (Pb)</t>
        </is>
      </c>
      <c r="I2067" s="245" t="inlineStr">
        <is>
          <t>Ph. Eur. 2.4.27 (ICP-MS)</t>
        </is>
      </c>
      <c r="J2067" s="245" t="inlineStr">
        <is>
          <t>≤ 0.5 mg/kg</t>
        </is>
      </c>
      <c r="K2067" s="245" t="inlineStr">
        <is>
          <t>carried from the initial testing — not tested</t>
        </is>
      </c>
      <c r="L2067" s="245" t="inlineStr">
        <is>
          <t>—</t>
        </is>
      </c>
      <c r="M2067" s="245" t="inlineStr">
        <is>
          <t>—</t>
        </is>
      </c>
      <c r="N2067" s="245" t="inlineStr">
        <is>
          <t>—</t>
        </is>
      </c>
      <c r="O2067" s="245" t="inlineStr">
        <is>
          <t>—</t>
        </is>
      </c>
      <c r="P2067" s="245" t="inlineStr">
        <is>
          <t>carried from the initial testing (CoQ-PP-2026-0021) — not tested — no certificate covers it</t>
        </is>
      </c>
      <c r="Q2067" s="245" t="inlineStr"/>
      <c r="R2067" s="245" t="inlineStr"/>
    </row>
    <row r="2068">
      <c r="A2068" s="245" t="inlineStr">
        <is>
          <t>CoQ-PP_26-090</t>
        </is>
      </c>
      <c r="B2068" s="245" t="inlineStr">
        <is>
          <t>reissue — 12-month retest</t>
        </is>
      </c>
      <c r="C2068" s="245" t="inlineStr">
        <is>
          <t>FB012602</t>
        </is>
      </c>
      <c r="D2068" s="245" t="inlineStr">
        <is>
          <t>P060352</t>
        </is>
      </c>
      <c r="E2068" s="245" t="inlineStr">
        <is>
          <t>Fat Bastard</t>
        </is>
      </c>
      <c r="F2068" s="245" t="inlineStr">
        <is>
          <t>17.08.2026</t>
        </is>
      </c>
      <c r="G2068" s="245" t="inlineStr">
        <is>
          <t>11.2</t>
        </is>
      </c>
      <c r="H2068" s="245" t="inlineStr">
        <is>
          <t>Cadmium (Cd)</t>
        </is>
      </c>
      <c r="I2068" s="245" t="inlineStr">
        <is>
          <t>Ph. Eur. 2.4.27 (ICP-MS)</t>
        </is>
      </c>
      <c r="J2068" s="245" t="inlineStr">
        <is>
          <t>≤ 0.3 mg/kg</t>
        </is>
      </c>
      <c r="K2068" s="245" t="inlineStr">
        <is>
          <t>carried from the initial testing — not tested</t>
        </is>
      </c>
      <c r="L2068" s="245" t="inlineStr">
        <is>
          <t>—</t>
        </is>
      </c>
      <c r="M2068" s="245" t="inlineStr">
        <is>
          <t>—</t>
        </is>
      </c>
      <c r="N2068" s="245" t="inlineStr">
        <is>
          <t>—</t>
        </is>
      </c>
      <c r="O2068" s="245" t="inlineStr">
        <is>
          <t>—</t>
        </is>
      </c>
      <c r="P2068" s="245" t="inlineStr">
        <is>
          <t>carried from the initial testing (CoQ-PP-2026-0021) — not tested — no certificate covers it</t>
        </is>
      </c>
      <c r="Q2068" s="245" t="inlineStr"/>
      <c r="R2068" s="245" t="inlineStr"/>
    </row>
    <row r="2069">
      <c r="A2069" s="245" t="inlineStr">
        <is>
          <t>CoQ-PP_26-090</t>
        </is>
      </c>
      <c r="B2069" s="245" t="inlineStr">
        <is>
          <t>reissue — 12-month retest</t>
        </is>
      </c>
      <c r="C2069" s="245" t="inlineStr">
        <is>
          <t>FB012602</t>
        </is>
      </c>
      <c r="D2069" s="245" t="inlineStr">
        <is>
          <t>P060352</t>
        </is>
      </c>
      <c r="E2069" s="245" t="inlineStr">
        <is>
          <t>Fat Bastard</t>
        </is>
      </c>
      <c r="F2069" s="245" t="inlineStr">
        <is>
          <t>17.08.2026</t>
        </is>
      </c>
      <c r="G2069" s="245" t="inlineStr">
        <is>
          <t>11.3</t>
        </is>
      </c>
      <c r="H2069" s="245" t="inlineStr">
        <is>
          <t>Arsenic (As)</t>
        </is>
      </c>
      <c r="I2069" s="245" t="inlineStr">
        <is>
          <t>Ph. Eur. 2.4.27 (ICP-MS)</t>
        </is>
      </c>
      <c r="J2069" s="245" t="inlineStr">
        <is>
          <t>≤ 0.2 mg/kg</t>
        </is>
      </c>
      <c r="K2069" s="245" t="inlineStr">
        <is>
          <t>carried from the initial testing — not tested</t>
        </is>
      </c>
      <c r="L2069" s="245" t="inlineStr">
        <is>
          <t>—</t>
        </is>
      </c>
      <c r="M2069" s="245" t="inlineStr">
        <is>
          <t>—</t>
        </is>
      </c>
      <c r="N2069" s="245" t="inlineStr">
        <is>
          <t>—</t>
        </is>
      </c>
      <c r="O2069" s="245" t="inlineStr">
        <is>
          <t>—</t>
        </is>
      </c>
      <c r="P2069" s="245" t="inlineStr">
        <is>
          <t>carried from the initial testing (CoQ-PP-2026-0021) — not tested — no certificate covers it</t>
        </is>
      </c>
      <c r="Q2069" s="245" t="inlineStr"/>
      <c r="R2069" s="245" t="inlineStr"/>
    </row>
    <row r="2070">
      <c r="A2070" s="245" t="inlineStr">
        <is>
          <t>CoQ-PP_26-090</t>
        </is>
      </c>
      <c r="B2070" s="245" t="inlineStr">
        <is>
          <t>reissue — 12-month retest</t>
        </is>
      </c>
      <c r="C2070" s="245" t="inlineStr">
        <is>
          <t>FB012602</t>
        </is>
      </c>
      <c r="D2070" s="245" t="inlineStr">
        <is>
          <t>P060352</t>
        </is>
      </c>
      <c r="E2070" s="245" t="inlineStr">
        <is>
          <t>Fat Bastard</t>
        </is>
      </c>
      <c r="F2070" s="245" t="inlineStr">
        <is>
          <t>17.08.2026</t>
        </is>
      </c>
      <c r="G2070" s="245" t="inlineStr">
        <is>
          <t>11.4</t>
        </is>
      </c>
      <c r="H2070" s="245" t="inlineStr">
        <is>
          <t>Mercury (Hg)</t>
        </is>
      </c>
      <c r="I2070" s="245" t="inlineStr">
        <is>
          <t>Ph. Eur. 2.4.27 (ICP-MS)</t>
        </is>
      </c>
      <c r="J2070" s="245" t="inlineStr">
        <is>
          <t>≤ 0.1 mg/kg</t>
        </is>
      </c>
      <c r="K2070" s="245" t="inlineStr">
        <is>
          <t>carried from the initial testing — not tested</t>
        </is>
      </c>
      <c r="L2070" s="245" t="inlineStr">
        <is>
          <t>—</t>
        </is>
      </c>
      <c r="M2070" s="245" t="inlineStr">
        <is>
          <t>—</t>
        </is>
      </c>
      <c r="N2070" s="245" t="inlineStr">
        <is>
          <t>—</t>
        </is>
      </c>
      <c r="O2070" s="245" t="inlineStr">
        <is>
          <t>—</t>
        </is>
      </c>
      <c r="P2070" s="245" t="inlineStr">
        <is>
          <t>carried from the initial testing (CoQ-PP-2026-0021) — not tested — no certificate covers it</t>
        </is>
      </c>
      <c r="Q2070" s="245" t="inlineStr"/>
      <c r="R2070" s="245" t="inlineStr"/>
    </row>
    <row r="2071">
      <c r="A2071" s="245" t="inlineStr">
        <is>
          <t>CoQ-PP_26-090</t>
        </is>
      </c>
      <c r="B2071" s="245" t="inlineStr">
        <is>
          <t>reissue — 12-month retest</t>
        </is>
      </c>
      <c r="C2071" s="245" t="inlineStr">
        <is>
          <t>FB012602</t>
        </is>
      </c>
      <c r="D2071" s="245" t="inlineStr">
        <is>
          <t>P060352</t>
        </is>
      </c>
      <c r="E2071" s="245" t="inlineStr">
        <is>
          <t>Fat Bastard</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carried from the initial testing — not tested</t>
        </is>
      </c>
      <c r="L2071" s="245" t="inlineStr">
        <is>
          <t>—</t>
        </is>
      </c>
      <c r="M2071" s="245" t="inlineStr">
        <is>
          <t>—</t>
        </is>
      </c>
      <c r="N2071" s="245" t="inlineStr">
        <is>
          <t>—</t>
        </is>
      </c>
      <c r="O2071" s="245" t="inlineStr">
        <is>
          <t>—</t>
        </is>
      </c>
      <c r="P2071" s="245" t="inlineStr">
        <is>
          <t>carried from the initial testing (CoQ-PP-2026-0021) — not tested — no certificate covers it</t>
        </is>
      </c>
      <c r="Q2071" s="245" t="inlineStr"/>
      <c r="R2071" s="245" t="inlineStr"/>
    </row>
    <row r="2072">
      <c r="A2072" s="245" t="inlineStr">
        <is>
          <t>CoQ-PP_26-091</t>
        </is>
      </c>
      <c r="B2072" s="245" t="inlineStr">
        <is>
          <t>reissue — 12-month retest</t>
        </is>
      </c>
      <c r="C2072" s="245" t="inlineStr">
        <is>
          <t>GG012603</t>
        </is>
      </c>
      <c r="D2072" s="245" t="inlineStr">
        <is>
          <t>P060402</t>
        </is>
      </c>
      <c r="E2072" s="245" t="inlineStr">
        <is>
          <t>Gorilla Glue</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5" t="inlineStr">
        <is>
          <t>Conforms | Одговара</t>
        </is>
      </c>
      <c r="L2072" s="245" t="inlineStr">
        <is>
          <t>ППК26114</t>
        </is>
      </c>
      <c r="M2072" s="245" t="inlineStr">
        <is>
          <t>30.06.2026</t>
        </is>
      </c>
      <c r="N2072" s="245" t="inlineStr">
        <is>
          <t>UKIM Faculty of Pharmacy — Center for Natural Products</t>
        </is>
      </c>
      <c r="O2072" s="245" t="inlineStr">
        <is>
          <t>17.06.2026</t>
        </is>
      </c>
      <c r="P2072" s="245" t="inlineStr">
        <is>
          <t>carried from the initial testing (CoQ-PP-2026-0023) — covered</t>
        </is>
      </c>
      <c r="Q2072" s="245" t="inlineStr"/>
      <c r="R2072" s="245" t="inlineStr"/>
    </row>
    <row r="2073">
      <c r="A2073" s="245" t="inlineStr">
        <is>
          <t>CoQ-PP_26-091</t>
        </is>
      </c>
      <c r="B2073" s="245" t="inlineStr">
        <is>
          <t>reissue — 12-month retest</t>
        </is>
      </c>
      <c r="C2073" s="245" t="inlineStr">
        <is>
          <t>GG012603</t>
        </is>
      </c>
      <c r="D2073" s="245" t="inlineStr">
        <is>
          <t>P060402</t>
        </is>
      </c>
      <c r="E2073" s="245" t="inlineStr">
        <is>
          <t>Gorilla Glue</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5" t="inlineStr">
        <is>
          <t>Conforms | Одговара</t>
        </is>
      </c>
      <c r="L2073" s="245" t="inlineStr">
        <is>
          <t>ППК26114</t>
        </is>
      </c>
      <c r="M2073" s="245" t="inlineStr">
        <is>
          <t>30.06.2026</t>
        </is>
      </c>
      <c r="N2073" s="245" t="inlineStr">
        <is>
          <t>UKIM Faculty of Pharmacy — Center for Natural Products</t>
        </is>
      </c>
      <c r="O2073" s="245" t="inlineStr">
        <is>
          <t>17.06.2026</t>
        </is>
      </c>
      <c r="P2073" s="245" t="inlineStr">
        <is>
          <t>carried from the initial testing (CoQ-PP-2026-0023) — covered</t>
        </is>
      </c>
      <c r="Q2073" s="245" t="inlineStr"/>
      <c r="R2073" s="245" t="inlineStr"/>
    </row>
    <row r="2074">
      <c r="A2074" s="245" t="inlineStr">
        <is>
          <t>CoQ-PP_26-091</t>
        </is>
      </c>
      <c r="B2074" s="245" t="inlineStr">
        <is>
          <t>reissue — 12-month retest</t>
        </is>
      </c>
      <c r="C2074" s="245" t="inlineStr">
        <is>
          <t>GG012603</t>
        </is>
      </c>
      <c r="D2074" s="245" t="inlineStr">
        <is>
          <t>P060402</t>
        </is>
      </c>
      <c r="E2074" s="245" t="inlineStr">
        <is>
          <t>Gorilla Glue</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197-8-К/26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GG012603</t>
        </is>
      </c>
      <c r="D2075" s="245" t="inlineStr">
        <is>
          <t>P060402</t>
        </is>
      </c>
      <c r="E2075" s="245" t="inlineStr">
        <is>
          <t>Gorilla Glue</t>
        </is>
      </c>
      <c r="F2075" s="245" t="inlineStr">
        <is>
          <t>17.08.2026</t>
        </is>
      </c>
      <c r="G2075" s="245" t="inlineStr">
        <is>
          <t>4</t>
        </is>
      </c>
      <c r="H2075" s="245" t="inlineStr">
        <is>
          <t>Assay — Total Δ⁹-THC</t>
        </is>
      </c>
      <c r="I2075" s="245" t="inlineStr">
        <is>
          <t>Ph. Eur. 2.2.29 (HPLC)</t>
        </is>
      </c>
      <c r="J2075" s="245" t="inlineStr">
        <is>
          <t>16.23 – 19.76 %  (grade I, nominal 18.00 ± 1.77)</t>
        </is>
      </c>
      <c r="K2075" s="245" t="inlineStr">
        <is>
          <t>16.70</t>
        </is>
      </c>
      <c r="L2075" s="245" t="inlineStr">
        <is>
          <t>197-8-К/26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GG012603</t>
        </is>
      </c>
      <c r="D2076" s="245" t="inlineStr">
        <is>
          <t>P060402</t>
        </is>
      </c>
      <c r="E2076" s="245" t="inlineStr">
        <is>
          <t>Gorilla Glue</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&lt; LOQ</t>
        </is>
      </c>
      <c r="L2076" s="245" t="inlineStr">
        <is>
          <t>197-8-К/26</t>
        </is>
      </c>
      <c r="M2076" s="245" t="inlineStr">
        <is>
          <t>07.08.2026</t>
        </is>
      </c>
      <c r="N2076" s="245" t="inlineStr">
        <is>
          <t>Farmahem</t>
        </is>
      </c>
      <c r="O2076" s="245" t="inlineStr">
        <is>
          <t>27.07.2026</t>
        </is>
      </c>
      <c r="P2076" s="245" t="inlineStr">
        <is>
          <t>covered</t>
        </is>
      </c>
      <c r="Q2076" s="245" t="inlineStr"/>
      <c r="R2076" s="245" t="inlineStr"/>
    </row>
    <row r="2077">
      <c r="A2077" s="245" t="inlineStr">
        <is>
          <t>CoQ-PP_26-091</t>
        </is>
      </c>
      <c r="B2077" s="245" t="inlineStr">
        <is>
          <t>reissue — 12-month retest</t>
        </is>
      </c>
      <c r="C2077" s="245" t="inlineStr">
        <is>
          <t>GG012603</t>
        </is>
      </c>
      <c r="D2077" s="245" t="inlineStr">
        <is>
          <t>P060402</t>
        </is>
      </c>
      <c r="E2077" s="245" t="inlineStr">
        <is>
          <t>Gorilla Glue</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197-8-К/26</t>
        </is>
      </c>
      <c r="M2077" s="245" t="inlineStr">
        <is>
          <t>07.08.2026</t>
        </is>
      </c>
      <c r="N2077" s="245" t="inlineStr">
        <is>
          <t>Farmahem</t>
        </is>
      </c>
      <c r="O2077" s="245" t="inlineStr">
        <is>
          <t>27.07.2026</t>
        </is>
      </c>
      <c r="P2077" s="245" t="inlineStr">
        <is>
          <t>covered</t>
        </is>
      </c>
      <c r="Q2077" s="245" t="inlineStr"/>
      <c r="R2077" s="245" t="inlineStr"/>
    </row>
    <row r="2078">
      <c r="A2078" s="245" t="inlineStr">
        <is>
          <t>CoQ-PP_26-091</t>
        </is>
      </c>
      <c r="B2078" s="245" t="inlineStr">
        <is>
          <t>reissue — 12-month retest</t>
        </is>
      </c>
      <c r="C2078" s="245" t="inlineStr">
        <is>
          <t>GG012603</t>
        </is>
      </c>
      <c r="D2078" s="245" t="inlineStr">
        <is>
          <t>P060402</t>
        </is>
      </c>
      <c r="E2078" s="245" t="inlineStr">
        <is>
          <t>Gorilla Glue</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5" t="inlineStr">
        <is>
          <t>Conforms | Одговара</t>
        </is>
      </c>
      <c r="L2078" s="245" t="inlineStr">
        <is>
          <t>ППК26114</t>
        </is>
      </c>
      <c r="M2078" s="245" t="inlineStr">
        <is>
          <t>30.06.2026</t>
        </is>
      </c>
      <c r="N2078" s="245" t="inlineStr">
        <is>
          <t>UKIM Faculty of Pharmacy — Center for Natural Products</t>
        </is>
      </c>
      <c r="O2078" s="245" t="inlineStr">
        <is>
          <t>17.06.2026</t>
        </is>
      </c>
      <c r="P2078" s="245" t="inlineStr">
        <is>
          <t>carried from the initial testing (CoQ-PP-2026-0023) — covered</t>
        </is>
      </c>
      <c r="Q2078" s="245" t="inlineStr"/>
      <c r="R2078" s="245" t="inlineStr"/>
    </row>
    <row r="2079">
      <c r="A2079" s="245" t="inlineStr">
        <is>
          <t>CoQ-PP_26-091</t>
        </is>
      </c>
      <c r="B2079" s="245" t="inlineStr">
        <is>
          <t>reissue — 12-month retest</t>
        </is>
      </c>
      <c r="C2079" s="245" t="inlineStr">
        <is>
          <t>GG012603</t>
        </is>
      </c>
      <c r="D2079" s="245" t="inlineStr">
        <is>
          <t>P060402</t>
        </is>
      </c>
      <c r="E2079" s="245" t="inlineStr">
        <is>
          <t>Gorilla Glue</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6.48</t>
        </is>
      </c>
      <c r="L2079" s="245" t="inlineStr">
        <is>
          <t>ППК26114</t>
        </is>
      </c>
      <c r="M2079" s="245" t="inlineStr">
        <is>
          <t>30.06.2026</t>
        </is>
      </c>
      <c r="N2079" s="245" t="inlineStr">
        <is>
          <t>UKIM Faculty of Pharmacy — Center for Natural Products</t>
        </is>
      </c>
      <c r="O2079" s="245" t="inlineStr">
        <is>
          <t>17.06.2026</t>
        </is>
      </c>
      <c r="P2079" s="245" t="inlineStr">
        <is>
          <t>carried from the initial testing (CoQ-PP-2026-0023) — covered</t>
        </is>
      </c>
      <c r="Q2079" s="245" t="inlineStr"/>
      <c r="R2079" s="245" t="inlineStr"/>
    </row>
    <row r="2080">
      <c r="A2080" s="245" t="inlineStr">
        <is>
          <t>CoQ-PP_26-091</t>
        </is>
      </c>
      <c r="B2080" s="245" t="inlineStr">
        <is>
          <t>reissue — 12-month retest</t>
        </is>
      </c>
      <c r="C2080" s="245" t="inlineStr">
        <is>
          <t>GG012603</t>
        </is>
      </c>
      <c r="D2080" s="245" t="inlineStr">
        <is>
          <t>P060402</t>
        </is>
      </c>
      <c r="E2080" s="245" t="inlineStr">
        <is>
          <t>Gorilla Glue</t>
        </is>
      </c>
      <c r="F2080" s="245" t="inlineStr">
        <is>
          <t>17.08.2026</t>
        </is>
      </c>
      <c r="G2080" s="245" t="inlineStr">
        <is>
          <t>9.1</t>
        </is>
      </c>
      <c r="H2080" s="245" t="inlineStr">
        <is>
          <t>TAMC</t>
        </is>
      </c>
      <c r="I2080" s="245" t="inlineStr">
        <is>
          <t>Ph. Eur. 2.6.12 cat. C</t>
        </is>
      </c>
      <c r="J2080" s="245" t="inlineStr">
        <is>
          <t>≤ 10⁵ CFU/g</t>
        </is>
      </c>
      <c r="K2080" s="245" t="inlineStr">
        <is>
          <t>5 × 10³</t>
        </is>
      </c>
      <c r="L2080" s="245" t="inlineStr">
        <is>
          <t>404/0787/26</t>
        </is>
      </c>
      <c r="M2080" s="245" t="inlineStr">
        <is>
          <t>24.06.2026</t>
        </is>
      </c>
      <c r="N2080" s="245" t="inlineStr">
        <is>
          <t>IPH — Institute of Public Health</t>
        </is>
      </c>
      <c r="O2080" s="245" t="inlineStr">
        <is>
          <t>—</t>
        </is>
      </c>
      <c r="P2080" s="245" t="inlineStr">
        <is>
          <t>covered</t>
        </is>
      </c>
      <c r="Q2080" s="245" t="inlineStr"/>
      <c r="R2080" s="245" t="inlineStr"/>
    </row>
    <row r="2081">
      <c r="A2081" s="245" t="inlineStr">
        <is>
          <t>CoQ-PP_26-091</t>
        </is>
      </c>
      <c r="B2081" s="245" t="inlineStr">
        <is>
          <t>reissue — 12-month retest</t>
        </is>
      </c>
      <c r="C2081" s="245" t="inlineStr">
        <is>
          <t>GG012603</t>
        </is>
      </c>
      <c r="D2081" s="245" t="inlineStr">
        <is>
          <t>P060402</t>
        </is>
      </c>
      <c r="E2081" s="245" t="inlineStr">
        <is>
          <t>Gorilla Glue</t>
        </is>
      </c>
      <c r="F2081" s="245" t="inlineStr">
        <is>
          <t>17.08.2026</t>
        </is>
      </c>
      <c r="G2081" s="245" t="inlineStr">
        <is>
          <t>9.2</t>
        </is>
      </c>
      <c r="H2081" s="245" t="inlineStr">
        <is>
          <t>TYMC</t>
        </is>
      </c>
      <c r="I2081" s="245" t="inlineStr">
        <is>
          <t>Ph. Eur. 2.6.12 cat. C</t>
        </is>
      </c>
      <c r="J2081" s="245" t="inlineStr">
        <is>
          <t>≤ 10⁴ CFU/g</t>
        </is>
      </c>
      <c r="K2081" s="245" t="inlineStr">
        <is>
          <t>4.1 × 10³</t>
        </is>
      </c>
      <c r="L2081" s="245" t="inlineStr">
        <is>
          <t>404/0787/26</t>
        </is>
      </c>
      <c r="M2081" s="245" t="inlineStr">
        <is>
          <t>24.06.2026</t>
        </is>
      </c>
      <c r="N2081" s="245" t="inlineStr">
        <is>
          <t>IPH — Institute of Public Health</t>
        </is>
      </c>
      <c r="O2081" s="245" t="inlineStr">
        <is>
          <t>—</t>
        </is>
      </c>
      <c r="P2081" s="245" t="inlineStr">
        <is>
          <t>covered</t>
        </is>
      </c>
      <c r="Q2081" s="245" t="inlineStr"/>
      <c r="R2081" s="245" t="inlineStr"/>
    </row>
    <row r="2082">
      <c r="A2082" s="245" t="inlineStr">
        <is>
          <t>CoQ-PP_26-091</t>
        </is>
      </c>
      <c r="B2082" s="245" t="inlineStr">
        <is>
          <t>reissue — 12-month retest</t>
        </is>
      </c>
      <c r="C2082" s="245" t="inlineStr">
        <is>
          <t>GG012603</t>
        </is>
      </c>
      <c r="D2082" s="245" t="inlineStr">
        <is>
          <t>P060402</t>
        </is>
      </c>
      <c r="E2082" s="245" t="inlineStr">
        <is>
          <t>Gorilla Glue</t>
        </is>
      </c>
      <c r="F2082" s="245" t="inlineStr">
        <is>
          <t>17.08.2026</t>
        </is>
      </c>
      <c r="G2082" s="245" t="inlineStr">
        <is>
          <t>9.3</t>
        </is>
      </c>
      <c r="H2082" s="245" t="inlineStr">
        <is>
          <t>Bile-tolerant gram-neg.</t>
        </is>
      </c>
      <c r="I2082" s="245" t="inlineStr">
        <is>
          <t>Ph. Eur. 2.6.31 cat. C</t>
        </is>
      </c>
      <c r="J2082" s="245" t="inlineStr">
        <is>
          <t>≤ 10⁴ CFU/g</t>
        </is>
      </c>
      <c r="K2082" s="245" t="inlineStr">
        <is>
          <t>&lt; 10</t>
        </is>
      </c>
      <c r="L2082" s="245" t="inlineStr">
        <is>
          <t>404/0787/26</t>
        </is>
      </c>
      <c r="M2082" s="245" t="inlineStr">
        <is>
          <t>24.06.2026</t>
        </is>
      </c>
      <c r="N2082" s="245" t="inlineStr">
        <is>
          <t>IPH — Institute of Public Health</t>
        </is>
      </c>
      <c r="O2082" s="245" t="inlineStr">
        <is>
          <t>—</t>
        </is>
      </c>
      <c r="P2082" s="245" t="inlineStr">
        <is>
          <t>covered</t>
        </is>
      </c>
      <c r="Q2082" s="245" t="inlineStr"/>
      <c r="R2082" s="245" t="inlineStr"/>
    </row>
    <row r="2083">
      <c r="A2083" s="245" t="inlineStr">
        <is>
          <t>CoQ-PP_26-091</t>
        </is>
      </c>
      <c r="B2083" s="245" t="inlineStr">
        <is>
          <t>reissue — 12-month retest</t>
        </is>
      </c>
      <c r="C2083" s="245" t="inlineStr">
        <is>
          <t>GG012603</t>
        </is>
      </c>
      <c r="D2083" s="245" t="inlineStr">
        <is>
          <t>P060402</t>
        </is>
      </c>
      <c r="E2083" s="245" t="inlineStr">
        <is>
          <t>Gorilla Glue</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Absent | Отсутна</t>
        </is>
      </c>
      <c r="L2083" s="245" t="inlineStr">
        <is>
          <t>404/0787/26</t>
        </is>
      </c>
      <c r="M2083" s="245" t="inlineStr">
        <is>
          <t>24.06.2026</t>
        </is>
      </c>
      <c r="N2083" s="245" t="inlineStr">
        <is>
          <t>IPH — Institute of Public Health</t>
        </is>
      </c>
      <c r="O2083" s="245" t="inlineStr">
        <is>
          <t>—</t>
        </is>
      </c>
      <c r="P2083" s="245" t="inlineStr">
        <is>
          <t>covered</t>
        </is>
      </c>
      <c r="Q2083" s="245" t="inlineStr"/>
      <c r="R2083" s="245" t="inlineStr"/>
    </row>
    <row r="2084">
      <c r="A2084" s="245" t="inlineStr">
        <is>
          <t>CoQ-PP_26-091</t>
        </is>
      </c>
      <c r="B2084" s="245" t="inlineStr">
        <is>
          <t>reissue — 12-month retest</t>
        </is>
      </c>
      <c r="C2084" s="245" t="inlineStr">
        <is>
          <t>GG012603</t>
        </is>
      </c>
      <c r="D2084" s="245" t="inlineStr">
        <is>
          <t>P060402</t>
        </is>
      </c>
      <c r="E2084" s="245" t="inlineStr">
        <is>
          <t>Gorilla Glue</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Absent | Отсутна</t>
        </is>
      </c>
      <c r="L2084" s="245" t="inlineStr">
        <is>
          <t>404/0787/26</t>
        </is>
      </c>
      <c r="M2084" s="245" t="inlineStr">
        <is>
          <t>24.06.2026</t>
        </is>
      </c>
      <c r="N2084" s="245" t="inlineStr">
        <is>
          <t>IPH — Institute of Public Health</t>
        </is>
      </c>
      <c r="O2084" s="245" t="inlineStr">
        <is>
          <t>—</t>
        </is>
      </c>
      <c r="P2084" s="245" t="inlineStr">
        <is>
          <t>covered</t>
        </is>
      </c>
      <c r="Q2084" s="245" t="inlineStr"/>
      <c r="R2084" s="245" t="inlineStr"/>
    </row>
    <row r="2085">
      <c r="A2085" s="245" t="inlineStr">
        <is>
          <t>CoQ-PP_26-091</t>
        </is>
      </c>
      <c r="B2085" s="245" t="inlineStr">
        <is>
          <t>reissue — 12-month retest</t>
        </is>
      </c>
      <c r="C2085" s="245" t="inlineStr">
        <is>
          <t>GG012603</t>
        </is>
      </c>
      <c r="D2085" s="245" t="inlineStr">
        <is>
          <t>P060402</t>
        </is>
      </c>
      <c r="E2085" s="245" t="inlineStr">
        <is>
          <t>Gorilla Glue</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GG012603</t>
        </is>
      </c>
      <c r="D2086" s="245" t="inlineStr">
        <is>
          <t>P060402</t>
        </is>
      </c>
      <c r="E2086" s="245" t="inlineStr">
        <is>
          <t>Gorilla Glue</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GG012603</t>
        </is>
      </c>
      <c r="D2087" s="245" t="inlineStr">
        <is>
          <t>P060402</t>
        </is>
      </c>
      <c r="E2087" s="245" t="inlineStr">
        <is>
          <t>Gorilla Glue</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197-8-М/26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GG012603</t>
        </is>
      </c>
      <c r="D2088" s="245" t="inlineStr">
        <is>
          <t>P060402</t>
        </is>
      </c>
      <c r="E2088" s="245" t="inlineStr">
        <is>
          <t>Gorilla Glue</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197-8-М/26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GG012603</t>
        </is>
      </c>
      <c r="D2089" s="245" t="inlineStr">
        <is>
          <t>P060402</t>
        </is>
      </c>
      <c r="E2089" s="245" t="inlineStr">
        <is>
          <t>Gorilla Glue</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197-8-М/26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GG012603</t>
        </is>
      </c>
      <c r="D2090" s="245" t="inlineStr">
        <is>
          <t>P060402</t>
        </is>
      </c>
      <c r="E2090" s="245" t="inlineStr">
        <is>
          <t>Gorilla Glue</t>
        </is>
      </c>
      <c r="F2090" s="245" t="inlineStr">
        <is>
          <t>17.08.2026</t>
        </is>
      </c>
      <c r="G2090" s="245" t="inlineStr">
        <is>
          <t>11.1</t>
        </is>
      </c>
      <c r="H2090" s="245" t="inlineStr">
        <is>
          <t>Lead (Pb)</t>
        </is>
      </c>
      <c r="I2090" s="245" t="inlineStr">
        <is>
          <t>Ph. Eur. 2.4.27 (ICP-MS)</t>
        </is>
      </c>
      <c r="J2090" s="245" t="inlineStr">
        <is>
          <t>≤ 0.5 mg/kg</t>
        </is>
      </c>
      <c r="K2090" s="245" t="inlineStr">
        <is>
          <t>0.059</t>
        </is>
      </c>
      <c r="L2090" s="245" t="inlineStr">
        <is>
          <t>3659/2026</t>
        </is>
      </c>
      <c r="M2090" s="245" t="inlineStr">
        <is>
          <t>22.06.2026</t>
        </is>
      </c>
      <c r="N2090" s="245" t="inlineStr">
        <is>
          <t>IPH — Institute of Public Health</t>
        </is>
      </c>
      <c r="O2090" s="245" t="inlineStr">
        <is>
          <t>—</t>
        </is>
      </c>
      <c r="P2090" s="245" t="inlineStr">
        <is>
          <t>covered</t>
        </is>
      </c>
      <c r="Q2090" s="245" t="inlineStr"/>
      <c r="R2090" s="245" t="inlineStr"/>
    </row>
    <row r="2091">
      <c r="A2091" s="245" t="inlineStr">
        <is>
          <t>CoQ-PP_26-091</t>
        </is>
      </c>
      <c r="B2091" s="245" t="inlineStr">
        <is>
          <t>reissue — 12-month retest</t>
        </is>
      </c>
      <c r="C2091" s="245" t="inlineStr">
        <is>
          <t>GG012603</t>
        </is>
      </c>
      <c r="D2091" s="245" t="inlineStr">
        <is>
          <t>P060402</t>
        </is>
      </c>
      <c r="E2091" s="245" t="inlineStr">
        <is>
          <t>Gorilla Glue</t>
        </is>
      </c>
      <c r="F2091" s="245" t="inlineStr">
        <is>
          <t>17.08.2026</t>
        </is>
      </c>
      <c r="G2091" s="245" t="inlineStr">
        <is>
          <t>11.2</t>
        </is>
      </c>
      <c r="H2091" s="245" t="inlineStr">
        <is>
          <t>Cadmium (Cd)</t>
        </is>
      </c>
      <c r="I2091" s="245" t="inlineStr">
        <is>
          <t>Ph. Eur. 2.4.27 (ICP-MS)</t>
        </is>
      </c>
      <c r="J2091" s="245" t="inlineStr">
        <is>
          <t>≤ 0.3 mg/kg</t>
        </is>
      </c>
      <c r="K2091" s="245" t="inlineStr">
        <is>
          <t>0.03</t>
        </is>
      </c>
      <c r="L2091" s="245" t="inlineStr">
        <is>
          <t>3659/2026</t>
        </is>
      </c>
      <c r="M2091" s="245" t="inlineStr">
        <is>
          <t>22.06.2026</t>
        </is>
      </c>
      <c r="N2091" s="245" t="inlineStr">
        <is>
          <t>IPH — Institute of Public Health</t>
        </is>
      </c>
      <c r="O2091" s="245" t="inlineStr">
        <is>
          <t>—</t>
        </is>
      </c>
      <c r="P2091" s="245" t="inlineStr">
        <is>
          <t>covered</t>
        </is>
      </c>
      <c r="Q2091" s="245" t="inlineStr"/>
      <c r="R2091" s="245" t="inlineStr"/>
    </row>
    <row r="2092">
      <c r="A2092" s="245" t="inlineStr">
        <is>
          <t>CoQ-PP_26-091</t>
        </is>
      </c>
      <c r="B2092" s="245" t="inlineStr">
        <is>
          <t>reissue — 12-month retest</t>
        </is>
      </c>
      <c r="C2092" s="245" t="inlineStr">
        <is>
          <t>GG012603</t>
        </is>
      </c>
      <c r="D2092" s="245" t="inlineStr">
        <is>
          <t>P060402</t>
        </is>
      </c>
      <c r="E2092" s="245" t="inlineStr">
        <is>
          <t>Gorilla Glue</t>
        </is>
      </c>
      <c r="F2092" s="245" t="inlineStr">
        <is>
          <t>17.08.2026</t>
        </is>
      </c>
      <c r="G2092" s="245" t="inlineStr">
        <is>
          <t>11.3</t>
        </is>
      </c>
      <c r="H2092" s="245" t="inlineStr">
        <is>
          <t>Arsenic (As)</t>
        </is>
      </c>
      <c r="I2092" s="245" t="inlineStr">
        <is>
          <t>Ph. Eur. 2.4.27 (ICP-MS)</t>
        </is>
      </c>
      <c r="J2092" s="245" t="inlineStr">
        <is>
          <t>≤ 0.2 mg/kg</t>
        </is>
      </c>
      <c r="K2092" s="245" t="inlineStr">
        <is>
          <t>0.05</t>
        </is>
      </c>
      <c r="L2092" s="245" t="inlineStr">
        <is>
          <t>3659/2026</t>
        </is>
      </c>
      <c r="M2092" s="245" t="inlineStr">
        <is>
          <t>22.06.2026</t>
        </is>
      </c>
      <c r="N2092" s="245" t="inlineStr">
        <is>
          <t>IPH — Institute of Public Health</t>
        </is>
      </c>
      <c r="O2092" s="245" t="inlineStr">
        <is>
          <t>—</t>
        </is>
      </c>
      <c r="P2092" s="245" t="inlineStr">
        <is>
          <t>covered</t>
        </is>
      </c>
      <c r="Q2092" s="245" t="inlineStr"/>
      <c r="R2092" s="245" t="inlineStr"/>
    </row>
    <row r="2093">
      <c r="A2093" s="245" t="inlineStr">
        <is>
          <t>CoQ-PP_26-091</t>
        </is>
      </c>
      <c r="B2093" s="245" t="inlineStr">
        <is>
          <t>reissue — 12-month retest</t>
        </is>
      </c>
      <c r="C2093" s="245" t="inlineStr">
        <is>
          <t>GG012603</t>
        </is>
      </c>
      <c r="D2093" s="245" t="inlineStr">
        <is>
          <t>P060402</t>
        </is>
      </c>
      <c r="E2093" s="245" t="inlineStr">
        <is>
          <t>Gorilla Glue</t>
        </is>
      </c>
      <c r="F2093" s="245" t="inlineStr">
        <is>
          <t>17.08.2026</t>
        </is>
      </c>
      <c r="G2093" s="245" t="inlineStr">
        <is>
          <t>11.4</t>
        </is>
      </c>
      <c r="H2093" s="245" t="inlineStr">
        <is>
          <t>Mercury (Hg)</t>
        </is>
      </c>
      <c r="I2093" s="245" t="inlineStr">
        <is>
          <t>Ph. Eur. 2.4.27 (ICP-MS)</t>
        </is>
      </c>
      <c r="J2093" s="245" t="inlineStr">
        <is>
          <t>≤ 0.1 mg/kg</t>
        </is>
      </c>
      <c r="K2093" s="245" t="inlineStr">
        <is>
          <t>0.015</t>
        </is>
      </c>
      <c r="L2093" s="245" t="inlineStr">
        <is>
          <t>3659/2026</t>
        </is>
      </c>
      <c r="M2093" s="245" t="inlineStr">
        <is>
          <t>22.06.2026</t>
        </is>
      </c>
      <c r="N2093" s="245" t="inlineStr">
        <is>
          <t>IPH — Institute of Public Health</t>
        </is>
      </c>
      <c r="O2093" s="245" t="inlineStr">
        <is>
          <t>—</t>
        </is>
      </c>
      <c r="P2093" s="245" t="inlineStr">
        <is>
          <t>covered</t>
        </is>
      </c>
      <c r="Q2093" s="245" t="inlineStr"/>
      <c r="R2093" s="245" t="inlineStr"/>
    </row>
    <row r="2094">
      <c r="A2094" s="245" t="inlineStr">
        <is>
          <t>CoQ-PP_26-091</t>
        </is>
      </c>
      <c r="B2094" s="245" t="inlineStr">
        <is>
          <t>reissue — 12-month retest</t>
        </is>
      </c>
      <c r="C2094" s="245" t="inlineStr">
        <is>
          <t>GG012603</t>
        </is>
      </c>
      <c r="D2094" s="245" t="inlineStr">
        <is>
          <t>P060402</t>
        </is>
      </c>
      <c r="E2094" s="245" t="inlineStr">
        <is>
          <t>Gorilla Glue</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&lt; 0,01 mg/kg — all 22 residues</t>
        </is>
      </c>
      <c r="L2094" s="245" t="inlineStr">
        <is>
          <t>3659/2026</t>
        </is>
      </c>
      <c r="M2094" s="245" t="inlineStr">
        <is>
          <t>22.06.2026</t>
        </is>
      </c>
      <c r="N2094" s="245" t="inlineStr">
        <is>
          <t>IJZ</t>
        </is>
      </c>
      <c r="O2094" s="245" t="inlineStr">
        <is>
          <t>—</t>
        </is>
      </c>
      <c r="P2094" s="245" t="inlineStr">
        <is>
          <t>carried from the initial testing (CoQ-PP-2026-0023) — covered</t>
        </is>
      </c>
      <c r="Q2094" s="245" t="inlineStr"/>
      <c r="R2094" s="245" t="inlineStr"/>
    </row>
    <row r="2095">
      <c r="A2095" s="245" t="inlineStr">
        <is>
          <t>CoQ-PP_26-092</t>
        </is>
      </c>
      <c r="B2095" s="245" t="inlineStr">
        <is>
          <t>reissue — 12-month retest</t>
        </is>
      </c>
      <c r="C2095" s="245" t="inlineStr">
        <is>
          <t>GG1024_01</t>
        </is>
      </c>
      <c r="D2095" s="245" t="inlineStr">
        <is>
          <t>P050092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5" t="inlineStr">
        <is>
          <t>Conforms | Одговара</t>
        </is>
      </c>
      <c r="L2095" s="245" t="inlineStr">
        <is>
          <t>iCoA-PP_26-104</t>
        </is>
      </c>
      <c r="M2095" s="245" t="inlineStr">
        <is>
          <t>27.07.2026</t>
        </is>
      </c>
      <c r="N2095" s="245" t="inlineStr">
        <is>
          <t>Purely Plant GmbH (in-house)</t>
        </is>
      </c>
      <c r="O2095" s="245" t="inlineStr">
        <is>
          <t>—</t>
        </is>
      </c>
      <c r="P2095" s="245" t="inlineStr">
        <is>
          <t>covered</t>
        </is>
      </c>
      <c r="Q2095" s="245" t="inlineStr">
        <is>
          <t>Farmahem — Ident A + B + C with the Assay, at retest</t>
        </is>
      </c>
      <c r="R2095" s="245" t="inlineStr"/>
    </row>
    <row r="2096">
      <c r="A2096" s="245" t="inlineStr">
        <is>
          <t>CoQ-PP_26-092</t>
        </is>
      </c>
      <c r="B2096" s="245" t="inlineStr">
        <is>
          <t>reissue — 12-month retest</t>
        </is>
      </c>
      <c r="C2096" s="245" t="inlineStr">
        <is>
          <t>GG1024_01</t>
        </is>
      </c>
      <c r="D2096" s="245" t="inlineStr">
        <is>
          <t>P050092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5" t="inlineStr">
        <is>
          <t>Conforms | Одговара</t>
        </is>
      </c>
      <c r="L2096" s="245" t="inlineStr">
        <is>
          <t>iCoA-PP_26-104</t>
        </is>
      </c>
      <c r="M2096" s="245" t="inlineStr">
        <is>
          <t>27.07.2026</t>
        </is>
      </c>
      <c r="N2096" s="245" t="inlineStr">
        <is>
          <t>Purely Plant GmbH (in-house)</t>
        </is>
      </c>
      <c r="O2096" s="245" t="inlineStr">
        <is>
          <t>—</t>
        </is>
      </c>
      <c r="P2096" s="245" t="inlineStr">
        <is>
          <t>covered</t>
        </is>
      </c>
      <c r="Q2096" s="245" t="inlineStr">
        <is>
          <t>Farmahem — Ident A + B + C with the Assay, at retest</t>
        </is>
      </c>
      <c r="R2096" s="245" t="inlineStr"/>
    </row>
    <row r="2097">
      <c r="A2097" s="245" t="inlineStr">
        <is>
          <t>CoQ-PP_26-092</t>
        </is>
      </c>
      <c r="B2097" s="245" t="inlineStr">
        <is>
          <t>reissue — 12-month retest</t>
        </is>
      </c>
      <c r="C2097" s="245" t="inlineStr">
        <is>
          <t>GG1024_01</t>
        </is>
      </c>
      <c r="D2097" s="245" t="inlineStr">
        <is>
          <t>P050092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197-9-К/26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GG1024_01</t>
        </is>
      </c>
      <c r="D2098" s="245" t="inlineStr">
        <is>
          <t>P050092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18.67</t>
        </is>
      </c>
      <c r="L2098" s="245" t="inlineStr">
        <is>
          <t>197-9-К/26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GG1024_01</t>
        </is>
      </c>
      <c r="D2099" s="245" t="inlineStr">
        <is>
          <t>P050092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197-9-К/26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GG1024_01</t>
        </is>
      </c>
      <c r="D2100" s="245" t="inlineStr">
        <is>
          <t>P050092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0.20</t>
        </is>
      </c>
      <c r="L2100" s="245" t="inlineStr">
        <is>
          <t>197-9-К/26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GG1024_01</t>
        </is>
      </c>
      <c r="D2101" s="245" t="inlineStr">
        <is>
          <t>P050092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5" t="inlineStr">
        <is>
          <t>Conforms | Одговара</t>
        </is>
      </c>
      <c r="L2101" s="245" t="inlineStr">
        <is>
          <t>iCoA-PP_26-104</t>
        </is>
      </c>
      <c r="M2101" s="245" t="inlineStr">
        <is>
          <t>27.07.2026</t>
        </is>
      </c>
      <c r="N2101" s="245" t="inlineStr">
        <is>
          <t>Purely Plant GmbH (in-house)</t>
        </is>
      </c>
      <c r="O2101" s="245" t="inlineStr">
        <is>
          <t>—</t>
        </is>
      </c>
      <c r="P2101" s="245" t="inlineStr">
        <is>
          <t>covered</t>
        </is>
      </c>
      <c r="Q2101" s="245" t="inlineStr">
        <is>
          <t>Purely Plant laboratory — iCoA covering Foreign matter</t>
        </is>
      </c>
      <c r="R2101" s="245" t="inlineStr"/>
    </row>
    <row r="2102">
      <c r="A2102" s="245" t="inlineStr">
        <is>
          <t>CoQ-PP_26-092</t>
        </is>
      </c>
      <c r="B2102" s="245" t="inlineStr">
        <is>
          <t>reissue — 12-month retest</t>
        </is>
      </c>
      <c r="C2102" s="245" t="inlineStr">
        <is>
          <t>GG1024_01</t>
        </is>
      </c>
      <c r="D2102" s="245" t="inlineStr">
        <is>
          <t>P050092</t>
        </is>
      </c>
      <c r="E2102" s="245" t="inlineStr">
        <is>
          <t>Gorilla Glue</t>
        </is>
      </c>
      <c r="F2102" s="245" t="inlineStr">
        <is>
          <t>17.08.2026</t>
        </is>
      </c>
      <c r="G2102" s="245" t="inlineStr">
        <is>
          <t>8</t>
        </is>
      </c>
      <c r="H2102" s="245" t="inlineStr">
        <is>
          <t>Loss on Drying</t>
        </is>
      </c>
      <c r="I2102" s="245" t="inlineStr">
        <is>
          <t>DAB 2018 monograph Cannabis flos, 2.2.32 — loss on drying (CNP, before its Ph. Eur. 3028 accreditation)</t>
        </is>
      </c>
      <c r="J2102" s="245" t="inlineStr">
        <is>
          <t>≤ 12.0%</t>
        </is>
      </c>
      <c r="K2102" s="245" t="inlineStr">
        <is>
          <t>7.54</t>
        </is>
      </c>
      <c r="L2102" s="245" t="inlineStr">
        <is>
          <t>ППК25104</t>
        </is>
      </c>
      <c r="M2102" s="245" t="inlineStr">
        <is>
          <t>17.04.2025</t>
        </is>
      </c>
      <c r="N2102" s="245" t="inlineStr">
        <is>
          <t>UKIM Faculty of Pharmacy — Center for Natural Products</t>
        </is>
      </c>
      <c r="O2102" s="245" t="inlineStr">
        <is>
          <t>08.04.2025</t>
        </is>
      </c>
      <c r="P2102" s="245" t="inlineStr">
        <is>
          <t>carried from the initial testing (CoQ-PP-2025-0012) — covered</t>
        </is>
      </c>
      <c r="Q2102" s="245" t="inlineStr"/>
      <c r="R2102" s="245" t="inlineStr"/>
    </row>
    <row r="2103">
      <c r="A2103" s="245" t="inlineStr">
        <is>
          <t>CoQ-PP_26-092</t>
        </is>
      </c>
      <c r="B2103" s="245" t="inlineStr">
        <is>
          <t>reissue — 12-month retest</t>
        </is>
      </c>
      <c r="C2103" s="245" t="inlineStr">
        <is>
          <t>GG1024_01</t>
        </is>
      </c>
      <c r="D2103" s="245" t="inlineStr">
        <is>
          <t>P050092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5.1 × 10⁴</t>
        </is>
      </c>
      <c r="L2103" s="245" t="inlineStr">
        <is>
          <t>320/0587/25</t>
        </is>
      </c>
      <c r="M2103" s="245" t="inlineStr">
        <is>
          <t>14.04.2025</t>
        </is>
      </c>
      <c r="N2103" s="245" t="inlineStr">
        <is>
          <t>IPH — Institute of Public Health</t>
        </is>
      </c>
      <c r="O2103" s="245" t="inlineStr">
        <is>
          <t>08.04.2025</t>
        </is>
      </c>
      <c r="P2103" s="245" t="inlineStr">
        <is>
          <t>carried from the initial testing (CoQ-PP-2025-0012) — covered</t>
        </is>
      </c>
      <c r="Q2103" s="245" t="inlineStr"/>
      <c r="R2103" s="245" t="inlineStr"/>
    </row>
    <row r="2104">
      <c r="A2104" s="245" t="inlineStr">
        <is>
          <t>CoQ-PP_26-092</t>
        </is>
      </c>
      <c r="B2104" s="245" t="inlineStr">
        <is>
          <t>reissue — 12-month retest</t>
        </is>
      </c>
      <c r="C2104" s="245" t="inlineStr">
        <is>
          <t>GG1024_01</t>
        </is>
      </c>
      <c r="D2104" s="245" t="inlineStr">
        <is>
          <t>P050092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4.2 × 10⁴</t>
        </is>
      </c>
      <c r="L2104" s="245" t="inlineStr">
        <is>
          <t>320/0587/25</t>
        </is>
      </c>
      <c r="M2104" s="245" t="inlineStr">
        <is>
          <t>14.04.2025</t>
        </is>
      </c>
      <c r="N2104" s="245" t="inlineStr">
        <is>
          <t>IPH — Institute of Public Health</t>
        </is>
      </c>
      <c r="O2104" s="245" t="inlineStr">
        <is>
          <t>08.04.2025</t>
        </is>
      </c>
      <c r="P2104" s="245" t="inlineStr">
        <is>
          <t>carried from the initial testing (CoQ-PP-2025-0012) — OUT OF SPECIFICATION</t>
        </is>
      </c>
      <c r="Q2104" s="245" t="inlineStr"/>
      <c r="R2104" s="245" t="inlineStr"/>
    </row>
    <row r="2105">
      <c r="A2105" s="245" t="inlineStr">
        <is>
          <t>CoQ-PP_26-092</t>
        </is>
      </c>
      <c r="B2105" s="245" t="inlineStr">
        <is>
          <t>reissue — 12-month retest</t>
        </is>
      </c>
      <c r="C2105" s="245" t="inlineStr">
        <is>
          <t>GG1024_01</t>
        </is>
      </c>
      <c r="D2105" s="245" t="inlineStr">
        <is>
          <t>P050092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&lt; 10</t>
        </is>
      </c>
      <c r="L2105" s="245" t="inlineStr">
        <is>
          <t>320/0587/25</t>
        </is>
      </c>
      <c r="M2105" s="245" t="inlineStr">
        <is>
          <t>14.04.2025</t>
        </is>
      </c>
      <c r="N2105" s="245" t="inlineStr">
        <is>
          <t>IPH — Institute of Public Health</t>
        </is>
      </c>
      <c r="O2105" s="245" t="inlineStr">
        <is>
          <t>08.04.2025</t>
        </is>
      </c>
      <c r="P2105" s="245" t="inlineStr">
        <is>
          <t>carried from the initial testing (CoQ-PP-2025-0012) — covered</t>
        </is>
      </c>
      <c r="Q2105" s="245" t="inlineStr"/>
      <c r="R2105" s="245" t="inlineStr"/>
    </row>
    <row r="2106">
      <c r="A2106" s="245" t="inlineStr">
        <is>
          <t>CoQ-PP_26-092</t>
        </is>
      </c>
      <c r="B2106" s="245" t="inlineStr">
        <is>
          <t>reissue — 12-month retest</t>
        </is>
      </c>
      <c r="C2106" s="245" t="inlineStr">
        <is>
          <t>GG1024_01</t>
        </is>
      </c>
      <c r="D2106" s="245" t="inlineStr">
        <is>
          <t>P050092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Absent | Отсутна</t>
        </is>
      </c>
      <c r="L2106" s="245" t="inlineStr">
        <is>
          <t>320/0587/25</t>
        </is>
      </c>
      <c r="M2106" s="245" t="inlineStr">
        <is>
          <t>14.04.2025</t>
        </is>
      </c>
      <c r="N2106" s="245" t="inlineStr">
        <is>
          <t>IPH — Institute of Public Health</t>
        </is>
      </c>
      <c r="O2106" s="245" t="inlineStr">
        <is>
          <t>08.04.2025</t>
        </is>
      </c>
      <c r="P2106" s="245" t="inlineStr">
        <is>
          <t>carried from the initial testing (CoQ-PP-2025-0012) — covered</t>
        </is>
      </c>
      <c r="Q2106" s="245" t="inlineStr"/>
      <c r="R2106" s="245" t="inlineStr"/>
    </row>
    <row r="2107">
      <c r="A2107" s="245" t="inlineStr">
        <is>
          <t>CoQ-PP_26-092</t>
        </is>
      </c>
      <c r="B2107" s="245" t="inlineStr">
        <is>
          <t>reissue — 12-month retest</t>
        </is>
      </c>
      <c r="C2107" s="245" t="inlineStr">
        <is>
          <t>GG1024_01</t>
        </is>
      </c>
      <c r="D2107" s="245" t="inlineStr">
        <is>
          <t>P050092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Absent | Отсутна</t>
        </is>
      </c>
      <c r="L2107" s="245" t="inlineStr">
        <is>
          <t>320/0587/25</t>
        </is>
      </c>
      <c r="M2107" s="245" t="inlineStr">
        <is>
          <t>14.04.2025</t>
        </is>
      </c>
      <c r="N2107" s="245" t="inlineStr">
        <is>
          <t>IPH — Institute of Public Health</t>
        </is>
      </c>
      <c r="O2107" s="245" t="inlineStr">
        <is>
          <t>08.04.2025</t>
        </is>
      </c>
      <c r="P2107" s="245" t="inlineStr">
        <is>
          <t>carried from the initial testing (CoQ-PP-2025-0012) — covered</t>
        </is>
      </c>
      <c r="Q2107" s="245" t="inlineStr"/>
      <c r="R2107" s="245" t="inlineStr"/>
    </row>
    <row r="2108">
      <c r="A2108" s="245" t="inlineStr">
        <is>
          <t>CoQ-PP_26-092</t>
        </is>
      </c>
      <c r="B2108" s="245" t="inlineStr">
        <is>
          <t>reissue — 12-month retest</t>
        </is>
      </c>
      <c r="C2108" s="245" t="inlineStr">
        <is>
          <t>GG1024_01</t>
        </is>
      </c>
      <c r="D2108" s="245" t="inlineStr">
        <is>
          <t>P050092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GG1024_01</t>
        </is>
      </c>
      <c r="D2109" s="245" t="inlineStr">
        <is>
          <t>P050092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GG1024_01</t>
        </is>
      </c>
      <c r="D2110" s="245" t="inlineStr">
        <is>
          <t>P050092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197-9-М/26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GG1024_01</t>
        </is>
      </c>
      <c r="D2111" s="245" t="inlineStr">
        <is>
          <t>P050092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197-9-М/26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GG1024_01</t>
        </is>
      </c>
      <c r="D2112" s="245" t="inlineStr">
        <is>
          <t>P050092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197-9-М/26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GG1024_01</t>
        </is>
      </c>
      <c r="D2113" s="245" t="inlineStr">
        <is>
          <t>P050092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0.02</t>
        </is>
      </c>
      <c r="L2113" s="245" t="inlineStr">
        <is>
          <t>1766/2025</t>
        </is>
      </c>
      <c r="M2113" s="245" t="inlineStr">
        <is>
          <t>11.04.2025</t>
        </is>
      </c>
      <c r="N2113" s="245" t="inlineStr">
        <is>
          <t>IPH — Institute of Public Health</t>
        </is>
      </c>
      <c r="O2113" s="245" t="inlineStr">
        <is>
          <t>08.04.2025</t>
        </is>
      </c>
      <c r="P2113" s="245" t="inlineStr">
        <is>
          <t>carried from the initial testing (CoQ-PP-2025-0012) — covered</t>
        </is>
      </c>
      <c r="Q2113" s="245" t="inlineStr"/>
      <c r="R2113" s="245" t="inlineStr"/>
    </row>
    <row r="2114">
      <c r="A2114" s="245" t="inlineStr">
        <is>
          <t>CoQ-PP_26-092</t>
        </is>
      </c>
      <c r="B2114" s="245" t="inlineStr">
        <is>
          <t>reissue — 12-month retest</t>
        </is>
      </c>
      <c r="C2114" s="245" t="inlineStr">
        <is>
          <t>GG1024_01</t>
        </is>
      </c>
      <c r="D2114" s="245" t="inlineStr">
        <is>
          <t>P050092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0.007</t>
        </is>
      </c>
      <c r="L2114" s="245" t="inlineStr">
        <is>
          <t>1766/2025</t>
        </is>
      </c>
      <c r="M2114" s="245" t="inlineStr">
        <is>
          <t>11.04.2025</t>
        </is>
      </c>
      <c r="N2114" s="245" t="inlineStr">
        <is>
          <t>IPH — Institute of Public Health</t>
        </is>
      </c>
      <c r="O2114" s="245" t="inlineStr">
        <is>
          <t>08.04.2025</t>
        </is>
      </c>
      <c r="P2114" s="245" t="inlineStr">
        <is>
          <t>carried from the initial testing (CoQ-PP-2025-0012) — covered</t>
        </is>
      </c>
      <c r="Q2114" s="245" t="inlineStr"/>
      <c r="R2114" s="245" t="inlineStr"/>
    </row>
    <row r="2115">
      <c r="A2115" s="245" t="inlineStr">
        <is>
          <t>CoQ-PP_26-092</t>
        </is>
      </c>
      <c r="B2115" s="245" t="inlineStr">
        <is>
          <t>reissue — 12-month retest</t>
        </is>
      </c>
      <c r="C2115" s="245" t="inlineStr">
        <is>
          <t>GG1024_01</t>
        </is>
      </c>
      <c r="D2115" s="245" t="inlineStr">
        <is>
          <t>P050092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0.015</t>
        </is>
      </c>
      <c r="L2115" s="245" t="inlineStr">
        <is>
          <t>1766/2025</t>
        </is>
      </c>
      <c r="M2115" s="245" t="inlineStr">
        <is>
          <t>11.04.2025</t>
        </is>
      </c>
      <c r="N2115" s="245" t="inlineStr">
        <is>
          <t>IPH — Institute of Public Health</t>
        </is>
      </c>
      <c r="O2115" s="245" t="inlineStr">
        <is>
          <t>08.04.2025</t>
        </is>
      </c>
      <c r="P2115" s="245" t="inlineStr">
        <is>
          <t>carried from the initial testing (CoQ-PP-2025-0012) — covered</t>
        </is>
      </c>
      <c r="Q2115" s="245" t="inlineStr"/>
      <c r="R2115" s="245" t="inlineStr"/>
    </row>
    <row r="2116">
      <c r="A2116" s="245" t="inlineStr">
        <is>
          <t>CoQ-PP_26-092</t>
        </is>
      </c>
      <c r="B2116" s="245" t="inlineStr">
        <is>
          <t>reissue — 12-month retest</t>
        </is>
      </c>
      <c r="C2116" s="245" t="inlineStr">
        <is>
          <t>GG1024_01</t>
        </is>
      </c>
      <c r="D2116" s="245" t="inlineStr">
        <is>
          <t>P050092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0.005</t>
        </is>
      </c>
      <c r="L2116" s="245" t="inlineStr">
        <is>
          <t>1766/2025</t>
        </is>
      </c>
      <c r="M2116" s="245" t="inlineStr">
        <is>
          <t>11.04.2025</t>
        </is>
      </c>
      <c r="N2116" s="245" t="inlineStr">
        <is>
          <t>IPH — Institute of Public Health</t>
        </is>
      </c>
      <c r="O2116" s="245" t="inlineStr">
        <is>
          <t>08.04.2025</t>
        </is>
      </c>
      <c r="P2116" s="245" t="inlineStr">
        <is>
          <t>carried from the initial testing (CoQ-PP-2025-0012) — covered</t>
        </is>
      </c>
      <c r="Q2116" s="245" t="inlineStr"/>
      <c r="R2116" s="245" t="inlineStr"/>
    </row>
    <row r="2117">
      <c r="A2117" s="245" t="inlineStr">
        <is>
          <t>CoQ-PP_26-092</t>
        </is>
      </c>
      <c r="B2117" s="245" t="inlineStr">
        <is>
          <t>reissue — 12-month retest</t>
        </is>
      </c>
      <c r="C2117" s="245" t="inlineStr">
        <is>
          <t>GG1024_01</t>
        </is>
      </c>
      <c r="D2117" s="245" t="inlineStr">
        <is>
          <t>P050092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ND</t>
        </is>
      </c>
      <c r="L2117" s="245" t="inlineStr">
        <is>
          <t>1766/2025</t>
        </is>
      </c>
      <c r="M2117" s="245" t="inlineStr">
        <is>
          <t>11.04.2025</t>
        </is>
      </c>
      <c r="N2117" s="245" t="inlineStr">
        <is>
          <t>IPH — Institute of Public Health</t>
        </is>
      </c>
      <c r="O2117" s="245" t="inlineStr">
        <is>
          <t>08.04.2025</t>
        </is>
      </c>
      <c r="P2117" s="245" t="inlineStr">
        <is>
          <t>carried from the initial testing (CoQ-PP-2025-0012) — covered</t>
        </is>
      </c>
      <c r="Q2117" s="245" t="inlineStr"/>
      <c r="R2117" s="245" t="inlineStr"/>
    </row>
    <row r="2118">
      <c r="A2118" s="245" t="inlineStr">
        <is>
          <t>CoQ-PP_26-093</t>
        </is>
      </c>
      <c r="B2118" s="245" t="inlineStr">
        <is>
          <t>reissue — 12-month retest</t>
        </is>
      </c>
      <c r="C2118" s="245" t="inlineStr">
        <is>
          <t>GP052501</t>
        </is>
      </c>
      <c r="D2118" s="245" t="inlineStr">
        <is>
          <t>P050152</t>
        </is>
      </c>
      <c r="E2118" s="245" t="inlineStr">
        <is>
          <t>Grape Pie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5" t="inlineStr">
        <is>
          <t>Conforms | Одговара</t>
        </is>
      </c>
      <c r="L2118" s="245" t="inlineStr">
        <is>
          <t>iCoA-PP_26-105</t>
        </is>
      </c>
      <c r="M2118" s="245" t="inlineStr">
        <is>
          <t>27.07.2026</t>
        </is>
      </c>
      <c r="N2118" s="245" t="inlineStr">
        <is>
          <t>Purely Plant GmbH (in-house)</t>
        </is>
      </c>
      <c r="O2118" s="245" t="inlineStr">
        <is>
          <t>—</t>
        </is>
      </c>
      <c r="P2118" s="245" t="inlineStr">
        <is>
          <t>covered</t>
        </is>
      </c>
      <c r="Q2118" s="245" t="inlineStr">
        <is>
          <t>Farmahem — Ident A + B + C with the Assay, at retest</t>
        </is>
      </c>
      <c r="R2118" s="245" t="inlineStr"/>
    </row>
    <row r="2119">
      <c r="A2119" s="245" t="inlineStr">
        <is>
          <t>CoQ-PP_26-093</t>
        </is>
      </c>
      <c r="B2119" s="245" t="inlineStr">
        <is>
          <t>reissue — 12-month retest</t>
        </is>
      </c>
      <c r="C2119" s="245" t="inlineStr">
        <is>
          <t>GP052501</t>
        </is>
      </c>
      <c r="D2119" s="245" t="inlineStr">
        <is>
          <t>P050152</t>
        </is>
      </c>
      <c r="E2119" s="245" t="inlineStr">
        <is>
          <t>Grape Pie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5" t="inlineStr">
        <is>
          <t>Conforms | Одговара</t>
        </is>
      </c>
      <c r="L2119" s="245" t="inlineStr">
        <is>
          <t>iCoA-PP_26-105</t>
        </is>
      </c>
      <c r="M2119" s="245" t="inlineStr">
        <is>
          <t>27.07.2026</t>
        </is>
      </c>
      <c r="N2119" s="245" t="inlineStr">
        <is>
          <t>Purely Plant GmbH (in-house)</t>
        </is>
      </c>
      <c r="O2119" s="245" t="inlineStr">
        <is>
          <t>—</t>
        </is>
      </c>
      <c r="P2119" s="245" t="inlineStr">
        <is>
          <t>covered</t>
        </is>
      </c>
      <c r="Q2119" s="245" t="inlineStr">
        <is>
          <t>Farmahem — Ident A + B + C with the Assay, at retest</t>
        </is>
      </c>
      <c r="R2119" s="245" t="inlineStr"/>
    </row>
    <row r="2120">
      <c r="A2120" s="245" t="inlineStr">
        <is>
          <t>CoQ-PP_26-093</t>
        </is>
      </c>
      <c r="B2120" s="245" t="inlineStr">
        <is>
          <t>reissue — 12-month retest</t>
        </is>
      </c>
      <c r="C2120" s="245" t="inlineStr">
        <is>
          <t>GP052501</t>
        </is>
      </c>
      <c r="D2120" s="245" t="inlineStr">
        <is>
          <t>P050152</t>
        </is>
      </c>
      <c r="E2120" s="245" t="inlineStr">
        <is>
          <t>Grape Pie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197-10-К/26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GP052501</t>
        </is>
      </c>
      <c r="D2121" s="245" t="inlineStr">
        <is>
          <t>P050152</t>
        </is>
      </c>
      <c r="E2121" s="245" t="inlineStr">
        <is>
          <t>Grape Pie</t>
        </is>
      </c>
      <c r="F2121" s="245" t="inlineStr">
        <is>
          <t>17.08.2026</t>
        </is>
      </c>
      <c r="G2121" s="245" t="inlineStr">
        <is>
          <t>4</t>
        </is>
      </c>
      <c r="H2121" s="245" t="inlineStr">
        <is>
          <t>Assay — Total Δ⁹-THC</t>
        </is>
      </c>
      <c r="I2121" s="245" t="inlineStr">
        <is>
          <t>Ph. Eur. 2.2.29 (HPLC)</t>
        </is>
      </c>
      <c r="J2121" s="245" t="inlineStr">
        <is>
          <t>18.00 – 21.99 %  (grade III, nominal 20.00 ± 2.00)</t>
        </is>
      </c>
      <c r="K2121" s="245" t="inlineStr">
        <is>
          <t>18.52</t>
        </is>
      </c>
      <c r="L2121" s="245" t="inlineStr">
        <is>
          <t>197-10-К/26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GP052501</t>
        </is>
      </c>
      <c r="D2122" s="245" t="inlineStr">
        <is>
          <t>P050152</t>
        </is>
      </c>
      <c r="E2122" s="245" t="inlineStr">
        <is>
          <t>Grape Pie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197-10-К/26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GP052501</t>
        </is>
      </c>
      <c r="D2123" s="245" t="inlineStr">
        <is>
          <t>P050152</t>
        </is>
      </c>
      <c r="E2123" s="245" t="inlineStr">
        <is>
          <t>Grape Pie</t>
        </is>
      </c>
      <c r="F2123" s="245" t="inlineStr">
        <is>
          <t>17.08.2026</t>
        </is>
      </c>
      <c r="G2123" s="245" t="inlineStr">
        <is>
          <t>6</t>
        </is>
      </c>
      <c r="H2123" s="245" t="inlineStr">
        <is>
          <t>Total CBN</t>
        </is>
      </c>
      <c r="I2123" s="245" t="inlineStr">
        <is>
          <t>Ph. Eur. 2.2.29 (HPLC) · CBN + CBNA x 0.876</t>
        </is>
      </c>
      <c r="J2123" s="245" t="inlineStr">
        <is>
          <t>≤ 1.0%, w/w</t>
        </is>
      </c>
      <c r="K2123" s="245" t="inlineStr">
        <is>
          <t>&lt; LOQ</t>
        </is>
      </c>
      <c r="L2123" s="245" t="inlineStr">
        <is>
          <t>197-10-К/26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GP052501</t>
        </is>
      </c>
      <c r="D2124" s="245" t="inlineStr">
        <is>
          <t>P050152</t>
        </is>
      </c>
      <c r="E2124" s="245" t="inlineStr">
        <is>
          <t>Grape Pie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5" t="inlineStr">
        <is>
          <t>Conforms | Одговара</t>
        </is>
      </c>
      <c r="L2124" s="245" t="inlineStr">
        <is>
          <t>iCoA-PP_26-105</t>
        </is>
      </c>
      <c r="M2124" s="245" t="inlineStr">
        <is>
          <t>27.07.2026</t>
        </is>
      </c>
      <c r="N2124" s="245" t="inlineStr">
        <is>
          <t>Purely Plant GmbH (in-house)</t>
        </is>
      </c>
      <c r="O2124" s="245" t="inlineStr">
        <is>
          <t>—</t>
        </is>
      </c>
      <c r="P2124" s="245" t="inlineStr">
        <is>
          <t>covered</t>
        </is>
      </c>
      <c r="Q2124" s="245" t="inlineStr">
        <is>
          <t>Purely Plant laboratory — iCoA covering Foreign matter</t>
        </is>
      </c>
      <c r="R2124" s="245" t="inlineStr"/>
    </row>
    <row r="2125">
      <c r="A2125" s="245" t="inlineStr">
        <is>
          <t>CoQ-PP_26-093</t>
        </is>
      </c>
      <c r="B2125" s="245" t="inlineStr">
        <is>
          <t>reissue — 12-month retest</t>
        </is>
      </c>
      <c r="C2125" s="245" t="inlineStr">
        <is>
          <t>GP052501</t>
        </is>
      </c>
      <c r="D2125" s="245" t="inlineStr">
        <is>
          <t>P050152</t>
        </is>
      </c>
      <c r="E2125" s="245" t="inlineStr">
        <is>
          <t>Grape Pie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7.30</t>
        </is>
      </c>
      <c r="L2125" s="245" t="inlineStr">
        <is>
          <t>ППК25279</t>
        </is>
      </c>
      <c r="M2125" s="245" t="inlineStr">
        <is>
          <t>19.09.2025</t>
        </is>
      </c>
      <c r="N2125" s="245" t="inlineStr">
        <is>
          <t>UKIM Faculty of Pharmacy — Center for Natural Products</t>
        </is>
      </c>
      <c r="O2125" s="245" t="inlineStr">
        <is>
          <t>05.09.2025</t>
        </is>
      </c>
      <c r="P2125" s="245" t="inlineStr">
        <is>
          <t>carried from the initial testing (CoQ-PP-2025-0014) — covered</t>
        </is>
      </c>
      <c r="Q2125" s="245" t="inlineStr"/>
      <c r="R2125" s="245" t="inlineStr"/>
    </row>
    <row r="2126">
      <c r="A2126" s="245" t="inlineStr">
        <is>
          <t>CoQ-PP_26-093</t>
        </is>
      </c>
      <c r="B2126" s="245" t="inlineStr">
        <is>
          <t>reissue — 12-month retest</t>
        </is>
      </c>
      <c r="C2126" s="245" t="inlineStr">
        <is>
          <t>GP052501</t>
        </is>
      </c>
      <c r="D2126" s="245" t="inlineStr">
        <is>
          <t>P050152</t>
        </is>
      </c>
      <c r="E2126" s="245" t="inlineStr">
        <is>
          <t>Grape Pie</t>
        </is>
      </c>
      <c r="F2126" s="245" t="inlineStr">
        <is>
          <t>17.08.2026</t>
        </is>
      </c>
      <c r="G2126" s="245" t="inlineStr">
        <is>
          <t>9.1</t>
        </is>
      </c>
      <c r="H2126" s="245" t="inlineStr">
        <is>
          <t>TAMC</t>
        </is>
      </c>
      <c r="I2126" s="245" t="inlineStr">
        <is>
          <t>Ph. Eur. 2.6.12 cat. C</t>
        </is>
      </c>
      <c r="J2126" s="245" t="inlineStr">
        <is>
          <t>≤ 10⁵ CFU/g</t>
        </is>
      </c>
      <c r="K2126" s="245" t="inlineStr">
        <is>
          <t>2.1 × 10⁴</t>
        </is>
      </c>
      <c r="L2126" s="245" t="inlineStr">
        <is>
          <t>946/1684/25</t>
        </is>
      </c>
      <c r="M2126" s="245" t="inlineStr">
        <is>
          <t>17.09.2025</t>
        </is>
      </c>
      <c r="N2126" s="245" t="inlineStr">
        <is>
          <t>IPH — Institute of Public Health</t>
        </is>
      </c>
      <c r="O2126" s="245" t="inlineStr">
        <is>
          <t>11.09.2025</t>
        </is>
      </c>
      <c r="P2126" s="245" t="inlineStr">
        <is>
          <t>carried from the initial testing (CoQ-PP-2025-0014) — covered</t>
        </is>
      </c>
      <c r="Q2126" s="245" t="inlineStr"/>
      <c r="R2126" s="245" t="inlineStr"/>
    </row>
    <row r="2127">
      <c r="A2127" s="245" t="inlineStr">
        <is>
          <t>CoQ-PP_26-093</t>
        </is>
      </c>
      <c r="B2127" s="245" t="inlineStr">
        <is>
          <t>reissue — 12-month retest</t>
        </is>
      </c>
      <c r="C2127" s="245" t="inlineStr">
        <is>
          <t>GP052501</t>
        </is>
      </c>
      <c r="D2127" s="245" t="inlineStr">
        <is>
          <t>P050152</t>
        </is>
      </c>
      <c r="E2127" s="245" t="inlineStr">
        <is>
          <t>Grape Pie</t>
        </is>
      </c>
      <c r="F2127" s="245" t="inlineStr">
        <is>
          <t>17.08.2026</t>
        </is>
      </c>
      <c r="G2127" s="245" t="inlineStr">
        <is>
          <t>9.2</t>
        </is>
      </c>
      <c r="H2127" s="245" t="inlineStr">
        <is>
          <t>TYMC</t>
        </is>
      </c>
      <c r="I2127" s="245" t="inlineStr">
        <is>
          <t>Ph. Eur. 2.6.12 cat. C</t>
        </is>
      </c>
      <c r="J2127" s="245" t="inlineStr">
        <is>
          <t>≤ 10⁴ CFU/g</t>
        </is>
      </c>
      <c r="K2127" s="245" t="inlineStr">
        <is>
          <t>3.6 × 10⁴</t>
        </is>
      </c>
      <c r="L2127" s="245" t="inlineStr">
        <is>
          <t>946/1684/25</t>
        </is>
      </c>
      <c r="M2127" s="245" t="inlineStr">
        <is>
          <t>17.09.2025</t>
        </is>
      </c>
      <c r="N2127" s="245" t="inlineStr">
        <is>
          <t>IPH — Institute of Public Health</t>
        </is>
      </c>
      <c r="O2127" s="245" t="inlineStr">
        <is>
          <t>11.09.2025</t>
        </is>
      </c>
      <c r="P2127" s="245" t="inlineStr">
        <is>
          <t>carried from the initial testing (CoQ-PP-2025-0014) — OUT OF SPECIFICATION</t>
        </is>
      </c>
      <c r="Q2127" s="245" t="inlineStr"/>
      <c r="R2127" s="245" t="inlineStr"/>
    </row>
    <row r="2128">
      <c r="A2128" s="245" t="inlineStr">
        <is>
          <t>CoQ-PP_26-093</t>
        </is>
      </c>
      <c r="B2128" s="245" t="inlineStr">
        <is>
          <t>reissue — 12-month retest</t>
        </is>
      </c>
      <c r="C2128" s="245" t="inlineStr">
        <is>
          <t>GP052501</t>
        </is>
      </c>
      <c r="D2128" s="245" t="inlineStr">
        <is>
          <t>P050152</t>
        </is>
      </c>
      <c r="E2128" s="245" t="inlineStr">
        <is>
          <t>Grape Pie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10² and &gt; 10¹</t>
        </is>
      </c>
      <c r="L2128" s="245" t="inlineStr">
        <is>
          <t>946/1684/25</t>
        </is>
      </c>
      <c r="M2128" s="245" t="inlineStr">
        <is>
          <t>17.09.2025</t>
        </is>
      </c>
      <c r="N2128" s="245" t="inlineStr">
        <is>
          <t>IPH — Institute of Public Health</t>
        </is>
      </c>
      <c r="O2128" s="245" t="inlineStr">
        <is>
          <t>11.09.2025</t>
        </is>
      </c>
      <c r="P2128" s="245" t="inlineStr">
        <is>
          <t>carried from the initial testing (CoQ-PP-2025-0014) — covered</t>
        </is>
      </c>
      <c r="Q2128" s="245" t="inlineStr"/>
      <c r="R2128" s="245" t="inlineStr"/>
    </row>
    <row r="2129">
      <c r="A2129" s="245" t="inlineStr">
        <is>
          <t>CoQ-PP_26-093</t>
        </is>
      </c>
      <c r="B2129" s="245" t="inlineStr">
        <is>
          <t>reissue — 12-month retest</t>
        </is>
      </c>
      <c r="C2129" s="245" t="inlineStr">
        <is>
          <t>GP052501</t>
        </is>
      </c>
      <c r="D2129" s="245" t="inlineStr">
        <is>
          <t>P050152</t>
        </is>
      </c>
      <c r="E2129" s="245" t="inlineStr">
        <is>
          <t>Grape Pie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946/1684/25</t>
        </is>
      </c>
      <c r="M2129" s="245" t="inlineStr">
        <is>
          <t>17.09.2025</t>
        </is>
      </c>
      <c r="N2129" s="245" t="inlineStr">
        <is>
          <t>IPH — Institute of Public Health</t>
        </is>
      </c>
      <c r="O2129" s="245" t="inlineStr">
        <is>
          <t>11.09.2025</t>
        </is>
      </c>
      <c r="P2129" s="245" t="inlineStr">
        <is>
          <t>carried from the initial testing (CoQ-PP-2025-0014) — covered</t>
        </is>
      </c>
      <c r="Q2129" s="245" t="inlineStr"/>
      <c r="R2129" s="245" t="inlineStr"/>
    </row>
    <row r="2130">
      <c r="A2130" s="245" t="inlineStr">
        <is>
          <t>CoQ-PP_26-093</t>
        </is>
      </c>
      <c r="B2130" s="245" t="inlineStr">
        <is>
          <t>reissue — 12-month retest</t>
        </is>
      </c>
      <c r="C2130" s="245" t="inlineStr">
        <is>
          <t>GP052501</t>
        </is>
      </c>
      <c r="D2130" s="245" t="inlineStr">
        <is>
          <t>P050152</t>
        </is>
      </c>
      <c r="E2130" s="245" t="inlineStr">
        <is>
          <t>Grape Pie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946/1684/25</t>
        </is>
      </c>
      <c r="M2130" s="245" t="inlineStr">
        <is>
          <t>17.09.2025</t>
        </is>
      </c>
      <c r="N2130" s="245" t="inlineStr">
        <is>
          <t>IPH — Institute of Public Health</t>
        </is>
      </c>
      <c r="O2130" s="245" t="inlineStr">
        <is>
          <t>11.09.2025</t>
        </is>
      </c>
      <c r="P2130" s="245" t="inlineStr">
        <is>
          <t>carried from the initial testing (CoQ-PP-2025-0014) — covered</t>
        </is>
      </c>
      <c r="Q2130" s="245" t="inlineStr"/>
      <c r="R2130" s="245" t="inlineStr"/>
    </row>
    <row r="2131">
      <c r="A2131" s="245" t="inlineStr">
        <is>
          <t>CoQ-PP_26-093</t>
        </is>
      </c>
      <c r="B2131" s="245" t="inlineStr">
        <is>
          <t>reissue — 12-month retest</t>
        </is>
      </c>
      <c r="C2131" s="245" t="inlineStr">
        <is>
          <t>GP052501</t>
        </is>
      </c>
      <c r="D2131" s="245" t="inlineStr">
        <is>
          <t>P050152</t>
        </is>
      </c>
      <c r="E2131" s="245" t="inlineStr">
        <is>
          <t>Grape Pie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GP052501</t>
        </is>
      </c>
      <c r="D2132" s="245" t="inlineStr">
        <is>
          <t>P050152</t>
        </is>
      </c>
      <c r="E2132" s="245" t="inlineStr">
        <is>
          <t>Grape Pie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GP052501</t>
        </is>
      </c>
      <c r="D2133" s="245" t="inlineStr">
        <is>
          <t>P050152</t>
        </is>
      </c>
      <c r="E2133" s="245" t="inlineStr">
        <is>
          <t>Grape Pie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197-10-М/26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GP052501</t>
        </is>
      </c>
      <c r="D2134" s="245" t="inlineStr">
        <is>
          <t>P050152</t>
        </is>
      </c>
      <c r="E2134" s="245" t="inlineStr">
        <is>
          <t>Grape Pie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197-10-М/26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GP052501</t>
        </is>
      </c>
      <c r="D2135" s="245" t="inlineStr">
        <is>
          <t>P050152</t>
        </is>
      </c>
      <c r="E2135" s="245" t="inlineStr">
        <is>
          <t>Grape Pie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197-10-М/26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GP052501</t>
        </is>
      </c>
      <c r="D2136" s="245" t="inlineStr">
        <is>
          <t>P050152</t>
        </is>
      </c>
      <c r="E2136" s="245" t="inlineStr">
        <is>
          <t>Grape Pie</t>
        </is>
      </c>
      <c r="F2136" s="245" t="inlineStr">
        <is>
          <t>17.08.2026</t>
        </is>
      </c>
      <c r="G2136" s="245" t="inlineStr">
        <is>
          <t>11.1</t>
        </is>
      </c>
      <c r="H2136" s="245" t="inlineStr">
        <is>
          <t>Lead (Pb)</t>
        </is>
      </c>
      <c r="I2136" s="245" t="inlineStr">
        <is>
          <t>Ph. Eur. 2.4.27 (ICP-MS)</t>
        </is>
      </c>
      <c r="J2136" s="245" t="inlineStr">
        <is>
          <t>≤ 0.5 mg/kg</t>
        </is>
      </c>
      <c r="K2136" s="245" t="inlineStr">
        <is>
          <t>0.06</t>
        </is>
      </c>
      <c r="L2136" s="245" t="inlineStr">
        <is>
          <t>4348/2025</t>
        </is>
      </c>
      <c r="M2136" s="245" t="inlineStr">
        <is>
          <t>15.09.2025</t>
        </is>
      </c>
      <c r="N2136" s="245" t="inlineStr">
        <is>
          <t>IPH — Institute of Public Health</t>
        </is>
      </c>
      <c r="O2136" s="245" t="inlineStr">
        <is>
          <t>05.09.2025</t>
        </is>
      </c>
      <c r="P2136" s="245" t="inlineStr">
        <is>
          <t>carried from the initial testing (CoQ-PP-2025-0014) — covered</t>
        </is>
      </c>
      <c r="Q2136" s="245" t="inlineStr"/>
      <c r="R2136" s="245" t="inlineStr"/>
    </row>
    <row r="2137">
      <c r="A2137" s="245" t="inlineStr">
        <is>
          <t>CoQ-PP_26-093</t>
        </is>
      </c>
      <c r="B2137" s="245" t="inlineStr">
        <is>
          <t>reissue — 12-month retest</t>
        </is>
      </c>
      <c r="C2137" s="245" t="inlineStr">
        <is>
          <t>GP052501</t>
        </is>
      </c>
      <c r="D2137" s="245" t="inlineStr">
        <is>
          <t>P050152</t>
        </is>
      </c>
      <c r="E2137" s="245" t="inlineStr">
        <is>
          <t>Grape Pie</t>
        </is>
      </c>
      <c r="F2137" s="245" t="inlineStr">
        <is>
          <t>17.08.2026</t>
        </is>
      </c>
      <c r="G2137" s="245" t="inlineStr">
        <is>
          <t>11.2</t>
        </is>
      </c>
      <c r="H2137" s="245" t="inlineStr">
        <is>
          <t>Cadmium (Cd)</t>
        </is>
      </c>
      <c r="I2137" s="245" t="inlineStr">
        <is>
          <t>Ph. Eur. 2.4.27 (ICP-MS)</t>
        </is>
      </c>
      <c r="J2137" s="245" t="inlineStr">
        <is>
          <t>≤ 0.3 mg/kg</t>
        </is>
      </c>
      <c r="K2137" s="245" t="inlineStr">
        <is>
          <t>ND</t>
        </is>
      </c>
      <c r="L2137" s="245" t="inlineStr">
        <is>
          <t>4348/2025</t>
        </is>
      </c>
      <c r="M2137" s="245" t="inlineStr">
        <is>
          <t>15.09.2025</t>
        </is>
      </c>
      <c r="N2137" s="245" t="inlineStr">
        <is>
          <t>IPH — Institute of Public Health</t>
        </is>
      </c>
      <c r="O2137" s="245" t="inlineStr">
        <is>
          <t>05.09.2025</t>
        </is>
      </c>
      <c r="P2137" s="245" t="inlineStr">
        <is>
          <t>carried from the initial testing (CoQ-PP-2025-0014) — covered</t>
        </is>
      </c>
      <c r="Q2137" s="245" t="inlineStr"/>
      <c r="R2137" s="245" t="inlineStr"/>
    </row>
    <row r="2138">
      <c r="A2138" s="245" t="inlineStr">
        <is>
          <t>CoQ-PP_26-093</t>
        </is>
      </c>
      <c r="B2138" s="245" t="inlineStr">
        <is>
          <t>reissue — 12-month retest</t>
        </is>
      </c>
      <c r="C2138" s="245" t="inlineStr">
        <is>
          <t>GP052501</t>
        </is>
      </c>
      <c r="D2138" s="245" t="inlineStr">
        <is>
          <t>P050152</t>
        </is>
      </c>
      <c r="E2138" s="245" t="inlineStr">
        <is>
          <t>Grape Pie</t>
        </is>
      </c>
      <c r="F2138" s="245" t="inlineStr">
        <is>
          <t>17.08.2026</t>
        </is>
      </c>
      <c r="G2138" s="245" t="inlineStr">
        <is>
          <t>11.3</t>
        </is>
      </c>
      <c r="H2138" s="245" t="inlineStr">
        <is>
          <t>Arsenic (As)</t>
        </is>
      </c>
      <c r="I2138" s="245" t="inlineStr">
        <is>
          <t>Ph. Eur. 2.4.27 (ICP-MS)</t>
        </is>
      </c>
      <c r="J2138" s="245" t="inlineStr">
        <is>
          <t>≤ 0.2 mg/kg</t>
        </is>
      </c>
      <c r="K2138" s="245" t="inlineStr">
        <is>
          <t>ND</t>
        </is>
      </c>
      <c r="L2138" s="245" t="inlineStr">
        <is>
          <t>4348/2025</t>
        </is>
      </c>
      <c r="M2138" s="245" t="inlineStr">
        <is>
          <t>15.09.2025</t>
        </is>
      </c>
      <c r="N2138" s="245" t="inlineStr">
        <is>
          <t>IPH — Institute of Public Health</t>
        </is>
      </c>
      <c r="O2138" s="245" t="inlineStr">
        <is>
          <t>05.09.2025</t>
        </is>
      </c>
      <c r="P2138" s="245" t="inlineStr">
        <is>
          <t>carried from the initial testing (CoQ-PP-2025-0014) — covered</t>
        </is>
      </c>
      <c r="Q2138" s="245" t="inlineStr"/>
      <c r="R2138" s="245" t="inlineStr"/>
    </row>
    <row r="2139">
      <c r="A2139" s="245" t="inlineStr">
        <is>
          <t>CoQ-PP_26-093</t>
        </is>
      </c>
      <c r="B2139" s="245" t="inlineStr">
        <is>
          <t>reissue — 12-month retest</t>
        </is>
      </c>
      <c r="C2139" s="245" t="inlineStr">
        <is>
          <t>GP052501</t>
        </is>
      </c>
      <c r="D2139" s="245" t="inlineStr">
        <is>
          <t>P050152</t>
        </is>
      </c>
      <c r="E2139" s="245" t="inlineStr">
        <is>
          <t>Grape Pie</t>
        </is>
      </c>
      <c r="F2139" s="245" t="inlineStr">
        <is>
          <t>17.08.2026</t>
        </is>
      </c>
      <c r="G2139" s="245" t="inlineStr">
        <is>
          <t>11.4</t>
        </is>
      </c>
      <c r="H2139" s="245" t="inlineStr">
        <is>
          <t>Mercury (Hg)</t>
        </is>
      </c>
      <c r="I2139" s="245" t="inlineStr">
        <is>
          <t>Ph. Eur. 2.4.27 (ICP-MS)</t>
        </is>
      </c>
      <c r="J2139" s="245" t="inlineStr">
        <is>
          <t>≤ 0.1 mg/kg</t>
        </is>
      </c>
      <c r="K2139" s="245" t="inlineStr">
        <is>
          <t>ND</t>
        </is>
      </c>
      <c r="L2139" s="245" t="inlineStr">
        <is>
          <t>4348/2025</t>
        </is>
      </c>
      <c r="M2139" s="245" t="inlineStr">
        <is>
          <t>15.09.2025</t>
        </is>
      </c>
      <c r="N2139" s="245" t="inlineStr">
        <is>
          <t>IPH — Institute of Public Health</t>
        </is>
      </c>
      <c r="O2139" s="245" t="inlineStr">
        <is>
          <t>05.09.2025</t>
        </is>
      </c>
      <c r="P2139" s="245" t="inlineStr">
        <is>
          <t>carried from the initial testing (CoQ-PP-2025-0014) — covered</t>
        </is>
      </c>
      <c r="Q2139" s="245" t="inlineStr"/>
      <c r="R2139" s="245" t="inlineStr"/>
    </row>
    <row r="2140">
      <c r="A2140" s="245" t="inlineStr">
        <is>
          <t>CoQ-PP_26-093</t>
        </is>
      </c>
      <c r="B2140" s="245" t="inlineStr">
        <is>
          <t>reissue — 12-month retest</t>
        </is>
      </c>
      <c r="C2140" s="245" t="inlineStr">
        <is>
          <t>GP052501</t>
        </is>
      </c>
      <c r="D2140" s="245" t="inlineStr">
        <is>
          <t>P050152</t>
        </is>
      </c>
      <c r="E2140" s="245" t="inlineStr">
        <is>
          <t>Grape Pie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4348/2025</t>
        </is>
      </c>
      <c r="M2140" s="245" t="inlineStr">
        <is>
          <t>15.09.2025</t>
        </is>
      </c>
      <c r="N2140" s="245" t="inlineStr">
        <is>
          <t>IPH — Institute of Public Health</t>
        </is>
      </c>
      <c r="O2140" s="245" t="inlineStr">
        <is>
          <t>05.09.2025</t>
        </is>
      </c>
      <c r="P2140" s="245" t="inlineStr">
        <is>
          <t>carried from the initial testing (CoQ-PP-2025-0014) — covered</t>
        </is>
      </c>
      <c r="Q2140" s="245" t="inlineStr"/>
      <c r="R2140" s="245" t="inlineStr"/>
    </row>
    <row r="2141">
      <c r="A2141" s="245" t="inlineStr">
        <is>
          <t>CoQ-PP_26-094</t>
        </is>
      </c>
      <c r="B2141" s="245" t="inlineStr">
        <is>
          <t>reissue — 12-month retest</t>
        </is>
      </c>
      <c r="C2141" s="245" t="inlineStr">
        <is>
          <t>GP0824_02</t>
        </is>
      </c>
      <c r="D2141" s="245" t="inlineStr">
        <is>
          <t>P050022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5" t="inlineStr">
        <is>
          <t>Conforms | Одговара</t>
        </is>
      </c>
      <c r="L2141" s="245" t="inlineStr">
        <is>
          <t>iCoA-PP_26-106</t>
        </is>
      </c>
      <c r="M2141" s="245" t="inlineStr">
        <is>
          <t>27.07.2026</t>
        </is>
      </c>
      <c r="N2141" s="245" t="inlineStr">
        <is>
          <t>Purely Plant GmbH (in-house)</t>
        </is>
      </c>
      <c r="O2141" s="245" t="inlineStr">
        <is>
          <t>—</t>
        </is>
      </c>
      <c r="P2141" s="245" t="inlineStr">
        <is>
          <t>covered</t>
        </is>
      </c>
      <c r="Q2141" s="245" t="inlineStr">
        <is>
          <t>Farmahem — Ident A + B + C with the Assay, at retest</t>
        </is>
      </c>
      <c r="R2141" s="245" t="inlineStr"/>
    </row>
    <row r="2142">
      <c r="A2142" s="245" t="inlineStr">
        <is>
          <t>CoQ-PP_26-094</t>
        </is>
      </c>
      <c r="B2142" s="245" t="inlineStr">
        <is>
          <t>reissue — 12-month retest</t>
        </is>
      </c>
      <c r="C2142" s="245" t="inlineStr">
        <is>
          <t>GP0824_02</t>
        </is>
      </c>
      <c r="D2142" s="245" t="inlineStr">
        <is>
          <t>P050022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5" t="inlineStr">
        <is>
          <t>Conforms | Одговара</t>
        </is>
      </c>
      <c r="L2142" s="245" t="inlineStr">
        <is>
          <t>iCoA-PP_26-106</t>
        </is>
      </c>
      <c r="M2142" s="245" t="inlineStr">
        <is>
          <t>27.07.2026</t>
        </is>
      </c>
      <c r="N2142" s="245" t="inlineStr">
        <is>
          <t>Purely Plant GmbH (in-house)</t>
        </is>
      </c>
      <c r="O2142" s="245" t="inlineStr">
        <is>
          <t>—</t>
        </is>
      </c>
      <c r="P2142" s="245" t="inlineStr">
        <is>
          <t>covered</t>
        </is>
      </c>
      <c r="Q2142" s="245" t="inlineStr">
        <is>
          <t>Farmahem — Ident A + B + C with the Assay, at retest</t>
        </is>
      </c>
      <c r="R2142" s="245" t="inlineStr"/>
    </row>
    <row r="2143">
      <c r="A2143" s="245" t="inlineStr">
        <is>
          <t>CoQ-PP_26-094</t>
        </is>
      </c>
      <c r="B2143" s="245" t="inlineStr">
        <is>
          <t>reissue — 12-month retest</t>
        </is>
      </c>
      <c r="C2143" s="245" t="inlineStr">
        <is>
          <t>GP0824_02</t>
        </is>
      </c>
      <c r="D2143" s="245" t="inlineStr">
        <is>
          <t>P050022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197-11-К/26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GP0824_02</t>
        </is>
      </c>
      <c r="D2144" s="245" t="inlineStr">
        <is>
          <t>P050022</t>
        </is>
      </c>
      <c r="E2144" s="245" t="inlineStr">
        <is>
          <t>Grape Pie</t>
        </is>
      </c>
      <c r="F2144" s="245" t="inlineStr">
        <is>
          <t>17.08.2026</t>
        </is>
      </c>
      <c r="G2144" s="245" t="inlineStr">
        <is>
          <t>4</t>
        </is>
      </c>
      <c r="H2144" s="245" t="inlineStr">
        <is>
          <t>Assay — Total Δ⁹-THC</t>
        </is>
      </c>
      <c r="I2144" s="245" t="inlineStr">
        <is>
          <t>Ph. Eur. 2.2.29 (HPLC)</t>
        </is>
      </c>
      <c r="J2144" s="245" t="inlineStr">
        <is>
          <t>22.00 – 25.99 %  (grade II, nominal 24.00 ± 2.00)</t>
        </is>
      </c>
      <c r="K2144" s="245" t="inlineStr">
        <is>
          <t>22.61</t>
        </is>
      </c>
      <c r="L2144" s="245" t="inlineStr">
        <is>
          <t>197-11-К/26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GP0824_02</t>
        </is>
      </c>
      <c r="D2145" s="245" t="inlineStr">
        <is>
          <t>P050022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197-11-К/26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GP0824_02</t>
        </is>
      </c>
      <c r="D2146" s="245" t="inlineStr">
        <is>
          <t>P050022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0.23</t>
        </is>
      </c>
      <c r="L2146" s="245" t="inlineStr">
        <is>
          <t>197-11-К/26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GP0824_02</t>
        </is>
      </c>
      <c r="D2147" s="245" t="inlineStr">
        <is>
          <t>P050022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5" t="inlineStr">
        <is>
          <t>Conforms | Одговара</t>
        </is>
      </c>
      <c r="L2147" s="245" t="inlineStr">
        <is>
          <t>iCoA-PP_26-106</t>
        </is>
      </c>
      <c r="M2147" s="245" t="inlineStr">
        <is>
          <t>27.07.2026</t>
        </is>
      </c>
      <c r="N2147" s="245" t="inlineStr">
        <is>
          <t>Purely Plant GmbH (in-house)</t>
        </is>
      </c>
      <c r="O2147" s="245" t="inlineStr">
        <is>
          <t>—</t>
        </is>
      </c>
      <c r="P2147" s="245" t="inlineStr">
        <is>
          <t>covered</t>
        </is>
      </c>
      <c r="Q2147" s="245" t="inlineStr">
        <is>
          <t>Purely Plant laboratory — iCoA covering Foreign matter</t>
        </is>
      </c>
      <c r="R2147" s="245" t="inlineStr"/>
    </row>
    <row r="2148">
      <c r="A2148" s="245" t="inlineStr">
        <is>
          <t>CoQ-PP_26-094</t>
        </is>
      </c>
      <c r="B2148" s="245" t="inlineStr">
        <is>
          <t>reissue — 12-month retest</t>
        </is>
      </c>
      <c r="C2148" s="245" t="inlineStr">
        <is>
          <t>GP0824_02</t>
        </is>
      </c>
      <c r="D2148" s="245" t="inlineStr">
        <is>
          <t>P050022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7.21</t>
        </is>
      </c>
      <c r="L2148" s="245" t="inlineStr">
        <is>
          <t>ППК25139</t>
        </is>
      </c>
      <c r="M2148" s="245" t="inlineStr">
        <is>
          <t>22.05.2025</t>
        </is>
      </c>
      <c r="N2148" s="245" t="inlineStr">
        <is>
          <t>UKIM Faculty of Pharmacy — Center for Natural Products</t>
        </is>
      </c>
      <c r="O2148" s="245" t="inlineStr">
        <is>
          <t>—</t>
        </is>
      </c>
      <c r="P2148" s="245" t="inlineStr">
        <is>
          <t>carried from the initial testing (CoQ-PP-2025-0006) — covered</t>
        </is>
      </c>
      <c r="Q2148" s="245" t="inlineStr"/>
      <c r="R2148" s="245" t="inlineStr">
        <is>
          <t>6.51 (ППК25174); 6.32 (ППК26032); 5.84 (ППК26033); 6.62 (ППК26059)</t>
        </is>
      </c>
    </row>
    <row r="2149">
      <c r="A2149" s="245" t="inlineStr">
        <is>
          <t>CoQ-PP_26-094</t>
        </is>
      </c>
      <c r="B2149" s="245" t="inlineStr">
        <is>
          <t>reissue — 12-month retest</t>
        </is>
      </c>
      <c r="C2149" s="245" t="inlineStr">
        <is>
          <t>GP0824_02</t>
        </is>
      </c>
      <c r="D2149" s="245" t="inlineStr">
        <is>
          <t>P050022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&lt; 10</t>
        </is>
      </c>
      <c r="L2149" s="245" t="inlineStr">
        <is>
          <t>627/1128/25</t>
        </is>
      </c>
      <c r="M2149" s="245" t="inlineStr">
        <is>
          <t>02.07.2025</t>
        </is>
      </c>
      <c r="N2149" s="245" t="inlineStr">
        <is>
          <t>IPH — Institute of Public Health</t>
        </is>
      </c>
      <c r="O2149" s="245" t="inlineStr">
        <is>
          <t>24.06.2025</t>
        </is>
      </c>
      <c r="P2149" s="245" t="inlineStr">
        <is>
          <t>carried from the initial testing (CoQ-PP-2025-0006) — covered</t>
        </is>
      </c>
      <c r="Q2149" s="245" t="inlineStr"/>
      <c r="R2149" s="245" t="inlineStr"/>
    </row>
    <row r="2150">
      <c r="A2150" s="245" t="inlineStr">
        <is>
          <t>CoQ-PP_26-094</t>
        </is>
      </c>
      <c r="B2150" s="245" t="inlineStr">
        <is>
          <t>reissue — 12-month retest</t>
        </is>
      </c>
      <c r="C2150" s="245" t="inlineStr">
        <is>
          <t>GP0824_02</t>
        </is>
      </c>
      <c r="D2150" s="245" t="inlineStr">
        <is>
          <t>P050022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&lt; 10</t>
        </is>
      </c>
      <c r="L2150" s="245" t="inlineStr">
        <is>
          <t>627/1128/25</t>
        </is>
      </c>
      <c r="M2150" s="245" t="inlineStr">
        <is>
          <t>02.07.2025</t>
        </is>
      </c>
      <c r="N2150" s="245" t="inlineStr">
        <is>
          <t>IPH — Institute of Public Health</t>
        </is>
      </c>
      <c r="O2150" s="245" t="inlineStr">
        <is>
          <t>24.06.2025</t>
        </is>
      </c>
      <c r="P2150" s="245" t="inlineStr">
        <is>
          <t>carried from the initial testing (CoQ-PP-2025-0006) — covered</t>
        </is>
      </c>
      <c r="Q2150" s="245" t="inlineStr"/>
      <c r="R2150" s="245" t="inlineStr"/>
    </row>
    <row r="2151">
      <c r="A2151" s="245" t="inlineStr">
        <is>
          <t>CoQ-PP_26-094</t>
        </is>
      </c>
      <c r="B2151" s="245" t="inlineStr">
        <is>
          <t>reissue — 12-month retest</t>
        </is>
      </c>
      <c r="C2151" s="245" t="inlineStr">
        <is>
          <t>GP0824_02</t>
        </is>
      </c>
      <c r="D2151" s="245" t="inlineStr">
        <is>
          <t>P050022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t>
        </is>
      </c>
      <c r="L2151" s="245" t="inlineStr">
        <is>
          <t>627/1128/25</t>
        </is>
      </c>
      <c r="M2151" s="245" t="inlineStr">
        <is>
          <t>02.07.2025</t>
        </is>
      </c>
      <c r="N2151" s="245" t="inlineStr">
        <is>
          <t>IPH — Institute of Public Health</t>
        </is>
      </c>
      <c r="O2151" s="245" t="inlineStr">
        <is>
          <t>24.06.2025</t>
        </is>
      </c>
      <c r="P2151" s="245" t="inlineStr">
        <is>
          <t>carried from the initial testing (CoQ-PP-2025-0006) — covered</t>
        </is>
      </c>
      <c r="Q2151" s="245" t="inlineStr"/>
      <c r="R2151" s="245" t="inlineStr"/>
    </row>
    <row r="2152">
      <c r="A2152" s="245" t="inlineStr">
        <is>
          <t>CoQ-PP_26-094</t>
        </is>
      </c>
      <c r="B2152" s="245" t="inlineStr">
        <is>
          <t>reissue — 12-month retest</t>
        </is>
      </c>
      <c r="C2152" s="245" t="inlineStr">
        <is>
          <t>GP0824_02</t>
        </is>
      </c>
      <c r="D2152" s="245" t="inlineStr">
        <is>
          <t>P050022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627/1128/25</t>
        </is>
      </c>
      <c r="M2152" s="245" t="inlineStr">
        <is>
          <t>02.07.2025</t>
        </is>
      </c>
      <c r="N2152" s="245" t="inlineStr">
        <is>
          <t>IPH — Institute of Public Health</t>
        </is>
      </c>
      <c r="O2152" s="245" t="inlineStr">
        <is>
          <t>24.06.2025</t>
        </is>
      </c>
      <c r="P2152" s="245" t="inlineStr">
        <is>
          <t>carried from the initial testing (CoQ-PP-2025-0006) — covered</t>
        </is>
      </c>
      <c r="Q2152" s="245" t="inlineStr"/>
      <c r="R2152" s="245" t="inlineStr"/>
    </row>
    <row r="2153">
      <c r="A2153" s="245" t="inlineStr">
        <is>
          <t>CoQ-PP_26-094</t>
        </is>
      </c>
      <c r="B2153" s="245" t="inlineStr">
        <is>
          <t>reissue — 12-month retest</t>
        </is>
      </c>
      <c r="C2153" s="245" t="inlineStr">
        <is>
          <t>GP0824_02</t>
        </is>
      </c>
      <c r="D2153" s="245" t="inlineStr">
        <is>
          <t>P050022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627/1128/25</t>
        </is>
      </c>
      <c r="M2153" s="245" t="inlineStr">
        <is>
          <t>02.07.2025</t>
        </is>
      </c>
      <c r="N2153" s="245" t="inlineStr">
        <is>
          <t>IPH — Institute of Public Health</t>
        </is>
      </c>
      <c r="O2153" s="245" t="inlineStr">
        <is>
          <t>24.06.2025</t>
        </is>
      </c>
      <c r="P2153" s="245" t="inlineStr">
        <is>
          <t>carried from the initial testing (CoQ-PP-2025-0006) — covered</t>
        </is>
      </c>
      <c r="Q2153" s="245" t="inlineStr"/>
      <c r="R2153" s="245" t="inlineStr"/>
    </row>
    <row r="2154">
      <c r="A2154" s="245" t="inlineStr">
        <is>
          <t>CoQ-PP_26-094</t>
        </is>
      </c>
      <c r="B2154" s="245" t="inlineStr">
        <is>
          <t>reissue — 12-month retest</t>
        </is>
      </c>
      <c r="C2154" s="245" t="inlineStr">
        <is>
          <t>GP0824_02</t>
        </is>
      </c>
      <c r="D2154" s="245" t="inlineStr">
        <is>
          <t>P050022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GP0824_02</t>
        </is>
      </c>
      <c r="D2155" s="245" t="inlineStr">
        <is>
          <t>P050022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GP0824_02</t>
        </is>
      </c>
      <c r="D2156" s="245" t="inlineStr">
        <is>
          <t>P050022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197-11-М/26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GP0824_02</t>
        </is>
      </c>
      <c r="D2157" s="245" t="inlineStr">
        <is>
          <t>P050022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197-11-М/26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GP0824_02</t>
        </is>
      </c>
      <c r="D2158" s="245" t="inlineStr">
        <is>
          <t>P050022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197-11-М/26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GP0824_02</t>
        </is>
      </c>
      <c r="D2159" s="245" t="inlineStr">
        <is>
          <t>P050022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ND</t>
        </is>
      </c>
      <c r="L2159" s="245" t="inlineStr">
        <is>
          <t>3176/2025</t>
        </is>
      </c>
      <c r="M2159" s="245" t="inlineStr">
        <is>
          <t>26.06.2025</t>
        </is>
      </c>
      <c r="N2159" s="245" t="inlineStr">
        <is>
          <t>IPH — Institute of Public Health</t>
        </is>
      </c>
      <c r="O2159" s="245" t="inlineStr">
        <is>
          <t>23.06.2025</t>
        </is>
      </c>
      <c r="P2159" s="245" t="inlineStr">
        <is>
          <t>carried from the initial testing (CoQ-PP-2025-0006) — covered</t>
        </is>
      </c>
      <c r="Q2159" s="245" t="inlineStr"/>
      <c r="R2159" s="245" t="inlineStr"/>
    </row>
    <row r="2160">
      <c r="A2160" s="245" t="inlineStr">
        <is>
          <t>CoQ-PP_26-094</t>
        </is>
      </c>
      <c r="B2160" s="245" t="inlineStr">
        <is>
          <t>reissue — 12-month retest</t>
        </is>
      </c>
      <c r="C2160" s="245" t="inlineStr">
        <is>
          <t>GP0824_02</t>
        </is>
      </c>
      <c r="D2160" s="245" t="inlineStr">
        <is>
          <t>P050022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3176/2025</t>
        </is>
      </c>
      <c r="M2160" s="245" t="inlineStr">
        <is>
          <t>26.06.2025</t>
        </is>
      </c>
      <c r="N2160" s="245" t="inlineStr">
        <is>
          <t>IPH — Institute of Public Health</t>
        </is>
      </c>
      <c r="O2160" s="245" t="inlineStr">
        <is>
          <t>23.06.2025</t>
        </is>
      </c>
      <c r="P2160" s="245" t="inlineStr">
        <is>
          <t>carried from the initial testing (CoQ-PP-2025-0006) — covered</t>
        </is>
      </c>
      <c r="Q2160" s="245" t="inlineStr"/>
      <c r="R2160" s="245" t="inlineStr"/>
    </row>
    <row r="2161">
      <c r="A2161" s="245" t="inlineStr">
        <is>
          <t>CoQ-PP_26-094</t>
        </is>
      </c>
      <c r="B2161" s="245" t="inlineStr">
        <is>
          <t>reissue — 12-month retest</t>
        </is>
      </c>
      <c r="C2161" s="245" t="inlineStr">
        <is>
          <t>GP0824_02</t>
        </is>
      </c>
      <c r="D2161" s="245" t="inlineStr">
        <is>
          <t>P050022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0.047</t>
        </is>
      </c>
      <c r="L2161" s="245" t="inlineStr">
        <is>
          <t>3176/2025</t>
        </is>
      </c>
      <c r="M2161" s="245" t="inlineStr">
        <is>
          <t>26.06.2025</t>
        </is>
      </c>
      <c r="N2161" s="245" t="inlineStr">
        <is>
          <t>IPH — Institute of Public Health</t>
        </is>
      </c>
      <c r="O2161" s="245" t="inlineStr">
        <is>
          <t>23.06.2025</t>
        </is>
      </c>
      <c r="P2161" s="245" t="inlineStr">
        <is>
          <t>carried from the initial testing (CoQ-PP-2025-0006) — covered</t>
        </is>
      </c>
      <c r="Q2161" s="245" t="inlineStr"/>
      <c r="R2161" s="245" t="inlineStr"/>
    </row>
    <row r="2162">
      <c r="A2162" s="245" t="inlineStr">
        <is>
          <t>CoQ-PP_26-094</t>
        </is>
      </c>
      <c r="B2162" s="245" t="inlineStr">
        <is>
          <t>reissue — 12-month retest</t>
        </is>
      </c>
      <c r="C2162" s="245" t="inlineStr">
        <is>
          <t>GP0824_02</t>
        </is>
      </c>
      <c r="D2162" s="245" t="inlineStr">
        <is>
          <t>P050022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3176/2025</t>
        </is>
      </c>
      <c r="M2162" s="245" t="inlineStr">
        <is>
          <t>26.06.2025</t>
        </is>
      </c>
      <c r="N2162" s="245" t="inlineStr">
        <is>
          <t>IPH — Institute of Public Health</t>
        </is>
      </c>
      <c r="O2162" s="245" t="inlineStr">
        <is>
          <t>23.06.2025</t>
        </is>
      </c>
      <c r="P2162" s="245" t="inlineStr">
        <is>
          <t>carried from the initial testing (CoQ-PP-2025-0006) — covered</t>
        </is>
      </c>
      <c r="Q2162" s="245" t="inlineStr"/>
      <c r="R2162" s="245" t="inlineStr"/>
    </row>
    <row r="2163">
      <c r="A2163" s="245" t="inlineStr">
        <is>
          <t>CoQ-PP_26-094</t>
        </is>
      </c>
      <c r="B2163" s="245" t="inlineStr">
        <is>
          <t>reissue — 12-month retest</t>
        </is>
      </c>
      <c r="C2163" s="245" t="inlineStr">
        <is>
          <t>GP0824_02</t>
        </is>
      </c>
      <c r="D2163" s="245" t="inlineStr">
        <is>
          <t>P050022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3176/2025</t>
        </is>
      </c>
      <c r="M2163" s="245" t="inlineStr">
        <is>
          <t>26.06.2025</t>
        </is>
      </c>
      <c r="N2163" s="245" t="inlineStr">
        <is>
          <t>IPH — Institute of Public Health</t>
        </is>
      </c>
      <c r="O2163" s="245" t="inlineStr">
        <is>
          <t>23.06.2025</t>
        </is>
      </c>
      <c r="P2163" s="245" t="inlineStr">
        <is>
          <t>carried from the initial testing (CoQ-PP-2025-0006) — covered</t>
        </is>
      </c>
      <c r="Q2163" s="245" t="inlineStr"/>
      <c r="R2163" s="245" t="inlineStr"/>
    </row>
    <row r="2164">
      <c r="A2164" s="245" t="inlineStr">
        <is>
          <t>CoQ-PP_26-095</t>
        </is>
      </c>
      <c r="B2164" s="245" t="inlineStr">
        <is>
          <t>reissue — 12-month retest</t>
        </is>
      </c>
      <c r="C2164" s="245" t="inlineStr">
        <is>
          <t>GP082501/2</t>
        </is>
      </c>
      <c r="D2164" s="245" t="inlineStr">
        <is>
          <t>P050322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5" t="inlineStr">
        <is>
          <t>Conforms | Одговара</t>
        </is>
      </c>
      <c r="L2164" s="245" t="inlineStr">
        <is>
          <t>iCoA-PP_26-109</t>
        </is>
      </c>
      <c r="M2164" s="245" t="inlineStr">
        <is>
          <t>27.07.2026</t>
        </is>
      </c>
      <c r="N2164" s="245" t="inlineStr">
        <is>
          <t>Purely Plant GmbH (in-house)</t>
        </is>
      </c>
      <c r="O2164" s="245" t="inlineStr">
        <is>
          <t>—</t>
        </is>
      </c>
      <c r="P2164" s="245" t="inlineStr">
        <is>
          <t>covered</t>
        </is>
      </c>
      <c r="Q2164" s="245" t="inlineStr">
        <is>
          <t>Farmahem — Ident A + B + C with the Assay, at retest</t>
        </is>
      </c>
      <c r="R2164" s="245" t="inlineStr"/>
    </row>
    <row r="2165">
      <c r="A2165" s="245" t="inlineStr">
        <is>
          <t>CoQ-PP_26-095</t>
        </is>
      </c>
      <c r="B2165" s="245" t="inlineStr">
        <is>
          <t>reissue — 12-month retest</t>
        </is>
      </c>
      <c r="C2165" s="245" t="inlineStr">
        <is>
          <t>GP082501/2</t>
        </is>
      </c>
      <c r="D2165" s="245" t="inlineStr">
        <is>
          <t>P050322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5" t="inlineStr">
        <is>
          <t>Conforms | Одговара</t>
        </is>
      </c>
      <c r="L2165" s="245" t="inlineStr">
        <is>
          <t>iCoA-PP_26-109</t>
        </is>
      </c>
      <c r="M2165" s="245" t="inlineStr">
        <is>
          <t>27.07.2026</t>
        </is>
      </c>
      <c r="N2165" s="245" t="inlineStr">
        <is>
          <t>Purely Plant GmbH (in-house)</t>
        </is>
      </c>
      <c r="O2165" s="245" t="inlineStr">
        <is>
          <t>—</t>
        </is>
      </c>
      <c r="P2165" s="245" t="inlineStr">
        <is>
          <t>covered</t>
        </is>
      </c>
      <c r="Q2165" s="245" t="inlineStr">
        <is>
          <t>Farmahem — Ident A + B + C with the Assay, at retest</t>
        </is>
      </c>
      <c r="R2165" s="245" t="inlineStr"/>
    </row>
    <row r="2166">
      <c r="A2166" s="245" t="inlineStr">
        <is>
          <t>CoQ-PP_26-095</t>
        </is>
      </c>
      <c r="B2166" s="245" t="inlineStr">
        <is>
          <t>reissue — 12-month retest</t>
        </is>
      </c>
      <c r="C2166" s="245" t="inlineStr">
        <is>
          <t>GP082501/2</t>
        </is>
      </c>
      <c r="D2166" s="245" t="inlineStr">
        <is>
          <t>P050322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197-12-К/26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GP082501/2</t>
        </is>
      </c>
      <c r="D2167" s="245" t="inlineStr">
        <is>
          <t>P050322</t>
        </is>
      </c>
      <c r="E2167" s="245" t="inlineStr">
        <is>
          <t>Grape Pie</t>
        </is>
      </c>
      <c r="F2167" s="245" t="inlineStr">
        <is>
          <t>17.08.2026</t>
        </is>
      </c>
      <c r="G2167" s="245" t="inlineStr">
        <is>
          <t>4</t>
        </is>
      </c>
      <c r="H2167" s="245" t="inlineStr">
        <is>
          <t>Assay — Total Δ⁹-THC</t>
        </is>
      </c>
      <c r="I2167" s="245" t="inlineStr">
        <is>
          <t>Ph. Eur. 2.2.29 (HPLC)</t>
        </is>
      </c>
      <c r="J2167" s="245" t="inlineStr">
        <is>
          <t>14.40 – 17.59 %  (grade IV, nominal 16.00 ± 1.60)</t>
        </is>
      </c>
      <c r="K2167" s="245" t="inlineStr">
        <is>
          <t>15.70</t>
        </is>
      </c>
      <c r="L2167" s="245" t="inlineStr">
        <is>
          <t>197-12-К/26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GP082501/2</t>
        </is>
      </c>
      <c r="D2168" s="245" t="inlineStr">
        <is>
          <t>P050322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197-12-К/26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GP082501/2</t>
        </is>
      </c>
      <c r="D2169" s="245" t="inlineStr">
        <is>
          <t>P050322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&lt; LOQ</t>
        </is>
      </c>
      <c r="L2169" s="245" t="inlineStr">
        <is>
          <t>197-12-К/26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GP082501/2</t>
        </is>
      </c>
      <c r="D2170" s="245" t="inlineStr">
        <is>
          <t>P050322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5" t="inlineStr">
        <is>
          <t>Conforms | Одговара</t>
        </is>
      </c>
      <c r="L2170" s="245" t="inlineStr">
        <is>
          <t>iCoA-PP_26-109</t>
        </is>
      </c>
      <c r="M2170" s="245" t="inlineStr">
        <is>
          <t>27.07.2026</t>
        </is>
      </c>
      <c r="N2170" s="245" t="inlineStr">
        <is>
          <t>Purely Plant GmbH (in-house)</t>
        </is>
      </c>
      <c r="O2170" s="245" t="inlineStr">
        <is>
          <t>—</t>
        </is>
      </c>
      <c r="P2170" s="245" t="inlineStr">
        <is>
          <t>covered</t>
        </is>
      </c>
      <c r="Q2170" s="245" t="inlineStr">
        <is>
          <t>Purely Plant laboratory — iCoA covering Foreign matter</t>
        </is>
      </c>
      <c r="R2170" s="245" t="inlineStr"/>
    </row>
    <row r="2171">
      <c r="A2171" s="245" t="inlineStr">
        <is>
          <t>CoQ-PP_26-095</t>
        </is>
      </c>
      <c r="B2171" s="245" t="inlineStr">
        <is>
          <t>reissue — 12-month retest</t>
        </is>
      </c>
      <c r="C2171" s="245" t="inlineStr">
        <is>
          <t>GP082501/2</t>
        </is>
      </c>
      <c r="D2171" s="245" t="inlineStr">
        <is>
          <t>P050322</t>
        </is>
      </c>
      <c r="E2171" s="245" t="inlineStr">
        <is>
          <t>Grape Pie</t>
        </is>
      </c>
      <c r="F2171" s="245" t="inlineStr">
        <is>
          <t>17.08.2026</t>
        </is>
      </c>
      <c r="G2171" s="245" t="inlineStr">
        <is>
          <t>8</t>
        </is>
      </c>
      <c r="H2171" s="245" t="inlineStr">
        <is>
          <t>Loss on Drying</t>
        </is>
      </c>
      <c r="I2171" s="245" t="inlineStr">
        <is>
          <t>Ph. Eur. 2.2.32 (3028) · at 40 °C, 24 h, 15–25 mbar</t>
        </is>
      </c>
      <c r="J2171" s="245" t="inlineStr">
        <is>
          <t>≤ 12.0%</t>
        </is>
      </c>
      <c r="K2171" s="245" t="inlineStr">
        <is>
          <t>6.88</t>
        </is>
      </c>
      <c r="L2171" s="245" t="inlineStr">
        <is>
          <t>ППК25381</t>
        </is>
      </c>
      <c r="M2171" s="245" t="inlineStr">
        <is>
          <t>12.12.2025</t>
        </is>
      </c>
      <c r="N2171" s="245" t="inlineStr">
        <is>
          <t>CNP</t>
        </is>
      </c>
      <c r="O2171" s="245" t="inlineStr">
        <is>
          <t>01.12.2025</t>
        </is>
      </c>
      <c r="P2171" s="245" t="inlineStr">
        <is>
          <t>carried from the initial testing (CoQ-PP-2025-0022) — covered</t>
        </is>
      </c>
      <c r="Q2171" s="245" t="inlineStr"/>
      <c r="R2171" s="245" t="inlineStr"/>
    </row>
    <row r="2172">
      <c r="A2172" s="245" t="inlineStr">
        <is>
          <t>CoQ-PP_26-095</t>
        </is>
      </c>
      <c r="B2172" s="245" t="inlineStr">
        <is>
          <t>reissue — 12-month retest</t>
        </is>
      </c>
      <c r="C2172" s="245" t="inlineStr">
        <is>
          <t>GP082501/2</t>
        </is>
      </c>
      <c r="D2172" s="245" t="inlineStr">
        <is>
          <t>P050322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3.2 × 10³</t>
        </is>
      </c>
      <c r="L2172" s="245" t="inlineStr">
        <is>
          <t>1227/2193/25</t>
        </is>
      </c>
      <c r="M2172" s="245" t="inlineStr">
        <is>
          <t>05.12.2025</t>
        </is>
      </c>
      <c r="N2172" s="245" t="inlineStr">
        <is>
          <t>IPH — Institute of Public Health</t>
        </is>
      </c>
      <c r="O2172" s="245" t="inlineStr">
        <is>
          <t>—</t>
        </is>
      </c>
      <c r="P2172" s="245" t="inlineStr">
        <is>
          <t>carried from the initial testing (CoQ-PP-2025-0022) — covered</t>
        </is>
      </c>
      <c r="Q2172" s="245" t="inlineStr"/>
      <c r="R2172" s="245" t="inlineStr"/>
    </row>
    <row r="2173">
      <c r="A2173" s="245" t="inlineStr">
        <is>
          <t>CoQ-PP_26-095</t>
        </is>
      </c>
      <c r="B2173" s="245" t="inlineStr">
        <is>
          <t>reissue — 12-month retest</t>
        </is>
      </c>
      <c r="C2173" s="245" t="inlineStr">
        <is>
          <t>GP082501/2</t>
        </is>
      </c>
      <c r="D2173" s="245" t="inlineStr">
        <is>
          <t>P050322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5.8 × 10³</t>
        </is>
      </c>
      <c r="L2173" s="245" t="inlineStr">
        <is>
          <t>1227/2193/25</t>
        </is>
      </c>
      <c r="M2173" s="245" t="inlineStr">
        <is>
          <t>05.12.2025</t>
        </is>
      </c>
      <c r="N2173" s="245" t="inlineStr">
        <is>
          <t>IPH — Institute of Public Health</t>
        </is>
      </c>
      <c r="O2173" s="245" t="inlineStr">
        <is>
          <t>—</t>
        </is>
      </c>
      <c r="P2173" s="245" t="inlineStr">
        <is>
          <t>carried from the initial testing (CoQ-PP-2025-0022) — covered</t>
        </is>
      </c>
      <c r="Q2173" s="245" t="inlineStr"/>
      <c r="R2173" s="245" t="inlineStr"/>
    </row>
    <row r="2174">
      <c r="A2174" s="245" t="inlineStr">
        <is>
          <t>CoQ-PP_26-095</t>
        </is>
      </c>
      <c r="B2174" s="245" t="inlineStr">
        <is>
          <t>reissue — 12-month retest</t>
        </is>
      </c>
      <c r="C2174" s="245" t="inlineStr">
        <is>
          <t>GP082501/2</t>
        </is>
      </c>
      <c r="D2174" s="245" t="inlineStr">
        <is>
          <t>P050322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10⁴ and &gt; 10³</t>
        </is>
      </c>
      <c r="L2174" s="245" t="inlineStr">
        <is>
          <t>1227/2193/25</t>
        </is>
      </c>
      <c r="M2174" s="245" t="inlineStr">
        <is>
          <t>05.12.2025</t>
        </is>
      </c>
      <c r="N2174" s="245" t="inlineStr">
        <is>
          <t>IPH — Institute of Public Health</t>
        </is>
      </c>
      <c r="O2174" s="245" t="inlineStr">
        <is>
          <t>—</t>
        </is>
      </c>
      <c r="P2174" s="245" t="inlineStr">
        <is>
          <t>carried from the initial testing (CoQ-PP-2025-0022) — covered</t>
        </is>
      </c>
      <c r="Q2174" s="245" t="inlineStr"/>
      <c r="R2174" s="245" t="inlineStr"/>
    </row>
    <row r="2175">
      <c r="A2175" s="245" t="inlineStr">
        <is>
          <t>CoQ-PP_26-095</t>
        </is>
      </c>
      <c r="B2175" s="245" t="inlineStr">
        <is>
          <t>reissue — 12-month retest</t>
        </is>
      </c>
      <c r="C2175" s="245" t="inlineStr">
        <is>
          <t>GP082501/2</t>
        </is>
      </c>
      <c r="D2175" s="245" t="inlineStr">
        <is>
          <t>P050322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1227/2193/25</t>
        </is>
      </c>
      <c r="M2175" s="245" t="inlineStr">
        <is>
          <t>05.12.2025</t>
        </is>
      </c>
      <c r="N2175" s="245" t="inlineStr">
        <is>
          <t>IPH — Institute of Public Health</t>
        </is>
      </c>
      <c r="O2175" s="245" t="inlineStr">
        <is>
          <t>—</t>
        </is>
      </c>
      <c r="P2175" s="245" t="inlineStr">
        <is>
          <t>carried from the initial testing (CoQ-PP-2025-0022) — covered</t>
        </is>
      </c>
      <c r="Q2175" s="245" t="inlineStr"/>
      <c r="R2175" s="245" t="inlineStr"/>
    </row>
    <row r="2176">
      <c r="A2176" s="245" t="inlineStr">
        <is>
          <t>CoQ-PP_26-095</t>
        </is>
      </c>
      <c r="B2176" s="245" t="inlineStr">
        <is>
          <t>reissue — 12-month retest</t>
        </is>
      </c>
      <c r="C2176" s="245" t="inlineStr">
        <is>
          <t>GP082501/2</t>
        </is>
      </c>
      <c r="D2176" s="245" t="inlineStr">
        <is>
          <t>P050322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1227/2193/25</t>
        </is>
      </c>
      <c r="M2176" s="245" t="inlineStr">
        <is>
          <t>05.12.2025</t>
        </is>
      </c>
      <c r="N2176" s="245" t="inlineStr">
        <is>
          <t>IPH — Institute of Public Health</t>
        </is>
      </c>
      <c r="O2176" s="245" t="inlineStr">
        <is>
          <t>—</t>
        </is>
      </c>
      <c r="P2176" s="245" t="inlineStr">
        <is>
          <t>carried from the initial testing (CoQ-PP-2025-0022) — covered</t>
        </is>
      </c>
      <c r="Q2176" s="245" t="inlineStr"/>
      <c r="R2176" s="245" t="inlineStr"/>
    </row>
    <row r="2177">
      <c r="A2177" s="245" t="inlineStr">
        <is>
          <t>CoQ-PP_26-095</t>
        </is>
      </c>
      <c r="B2177" s="245" t="inlineStr">
        <is>
          <t>reissue — 12-month retest</t>
        </is>
      </c>
      <c r="C2177" s="245" t="inlineStr">
        <is>
          <t>GP082501/2</t>
        </is>
      </c>
      <c r="D2177" s="245" t="inlineStr">
        <is>
          <t>P050322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GP082501/2</t>
        </is>
      </c>
      <c r="D2178" s="245" t="inlineStr">
        <is>
          <t>P050322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GP082501/2</t>
        </is>
      </c>
      <c r="D2179" s="245" t="inlineStr">
        <is>
          <t>P050322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197-12-М/26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GP082501/2</t>
        </is>
      </c>
      <c r="D2180" s="245" t="inlineStr">
        <is>
          <t>P050322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197-12-М/26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GP082501/2</t>
        </is>
      </c>
      <c r="D2181" s="245" t="inlineStr">
        <is>
          <t>P050322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197-12-М/26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GP082501/2</t>
        </is>
      </c>
      <c r="D2182" s="245" t="inlineStr">
        <is>
          <t>P050322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0.013</t>
        </is>
      </c>
      <c r="L2182" s="245" t="inlineStr">
        <is>
          <t>5889/2025</t>
        </is>
      </c>
      <c r="M2182" s="245" t="inlineStr">
        <is>
          <t>12.12.2025</t>
        </is>
      </c>
      <c r="N2182" s="245" t="inlineStr">
        <is>
          <t>IPH — Institute of Public Health</t>
        </is>
      </c>
      <c r="O2182" s="245" t="inlineStr">
        <is>
          <t>01.12.2025</t>
        </is>
      </c>
      <c r="P2182" s="245" t="inlineStr">
        <is>
          <t>carried from the initial testing (CoQ-PP-2025-0022) — covered</t>
        </is>
      </c>
      <c r="Q2182" s="245" t="inlineStr"/>
      <c r="R2182" s="245" t="inlineStr"/>
    </row>
    <row r="2183">
      <c r="A2183" s="245" t="inlineStr">
        <is>
          <t>CoQ-PP_26-095</t>
        </is>
      </c>
      <c r="B2183" s="245" t="inlineStr">
        <is>
          <t>reissue — 12-month retest</t>
        </is>
      </c>
      <c r="C2183" s="245" t="inlineStr">
        <is>
          <t>GP082501/2</t>
        </is>
      </c>
      <c r="D2183" s="245" t="inlineStr">
        <is>
          <t>P050322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0.003</t>
        </is>
      </c>
      <c r="L2183" s="245" t="inlineStr">
        <is>
          <t>5889/2025</t>
        </is>
      </c>
      <c r="M2183" s="245" t="inlineStr">
        <is>
          <t>12.12.2025</t>
        </is>
      </c>
      <c r="N2183" s="245" t="inlineStr">
        <is>
          <t>IPH — Institute of Public Health</t>
        </is>
      </c>
      <c r="O2183" s="245" t="inlineStr">
        <is>
          <t>01.12.2025</t>
        </is>
      </c>
      <c r="P2183" s="245" t="inlineStr">
        <is>
          <t>carried from the initial testing (CoQ-PP-2025-0022) — covered</t>
        </is>
      </c>
      <c r="Q2183" s="245" t="inlineStr"/>
      <c r="R2183" s="245" t="inlineStr"/>
    </row>
    <row r="2184">
      <c r="A2184" s="245" t="inlineStr">
        <is>
          <t>CoQ-PP_26-095</t>
        </is>
      </c>
      <c r="B2184" s="245" t="inlineStr">
        <is>
          <t>reissue — 12-month retest</t>
        </is>
      </c>
      <c r="C2184" s="245" t="inlineStr">
        <is>
          <t>GP082501/2</t>
        </is>
      </c>
      <c r="D2184" s="245" t="inlineStr">
        <is>
          <t>P050322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0.02</t>
        </is>
      </c>
      <c r="L2184" s="245" t="inlineStr">
        <is>
          <t>5889/2025</t>
        </is>
      </c>
      <c r="M2184" s="245" t="inlineStr">
        <is>
          <t>12.12.2025</t>
        </is>
      </c>
      <c r="N2184" s="245" t="inlineStr">
        <is>
          <t>IPH — Institute of Public Health</t>
        </is>
      </c>
      <c r="O2184" s="245" t="inlineStr">
        <is>
          <t>01.12.2025</t>
        </is>
      </c>
      <c r="P2184" s="245" t="inlineStr">
        <is>
          <t>carried from the initial testing (CoQ-PP-2025-0022) — covered</t>
        </is>
      </c>
      <c r="Q2184" s="245" t="inlineStr"/>
      <c r="R2184" s="245" t="inlineStr"/>
    </row>
    <row r="2185">
      <c r="A2185" s="245" t="inlineStr">
        <is>
          <t>CoQ-PP_26-095</t>
        </is>
      </c>
      <c r="B2185" s="245" t="inlineStr">
        <is>
          <t>reissue — 12-month retest</t>
        </is>
      </c>
      <c r="C2185" s="245" t="inlineStr">
        <is>
          <t>GP082501/2</t>
        </is>
      </c>
      <c r="D2185" s="245" t="inlineStr">
        <is>
          <t>P050322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0.016</t>
        </is>
      </c>
      <c r="L2185" s="245" t="inlineStr">
        <is>
          <t>5889/2025</t>
        </is>
      </c>
      <c r="M2185" s="245" t="inlineStr">
        <is>
          <t>12.12.2025</t>
        </is>
      </c>
      <c r="N2185" s="245" t="inlineStr">
        <is>
          <t>IPH — Institute of Public Health</t>
        </is>
      </c>
      <c r="O2185" s="245" t="inlineStr">
        <is>
          <t>01.12.2025</t>
        </is>
      </c>
      <c r="P2185" s="245" t="inlineStr">
        <is>
          <t>carried from the initial testing (CoQ-PP-2025-0022) — covered</t>
        </is>
      </c>
      <c r="Q2185" s="245" t="inlineStr"/>
      <c r="R2185" s="245" t="inlineStr"/>
    </row>
    <row r="2186">
      <c r="A2186" s="245" t="inlineStr">
        <is>
          <t>CoQ-PP_26-095</t>
        </is>
      </c>
      <c r="B2186" s="245" t="inlineStr">
        <is>
          <t>reissue — 12-month retest</t>
        </is>
      </c>
      <c r="C2186" s="245" t="inlineStr">
        <is>
          <t>GP082501/2</t>
        </is>
      </c>
      <c r="D2186" s="245" t="inlineStr">
        <is>
          <t>P050322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5889/2025</t>
        </is>
      </c>
      <c r="M2186" s="245" t="inlineStr">
        <is>
          <t>12.12.2025</t>
        </is>
      </c>
      <c r="N2186" s="245" t="inlineStr">
        <is>
          <t>IPH — Institute of Public Health</t>
        </is>
      </c>
      <c r="O2186" s="245" t="inlineStr">
        <is>
          <t>01.12.2025</t>
        </is>
      </c>
      <c r="P2186" s="245" t="inlineStr">
        <is>
          <t>carried from the initial testing (CoQ-PP-2025-0022) — covered</t>
        </is>
      </c>
      <c r="Q2186" s="245" t="inlineStr"/>
      <c r="R2186" s="245" t="inlineStr"/>
    </row>
    <row r="2187">
      <c r="A2187" s="245" t="inlineStr">
        <is>
          <t>CoQ-PP_26-096</t>
        </is>
      </c>
      <c r="B2187" s="245" t="inlineStr">
        <is>
          <t>reissue — 12-month retest</t>
        </is>
      </c>
      <c r="C2187" s="245" t="inlineStr">
        <is>
          <t>HPA1024</t>
        </is>
      </c>
      <c r="D2187" s="245" t="inlineStr">
        <is>
          <t>HPA1024</t>
        </is>
      </c>
      <c r="E2187" s="245" t="inlineStr">
        <is>
          <t>High Pro Amnesia</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5" t="inlineStr">
        <is>
          <t>Conforms | Одговара</t>
        </is>
      </c>
      <c r="L2187" s="245" t="inlineStr">
        <is>
          <t>iCoA-PP_26-110</t>
        </is>
      </c>
      <c r="M2187" s="245" t="inlineStr">
        <is>
          <t>27.07.2026</t>
        </is>
      </c>
      <c r="N2187" s="245" t="inlineStr">
        <is>
          <t>Purely Plant GmbH (in-house)</t>
        </is>
      </c>
      <c r="O2187" s="245" t="inlineStr">
        <is>
          <t>—</t>
        </is>
      </c>
      <c r="P2187" s="245" t="inlineStr">
        <is>
          <t>covered</t>
        </is>
      </c>
      <c r="Q2187" s="245" t="inlineStr">
        <is>
          <t>Farmahem — Ident A + B + C with the Assay, at retest</t>
        </is>
      </c>
      <c r="R2187" s="245" t="inlineStr"/>
    </row>
    <row r="2188">
      <c r="A2188" s="245" t="inlineStr">
        <is>
          <t>CoQ-PP_26-096</t>
        </is>
      </c>
      <c r="B2188" s="245" t="inlineStr">
        <is>
          <t>reissue — 12-month retest</t>
        </is>
      </c>
      <c r="C2188" s="245" t="inlineStr">
        <is>
          <t>HPA1024</t>
        </is>
      </c>
      <c r="D2188" s="245" t="inlineStr">
        <is>
          <t>HPA1024</t>
        </is>
      </c>
      <c r="E2188" s="245" t="inlineStr">
        <is>
          <t>High Pro Amnesia</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5" t="inlineStr">
        <is>
          <t>Conforms | Одговара</t>
        </is>
      </c>
      <c r="L2188" s="245" t="inlineStr">
        <is>
          <t>iCoA-PP_26-110</t>
        </is>
      </c>
      <c r="M2188" s="245" t="inlineStr">
        <is>
          <t>27.07.2026</t>
        </is>
      </c>
      <c r="N2188" s="245" t="inlineStr">
        <is>
          <t>Purely Plant GmbH (in-house)</t>
        </is>
      </c>
      <c r="O2188" s="245" t="inlineStr">
        <is>
          <t>—</t>
        </is>
      </c>
      <c r="P2188" s="245" t="inlineStr">
        <is>
          <t>covered</t>
        </is>
      </c>
      <c r="Q2188" s="245" t="inlineStr">
        <is>
          <t>Farmahem — Ident A + B + C with the Assay, at retest</t>
        </is>
      </c>
      <c r="R2188" s="245" t="inlineStr"/>
    </row>
    <row r="2189">
      <c r="A2189" s="245" t="inlineStr">
        <is>
          <t>CoQ-PP_26-096</t>
        </is>
      </c>
      <c r="B2189" s="245" t="inlineStr">
        <is>
          <t>reissue — 12-month retest</t>
        </is>
      </c>
      <c r="C2189" s="245" t="inlineStr">
        <is>
          <t>HPA1024</t>
        </is>
      </c>
      <c r="D2189" s="245" t="inlineStr">
        <is>
          <t>HPA1024</t>
        </is>
      </c>
      <c r="E2189" s="245" t="inlineStr">
        <is>
          <t>High Pro Amnesia</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197-13-К/26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HPA1024</t>
        </is>
      </c>
      <c r="D2190" s="245" t="inlineStr">
        <is>
          <t>HPA1024</t>
        </is>
      </c>
      <c r="E2190" s="245" t="inlineStr">
        <is>
          <t>High Pro Amnesia</t>
        </is>
      </c>
      <c r="F2190" s="245" t="inlineStr">
        <is>
          <t>17.08.2026</t>
        </is>
      </c>
      <c r="G2190" s="245" t="inlineStr">
        <is>
          <t>4</t>
        </is>
      </c>
      <c r="H2190" s="245" t="inlineStr">
        <is>
          <t>Assay — Total Δ⁹-THC</t>
        </is>
      </c>
      <c r="I2190" s="245" t="inlineStr">
        <is>
          <t>Ph. Eur. 2.2.29 (HPLC)</t>
        </is>
      </c>
      <c r="J2190" s="245" t="inlineStr">
        <is>
          <t>16.20 – 19.79 %  (grade II, nominal 18.00 ± 1.80)</t>
        </is>
      </c>
      <c r="K2190" s="245" t="inlineStr">
        <is>
          <t>17.31</t>
        </is>
      </c>
      <c r="L2190" s="245" t="inlineStr">
        <is>
          <t>197-13-К/26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HPA1024</t>
        </is>
      </c>
      <c r="D2191" s="245" t="inlineStr">
        <is>
          <t>HPA1024</t>
        </is>
      </c>
      <c r="E2191" s="245" t="inlineStr">
        <is>
          <t>High Pro Amnesia</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197-13-К/26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HPA1024</t>
        </is>
      </c>
      <c r="D2192" s="245" t="inlineStr">
        <is>
          <t>HPA1024</t>
        </is>
      </c>
      <c r="E2192" s="245" t="inlineStr">
        <is>
          <t>High Pro Amnesia</t>
        </is>
      </c>
      <c r="F2192" s="245" t="inlineStr">
        <is>
          <t>17.08.2026</t>
        </is>
      </c>
      <c r="G2192" s="245" t="inlineStr">
        <is>
          <t>6</t>
        </is>
      </c>
      <c r="H2192" s="245" t="inlineStr">
        <is>
          <t>Total CBN</t>
        </is>
      </c>
      <c r="I2192" s="245" t="inlineStr">
        <is>
          <t>Ph. Eur. 2.2.29 (HPLC) · CBN + CBNA x 0.876</t>
        </is>
      </c>
      <c r="J2192" s="245" t="inlineStr">
        <is>
          <t>≤ 1.0%, w/w</t>
        </is>
      </c>
      <c r="K2192" s="245" t="inlineStr">
        <is>
          <t>0.36</t>
        </is>
      </c>
      <c r="L2192" s="245" t="inlineStr">
        <is>
          <t>197-13-К/26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HPA1024</t>
        </is>
      </c>
      <c r="D2193" s="245" t="inlineStr">
        <is>
          <t>HPA1024</t>
        </is>
      </c>
      <c r="E2193" s="245" t="inlineStr">
        <is>
          <t>High Pro Amnesia</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5" t="inlineStr">
        <is>
          <t>Conforms | Одговара</t>
        </is>
      </c>
      <c r="L2193" s="245" t="inlineStr">
        <is>
          <t>iCoA-PP_26-110</t>
        </is>
      </c>
      <c r="M2193" s="245" t="inlineStr">
        <is>
          <t>27.07.2026</t>
        </is>
      </c>
      <c r="N2193" s="245" t="inlineStr">
        <is>
          <t>Purely Plant GmbH (in-house)</t>
        </is>
      </c>
      <c r="O2193" s="245" t="inlineStr">
        <is>
          <t>—</t>
        </is>
      </c>
      <c r="P2193" s="245" t="inlineStr">
        <is>
          <t>covered</t>
        </is>
      </c>
      <c r="Q2193" s="245" t="inlineStr">
        <is>
          <t>Purely Plant laboratory — iCoA covering Foreign matter</t>
        </is>
      </c>
      <c r="R2193" s="245" t="inlineStr"/>
    </row>
    <row r="2194">
      <c r="A2194" s="245" t="inlineStr">
        <is>
          <t>CoQ-PP_26-096</t>
        </is>
      </c>
      <c r="B2194" s="245" t="inlineStr">
        <is>
          <t>reissue — 12-month retest</t>
        </is>
      </c>
      <c r="C2194" s="245" t="inlineStr">
        <is>
          <t>HPA1024</t>
        </is>
      </c>
      <c r="D2194" s="245" t="inlineStr">
        <is>
          <t>HPA1024</t>
        </is>
      </c>
      <c r="E2194" s="245" t="inlineStr">
        <is>
          <t>High Pro Amnesia</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carried from the initial testing — not tested</t>
        </is>
      </c>
      <c r="L2194" s="245" t="inlineStr">
        <is>
          <t>—</t>
        </is>
      </c>
      <c r="M2194" s="245" t="inlineStr">
        <is>
          <t>—</t>
        </is>
      </c>
      <c r="N2194" s="245" t="inlineStr">
        <is>
          <t>—</t>
        </is>
      </c>
      <c r="O2194" s="245" t="inlineStr">
        <is>
          <t>—</t>
        </is>
      </c>
      <c r="P2194" s="245" t="inlineStr">
        <is>
          <t>carried from the initial testing (CoQ-PP-2025-0004) — not tested — no certificate covers it</t>
        </is>
      </c>
      <c r="Q2194" s="245" t="inlineStr"/>
      <c r="R2194" s="245" t="inlineStr"/>
    </row>
    <row r="2195">
      <c r="A2195" s="245" t="inlineStr">
        <is>
          <t>CoQ-PP_26-096</t>
        </is>
      </c>
      <c r="B2195" s="245" t="inlineStr">
        <is>
          <t>reissue — 12-month retest</t>
        </is>
      </c>
      <c r="C2195" s="245" t="inlineStr">
        <is>
          <t>HPA1024</t>
        </is>
      </c>
      <c r="D2195" s="245" t="inlineStr">
        <is>
          <t>HPA1024</t>
        </is>
      </c>
      <c r="E2195" s="245" t="inlineStr">
        <is>
          <t>High Pro Amnesia</t>
        </is>
      </c>
      <c r="F2195" s="245" t="inlineStr">
        <is>
          <t>17.08.2026</t>
        </is>
      </c>
      <c r="G2195" s="245" t="inlineStr">
        <is>
          <t>9.1</t>
        </is>
      </c>
      <c r="H2195" s="245" t="inlineStr">
        <is>
          <t>TAMC</t>
        </is>
      </c>
      <c r="I2195" s="245" t="inlineStr">
        <is>
          <t>Ph. Eur. 2.6.12 cat. C</t>
        </is>
      </c>
      <c r="J2195" s="245" t="inlineStr">
        <is>
          <t>≤ 10⁵ CFU/g</t>
        </is>
      </c>
      <c r="K2195" s="245" t="inlineStr">
        <is>
          <t>5.2 × 10⁴</t>
        </is>
      </c>
      <c r="L2195" s="245" t="inlineStr">
        <is>
          <t>iCoA-PP_26-005</t>
        </is>
      </c>
      <c r="M2195" s="245" t="inlineStr">
        <is>
          <t>03.06.2026</t>
        </is>
      </c>
      <c r="N2195" s="245" t="inlineStr">
        <is>
          <t>Purely Plant GmbH (in-house)</t>
        </is>
      </c>
      <c r="O2195" s="245" t="inlineStr">
        <is>
          <t>—</t>
        </is>
      </c>
      <c r="P2195" s="245" t="inlineStr">
        <is>
          <t>carried from the initial testing (CoQ-PP-2025-0004) — in-house CoA only — not an eCoA or an iCoA: a value no certificate of analysis certifies cannot be on a release certificate (owner's rule, 02.09.2026)</t>
        </is>
      </c>
      <c r="Q2195" s="245" t="inlineStr"/>
      <c r="R2195" s="245" t="inlineStr"/>
    </row>
    <row r="2196">
      <c r="A2196" s="245" t="inlineStr">
        <is>
          <t>CoQ-PP_26-096</t>
        </is>
      </c>
      <c r="B2196" s="245" t="inlineStr">
        <is>
          <t>reissue — 12-month retest</t>
        </is>
      </c>
      <c r="C2196" s="245" t="inlineStr">
        <is>
          <t>HPA1024</t>
        </is>
      </c>
      <c r="D2196" s="245" t="inlineStr">
        <is>
          <t>HPA1024</t>
        </is>
      </c>
      <c r="E2196" s="245" t="inlineStr">
        <is>
          <t>High Pro Amnesia</t>
        </is>
      </c>
      <c r="F2196" s="245" t="inlineStr">
        <is>
          <t>17.08.2026</t>
        </is>
      </c>
      <c r="G2196" s="245" t="inlineStr">
        <is>
          <t>9.2</t>
        </is>
      </c>
      <c r="H2196" s="245" t="inlineStr">
        <is>
          <t>TYMC</t>
        </is>
      </c>
      <c r="I2196" s="245" t="inlineStr">
        <is>
          <t>Ph. Eur. 2.6.12 cat. C</t>
        </is>
      </c>
      <c r="J2196" s="245" t="inlineStr">
        <is>
          <t>≤ 10⁴ CFU/g</t>
        </is>
      </c>
      <c r="K2196" s="245" t="inlineStr">
        <is>
          <t>7 × 10²</t>
        </is>
      </c>
      <c r="L2196" s="245" t="inlineStr">
        <is>
          <t>iCoA-PP_26-005</t>
        </is>
      </c>
      <c r="M2196" s="245" t="inlineStr">
        <is>
          <t>03.06.2026</t>
        </is>
      </c>
      <c r="N2196" s="245" t="inlineStr">
        <is>
          <t>Purely Plant GmbH (in-house)</t>
        </is>
      </c>
      <c r="O2196" s="245" t="inlineStr">
        <is>
          <t>—</t>
        </is>
      </c>
      <c r="P2196" s="245" t="inlineStr">
        <is>
          <t>carried from the initial testing (CoQ-PP-2025-0004) — in-house CoA only — not an eCoA or an iCoA: a value no certificate of analysis certifies cannot be on a release certificate (owner's rule, 02.09.2026)</t>
        </is>
      </c>
      <c r="Q2196" s="245" t="inlineStr"/>
      <c r="R2196" s="245" t="inlineStr"/>
    </row>
    <row r="2197">
      <c r="A2197" s="245" t="inlineStr">
        <is>
          <t>CoQ-PP_26-096</t>
        </is>
      </c>
      <c r="B2197" s="245" t="inlineStr">
        <is>
          <t>reissue — 12-month retest</t>
        </is>
      </c>
      <c r="C2197" s="245" t="inlineStr">
        <is>
          <t>HPA1024</t>
        </is>
      </c>
      <c r="D2197" s="245" t="inlineStr">
        <is>
          <t>HPA1024</t>
        </is>
      </c>
      <c r="E2197" s="245" t="inlineStr">
        <is>
          <t>High Pro Amnesia</t>
        </is>
      </c>
      <c r="F2197" s="245" t="inlineStr">
        <is>
          <t>17.08.2026</t>
        </is>
      </c>
      <c r="G2197" s="245" t="inlineStr">
        <is>
          <t>9.3</t>
        </is>
      </c>
      <c r="H2197" s="245" t="inlineStr">
        <is>
          <t>Bile-tolerant gram-neg.</t>
        </is>
      </c>
      <c r="I2197" s="245" t="inlineStr">
        <is>
          <t>Ph. Eur. 2.6.31 cat. C</t>
        </is>
      </c>
      <c r="J2197" s="245" t="inlineStr">
        <is>
          <t>≤ 10⁴ CFU/g</t>
        </is>
      </c>
      <c r="K2197" s="245" t="inlineStr">
        <is>
          <t>&lt; 10</t>
        </is>
      </c>
      <c r="L2197" s="245" t="inlineStr">
        <is>
          <t>iCoA-PP_26-005</t>
        </is>
      </c>
      <c r="M2197" s="245" t="inlineStr">
        <is>
          <t>03.06.2026</t>
        </is>
      </c>
      <c r="N2197" s="245" t="inlineStr">
        <is>
          <t>Purely Plant GmbH (in-house)</t>
        </is>
      </c>
      <c r="O2197" s="245" t="inlineStr">
        <is>
          <t>—</t>
        </is>
      </c>
      <c r="P2197" s="245" t="inlineStr">
        <is>
          <t>carried from the initial testing (CoQ-PP-2025-0004) — in-house CoA only — not an eCoA or an iCoA: a value no certificate of analysis certifies cannot be on a release certificate (owner's rule, 02.09.2026)</t>
        </is>
      </c>
      <c r="Q2197" s="245" t="inlineStr"/>
      <c r="R2197" s="245" t="inlineStr"/>
    </row>
    <row r="2198">
      <c r="A2198" s="245" t="inlineStr">
        <is>
          <t>CoQ-PP_26-096</t>
        </is>
      </c>
      <c r="B2198" s="245" t="inlineStr">
        <is>
          <t>reissue — 12-month retest</t>
        </is>
      </c>
      <c r="C2198" s="245" t="inlineStr">
        <is>
          <t>HPA1024</t>
        </is>
      </c>
      <c r="D2198" s="245" t="inlineStr">
        <is>
          <t>HPA1024</t>
        </is>
      </c>
      <c r="E2198" s="245" t="inlineStr">
        <is>
          <t>High Pro Amnesia</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iCoA-PP_26-005</t>
        </is>
      </c>
      <c r="M2198" s="245" t="inlineStr">
        <is>
          <t>03.06.2026</t>
        </is>
      </c>
      <c r="N2198" s="245" t="inlineStr">
        <is>
          <t>Purely Plant GmbH (in-house)</t>
        </is>
      </c>
      <c r="O2198" s="245" t="inlineStr">
        <is>
          <t>—</t>
        </is>
      </c>
      <c r="P2198" s="245" t="inlineStr">
        <is>
          <t>carried from the initial testing (CoQ-PP-2025-0004) — in-house CoA only — not an eCoA or an iCoA: a value no certificate of analysis certifies cannot be on a release certificate (owner's rule, 02.09.2026)</t>
        </is>
      </c>
      <c r="Q2198" s="245" t="inlineStr"/>
      <c r="R2198" s="245" t="inlineStr"/>
    </row>
    <row r="2199">
      <c r="A2199" s="245" t="inlineStr">
        <is>
          <t>CoQ-PP_26-096</t>
        </is>
      </c>
      <c r="B2199" s="245" t="inlineStr">
        <is>
          <t>reissue — 12-month retest</t>
        </is>
      </c>
      <c r="C2199" s="245" t="inlineStr">
        <is>
          <t>HPA1024</t>
        </is>
      </c>
      <c r="D2199" s="245" t="inlineStr">
        <is>
          <t>HPA1024</t>
        </is>
      </c>
      <c r="E2199" s="245" t="inlineStr">
        <is>
          <t>High Pro Amnesia</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iCoA-PP_26-005</t>
        </is>
      </c>
      <c r="M2199" s="245" t="inlineStr">
        <is>
          <t>03.06.2026</t>
        </is>
      </c>
      <c r="N2199" s="245" t="inlineStr">
        <is>
          <t>Purely Plant GmbH (in-house)</t>
        </is>
      </c>
      <c r="O2199" s="245" t="inlineStr">
        <is>
          <t>—</t>
        </is>
      </c>
      <c r="P2199" s="245" t="inlineStr">
        <is>
          <t>carried from the initial testing (CoQ-PP-2025-0004) — in-house CoA only — not an eCoA or an iCoA: a value no certificate of analysis certifies cannot be on a release certificate (owner's rule, 02.09.2026)</t>
        </is>
      </c>
      <c r="Q2199" s="245" t="inlineStr"/>
      <c r="R2199" s="245" t="inlineStr"/>
    </row>
    <row r="2200">
      <c r="A2200" s="245" t="inlineStr">
        <is>
          <t>CoQ-PP_26-096</t>
        </is>
      </c>
      <c r="B2200" s="245" t="inlineStr">
        <is>
          <t>reissue — 12-month retest</t>
        </is>
      </c>
      <c r="C2200" s="245" t="inlineStr">
        <is>
          <t>HPA1024</t>
        </is>
      </c>
      <c r="D2200" s="245" t="inlineStr">
        <is>
          <t>HPA1024</t>
        </is>
      </c>
      <c r="E2200" s="245" t="inlineStr">
        <is>
          <t>High Pro Amnesia</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HPA1024</t>
        </is>
      </c>
      <c r="D2201" s="245" t="inlineStr">
        <is>
          <t>HPA1024</t>
        </is>
      </c>
      <c r="E2201" s="245" t="inlineStr">
        <is>
          <t>High Pro Amnesia</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HPA1024</t>
        </is>
      </c>
      <c r="D2202" s="245" t="inlineStr">
        <is>
          <t>HPA1024</t>
        </is>
      </c>
      <c r="E2202" s="245" t="inlineStr">
        <is>
          <t>High Pro Amnesia</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197-13-М/26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HPA1024</t>
        </is>
      </c>
      <c r="D2203" s="245" t="inlineStr">
        <is>
          <t>HPA1024</t>
        </is>
      </c>
      <c r="E2203" s="245" t="inlineStr">
        <is>
          <t>High Pro Amnesia</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197-13-М/26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HPA1024</t>
        </is>
      </c>
      <c r="D2204" s="245" t="inlineStr">
        <is>
          <t>HPA1024</t>
        </is>
      </c>
      <c r="E2204" s="245" t="inlineStr">
        <is>
          <t>High Pro Amnesia</t>
        </is>
      </c>
      <c r="F2204" s="245" t="inlineStr">
        <is>
          <t>17.08.2026</t>
        </is>
      </c>
      <c r="G2204" s="245" t="inlineStr">
        <is>
          <t>10.3</t>
        </is>
      </c>
      <c r="H2204" s="245" t="inlineStr">
        <is>
          <t>Ochratoxin A</t>
        </is>
      </c>
      <c r="I2204" s="245" t="inlineStr">
        <is>
          <t>Ph. Eur. 2.8.22 (HPLC-FLD)</t>
        </is>
      </c>
      <c r="J2204" s="245" t="inlineStr">
        <is>
          <t>≤ 20 µg/kg</t>
        </is>
      </c>
      <c r="K2204" s="245" t="inlineStr">
        <is>
          <t>&lt; LOQ</t>
        </is>
      </c>
      <c r="L2204" s="245" t="inlineStr">
        <is>
          <t>197-13-М/26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HPA1024</t>
        </is>
      </c>
      <c r="D2205" s="245" t="inlineStr">
        <is>
          <t>HPA1024</t>
        </is>
      </c>
      <c r="E2205" s="245" t="inlineStr">
        <is>
          <t>High Pro Amnesia</t>
        </is>
      </c>
      <c r="F2205" s="245" t="inlineStr">
        <is>
          <t>17.08.2026</t>
        </is>
      </c>
      <c r="G2205" s="245" t="inlineStr">
        <is>
          <t>11.1</t>
        </is>
      </c>
      <c r="H2205" s="245" t="inlineStr">
        <is>
          <t>Lead (Pb)</t>
        </is>
      </c>
      <c r="I2205" s="245" t="inlineStr">
        <is>
          <t>Ph. Eur. 2.4.27 (ICP-MS)</t>
        </is>
      </c>
      <c r="J2205" s="245" t="inlineStr">
        <is>
          <t>≤ 0.5 mg/kg</t>
        </is>
      </c>
      <c r="K2205" s="245" t="inlineStr">
        <is>
          <t>0.02</t>
        </is>
      </c>
      <c r="L2205" s="245" t="inlineStr">
        <is>
          <t>iCoA-PP_26-005</t>
        </is>
      </c>
      <c r="M2205" s="245" t="inlineStr">
        <is>
          <t>03.06.2026</t>
        </is>
      </c>
      <c r="N2205" s="245" t="inlineStr">
        <is>
          <t>Purely Plant GmbH (in-house)</t>
        </is>
      </c>
      <c r="O2205" s="245" t="inlineStr">
        <is>
          <t>—</t>
        </is>
      </c>
      <c r="P2205" s="245" t="inlineStr">
        <is>
          <t>carried from the initial testing (CoQ-PP-2025-0004) — in-house CoA only — not an eCoA or an iCoA: a value no certificate of analysis certifies cannot be on a release certificate (owner's rule, 02.09.2026)</t>
        </is>
      </c>
      <c r="Q2205" s="245" t="inlineStr"/>
      <c r="R2205" s="245" t="inlineStr"/>
    </row>
    <row r="2206">
      <c r="A2206" s="245" t="inlineStr">
        <is>
          <t>CoQ-PP_26-096</t>
        </is>
      </c>
      <c r="B2206" s="245" t="inlineStr">
        <is>
          <t>reissue — 12-month retest</t>
        </is>
      </c>
      <c r="C2206" s="245" t="inlineStr">
        <is>
          <t>HPA1024</t>
        </is>
      </c>
      <c r="D2206" s="245" t="inlineStr">
        <is>
          <t>HPA1024</t>
        </is>
      </c>
      <c r="E2206" s="245" t="inlineStr">
        <is>
          <t>High Pro Amnesia</t>
        </is>
      </c>
      <c r="F2206" s="245" t="inlineStr">
        <is>
          <t>17.08.2026</t>
        </is>
      </c>
      <c r="G2206" s="245" t="inlineStr">
        <is>
          <t>11.2</t>
        </is>
      </c>
      <c r="H2206" s="245" t="inlineStr">
        <is>
          <t>Cadmium (Cd)</t>
        </is>
      </c>
      <c r="I2206" s="245" t="inlineStr">
        <is>
          <t>Ph. Eur. 2.4.27 (ICP-MS)</t>
        </is>
      </c>
      <c r="J2206" s="245" t="inlineStr">
        <is>
          <t>≤ 0.3 mg/kg</t>
        </is>
      </c>
      <c r="K2206" s="245" t="inlineStr">
        <is>
          <t>0.013</t>
        </is>
      </c>
      <c r="L2206" s="245" t="inlineStr">
        <is>
          <t>iCoA-PP_26-005</t>
        </is>
      </c>
      <c r="M2206" s="245" t="inlineStr">
        <is>
          <t>03.06.2026</t>
        </is>
      </c>
      <c r="N2206" s="245" t="inlineStr">
        <is>
          <t>Purely Plant GmbH (in-house)</t>
        </is>
      </c>
      <c r="O2206" s="245" t="inlineStr">
        <is>
          <t>—</t>
        </is>
      </c>
      <c r="P2206" s="245" t="inlineStr">
        <is>
          <t>carried from the initial testing (CoQ-PP-2025-0004) — in-house CoA only — not an eCoA or an iCoA: a value no certificate of analysis certifies cannot be on a release certificate (owner's rule, 02.09.2026)</t>
        </is>
      </c>
      <c r="Q2206" s="245" t="inlineStr"/>
      <c r="R2206" s="245" t="inlineStr"/>
    </row>
    <row r="2207">
      <c r="A2207" s="245" t="inlineStr">
        <is>
          <t>CoQ-PP_26-096</t>
        </is>
      </c>
      <c r="B2207" s="245" t="inlineStr">
        <is>
          <t>reissue — 12-month retest</t>
        </is>
      </c>
      <c r="C2207" s="245" t="inlineStr">
        <is>
          <t>HPA1024</t>
        </is>
      </c>
      <c r="D2207" s="245" t="inlineStr">
        <is>
          <t>HPA1024</t>
        </is>
      </c>
      <c r="E2207" s="245" t="inlineStr">
        <is>
          <t>High Pro Amnesia</t>
        </is>
      </c>
      <c r="F2207" s="245" t="inlineStr">
        <is>
          <t>17.08.2026</t>
        </is>
      </c>
      <c r="G2207" s="245" t="inlineStr">
        <is>
          <t>11.3</t>
        </is>
      </c>
      <c r="H2207" s="245" t="inlineStr">
        <is>
          <t>Arsenic (As)</t>
        </is>
      </c>
      <c r="I2207" s="245" t="inlineStr">
        <is>
          <t>Ph. Eur. 2.4.27 (ICP-MS)</t>
        </is>
      </c>
      <c r="J2207" s="245" t="inlineStr">
        <is>
          <t>≤ 0.2 mg/kg</t>
        </is>
      </c>
      <c r="K2207" s="245" t="inlineStr">
        <is>
          <t>0.017</t>
        </is>
      </c>
      <c r="L2207" s="245" t="inlineStr">
        <is>
          <t>iCoA-PP_26-005</t>
        </is>
      </c>
      <c r="M2207" s="245" t="inlineStr">
        <is>
          <t>03.06.2026</t>
        </is>
      </c>
      <c r="N2207" s="245" t="inlineStr">
        <is>
          <t>Purely Plant GmbH (in-house)</t>
        </is>
      </c>
      <c r="O2207" s="245" t="inlineStr">
        <is>
          <t>—</t>
        </is>
      </c>
      <c r="P2207" s="245" t="inlineStr">
        <is>
          <t>carried from the initial testing (CoQ-PP-2025-0004) — in-house CoA only — not an eCoA or an iCoA: a value no certificate of analysis certifies cannot be on a release certificate (owner's rule, 02.09.2026)</t>
        </is>
      </c>
      <c r="Q2207" s="245" t="inlineStr"/>
      <c r="R2207" s="245" t="inlineStr"/>
    </row>
    <row r="2208">
      <c r="A2208" s="245" t="inlineStr">
        <is>
          <t>CoQ-PP_26-096</t>
        </is>
      </c>
      <c r="B2208" s="245" t="inlineStr">
        <is>
          <t>reissue — 12-month retest</t>
        </is>
      </c>
      <c r="C2208" s="245" t="inlineStr">
        <is>
          <t>HPA1024</t>
        </is>
      </c>
      <c r="D2208" s="245" t="inlineStr">
        <is>
          <t>HPA1024</t>
        </is>
      </c>
      <c r="E2208" s="245" t="inlineStr">
        <is>
          <t>High Pro Amnesia</t>
        </is>
      </c>
      <c r="F2208" s="245" t="inlineStr">
        <is>
          <t>17.08.2026</t>
        </is>
      </c>
      <c r="G2208" s="245" t="inlineStr">
        <is>
          <t>11.4</t>
        </is>
      </c>
      <c r="H2208" s="245" t="inlineStr">
        <is>
          <t>Mercury (Hg)</t>
        </is>
      </c>
      <c r="I2208" s="245" t="inlineStr">
        <is>
          <t>Ph. Eur. 2.4.27 (ICP-MS)</t>
        </is>
      </c>
      <c r="J2208" s="245" t="inlineStr">
        <is>
          <t>≤ 0.1 mg/kg</t>
        </is>
      </c>
      <c r="K2208" s="245" t="inlineStr">
        <is>
          <t>0.0026</t>
        </is>
      </c>
      <c r="L2208" s="245" t="inlineStr">
        <is>
          <t>iCoA-PP_26-005</t>
        </is>
      </c>
      <c r="M2208" s="245" t="inlineStr">
        <is>
          <t>03.06.2026</t>
        </is>
      </c>
      <c r="N2208" s="245" t="inlineStr">
        <is>
          <t>Purely Plant GmbH (in-house)</t>
        </is>
      </c>
      <c r="O2208" s="245" t="inlineStr">
        <is>
          <t>—</t>
        </is>
      </c>
      <c r="P2208" s="245" t="inlineStr">
        <is>
          <t>carried from the initial testing (CoQ-PP-2025-0004) — in-house CoA only — not an eCoA or an iCoA: a value no certificate of analysis certifies cannot be on a release certificate (owner's rule, 02.09.2026)</t>
        </is>
      </c>
      <c r="Q2208" s="245" t="inlineStr"/>
      <c r="R2208" s="245" t="inlineStr"/>
    </row>
    <row r="2209">
      <c r="A2209" s="245" t="inlineStr">
        <is>
          <t>CoQ-PP_26-096</t>
        </is>
      </c>
      <c r="B2209" s="245" t="inlineStr">
        <is>
          <t>reissue — 12-month retest</t>
        </is>
      </c>
      <c r="C2209" s="245" t="inlineStr">
        <is>
          <t>HPA1024</t>
        </is>
      </c>
      <c r="D2209" s="245" t="inlineStr">
        <is>
          <t>HPA1024</t>
        </is>
      </c>
      <c r="E2209" s="245" t="inlineStr">
        <is>
          <t>High Pro Amnesia</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iCoA-PP_26-005</t>
        </is>
      </c>
      <c r="M2209" s="245" t="inlineStr">
        <is>
          <t>03.06.2026</t>
        </is>
      </c>
      <c r="N2209" s="245" t="inlineStr">
        <is>
          <t>Purely Plant GmbH (in-house)</t>
        </is>
      </c>
      <c r="O2209" s="245" t="inlineStr">
        <is>
          <t>—</t>
        </is>
      </c>
      <c r="P2209" s="245" t="inlineStr">
        <is>
          <t>carried from the initial testing (CoQ-PP-2025-0004) — in-house CoA only — not an eCoA or an iCoA: a value no certificate of analysis certifies cannot be on a release certificate (owner's rule, 02.09.2026)</t>
        </is>
      </c>
      <c r="Q2209" s="245" t="inlineStr"/>
      <c r="R2209" s="245" t="inlineStr"/>
    </row>
    <row r="2210">
      <c r="A2210" s="245" t="inlineStr">
        <is>
          <t>CoQ-PP_26-097</t>
        </is>
      </c>
      <c r="B2210" s="245" t="inlineStr">
        <is>
          <t>reissue — 12-month retest</t>
        </is>
      </c>
      <c r="C2210" s="245" t="inlineStr">
        <is>
          <t>HPA1024_01</t>
        </is>
      </c>
      <c r="D2210" s="245" t="inlineStr">
        <is>
          <t>P050052</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5" t="inlineStr">
        <is>
          <t>Conforms | Одговара</t>
        </is>
      </c>
      <c r="L2210" s="245" t="inlineStr">
        <is>
          <t>iCoA-PP_26-111</t>
        </is>
      </c>
      <c r="M2210" s="245" t="inlineStr">
        <is>
          <t>27.07.2026</t>
        </is>
      </c>
      <c r="N2210" s="245" t="inlineStr">
        <is>
          <t>Purely Plant GmbH (in-house)</t>
        </is>
      </c>
      <c r="O2210" s="245" t="inlineStr">
        <is>
          <t>—</t>
        </is>
      </c>
      <c r="P2210" s="245" t="inlineStr">
        <is>
          <t>covered</t>
        </is>
      </c>
      <c r="Q2210" s="245" t="inlineStr">
        <is>
          <t>Farmahem — Ident A + B + C with the Assay, at retest</t>
        </is>
      </c>
      <c r="R2210" s="245" t="inlineStr"/>
    </row>
    <row r="2211">
      <c r="A2211" s="245" t="inlineStr">
        <is>
          <t>CoQ-PP_26-097</t>
        </is>
      </c>
      <c r="B2211" s="245" t="inlineStr">
        <is>
          <t>reissue — 12-month retest</t>
        </is>
      </c>
      <c r="C2211" s="245" t="inlineStr">
        <is>
          <t>HPA1024_01</t>
        </is>
      </c>
      <c r="D2211" s="245" t="inlineStr">
        <is>
          <t>P050052</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5" t="inlineStr">
        <is>
          <t>Conforms | Одговара</t>
        </is>
      </c>
      <c r="L2211" s="245" t="inlineStr">
        <is>
          <t>iCoA-PP_26-111</t>
        </is>
      </c>
      <c r="M2211" s="245" t="inlineStr">
        <is>
          <t>27.07.2026</t>
        </is>
      </c>
      <c r="N2211" s="245" t="inlineStr">
        <is>
          <t>Purely Plant GmbH (in-house)</t>
        </is>
      </c>
      <c r="O2211" s="245" t="inlineStr">
        <is>
          <t>—</t>
        </is>
      </c>
      <c r="P2211" s="245" t="inlineStr">
        <is>
          <t>covered</t>
        </is>
      </c>
      <c r="Q2211" s="245" t="inlineStr">
        <is>
          <t>Farmahem — Ident A + B + C with the Assay, at retest</t>
        </is>
      </c>
      <c r="R2211" s="245" t="inlineStr"/>
    </row>
    <row r="2212">
      <c r="A2212" s="245" t="inlineStr">
        <is>
          <t>CoQ-PP_26-097</t>
        </is>
      </c>
      <c r="B2212" s="245" t="inlineStr">
        <is>
          <t>reissue — 12-month retest</t>
        </is>
      </c>
      <c r="C2212" s="245" t="inlineStr">
        <is>
          <t>HPA1024_01</t>
        </is>
      </c>
      <c r="D2212" s="245" t="inlineStr">
        <is>
          <t>P050052</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197-14-К/26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HPA1024_01</t>
        </is>
      </c>
      <c r="D2213" s="245" t="inlineStr">
        <is>
          <t>P050052</t>
        </is>
      </c>
      <c r="E2213" s="245" t="inlineStr">
        <is>
          <t>High Pro Amnesia</t>
        </is>
      </c>
      <c r="F2213" s="245" t="inlineStr">
        <is>
          <t>17.08.2026</t>
        </is>
      </c>
      <c r="G2213" s="245" t="inlineStr">
        <is>
          <t>4</t>
        </is>
      </c>
      <c r="H2213" s="245" t="inlineStr">
        <is>
          <t>Assay — Total Δ⁹-THC</t>
        </is>
      </c>
      <c r="I2213" s="245" t="inlineStr">
        <is>
          <t>Ph. Eur. 2.2.29 (HPLC)</t>
        </is>
      </c>
      <c r="J2213" s="245" t="inlineStr">
        <is>
          <t>19.80 – 24.19 %  (grade I, nominal 22.00 ± 2.20)</t>
        </is>
      </c>
      <c r="K2213" s="245" t="inlineStr">
        <is>
          <t>21.61</t>
        </is>
      </c>
      <c r="L2213" s="245" t="inlineStr">
        <is>
          <t>197-14-К/26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HPA1024_01</t>
        </is>
      </c>
      <c r="D2214" s="245" t="inlineStr">
        <is>
          <t>P050052</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197-14-К/26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HPA1024_01</t>
        </is>
      </c>
      <c r="D2215" s="245" t="inlineStr">
        <is>
          <t>P050052</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&lt; LOQ</t>
        </is>
      </c>
      <c r="L2215" s="245" t="inlineStr">
        <is>
          <t>197-14-К/26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HPA1024_01</t>
        </is>
      </c>
      <c r="D2216" s="245" t="inlineStr">
        <is>
          <t>P050052</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5" t="inlineStr">
        <is>
          <t>Conforms | Одговара</t>
        </is>
      </c>
      <c r="L2216" s="245" t="inlineStr">
        <is>
          <t>iCoA-PP_26-111</t>
        </is>
      </c>
      <c r="M2216" s="245" t="inlineStr">
        <is>
          <t>27.07.2026</t>
        </is>
      </c>
      <c r="N2216" s="245" t="inlineStr">
        <is>
          <t>Purely Plant GmbH (in-house)</t>
        </is>
      </c>
      <c r="O2216" s="245" t="inlineStr">
        <is>
          <t>—</t>
        </is>
      </c>
      <c r="P2216" s="245" t="inlineStr">
        <is>
          <t>covered</t>
        </is>
      </c>
      <c r="Q2216" s="245" t="inlineStr">
        <is>
          <t>Purely Plant laboratory — iCoA covering Foreign matter</t>
        </is>
      </c>
      <c r="R2216" s="245" t="inlineStr"/>
    </row>
    <row r="2217">
      <c r="A2217" s="245" t="inlineStr">
        <is>
          <t>CoQ-PP_26-097</t>
        </is>
      </c>
      <c r="B2217" s="245" t="inlineStr">
        <is>
          <t>reissue — 12-month retest</t>
        </is>
      </c>
      <c r="C2217" s="245" t="inlineStr">
        <is>
          <t>HPA1024_01</t>
        </is>
      </c>
      <c r="D2217" s="245" t="inlineStr">
        <is>
          <t>P050052</t>
        </is>
      </c>
      <c r="E2217" s="245" t="inlineStr">
        <is>
          <t>High Pro Amnesia</t>
        </is>
      </c>
      <c r="F2217" s="245" t="inlineStr">
        <is>
          <t>17.08.2026</t>
        </is>
      </c>
      <c r="G2217" s="245" t="inlineStr">
        <is>
          <t>8</t>
        </is>
      </c>
      <c r="H2217" s="245" t="inlineStr">
        <is>
          <t>Loss on Drying</t>
        </is>
      </c>
      <c r="I2217" s="245" t="inlineStr">
        <is>
          <t>DAB 2018 monograph Cannabis flos, 2.2.32 — loss on drying (CNP, before its Ph. Eur. 3028 accreditation)</t>
        </is>
      </c>
      <c r="J2217" s="245" t="inlineStr">
        <is>
          <t>≤ 12.0%</t>
        </is>
      </c>
      <c r="K2217" s="245" t="inlineStr">
        <is>
          <t>6.36</t>
        </is>
      </c>
      <c r="L2217" s="245" t="inlineStr">
        <is>
          <t>ППК25155</t>
        </is>
      </c>
      <c r="M2217" s="245" t="inlineStr">
        <is>
          <t>24.06.2025</t>
        </is>
      </c>
      <c r="N2217" s="245" t="inlineStr">
        <is>
          <t>UKIM Faculty of Pharmacy — Center for Natural Products</t>
        </is>
      </c>
      <c r="O2217" s="245" t="inlineStr">
        <is>
          <t>12.06.2025</t>
        </is>
      </c>
      <c r="P2217" s="245" t="inlineStr">
        <is>
          <t>carried from the initial testing (CoQ-PP-2025-0008) — covered</t>
        </is>
      </c>
      <c r="Q2217" s="245" t="inlineStr"/>
      <c r="R2217" s="245" t="inlineStr"/>
    </row>
    <row r="2218">
      <c r="A2218" s="245" t="inlineStr">
        <is>
          <t>CoQ-PP_26-097</t>
        </is>
      </c>
      <c r="B2218" s="245" t="inlineStr">
        <is>
          <t>reissue — 12-month retest</t>
        </is>
      </c>
      <c r="C2218" s="245" t="inlineStr">
        <is>
          <t>HPA1024_01</t>
        </is>
      </c>
      <c r="D2218" s="245" t="inlineStr">
        <is>
          <t>P050052</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9.6 × 10³</t>
        </is>
      </c>
      <c r="L2218" s="245" t="inlineStr">
        <is>
          <t>587/1066/25</t>
        </is>
      </c>
      <c r="M2218" s="245" t="inlineStr">
        <is>
          <t>18.06.2025</t>
        </is>
      </c>
      <c r="N2218" s="245" t="inlineStr">
        <is>
          <t>IPH — Institute of Public Health</t>
        </is>
      </c>
      <c r="O2218" s="245" t="inlineStr">
        <is>
          <t>13.06.2025</t>
        </is>
      </c>
      <c r="P2218" s="245" t="inlineStr">
        <is>
          <t>carried from the initial testing (CoQ-PP-2025-0008) — covered</t>
        </is>
      </c>
      <c r="Q2218" s="245" t="inlineStr"/>
      <c r="R2218" s="245" t="inlineStr"/>
    </row>
    <row r="2219">
      <c r="A2219" s="245" t="inlineStr">
        <is>
          <t>CoQ-PP_26-097</t>
        </is>
      </c>
      <c r="B2219" s="245" t="inlineStr">
        <is>
          <t>reissue — 12-month retest</t>
        </is>
      </c>
      <c r="C2219" s="245" t="inlineStr">
        <is>
          <t>HPA1024_01</t>
        </is>
      </c>
      <c r="D2219" s="245" t="inlineStr">
        <is>
          <t>P050052</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1.5 × 10⁴</t>
        </is>
      </c>
      <c r="L2219" s="245" t="inlineStr">
        <is>
          <t>587/1066/25</t>
        </is>
      </c>
      <c r="M2219" s="245" t="inlineStr">
        <is>
          <t>18.06.2025</t>
        </is>
      </c>
      <c r="N2219" s="245" t="inlineStr">
        <is>
          <t>IPH — Institute of Public Health</t>
        </is>
      </c>
      <c r="O2219" s="245" t="inlineStr">
        <is>
          <t>13.06.2025</t>
        </is>
      </c>
      <c r="P2219" s="245" t="inlineStr">
        <is>
          <t>carried from the initial testing (CoQ-PP-2025-0008) — UNDETERMINED — pending the QCSP 001 reading</t>
        </is>
      </c>
      <c r="Q2219" s="245" t="inlineStr"/>
      <c r="R2219" s="245" t="inlineStr"/>
    </row>
    <row r="2220">
      <c r="A2220" s="245" t="inlineStr">
        <is>
          <t>CoQ-PP_26-097</t>
        </is>
      </c>
      <c r="B2220" s="245" t="inlineStr">
        <is>
          <t>reissue — 12-month retest</t>
        </is>
      </c>
      <c r="C2220" s="245" t="inlineStr">
        <is>
          <t>HPA1024_01</t>
        </is>
      </c>
      <c r="D2220" s="245" t="inlineStr">
        <is>
          <t>P050052</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587/1066/25</t>
        </is>
      </c>
      <c r="M2220" s="245" t="inlineStr">
        <is>
          <t>18.06.2025</t>
        </is>
      </c>
      <c r="N2220" s="245" t="inlineStr">
        <is>
          <t>IPH — Institute of Public Health</t>
        </is>
      </c>
      <c r="O2220" s="245" t="inlineStr">
        <is>
          <t>13.06.2025</t>
        </is>
      </c>
      <c r="P2220" s="245" t="inlineStr">
        <is>
          <t>carried from the initial testing (CoQ-PP-2025-0008) — covered</t>
        </is>
      </c>
      <c r="Q2220" s="245" t="inlineStr"/>
      <c r="R2220" s="245" t="inlineStr"/>
    </row>
    <row r="2221">
      <c r="A2221" s="245" t="inlineStr">
        <is>
          <t>CoQ-PP_26-097</t>
        </is>
      </c>
      <c r="B2221" s="245" t="inlineStr">
        <is>
          <t>reissue — 12-month retest</t>
        </is>
      </c>
      <c r="C2221" s="245" t="inlineStr">
        <is>
          <t>HPA1024_01</t>
        </is>
      </c>
      <c r="D2221" s="245" t="inlineStr">
        <is>
          <t>P050052</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587/1066/25</t>
        </is>
      </c>
      <c r="M2221" s="245" t="inlineStr">
        <is>
          <t>18.06.2025</t>
        </is>
      </c>
      <c r="N2221" s="245" t="inlineStr">
        <is>
          <t>IPH — Institute of Public Health</t>
        </is>
      </c>
      <c r="O2221" s="245" t="inlineStr">
        <is>
          <t>13.06.2025</t>
        </is>
      </c>
      <c r="P2221" s="245" t="inlineStr">
        <is>
          <t>carried from the initial testing (CoQ-PP-2025-0008) — covered</t>
        </is>
      </c>
      <c r="Q2221" s="245" t="inlineStr"/>
      <c r="R2221" s="245" t="inlineStr"/>
    </row>
    <row r="2222">
      <c r="A2222" s="245" t="inlineStr">
        <is>
          <t>CoQ-PP_26-097</t>
        </is>
      </c>
      <c r="B2222" s="245" t="inlineStr">
        <is>
          <t>reissue — 12-month retest</t>
        </is>
      </c>
      <c r="C2222" s="245" t="inlineStr">
        <is>
          <t>HPA1024_01</t>
        </is>
      </c>
      <c r="D2222" s="245" t="inlineStr">
        <is>
          <t>P050052</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587/1066/25</t>
        </is>
      </c>
      <c r="M2222" s="245" t="inlineStr">
        <is>
          <t>18.06.2025</t>
        </is>
      </c>
      <c r="N2222" s="245" t="inlineStr">
        <is>
          <t>IPH — Institute of Public Health</t>
        </is>
      </c>
      <c r="O2222" s="245" t="inlineStr">
        <is>
          <t>13.06.2025</t>
        </is>
      </c>
      <c r="P2222" s="245" t="inlineStr">
        <is>
          <t>carried from the initial testing (CoQ-PP-2025-0008) — covered</t>
        </is>
      </c>
      <c r="Q2222" s="245" t="inlineStr"/>
      <c r="R2222" s="245" t="inlineStr"/>
    </row>
    <row r="2223">
      <c r="A2223" s="245" t="inlineStr">
        <is>
          <t>CoQ-PP_26-097</t>
        </is>
      </c>
      <c r="B2223" s="245" t="inlineStr">
        <is>
          <t>reissue — 12-month retest</t>
        </is>
      </c>
      <c r="C2223" s="245" t="inlineStr">
        <is>
          <t>HPA1024_01</t>
        </is>
      </c>
      <c r="D2223" s="245" t="inlineStr">
        <is>
          <t>P050052</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HPA1024_01</t>
        </is>
      </c>
      <c r="D2224" s="245" t="inlineStr">
        <is>
          <t>P050052</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HPA1024_01</t>
        </is>
      </c>
      <c r="D2225" s="245" t="inlineStr">
        <is>
          <t>P050052</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197-14-М/26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HPA1024_01</t>
        </is>
      </c>
      <c r="D2226" s="245" t="inlineStr">
        <is>
          <t>P050052</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197-14-М/26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HPA1024_01</t>
        </is>
      </c>
      <c r="D2227" s="245" t="inlineStr">
        <is>
          <t>P050052</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2.06 — DETECTED, &gt;LOQ</t>
        </is>
      </c>
      <c r="L2227" s="245" t="inlineStr">
        <is>
          <t>197-14-М/26</t>
        </is>
      </c>
      <c r="M2227" s="245" t="inlineStr">
        <is>
          <t>10.08.2026</t>
        </is>
      </c>
      <c r="N2227" s="245" t="inlineStr">
        <is>
          <t>Farmahem</t>
        </is>
      </c>
      <c r="O2227" s="245" t="inlineStr">
        <is>
          <t>29.07.2026</t>
        </is>
      </c>
      <c r="P2227" s="245" t="inlineStr">
        <is>
          <t>covered — laboratory finding recorded</t>
        </is>
      </c>
      <c r="Q2227" s="245" t="inlineStr"/>
      <c r="R2227" s="245" t="inlineStr"/>
    </row>
    <row r="2228">
      <c r="A2228" s="245" t="inlineStr">
        <is>
          <t>CoQ-PP_26-097</t>
        </is>
      </c>
      <c r="B2228" s="245" t="inlineStr">
        <is>
          <t>reissue — 12-month retest</t>
        </is>
      </c>
      <c r="C2228" s="245" t="inlineStr">
        <is>
          <t>HPA1024_01</t>
        </is>
      </c>
      <c r="D2228" s="245" t="inlineStr">
        <is>
          <t>P050052</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0.059</t>
        </is>
      </c>
      <c r="L2228" s="245" t="inlineStr">
        <is>
          <t>2995/2025</t>
        </is>
      </c>
      <c r="M2228" s="245" t="inlineStr">
        <is>
          <t>19.06.2025</t>
        </is>
      </c>
      <c r="N2228" s="245" t="inlineStr">
        <is>
          <t>IPH — Institute of Public Health</t>
        </is>
      </c>
      <c r="O2228" s="245" t="inlineStr">
        <is>
          <t>12.06.2025</t>
        </is>
      </c>
      <c r="P2228" s="245" t="inlineStr">
        <is>
          <t>carried from the initial testing (CoQ-PP-2025-0008) — covered</t>
        </is>
      </c>
      <c r="Q2228" s="245" t="inlineStr"/>
      <c r="R2228" s="245" t="inlineStr"/>
    </row>
    <row r="2229">
      <c r="A2229" s="245" t="inlineStr">
        <is>
          <t>CoQ-PP_26-097</t>
        </is>
      </c>
      <c r="B2229" s="245" t="inlineStr">
        <is>
          <t>reissue — 12-month retest</t>
        </is>
      </c>
      <c r="C2229" s="245" t="inlineStr">
        <is>
          <t>HPA1024_01</t>
        </is>
      </c>
      <c r="D2229" s="245" t="inlineStr">
        <is>
          <t>P050052</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0.014</t>
        </is>
      </c>
      <c r="L2229" s="245" t="inlineStr">
        <is>
          <t>2995/2025</t>
        </is>
      </c>
      <c r="M2229" s="245" t="inlineStr">
        <is>
          <t>19.06.2025</t>
        </is>
      </c>
      <c r="N2229" s="245" t="inlineStr">
        <is>
          <t>IPH — Institute of Public Health</t>
        </is>
      </c>
      <c r="O2229" s="245" t="inlineStr">
        <is>
          <t>12.06.2025</t>
        </is>
      </c>
      <c r="P2229" s="245" t="inlineStr">
        <is>
          <t>carried from the initial testing (CoQ-PP-2025-0008) — covered</t>
        </is>
      </c>
      <c r="Q2229" s="245" t="inlineStr"/>
      <c r="R2229" s="245" t="inlineStr"/>
    </row>
    <row r="2230">
      <c r="A2230" s="245" t="inlineStr">
        <is>
          <t>CoQ-PP_26-097</t>
        </is>
      </c>
      <c r="B2230" s="245" t="inlineStr">
        <is>
          <t>reissue — 12-month retest</t>
        </is>
      </c>
      <c r="C2230" s="245" t="inlineStr">
        <is>
          <t>HPA1024_01</t>
        </is>
      </c>
      <c r="D2230" s="245" t="inlineStr">
        <is>
          <t>P050052</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0.037</t>
        </is>
      </c>
      <c r="L2230" s="245" t="inlineStr">
        <is>
          <t>2995/2025</t>
        </is>
      </c>
      <c r="M2230" s="245" t="inlineStr">
        <is>
          <t>19.06.2025</t>
        </is>
      </c>
      <c r="N2230" s="245" t="inlineStr">
        <is>
          <t>IPH — Institute of Public Health</t>
        </is>
      </c>
      <c r="O2230" s="245" t="inlineStr">
        <is>
          <t>12.06.2025</t>
        </is>
      </c>
      <c r="P2230" s="245" t="inlineStr">
        <is>
          <t>carried from the initial testing (CoQ-PP-2025-0008) — covered</t>
        </is>
      </c>
      <c r="Q2230" s="245" t="inlineStr"/>
      <c r="R2230" s="245" t="inlineStr"/>
    </row>
    <row r="2231">
      <c r="A2231" s="245" t="inlineStr">
        <is>
          <t>CoQ-PP_26-097</t>
        </is>
      </c>
      <c r="B2231" s="245" t="inlineStr">
        <is>
          <t>reissue — 12-month retest</t>
        </is>
      </c>
      <c r="C2231" s="245" t="inlineStr">
        <is>
          <t>HPA1024_01</t>
        </is>
      </c>
      <c r="D2231" s="245" t="inlineStr">
        <is>
          <t>P050052</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0.008</t>
        </is>
      </c>
      <c r="L2231" s="245" t="inlineStr">
        <is>
          <t>2995/2025</t>
        </is>
      </c>
      <c r="M2231" s="245" t="inlineStr">
        <is>
          <t>19.06.2025</t>
        </is>
      </c>
      <c r="N2231" s="245" t="inlineStr">
        <is>
          <t>IPH — Institute of Public Health</t>
        </is>
      </c>
      <c r="O2231" s="245" t="inlineStr">
        <is>
          <t>12.06.2025</t>
        </is>
      </c>
      <c r="P2231" s="245" t="inlineStr">
        <is>
          <t>carried from the initial testing (CoQ-PP-2025-0008) — covered</t>
        </is>
      </c>
      <c r="Q2231" s="245" t="inlineStr"/>
      <c r="R2231" s="245" t="inlineStr"/>
    </row>
    <row r="2232">
      <c r="A2232" s="245" t="inlineStr">
        <is>
          <t>CoQ-PP_26-097</t>
        </is>
      </c>
      <c r="B2232" s="245" t="inlineStr">
        <is>
          <t>reissue — 12-month retest</t>
        </is>
      </c>
      <c r="C2232" s="245" t="inlineStr">
        <is>
          <t>HPA1024_01</t>
        </is>
      </c>
      <c r="D2232" s="245" t="inlineStr">
        <is>
          <t>P050052</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2995/2025</t>
        </is>
      </c>
      <c r="M2232" s="245" t="inlineStr">
        <is>
          <t>19.06.2025</t>
        </is>
      </c>
      <c r="N2232" s="245" t="inlineStr">
        <is>
          <t>IPH — Institute of Public Health</t>
        </is>
      </c>
      <c r="O2232" s="245" t="inlineStr">
        <is>
          <t>12.06.2025</t>
        </is>
      </c>
      <c r="P2232" s="245" t="inlineStr">
        <is>
          <t>carried from the initial testing (CoQ-PP-2025-0008) — covered</t>
        </is>
      </c>
      <c r="Q2232" s="245" t="inlineStr"/>
      <c r="R2232" s="245" t="inlineStr"/>
    </row>
    <row r="2233">
      <c r="A2233" s="245" t="inlineStr">
        <is>
          <t>CoQ-PP_26-098</t>
        </is>
      </c>
      <c r="B2233" s="245" t="inlineStr">
        <is>
          <t>reissue — 12-month retest</t>
        </is>
      </c>
      <c r="C2233" s="245" t="inlineStr">
        <is>
          <t>J31102501</t>
        </is>
      </c>
      <c r="D2233" s="245" t="inlineStr">
        <is>
          <t>P060152</t>
        </is>
      </c>
      <c r="E2233" s="245" t="inlineStr">
        <is>
          <t>Jokerz 31</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5" t="inlineStr">
        <is>
          <t>Conforms | Одговара</t>
        </is>
      </c>
      <c r="L2233" s="245" t="inlineStr">
        <is>
          <t>iCoA-PP_26-112</t>
        </is>
      </c>
      <c r="M2233" s="245" t="inlineStr">
        <is>
          <t>27.07.2026</t>
        </is>
      </c>
      <c r="N2233" s="245" t="inlineStr">
        <is>
          <t>Purely Plant GmbH (in-house)</t>
        </is>
      </c>
      <c r="O2233" s="245" t="inlineStr">
        <is>
          <t>—</t>
        </is>
      </c>
      <c r="P2233" s="245" t="inlineStr">
        <is>
          <t>covered</t>
        </is>
      </c>
      <c r="Q2233" s="245" t="inlineStr">
        <is>
          <t>Farmahem — Ident A + B + C with the Assay, at retest</t>
        </is>
      </c>
      <c r="R2233" s="245" t="inlineStr"/>
    </row>
    <row r="2234">
      <c r="A2234" s="245" t="inlineStr">
        <is>
          <t>CoQ-PP_26-098</t>
        </is>
      </c>
      <c r="B2234" s="245" t="inlineStr">
        <is>
          <t>reissue — 12-month retest</t>
        </is>
      </c>
      <c r="C2234" s="245" t="inlineStr">
        <is>
          <t>J31102501</t>
        </is>
      </c>
      <c r="D2234" s="245" t="inlineStr">
        <is>
          <t>P060152</t>
        </is>
      </c>
      <c r="E2234" s="245" t="inlineStr">
        <is>
          <t>Jokerz 31</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5" t="inlineStr">
        <is>
          <t>Conforms | Одговара</t>
        </is>
      </c>
      <c r="L2234" s="245" t="inlineStr">
        <is>
          <t>iCoA-PP_26-112</t>
        </is>
      </c>
      <c r="M2234" s="245" t="inlineStr">
        <is>
          <t>27.07.2026</t>
        </is>
      </c>
      <c r="N2234" s="245" t="inlineStr">
        <is>
          <t>Purely Plant GmbH (in-house)</t>
        </is>
      </c>
      <c r="O2234" s="245" t="inlineStr">
        <is>
          <t>—</t>
        </is>
      </c>
      <c r="P2234" s="245" t="inlineStr">
        <is>
          <t>covered</t>
        </is>
      </c>
      <c r="Q2234" s="245" t="inlineStr">
        <is>
          <t>Farmahem — Ident A + B + C with the Assay, at retest</t>
        </is>
      </c>
      <c r="R2234" s="245" t="inlineStr"/>
    </row>
    <row r="2235">
      <c r="A2235" s="245" t="inlineStr">
        <is>
          <t>CoQ-PP_26-098</t>
        </is>
      </c>
      <c r="B2235" s="245" t="inlineStr">
        <is>
          <t>reissue — 12-month retest</t>
        </is>
      </c>
      <c r="C2235" s="245" t="inlineStr">
        <is>
          <t>J31102501</t>
        </is>
      </c>
      <c r="D2235" s="245" t="inlineStr">
        <is>
          <t>P060152</t>
        </is>
      </c>
      <c r="E2235" s="245" t="inlineStr">
        <is>
          <t>Jokerz 31</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197-16-К/26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J31102501</t>
        </is>
      </c>
      <c r="D2236" s="245" t="inlineStr">
        <is>
          <t>P060152</t>
        </is>
      </c>
      <c r="E2236" s="245" t="inlineStr">
        <is>
          <t>Jokerz 31</t>
        </is>
      </c>
      <c r="F2236" s="245" t="inlineStr">
        <is>
          <t>17.08.2026</t>
        </is>
      </c>
      <c r="G2236" s="245" t="inlineStr">
        <is>
          <t>4</t>
        </is>
      </c>
      <c r="H2236" s="245" t="inlineStr">
        <is>
          <t>Assay — Total Δ⁹-THC</t>
        </is>
      </c>
      <c r="I2236" s="245" t="inlineStr">
        <is>
          <t>Ph. Eur. 2.2.29 (HPLC)</t>
        </is>
      </c>
      <c r="J2236" s="245" t="inlineStr">
        <is>
          <t>16.20 – 19.79 %  (grade III, nominal 18.00 ± 1.80)</t>
        </is>
      </c>
      <c r="K2236" s="245" t="inlineStr">
        <is>
          <t>17.32</t>
        </is>
      </c>
      <c r="L2236" s="245" t="inlineStr">
        <is>
          <t>197-16-К/26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J31102501</t>
        </is>
      </c>
      <c r="D2237" s="245" t="inlineStr">
        <is>
          <t>P060152</t>
        </is>
      </c>
      <c r="E2237" s="245" t="inlineStr">
        <is>
          <t>Jokerz 31</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197-16-К/26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J31102501</t>
        </is>
      </c>
      <c r="D2238" s="245" t="inlineStr">
        <is>
          <t>P060152</t>
        </is>
      </c>
      <c r="E2238" s="245" t="inlineStr">
        <is>
          <t>Jokerz 31</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197-16-К/26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J31102501</t>
        </is>
      </c>
      <c r="D2239" s="245" t="inlineStr">
        <is>
          <t>P060152</t>
        </is>
      </c>
      <c r="E2239" s="245" t="inlineStr">
        <is>
          <t>Jokerz 31</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5" t="inlineStr">
        <is>
          <t>Conforms | Одговара</t>
        </is>
      </c>
      <c r="L2239" s="245" t="inlineStr">
        <is>
          <t>iCoA-PP_26-112</t>
        </is>
      </c>
      <c r="M2239" s="245" t="inlineStr">
        <is>
          <t>27.07.2026</t>
        </is>
      </c>
      <c r="N2239" s="245" t="inlineStr">
        <is>
          <t>Purely Plant GmbH (in-house)</t>
        </is>
      </c>
      <c r="O2239" s="245" t="inlineStr">
        <is>
          <t>—</t>
        </is>
      </c>
      <c r="P2239" s="245" t="inlineStr">
        <is>
          <t>covered</t>
        </is>
      </c>
      <c r="Q2239" s="245" t="inlineStr">
        <is>
          <t>Purely Plant laboratory — iCoA covering Foreign matter</t>
        </is>
      </c>
      <c r="R2239" s="245" t="inlineStr"/>
    </row>
    <row r="2240">
      <c r="A2240" s="245" t="inlineStr">
        <is>
          <t>CoQ-PP_26-098</t>
        </is>
      </c>
      <c r="B2240" s="245" t="inlineStr">
        <is>
          <t>reissue — 12-month retest</t>
        </is>
      </c>
      <c r="C2240" s="245" t="inlineStr">
        <is>
          <t>J31102501</t>
        </is>
      </c>
      <c r="D2240" s="245" t="inlineStr">
        <is>
          <t>P060152</t>
        </is>
      </c>
      <c r="E2240" s="245" t="inlineStr">
        <is>
          <t>Jokerz 31</t>
        </is>
      </c>
      <c r="F2240" s="245" t="inlineStr">
        <is>
          <t>17.08.2026</t>
        </is>
      </c>
      <c r="G2240" s="245" t="inlineStr">
        <is>
          <t>8</t>
        </is>
      </c>
      <c r="H2240" s="245" t="inlineStr">
        <is>
          <t>Loss on Drying</t>
        </is>
      </c>
      <c r="I2240" s="245" t="inlineStr">
        <is>
          <t>Ph. Eur. 2.2.32 (3028) · at 40 °C, 24 h, 15–25 mbar</t>
        </is>
      </c>
      <c r="J2240" s="245" t="inlineStr">
        <is>
          <t>≤ 12.0%</t>
        </is>
      </c>
      <c r="K2240" s="245" t="inlineStr">
        <is>
          <t>6.3</t>
        </is>
      </c>
      <c r="L2240" s="245" t="inlineStr">
        <is>
          <t>051-1-ГС/26</t>
        </is>
      </c>
      <c r="M2240" s="245" t="inlineStr">
        <is>
          <t>02.03.2026</t>
        </is>
      </c>
      <c r="N2240" s="245" t="inlineStr">
        <is>
          <t>Farmahem</t>
        </is>
      </c>
      <c r="O2240" s="245" t="inlineStr">
        <is>
          <t>—</t>
        </is>
      </c>
      <c r="P2240" s="245" t="inlineStr">
        <is>
          <t>carried from the initial testing (CoQ-PP-2026-0012) — covered</t>
        </is>
      </c>
      <c r="Q2240" s="245" t="inlineStr"/>
      <c r="R2240" s="245" t="inlineStr"/>
    </row>
    <row r="2241">
      <c r="A2241" s="245" t="inlineStr">
        <is>
          <t>CoQ-PP_26-098</t>
        </is>
      </c>
      <c r="B2241" s="245" t="inlineStr">
        <is>
          <t>reissue — 12-month retest</t>
        </is>
      </c>
      <c r="C2241" s="245" t="inlineStr">
        <is>
          <t>J31102501</t>
        </is>
      </c>
      <c r="D2241" s="245" t="inlineStr">
        <is>
          <t>P060152</t>
        </is>
      </c>
      <c r="E2241" s="245" t="inlineStr">
        <is>
          <t>Jokerz 31</t>
        </is>
      </c>
      <c r="F2241" s="245" t="inlineStr">
        <is>
          <t>17.08.2026</t>
        </is>
      </c>
      <c r="G2241" s="245" t="inlineStr">
        <is>
          <t>9.1</t>
        </is>
      </c>
      <c r="H2241" s="245" t="inlineStr">
        <is>
          <t>TAMC</t>
        </is>
      </c>
      <c r="I2241" s="245" t="inlineStr">
        <is>
          <t>Ph. Eur. 2.6.12 cat. C</t>
        </is>
      </c>
      <c r="J2241" s="245" t="inlineStr">
        <is>
          <t>≤ 10⁵ CFU/g</t>
        </is>
      </c>
      <c r="K2241" s="245" t="inlineStr">
        <is>
          <t>1.6 × 10²</t>
        </is>
      </c>
      <c r="L2241" s="245" t="inlineStr">
        <is>
          <t>133/0230/26</t>
        </is>
      </c>
      <c r="M2241" s="245" t="inlineStr">
        <is>
          <t>06.03.2026</t>
        </is>
      </c>
      <c r="N2241" s="245" t="inlineStr">
        <is>
          <t>IPH — Institute of Public Health</t>
        </is>
      </c>
      <c r="O2241" s="245" t="inlineStr">
        <is>
          <t>—</t>
        </is>
      </c>
      <c r="P2241" s="245" t="inlineStr">
        <is>
          <t>covered</t>
        </is>
      </c>
      <c r="Q2241" s="245" t="inlineStr"/>
      <c r="R2241" s="245" t="inlineStr"/>
    </row>
    <row r="2242">
      <c r="A2242" s="245" t="inlineStr">
        <is>
          <t>CoQ-PP_26-098</t>
        </is>
      </c>
      <c r="B2242" s="245" t="inlineStr">
        <is>
          <t>reissue — 12-month retest</t>
        </is>
      </c>
      <c r="C2242" s="245" t="inlineStr">
        <is>
          <t>J31102501</t>
        </is>
      </c>
      <c r="D2242" s="245" t="inlineStr">
        <is>
          <t>P060152</t>
        </is>
      </c>
      <c r="E2242" s="245" t="inlineStr">
        <is>
          <t>Jokerz 31</t>
        </is>
      </c>
      <c r="F2242" s="245" t="inlineStr">
        <is>
          <t>17.08.2026</t>
        </is>
      </c>
      <c r="G2242" s="245" t="inlineStr">
        <is>
          <t>9.2</t>
        </is>
      </c>
      <c r="H2242" s="245" t="inlineStr">
        <is>
          <t>TYMC</t>
        </is>
      </c>
      <c r="I2242" s="245" t="inlineStr">
        <is>
          <t>Ph. Eur. 2.6.12 cat. C</t>
        </is>
      </c>
      <c r="J2242" s="245" t="inlineStr">
        <is>
          <t>≤ 10⁴ CFU/g</t>
        </is>
      </c>
      <c r="K2242" s="245" t="inlineStr">
        <is>
          <t>1.9 × 10²</t>
        </is>
      </c>
      <c r="L2242" s="245" t="inlineStr">
        <is>
          <t>133/0230/26</t>
        </is>
      </c>
      <c r="M2242" s="245" t="inlineStr">
        <is>
          <t>06.03.2026</t>
        </is>
      </c>
      <c r="N2242" s="245" t="inlineStr">
        <is>
          <t>IPH — Institute of Public Health</t>
        </is>
      </c>
      <c r="O2242" s="245" t="inlineStr">
        <is>
          <t>—</t>
        </is>
      </c>
      <c r="P2242" s="245" t="inlineStr">
        <is>
          <t>covered</t>
        </is>
      </c>
      <c r="Q2242" s="245" t="inlineStr"/>
      <c r="R2242" s="245" t="inlineStr"/>
    </row>
    <row r="2243">
      <c r="A2243" s="245" t="inlineStr">
        <is>
          <t>CoQ-PP_26-098</t>
        </is>
      </c>
      <c r="B2243" s="245" t="inlineStr">
        <is>
          <t>reissue — 12-month retest</t>
        </is>
      </c>
      <c r="C2243" s="245" t="inlineStr">
        <is>
          <t>J31102501</t>
        </is>
      </c>
      <c r="D2243" s="245" t="inlineStr">
        <is>
          <t>P060152</t>
        </is>
      </c>
      <c r="E2243" s="245" t="inlineStr">
        <is>
          <t>Jokerz 31</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133/0230/26</t>
        </is>
      </c>
      <c r="M2243" s="245" t="inlineStr">
        <is>
          <t>06.03.2026</t>
        </is>
      </c>
      <c r="N2243" s="245" t="inlineStr">
        <is>
          <t>IPH — Institute of Public Health</t>
        </is>
      </c>
      <c r="O2243" s="245" t="inlineStr">
        <is>
          <t>—</t>
        </is>
      </c>
      <c r="P2243" s="245" t="inlineStr">
        <is>
          <t>covered</t>
        </is>
      </c>
      <c r="Q2243" s="245" t="inlineStr"/>
      <c r="R2243" s="245" t="inlineStr"/>
    </row>
    <row r="2244">
      <c r="A2244" s="245" t="inlineStr">
        <is>
          <t>CoQ-PP_26-098</t>
        </is>
      </c>
      <c r="B2244" s="245" t="inlineStr">
        <is>
          <t>reissue — 12-month retest</t>
        </is>
      </c>
      <c r="C2244" s="245" t="inlineStr">
        <is>
          <t>J31102501</t>
        </is>
      </c>
      <c r="D2244" s="245" t="inlineStr">
        <is>
          <t>P060152</t>
        </is>
      </c>
      <c r="E2244" s="245" t="inlineStr">
        <is>
          <t>Jokerz 31</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133/0230/26</t>
        </is>
      </c>
      <c r="M2244" s="245" t="inlineStr">
        <is>
          <t>06.03.2026</t>
        </is>
      </c>
      <c r="N2244" s="245" t="inlineStr">
        <is>
          <t>IPH — Institute of Public Health</t>
        </is>
      </c>
      <c r="O2244" s="245" t="inlineStr">
        <is>
          <t>—</t>
        </is>
      </c>
      <c r="P2244" s="245" t="inlineStr">
        <is>
          <t>covered</t>
        </is>
      </c>
      <c r="Q2244" s="245" t="inlineStr"/>
      <c r="R2244" s="245" t="inlineStr"/>
    </row>
    <row r="2245">
      <c r="A2245" s="245" t="inlineStr">
        <is>
          <t>CoQ-PP_26-098</t>
        </is>
      </c>
      <c r="B2245" s="245" t="inlineStr">
        <is>
          <t>reissue — 12-month retest</t>
        </is>
      </c>
      <c r="C2245" s="245" t="inlineStr">
        <is>
          <t>J31102501</t>
        </is>
      </c>
      <c r="D2245" s="245" t="inlineStr">
        <is>
          <t>P060152</t>
        </is>
      </c>
      <c r="E2245" s="245" t="inlineStr">
        <is>
          <t>Jokerz 31</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133/0230/26</t>
        </is>
      </c>
      <c r="M2245" s="245" t="inlineStr">
        <is>
          <t>06.03.2026</t>
        </is>
      </c>
      <c r="N2245" s="245" t="inlineStr">
        <is>
          <t>IPH — Institute of Public Health</t>
        </is>
      </c>
      <c r="O2245" s="245" t="inlineStr">
        <is>
          <t>—</t>
        </is>
      </c>
      <c r="P2245" s="245" t="inlineStr">
        <is>
          <t>covered</t>
        </is>
      </c>
      <c r="Q2245" s="245" t="inlineStr"/>
      <c r="R2245" s="245" t="inlineStr"/>
    </row>
    <row r="2246">
      <c r="A2246" s="245" t="inlineStr">
        <is>
          <t>CoQ-PP_26-098</t>
        </is>
      </c>
      <c r="B2246" s="245" t="inlineStr">
        <is>
          <t>reissue — 12-month retest</t>
        </is>
      </c>
      <c r="C2246" s="245" t="inlineStr">
        <is>
          <t>J31102501</t>
        </is>
      </c>
      <c r="D2246" s="245" t="inlineStr">
        <is>
          <t>P060152</t>
        </is>
      </c>
      <c r="E2246" s="245" t="inlineStr">
        <is>
          <t>Jokerz 31</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J31102501</t>
        </is>
      </c>
      <c r="D2247" s="245" t="inlineStr">
        <is>
          <t>P060152</t>
        </is>
      </c>
      <c r="E2247" s="245" t="inlineStr">
        <is>
          <t>Jokerz 31</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J31102501</t>
        </is>
      </c>
      <c r="D2248" s="245" t="inlineStr">
        <is>
          <t>P060152</t>
        </is>
      </c>
      <c r="E2248" s="245" t="inlineStr">
        <is>
          <t>Jokerz 31</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197-16-М/26</t>
        </is>
      </c>
      <c r="M2248" s="245" t="inlineStr">
        <is>
          <t>10.08.2026</t>
        </is>
      </c>
      <c r="N2248" s="245" t="inlineStr">
        <is>
          <t>Farmahem</t>
        </is>
      </c>
      <c r="O2248" s="245" t="inlineStr">
        <is>
          <t>27.07.2026</t>
        </is>
      </c>
      <c r="P2248" s="245" t="inlineStr">
        <is>
          <t>covered</t>
        </is>
      </c>
      <c r="Q2248" s="245" t="inlineStr"/>
      <c r="R2248" s="245" t="inlineStr"/>
    </row>
    <row r="2249">
      <c r="A2249" s="245" t="inlineStr">
        <is>
          <t>CoQ-PP_26-098</t>
        </is>
      </c>
      <c r="B2249" s="245" t="inlineStr">
        <is>
          <t>reissue — 12-month retest</t>
        </is>
      </c>
      <c r="C2249" s="245" t="inlineStr">
        <is>
          <t>J31102501</t>
        </is>
      </c>
      <c r="D2249" s="245" t="inlineStr">
        <is>
          <t>P060152</t>
        </is>
      </c>
      <c r="E2249" s="245" t="inlineStr">
        <is>
          <t>Jokerz 31</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197-16-М/26</t>
        </is>
      </c>
      <c r="M2249" s="245" t="inlineStr">
        <is>
          <t>10.08.2026</t>
        </is>
      </c>
      <c r="N2249" s="245" t="inlineStr">
        <is>
          <t>Farmahem</t>
        </is>
      </c>
      <c r="O2249" s="245" t="inlineStr">
        <is>
          <t>27.07.2026</t>
        </is>
      </c>
      <c r="P2249" s="245" t="inlineStr">
        <is>
          <t>covered</t>
        </is>
      </c>
      <c r="Q2249" s="245" t="inlineStr"/>
      <c r="R2249" s="245" t="inlineStr"/>
    </row>
    <row r="2250">
      <c r="A2250" s="245" t="inlineStr">
        <is>
          <t>CoQ-PP_26-098</t>
        </is>
      </c>
      <c r="B2250" s="245" t="inlineStr">
        <is>
          <t>reissue — 12-month retest</t>
        </is>
      </c>
      <c r="C2250" s="245" t="inlineStr">
        <is>
          <t>J31102501</t>
        </is>
      </c>
      <c r="D2250" s="245" t="inlineStr">
        <is>
          <t>P060152</t>
        </is>
      </c>
      <c r="E2250" s="245" t="inlineStr">
        <is>
          <t>Jokerz 31</t>
        </is>
      </c>
      <c r="F2250" s="245" t="inlineStr">
        <is>
          <t>17.08.2026</t>
        </is>
      </c>
      <c r="G2250" s="245" t="inlineStr">
        <is>
          <t>10.3</t>
        </is>
      </c>
      <c r="H2250" s="245" t="inlineStr">
        <is>
          <t>Ochratoxin A</t>
        </is>
      </c>
      <c r="I2250" s="245" t="inlineStr">
        <is>
          <t>Ph. Eur. 2.8.22 (HPLC-FLD)</t>
        </is>
      </c>
      <c r="J2250" s="245" t="inlineStr">
        <is>
          <t>≤ 20 µg/kg</t>
        </is>
      </c>
      <c r="K2250" s="245" t="inlineStr">
        <is>
          <t>ND</t>
        </is>
      </c>
      <c r="L2250" s="245" t="inlineStr">
        <is>
          <t>197-16-М/26</t>
        </is>
      </c>
      <c r="M2250" s="245" t="inlineStr">
        <is>
          <t>10.08.2026</t>
        </is>
      </c>
      <c r="N2250" s="245" t="inlineStr">
        <is>
          <t>Farmahem</t>
        </is>
      </c>
      <c r="O2250" s="245" t="inlineStr">
        <is>
          <t>27.07.2026</t>
        </is>
      </c>
      <c r="P2250" s="245" t="inlineStr">
        <is>
          <t>covered</t>
        </is>
      </c>
      <c r="Q2250" s="245" t="inlineStr"/>
      <c r="R2250" s="245" t="inlineStr"/>
    </row>
    <row r="2251">
      <c r="A2251" s="245" t="inlineStr">
        <is>
          <t>CoQ-PP_26-098</t>
        </is>
      </c>
      <c r="B2251" s="245" t="inlineStr">
        <is>
          <t>reissue — 12-month retest</t>
        </is>
      </c>
      <c r="C2251" s="245" t="inlineStr">
        <is>
          <t>J31102501</t>
        </is>
      </c>
      <c r="D2251" s="245" t="inlineStr">
        <is>
          <t>P060152</t>
        </is>
      </c>
      <c r="E2251" s="245" t="inlineStr">
        <is>
          <t>Jokerz 31</t>
        </is>
      </c>
      <c r="F2251" s="245" t="inlineStr">
        <is>
          <t>17.08.2026</t>
        </is>
      </c>
      <c r="G2251" s="245" t="inlineStr">
        <is>
          <t>11.1</t>
        </is>
      </c>
      <c r="H2251" s="245" t="inlineStr">
        <is>
          <t>Lead (Pb)</t>
        </is>
      </c>
      <c r="I2251" s="245" t="inlineStr">
        <is>
          <t>Ph. Eur. 2.4.27 (ICP-MS)</t>
        </is>
      </c>
      <c r="J2251" s="245" t="inlineStr">
        <is>
          <t>≤ 0.5 mg/kg</t>
        </is>
      </c>
      <c r="K2251" s="245" t="inlineStr">
        <is>
          <t>0.061</t>
        </is>
      </c>
      <c r="L2251" s="245" t="inlineStr">
        <is>
          <t>1056/2026</t>
        </is>
      </c>
      <c r="M2251" s="245" t="inlineStr">
        <is>
          <t>09.03.2026</t>
        </is>
      </c>
      <c r="N2251" s="245" t="inlineStr">
        <is>
          <t>IPH — Institute of Public Health</t>
        </is>
      </c>
      <c r="O2251" s="245" t="inlineStr">
        <is>
          <t>—</t>
        </is>
      </c>
      <c r="P2251" s="245" t="inlineStr">
        <is>
          <t>covered</t>
        </is>
      </c>
      <c r="Q2251" s="245" t="inlineStr"/>
      <c r="R2251" s="245" t="inlineStr"/>
    </row>
    <row r="2252">
      <c r="A2252" s="245" t="inlineStr">
        <is>
          <t>CoQ-PP_26-098</t>
        </is>
      </c>
      <c r="B2252" s="245" t="inlineStr">
        <is>
          <t>reissue — 12-month retest</t>
        </is>
      </c>
      <c r="C2252" s="245" t="inlineStr">
        <is>
          <t>J31102501</t>
        </is>
      </c>
      <c r="D2252" s="245" t="inlineStr">
        <is>
          <t>P060152</t>
        </is>
      </c>
      <c r="E2252" s="245" t="inlineStr">
        <is>
          <t>Jokerz 31</t>
        </is>
      </c>
      <c r="F2252" s="245" t="inlineStr">
        <is>
          <t>17.08.2026</t>
        </is>
      </c>
      <c r="G2252" s="245" t="inlineStr">
        <is>
          <t>11.2</t>
        </is>
      </c>
      <c r="H2252" s="245" t="inlineStr">
        <is>
          <t>Cadmium (Cd)</t>
        </is>
      </c>
      <c r="I2252" s="245" t="inlineStr">
        <is>
          <t>Ph. Eur. 2.4.27 (ICP-MS)</t>
        </is>
      </c>
      <c r="J2252" s="245" t="inlineStr">
        <is>
          <t>≤ 0.3 mg/kg</t>
        </is>
      </c>
      <c r="K2252" s="245" t="inlineStr">
        <is>
          <t>ND</t>
        </is>
      </c>
      <c r="L2252" s="245" t="inlineStr">
        <is>
          <t>1056/2026</t>
        </is>
      </c>
      <c r="M2252" s="245" t="inlineStr">
        <is>
          <t>09.03.2026</t>
        </is>
      </c>
      <c r="N2252" s="245" t="inlineStr">
        <is>
          <t>IPH — Institute of Public Health</t>
        </is>
      </c>
      <c r="O2252" s="245" t="inlineStr">
        <is>
          <t>—</t>
        </is>
      </c>
      <c r="P2252" s="245" t="inlineStr">
        <is>
          <t>covered</t>
        </is>
      </c>
      <c r="Q2252" s="245" t="inlineStr"/>
      <c r="R2252" s="245" t="inlineStr"/>
    </row>
    <row r="2253">
      <c r="A2253" s="245" t="inlineStr">
        <is>
          <t>CoQ-PP_26-098</t>
        </is>
      </c>
      <c r="B2253" s="245" t="inlineStr">
        <is>
          <t>reissue — 12-month retest</t>
        </is>
      </c>
      <c r="C2253" s="245" t="inlineStr">
        <is>
          <t>J31102501</t>
        </is>
      </c>
      <c r="D2253" s="245" t="inlineStr">
        <is>
          <t>P060152</t>
        </is>
      </c>
      <c r="E2253" s="245" t="inlineStr">
        <is>
          <t>Jokerz 31</t>
        </is>
      </c>
      <c r="F2253" s="245" t="inlineStr">
        <is>
          <t>17.08.2026</t>
        </is>
      </c>
      <c r="G2253" s="245" t="inlineStr">
        <is>
          <t>11.3</t>
        </is>
      </c>
      <c r="H2253" s="245" t="inlineStr">
        <is>
          <t>Arsenic (As)</t>
        </is>
      </c>
      <c r="I2253" s="245" t="inlineStr">
        <is>
          <t>Ph. Eur. 2.4.27 (ICP-MS)</t>
        </is>
      </c>
      <c r="J2253" s="245" t="inlineStr">
        <is>
          <t>≤ 0.2 mg/kg</t>
        </is>
      </c>
      <c r="K2253" s="245" t="inlineStr">
        <is>
          <t>ND</t>
        </is>
      </c>
      <c r="L2253" s="245" t="inlineStr">
        <is>
          <t>1056/2026</t>
        </is>
      </c>
      <c r="M2253" s="245" t="inlineStr">
        <is>
          <t>09.03.2026</t>
        </is>
      </c>
      <c r="N2253" s="245" t="inlineStr">
        <is>
          <t>IPH — Institute of Public Health</t>
        </is>
      </c>
      <c r="O2253" s="245" t="inlineStr">
        <is>
          <t>—</t>
        </is>
      </c>
      <c r="P2253" s="245" t="inlineStr">
        <is>
          <t>covered</t>
        </is>
      </c>
      <c r="Q2253" s="245" t="inlineStr"/>
      <c r="R2253" s="245" t="inlineStr"/>
    </row>
    <row r="2254">
      <c r="A2254" s="245" t="inlineStr">
        <is>
          <t>CoQ-PP_26-098</t>
        </is>
      </c>
      <c r="B2254" s="245" t="inlineStr">
        <is>
          <t>reissue — 12-month retest</t>
        </is>
      </c>
      <c r="C2254" s="245" t="inlineStr">
        <is>
          <t>J31102501</t>
        </is>
      </c>
      <c r="D2254" s="245" t="inlineStr">
        <is>
          <t>P060152</t>
        </is>
      </c>
      <c r="E2254" s="245" t="inlineStr">
        <is>
          <t>Jokerz 31</t>
        </is>
      </c>
      <c r="F2254" s="245" t="inlineStr">
        <is>
          <t>17.08.2026</t>
        </is>
      </c>
      <c r="G2254" s="245" t="inlineStr">
        <is>
          <t>11.4</t>
        </is>
      </c>
      <c r="H2254" s="245" t="inlineStr">
        <is>
          <t>Mercury (Hg)</t>
        </is>
      </c>
      <c r="I2254" s="245" t="inlineStr">
        <is>
          <t>Ph. Eur. 2.4.27 (ICP-MS)</t>
        </is>
      </c>
      <c r="J2254" s="245" t="inlineStr">
        <is>
          <t>≤ 0.1 mg/kg</t>
        </is>
      </c>
      <c r="K2254" s="245" t="inlineStr">
        <is>
          <t>ND</t>
        </is>
      </c>
      <c r="L2254" s="245" t="inlineStr">
        <is>
          <t>1056/2026</t>
        </is>
      </c>
      <c r="M2254" s="245" t="inlineStr">
        <is>
          <t>09.03.2026</t>
        </is>
      </c>
      <c r="N2254" s="245" t="inlineStr">
        <is>
          <t>IPH — Institute of Public Health</t>
        </is>
      </c>
      <c r="O2254" s="245" t="inlineStr">
        <is>
          <t>—</t>
        </is>
      </c>
      <c r="P2254" s="245" t="inlineStr">
        <is>
          <t>covered</t>
        </is>
      </c>
      <c r="Q2254" s="245" t="inlineStr"/>
      <c r="R2254" s="245" t="inlineStr"/>
    </row>
    <row r="2255">
      <c r="A2255" s="245" t="inlineStr">
        <is>
          <t>CoQ-PP_26-098</t>
        </is>
      </c>
      <c r="B2255" s="245" t="inlineStr">
        <is>
          <t>reissue — 12-month retest</t>
        </is>
      </c>
      <c r="C2255" s="245" t="inlineStr">
        <is>
          <t>J31102501</t>
        </is>
      </c>
      <c r="D2255" s="245" t="inlineStr">
        <is>
          <t>P060152</t>
        </is>
      </c>
      <c r="E2255" s="245" t="inlineStr">
        <is>
          <t>Jokerz 31</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 mg/kg — all 25 residues</t>
        </is>
      </c>
      <c r="L2255" s="245" t="inlineStr">
        <is>
          <t>1056/2026</t>
        </is>
      </c>
      <c r="M2255" s="245" t="inlineStr">
        <is>
          <t>09.03.2026</t>
        </is>
      </c>
      <c r="N2255" s="245" t="inlineStr">
        <is>
          <t>IJZ</t>
        </is>
      </c>
      <c r="O2255" s="245" t="inlineStr">
        <is>
          <t>—</t>
        </is>
      </c>
      <c r="P2255" s="245" t="inlineStr">
        <is>
          <t>carried from the initial testing (CoQ-PP-2026-0012) — covered</t>
        </is>
      </c>
      <c r="Q2255" s="245" t="inlineStr"/>
      <c r="R2255" s="245" t="inlineStr"/>
    </row>
    <row r="2256">
      <c r="A2256" s="245" t="inlineStr">
        <is>
          <t>CoQ-PP_26-099</t>
        </is>
      </c>
      <c r="B2256" s="245" t="inlineStr">
        <is>
          <t>reissue — 12-month retest</t>
        </is>
      </c>
      <c r="C2256" s="245" t="inlineStr">
        <is>
          <t>JD112501</t>
        </is>
      </c>
      <c r="D2256" s="245" t="inlineStr">
        <is>
          <t>P060212</t>
        </is>
      </c>
      <c r="E2256" s="245" t="inlineStr">
        <is>
          <t>Jelly Donuts</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5" t="inlineStr">
        <is>
          <t>Conforms | Одговара</t>
        </is>
      </c>
      <c r="L2256" s="245" t="inlineStr">
        <is>
          <t>iCoA-PP_26-113</t>
        </is>
      </c>
      <c r="M2256" s="245" t="inlineStr">
        <is>
          <t>27.07.2026</t>
        </is>
      </c>
      <c r="N2256" s="245" t="inlineStr">
        <is>
          <t>Purely Plant GmbH (in-house)</t>
        </is>
      </c>
      <c r="O2256" s="245" t="inlineStr">
        <is>
          <t>—</t>
        </is>
      </c>
      <c r="P2256" s="245" t="inlineStr">
        <is>
          <t>covered</t>
        </is>
      </c>
      <c r="Q2256" s="245" t="inlineStr">
        <is>
          <t>Farmahem — Ident A + B + C with the Assay, at retest</t>
        </is>
      </c>
      <c r="R2256" s="245" t="inlineStr"/>
    </row>
    <row r="2257">
      <c r="A2257" s="245" t="inlineStr">
        <is>
          <t>CoQ-PP_26-099</t>
        </is>
      </c>
      <c r="B2257" s="245" t="inlineStr">
        <is>
          <t>reissue — 12-month retest</t>
        </is>
      </c>
      <c r="C2257" s="245" t="inlineStr">
        <is>
          <t>JD112501</t>
        </is>
      </c>
      <c r="D2257" s="245" t="inlineStr">
        <is>
          <t>P060212</t>
        </is>
      </c>
      <c r="E2257" s="245" t="inlineStr">
        <is>
          <t>Jelly Donuts</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5" t="inlineStr">
        <is>
          <t>Conforms | Одговара</t>
        </is>
      </c>
      <c r="L2257" s="245" t="inlineStr">
        <is>
          <t>iCoA-PP_26-113</t>
        </is>
      </c>
      <c r="M2257" s="245" t="inlineStr">
        <is>
          <t>27.07.2026</t>
        </is>
      </c>
      <c r="N2257" s="245" t="inlineStr">
        <is>
          <t>Purely Plant GmbH (in-house)</t>
        </is>
      </c>
      <c r="O2257" s="245" t="inlineStr">
        <is>
          <t>—</t>
        </is>
      </c>
      <c r="P2257" s="245" t="inlineStr">
        <is>
          <t>covered</t>
        </is>
      </c>
      <c r="Q2257" s="245" t="inlineStr">
        <is>
          <t>Farmahem — Ident A + B + C with the Assay, at retest</t>
        </is>
      </c>
      <c r="R2257" s="245" t="inlineStr"/>
    </row>
    <row r="2258">
      <c r="A2258" s="245" t="inlineStr">
        <is>
          <t>CoQ-PP_26-099</t>
        </is>
      </c>
      <c r="B2258" s="245" t="inlineStr">
        <is>
          <t>reissue — 12-month retest</t>
        </is>
      </c>
      <c r="C2258" s="245" t="inlineStr">
        <is>
          <t>JD112501</t>
        </is>
      </c>
      <c r="D2258" s="245" t="inlineStr">
        <is>
          <t>P060212</t>
        </is>
      </c>
      <c r="E2258" s="245" t="inlineStr">
        <is>
          <t>Jelly Donuts</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197-15-К/26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JD112501</t>
        </is>
      </c>
      <c r="D2259" s="245" t="inlineStr">
        <is>
          <t>P060212</t>
        </is>
      </c>
      <c r="E2259" s="245" t="inlineStr">
        <is>
          <t>Jelly Donuts</t>
        </is>
      </c>
      <c r="F2259" s="245" t="inlineStr">
        <is>
          <t>17.08.2026</t>
        </is>
      </c>
      <c r="G2259" s="245" t="inlineStr">
        <is>
          <t>4</t>
        </is>
      </c>
      <c r="H2259" s="245" t="inlineStr">
        <is>
          <t>Assay — Total Δ⁹-THC</t>
        </is>
      </c>
      <c r="I2259" s="245" t="inlineStr">
        <is>
          <t>Ph. Eur. 2.2.29 (HPLC)</t>
        </is>
      </c>
      <c r="J2259" s="245" t="inlineStr">
        <is>
          <t>19.80 – 24.19 %  (grade I, nominal 22.00 ± 2.20)</t>
        </is>
      </c>
      <c r="K2259" s="245" t="inlineStr">
        <is>
          <t>20.32</t>
        </is>
      </c>
      <c r="L2259" s="245" t="inlineStr">
        <is>
          <t>197-15-К/26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JD112501</t>
        </is>
      </c>
      <c r="D2260" s="245" t="inlineStr">
        <is>
          <t>P060212</t>
        </is>
      </c>
      <c r="E2260" s="245" t="inlineStr">
        <is>
          <t>Jelly Donuts</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197-15-К/26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JD112501</t>
        </is>
      </c>
      <c r="D2261" s="245" t="inlineStr">
        <is>
          <t>P060212</t>
        </is>
      </c>
      <c r="E2261" s="245" t="inlineStr">
        <is>
          <t>Jelly Donuts</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197-15-К/26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JD112501</t>
        </is>
      </c>
      <c r="D2262" s="245" t="inlineStr">
        <is>
          <t>P060212</t>
        </is>
      </c>
      <c r="E2262" s="245" t="inlineStr">
        <is>
          <t>Jelly Donuts</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5" t="inlineStr">
        <is>
          <t>Conforms | Одговара</t>
        </is>
      </c>
      <c r="L2262" s="245" t="inlineStr">
        <is>
          <t>iCoA-PP_26-113</t>
        </is>
      </c>
      <c r="M2262" s="245" t="inlineStr">
        <is>
          <t>27.07.2026</t>
        </is>
      </c>
      <c r="N2262" s="245" t="inlineStr">
        <is>
          <t>Purely Plant GmbH (in-house)</t>
        </is>
      </c>
      <c r="O2262" s="245" t="inlineStr">
        <is>
          <t>—</t>
        </is>
      </c>
      <c r="P2262" s="245" t="inlineStr">
        <is>
          <t>covered</t>
        </is>
      </c>
      <c r="Q2262" s="245" t="inlineStr">
        <is>
          <t>Purely Plant laboratory — iCoA covering Foreign matter</t>
        </is>
      </c>
      <c r="R2262" s="245" t="inlineStr"/>
    </row>
    <row r="2263">
      <c r="A2263" s="245" t="inlineStr">
        <is>
          <t>CoQ-PP_26-099</t>
        </is>
      </c>
      <c r="B2263" s="245" t="inlineStr">
        <is>
          <t>reissue — 12-month retest</t>
        </is>
      </c>
      <c r="C2263" s="245" t="inlineStr">
        <is>
          <t>JD112501</t>
        </is>
      </c>
      <c r="D2263" s="245" t="inlineStr">
        <is>
          <t>P060212</t>
        </is>
      </c>
      <c r="E2263" s="245" t="inlineStr">
        <is>
          <t>Jelly Donuts</t>
        </is>
      </c>
      <c r="F2263" s="245" t="inlineStr">
        <is>
          <t>17.08.2026</t>
        </is>
      </c>
      <c r="G2263" s="245" t="inlineStr">
        <is>
          <t>8</t>
        </is>
      </c>
      <c r="H2263" s="245" t="inlineStr">
        <is>
          <t>Loss on Drying</t>
        </is>
      </c>
      <c r="I2263" s="245" t="inlineStr">
        <is>
          <t>DAB 2018 monograph Cannabis flos, 2.2.32 — loss on drying (CNP, before its Ph. Eur. 3028 accreditation)</t>
        </is>
      </c>
      <c r="J2263" s="245" t="inlineStr">
        <is>
          <t>≤ 12.0%</t>
        </is>
      </c>
      <c r="K2263" s="245" t="inlineStr">
        <is>
          <t>6.69</t>
        </is>
      </c>
      <c r="L2263" s="245" t="inlineStr">
        <is>
          <t>ППК26063</t>
        </is>
      </c>
      <c r="M2263" s="245" t="inlineStr">
        <is>
          <t>11.05.2026</t>
        </is>
      </c>
      <c r="N2263" s="245" t="inlineStr">
        <is>
          <t>UKIM Faculty of Pharmacy — Center for Natural Products</t>
        </is>
      </c>
      <c r="O2263" s="245" t="inlineStr">
        <is>
          <t>21.04.2026</t>
        </is>
      </c>
      <c r="P2263" s="245" t="inlineStr">
        <is>
          <t>carried from the initial testing (CoQ-PP-2026-0015) — covered</t>
        </is>
      </c>
      <c r="Q2263" s="245" t="inlineStr"/>
      <c r="R2263" s="245" t="inlineStr"/>
    </row>
    <row r="2264">
      <c r="A2264" s="245" t="inlineStr">
        <is>
          <t>CoQ-PP_26-099</t>
        </is>
      </c>
      <c r="B2264" s="245" t="inlineStr">
        <is>
          <t>reissue — 12-month retest</t>
        </is>
      </c>
      <c r="C2264" s="245" t="inlineStr">
        <is>
          <t>JD112501</t>
        </is>
      </c>
      <c r="D2264" s="245" t="inlineStr">
        <is>
          <t>P060212</t>
        </is>
      </c>
      <c r="E2264" s="245" t="inlineStr">
        <is>
          <t>Jelly Donuts</t>
        </is>
      </c>
      <c r="F2264" s="245" t="inlineStr">
        <is>
          <t>17.08.2026</t>
        </is>
      </c>
      <c r="G2264" s="245" t="inlineStr">
        <is>
          <t>9.1</t>
        </is>
      </c>
      <c r="H2264" s="245" t="inlineStr">
        <is>
          <t>TAMC</t>
        </is>
      </c>
      <c r="I2264" s="245" t="inlineStr">
        <is>
          <t>Ph. Eur. 2.6.12 cat. C</t>
        </is>
      </c>
      <c r="J2264" s="245" t="inlineStr">
        <is>
          <t>≤ 10⁵ CFU/g</t>
        </is>
      </c>
      <c r="K2264" s="245" t="inlineStr">
        <is>
          <t>2,6 × 10³</t>
        </is>
      </c>
      <c r="L2264" s="245" t="inlineStr">
        <is>
          <t>307/0551/26</t>
        </is>
      </c>
      <c r="M2264" s="245" t="inlineStr">
        <is>
          <t>28.04.2026</t>
        </is>
      </c>
      <c r="N2264" s="245" t="inlineStr">
        <is>
          <t>IPH — Institute of Public Health</t>
        </is>
      </c>
      <c r="O2264" s="245" t="inlineStr">
        <is>
          <t>22.04.2026</t>
        </is>
      </c>
      <c r="P2264" s="245" t="inlineStr">
        <is>
          <t>carried from the initial testing (CoQ-PP-2026-0015) — covered</t>
        </is>
      </c>
      <c r="Q2264" s="245" t="inlineStr"/>
      <c r="R2264" s="245" t="inlineStr"/>
    </row>
    <row r="2265">
      <c r="A2265" s="245" t="inlineStr">
        <is>
          <t>CoQ-PP_26-099</t>
        </is>
      </c>
      <c r="B2265" s="245" t="inlineStr">
        <is>
          <t>reissue — 12-month retest</t>
        </is>
      </c>
      <c r="C2265" s="245" t="inlineStr">
        <is>
          <t>JD112501</t>
        </is>
      </c>
      <c r="D2265" s="245" t="inlineStr">
        <is>
          <t>P060212</t>
        </is>
      </c>
      <c r="E2265" s="245" t="inlineStr">
        <is>
          <t>Jelly Donuts</t>
        </is>
      </c>
      <c r="F2265" s="245" t="inlineStr">
        <is>
          <t>17.08.2026</t>
        </is>
      </c>
      <c r="G2265" s="245" t="inlineStr">
        <is>
          <t>9.2</t>
        </is>
      </c>
      <c r="H2265" s="245" t="inlineStr">
        <is>
          <t>TYMC</t>
        </is>
      </c>
      <c r="I2265" s="245" t="inlineStr">
        <is>
          <t>Ph. Eur. 2.6.12 cat. C</t>
        </is>
      </c>
      <c r="J2265" s="245" t="inlineStr">
        <is>
          <t>≤ 10⁴ CFU/g</t>
        </is>
      </c>
      <c r="K2265" s="245" t="inlineStr">
        <is>
          <t>3,3 × 10³</t>
        </is>
      </c>
      <c r="L2265" s="245" t="inlineStr">
        <is>
          <t>307/0551/26</t>
        </is>
      </c>
      <c r="M2265" s="245" t="inlineStr">
        <is>
          <t>28.04.2026</t>
        </is>
      </c>
      <c r="N2265" s="245" t="inlineStr">
        <is>
          <t>IPH — Institute of Public Health</t>
        </is>
      </c>
      <c r="O2265" s="245" t="inlineStr">
        <is>
          <t>22.04.2026</t>
        </is>
      </c>
      <c r="P2265" s="245" t="inlineStr">
        <is>
          <t>carried from the initial testing (CoQ-PP-2026-0015) — covered</t>
        </is>
      </c>
      <c r="Q2265" s="245" t="inlineStr"/>
      <c r="R2265" s="245" t="inlineStr"/>
    </row>
    <row r="2266">
      <c r="A2266" s="245" t="inlineStr">
        <is>
          <t>CoQ-PP_26-099</t>
        </is>
      </c>
      <c r="B2266" s="245" t="inlineStr">
        <is>
          <t>reissue — 12-month retest</t>
        </is>
      </c>
      <c r="C2266" s="245" t="inlineStr">
        <is>
          <t>JD112501</t>
        </is>
      </c>
      <c r="D2266" s="245" t="inlineStr">
        <is>
          <t>P060212</t>
        </is>
      </c>
      <c r="E2266" s="245" t="inlineStr">
        <is>
          <t>Jelly Donuts</t>
        </is>
      </c>
      <c r="F2266" s="245" t="inlineStr">
        <is>
          <t>17.08.2026</t>
        </is>
      </c>
      <c r="G2266" s="245" t="inlineStr">
        <is>
          <t>9.3</t>
        </is>
      </c>
      <c r="H2266" s="245" t="inlineStr">
        <is>
          <t>Bile-tolerant gram-neg.</t>
        </is>
      </c>
      <c r="I2266" s="245" t="inlineStr">
        <is>
          <t>Ph. Eur. 2.6.31 cat. C</t>
        </is>
      </c>
      <c r="J2266" s="245" t="inlineStr">
        <is>
          <t>≤ 10⁴ CFU/g</t>
        </is>
      </c>
      <c r="K2266" s="245" t="inlineStr">
        <is>
          <t>&lt; 10³ and &gt; 10²</t>
        </is>
      </c>
      <c r="L2266" s="245" t="inlineStr">
        <is>
          <t>307/0551/26</t>
        </is>
      </c>
      <c r="M2266" s="245" t="inlineStr">
        <is>
          <t>28.04.2026</t>
        </is>
      </c>
      <c r="N2266" s="245" t="inlineStr">
        <is>
          <t>IPH — Institute of Public Health</t>
        </is>
      </c>
      <c r="O2266" s="245" t="inlineStr">
        <is>
          <t>22.04.2026</t>
        </is>
      </c>
      <c r="P2266" s="245" t="inlineStr">
        <is>
          <t>carried from the initial testing (CoQ-PP-2026-0015) — covered</t>
        </is>
      </c>
      <c r="Q2266" s="245" t="inlineStr"/>
      <c r="R2266" s="245" t="inlineStr"/>
    </row>
    <row r="2267">
      <c r="A2267" s="245" t="inlineStr">
        <is>
          <t>CoQ-PP_26-099</t>
        </is>
      </c>
      <c r="B2267" s="245" t="inlineStr">
        <is>
          <t>reissue — 12-month retest</t>
        </is>
      </c>
      <c r="C2267" s="245" t="inlineStr">
        <is>
          <t>JD112501</t>
        </is>
      </c>
      <c r="D2267" s="245" t="inlineStr">
        <is>
          <t>P060212</t>
        </is>
      </c>
      <c r="E2267" s="245" t="inlineStr">
        <is>
          <t>Jelly Donuts</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Absent | Отсутна</t>
        </is>
      </c>
      <c r="L2267" s="245" t="inlineStr">
        <is>
          <t>307/0551/26</t>
        </is>
      </c>
      <c r="M2267" s="245" t="inlineStr">
        <is>
          <t>28.04.2026</t>
        </is>
      </c>
      <c r="N2267" s="245" t="inlineStr">
        <is>
          <t>IPH — Institute of Public Health</t>
        </is>
      </c>
      <c r="O2267" s="245" t="inlineStr">
        <is>
          <t>22.04.2026</t>
        </is>
      </c>
      <c r="P2267" s="245" t="inlineStr">
        <is>
          <t>carried from the initial testing (CoQ-PP-2026-0015) — covered</t>
        </is>
      </c>
      <c r="Q2267" s="245" t="inlineStr"/>
      <c r="R2267" s="245" t="inlineStr"/>
    </row>
    <row r="2268">
      <c r="A2268" s="245" t="inlineStr">
        <is>
          <t>CoQ-PP_26-099</t>
        </is>
      </c>
      <c r="B2268" s="245" t="inlineStr">
        <is>
          <t>reissue — 12-month retest</t>
        </is>
      </c>
      <c r="C2268" s="245" t="inlineStr">
        <is>
          <t>JD112501</t>
        </is>
      </c>
      <c r="D2268" s="245" t="inlineStr">
        <is>
          <t>P060212</t>
        </is>
      </c>
      <c r="E2268" s="245" t="inlineStr">
        <is>
          <t>Jelly Donuts</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Absent | Отсутна</t>
        </is>
      </c>
      <c r="L2268" s="245" t="inlineStr">
        <is>
          <t>307/0551/26</t>
        </is>
      </c>
      <c r="M2268" s="245" t="inlineStr">
        <is>
          <t>28.04.2026</t>
        </is>
      </c>
      <c r="N2268" s="245" t="inlineStr">
        <is>
          <t>IPH — Institute of Public Health</t>
        </is>
      </c>
      <c r="O2268" s="245" t="inlineStr">
        <is>
          <t>22.04.2026</t>
        </is>
      </c>
      <c r="P2268" s="245" t="inlineStr">
        <is>
          <t>carried from the initial testing (CoQ-PP-2026-0015) — covered</t>
        </is>
      </c>
      <c r="Q2268" s="245" t="inlineStr"/>
      <c r="R2268" s="245" t="inlineStr"/>
    </row>
    <row r="2269">
      <c r="A2269" s="245" t="inlineStr">
        <is>
          <t>CoQ-PP_26-099</t>
        </is>
      </c>
      <c r="B2269" s="245" t="inlineStr">
        <is>
          <t>reissue — 12-month retest</t>
        </is>
      </c>
      <c r="C2269" s="245" t="inlineStr">
        <is>
          <t>JD112501</t>
        </is>
      </c>
      <c r="D2269" s="245" t="inlineStr">
        <is>
          <t>P060212</t>
        </is>
      </c>
      <c r="E2269" s="245" t="inlineStr">
        <is>
          <t>Jelly Donuts</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JD112501</t>
        </is>
      </c>
      <c r="D2270" s="245" t="inlineStr">
        <is>
          <t>P060212</t>
        </is>
      </c>
      <c r="E2270" s="245" t="inlineStr">
        <is>
          <t>Jelly Donuts</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JD112501</t>
        </is>
      </c>
      <c r="D2271" s="245" t="inlineStr">
        <is>
          <t>P060212</t>
        </is>
      </c>
      <c r="E2271" s="245" t="inlineStr">
        <is>
          <t>Jelly Donuts</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197-15-М/26</t>
        </is>
      </c>
      <c r="M2271" s="245" t="inlineStr">
        <is>
          <t>10.08.2026</t>
        </is>
      </c>
      <c r="N2271" s="245" t="inlineStr">
        <is>
          <t>Farmahem</t>
        </is>
      </c>
      <c r="O2271" s="245" t="inlineStr">
        <is>
          <t>29.07.2026</t>
        </is>
      </c>
      <c r="P2271" s="245" t="inlineStr">
        <is>
          <t>covered</t>
        </is>
      </c>
      <c r="Q2271" s="245" t="inlineStr"/>
      <c r="R2271" s="245" t="inlineStr"/>
    </row>
    <row r="2272">
      <c r="A2272" s="245" t="inlineStr">
        <is>
          <t>CoQ-PP_26-099</t>
        </is>
      </c>
      <c r="B2272" s="245" t="inlineStr">
        <is>
          <t>reissue — 12-month retest</t>
        </is>
      </c>
      <c r="C2272" s="245" t="inlineStr">
        <is>
          <t>JD112501</t>
        </is>
      </c>
      <c r="D2272" s="245" t="inlineStr">
        <is>
          <t>P060212</t>
        </is>
      </c>
      <c r="E2272" s="245" t="inlineStr">
        <is>
          <t>Jelly Donuts</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197-15-М/26</t>
        </is>
      </c>
      <c r="M2272" s="245" t="inlineStr">
        <is>
          <t>10.08.2026</t>
        </is>
      </c>
      <c r="N2272" s="245" t="inlineStr">
        <is>
          <t>Farmahem</t>
        </is>
      </c>
      <c r="O2272" s="245" t="inlineStr">
        <is>
          <t>29.07.2026</t>
        </is>
      </c>
      <c r="P2272" s="245" t="inlineStr">
        <is>
          <t>covered</t>
        </is>
      </c>
      <c r="Q2272" s="245" t="inlineStr"/>
      <c r="R2272" s="245" t="inlineStr"/>
    </row>
    <row r="2273">
      <c r="A2273" s="245" t="inlineStr">
        <is>
          <t>CoQ-PP_26-099</t>
        </is>
      </c>
      <c r="B2273" s="245" t="inlineStr">
        <is>
          <t>reissue — 12-month retest</t>
        </is>
      </c>
      <c r="C2273" s="245" t="inlineStr">
        <is>
          <t>JD112501</t>
        </is>
      </c>
      <c r="D2273" s="245" t="inlineStr">
        <is>
          <t>P060212</t>
        </is>
      </c>
      <c r="E2273" s="245" t="inlineStr">
        <is>
          <t>Jelly Donuts</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197-15-М/26</t>
        </is>
      </c>
      <c r="M2273" s="245" t="inlineStr">
        <is>
          <t>10.08.2026</t>
        </is>
      </c>
      <c r="N2273" s="245" t="inlineStr">
        <is>
          <t>Farmahem</t>
        </is>
      </c>
      <c r="O2273" s="245" t="inlineStr">
        <is>
          <t>29.07.2026</t>
        </is>
      </c>
      <c r="P2273" s="245" t="inlineStr">
        <is>
          <t>covered</t>
        </is>
      </c>
      <c r="Q2273" s="245" t="inlineStr"/>
      <c r="R2273" s="245" t="inlineStr"/>
    </row>
    <row r="2274">
      <c r="A2274" s="245" t="inlineStr">
        <is>
          <t>CoQ-PP_26-099</t>
        </is>
      </c>
      <c r="B2274" s="245" t="inlineStr">
        <is>
          <t>reissue — 12-month retest</t>
        </is>
      </c>
      <c r="C2274" s="245" t="inlineStr">
        <is>
          <t>JD112501</t>
        </is>
      </c>
      <c r="D2274" s="245" t="inlineStr">
        <is>
          <t>P060212</t>
        </is>
      </c>
      <c r="E2274" s="245" t="inlineStr">
        <is>
          <t>Jelly Donuts</t>
        </is>
      </c>
      <c r="F2274" s="245" t="inlineStr">
        <is>
          <t>17.08.2026</t>
        </is>
      </c>
      <c r="G2274" s="245" t="inlineStr">
        <is>
          <t>11.1</t>
        </is>
      </c>
      <c r="H2274" s="245" t="inlineStr">
        <is>
          <t>Lead (Pb)</t>
        </is>
      </c>
      <c r="I2274" s="245" t="inlineStr">
        <is>
          <t>Ph. Eur. 2.4.27 (ICP-MS)</t>
        </is>
      </c>
      <c r="J2274" s="245" t="inlineStr">
        <is>
          <t>≤ 0.5 mg/kg</t>
        </is>
      </c>
      <c r="K2274" s="245" t="inlineStr">
        <is>
          <t>0.022</t>
        </is>
      </c>
      <c r="L2274" s="245" t="inlineStr">
        <is>
          <t>2361/2026</t>
        </is>
      </c>
      <c r="M2274" s="245" t="inlineStr">
        <is>
          <t>30.04.2026</t>
        </is>
      </c>
      <c r="N2274" s="245" t="inlineStr">
        <is>
          <t>IPH — Institute of Public Health</t>
        </is>
      </c>
      <c r="O2274" s="245" t="inlineStr">
        <is>
          <t>21.04.2026</t>
        </is>
      </c>
      <c r="P2274" s="245" t="inlineStr">
        <is>
          <t>carried from the initial testing (CoQ-PP-2026-0015) — covered</t>
        </is>
      </c>
      <c r="Q2274" s="245" t="inlineStr"/>
      <c r="R2274" s="245" t="inlineStr"/>
    </row>
    <row r="2275">
      <c r="A2275" s="245" t="inlineStr">
        <is>
          <t>CoQ-PP_26-099</t>
        </is>
      </c>
      <c r="B2275" s="245" t="inlineStr">
        <is>
          <t>reissue — 12-month retest</t>
        </is>
      </c>
      <c r="C2275" s="245" t="inlineStr">
        <is>
          <t>JD112501</t>
        </is>
      </c>
      <c r="D2275" s="245" t="inlineStr">
        <is>
          <t>P060212</t>
        </is>
      </c>
      <c r="E2275" s="245" t="inlineStr">
        <is>
          <t>Jelly Donuts</t>
        </is>
      </c>
      <c r="F2275" s="245" t="inlineStr">
        <is>
          <t>17.08.2026</t>
        </is>
      </c>
      <c r="G2275" s="245" t="inlineStr">
        <is>
          <t>11.2</t>
        </is>
      </c>
      <c r="H2275" s="245" t="inlineStr">
        <is>
          <t>Cadmium (Cd)</t>
        </is>
      </c>
      <c r="I2275" s="245" t="inlineStr">
        <is>
          <t>Ph. Eur. 2.4.27 (ICP-MS)</t>
        </is>
      </c>
      <c r="J2275" s="245" t="inlineStr">
        <is>
          <t>≤ 0.3 mg/kg</t>
        </is>
      </c>
      <c r="K2275" s="245" t="inlineStr">
        <is>
          <t>0.0149</t>
        </is>
      </c>
      <c r="L2275" s="245" t="inlineStr">
        <is>
          <t>2361/2026</t>
        </is>
      </c>
      <c r="M2275" s="245" t="inlineStr">
        <is>
          <t>30.04.2026</t>
        </is>
      </c>
      <c r="N2275" s="245" t="inlineStr">
        <is>
          <t>IPH — Institute of Public Health</t>
        </is>
      </c>
      <c r="O2275" s="245" t="inlineStr">
        <is>
          <t>21.04.2026</t>
        </is>
      </c>
      <c r="P2275" s="245" t="inlineStr">
        <is>
          <t>carried from the initial testing (CoQ-PP-2026-0015) — covered</t>
        </is>
      </c>
      <c r="Q2275" s="245" t="inlineStr"/>
      <c r="R2275" s="245" t="inlineStr"/>
    </row>
    <row r="2276">
      <c r="A2276" s="245" t="inlineStr">
        <is>
          <t>CoQ-PP_26-099</t>
        </is>
      </c>
      <c r="B2276" s="245" t="inlineStr">
        <is>
          <t>reissue — 12-month retest</t>
        </is>
      </c>
      <c r="C2276" s="245" t="inlineStr">
        <is>
          <t>JD112501</t>
        </is>
      </c>
      <c r="D2276" s="245" t="inlineStr">
        <is>
          <t>P060212</t>
        </is>
      </c>
      <c r="E2276" s="245" t="inlineStr">
        <is>
          <t>Jelly Donuts</t>
        </is>
      </c>
      <c r="F2276" s="245" t="inlineStr">
        <is>
          <t>17.08.2026</t>
        </is>
      </c>
      <c r="G2276" s="245" t="inlineStr">
        <is>
          <t>11.3</t>
        </is>
      </c>
      <c r="H2276" s="245" t="inlineStr">
        <is>
          <t>Arsenic (As)</t>
        </is>
      </c>
      <c r="I2276" s="245" t="inlineStr">
        <is>
          <t>Ph. Eur. 2.4.27 (ICP-MS)</t>
        </is>
      </c>
      <c r="J2276" s="245" t="inlineStr">
        <is>
          <t>≤ 0.2 mg/kg</t>
        </is>
      </c>
      <c r="K2276" s="245" t="inlineStr">
        <is>
          <t>0.02</t>
        </is>
      </c>
      <c r="L2276" s="245" t="inlineStr">
        <is>
          <t>2361/2026</t>
        </is>
      </c>
      <c r="M2276" s="245" t="inlineStr">
        <is>
          <t>30.04.2026</t>
        </is>
      </c>
      <c r="N2276" s="245" t="inlineStr">
        <is>
          <t>IPH — Institute of Public Health</t>
        </is>
      </c>
      <c r="O2276" s="245" t="inlineStr">
        <is>
          <t>21.04.2026</t>
        </is>
      </c>
      <c r="P2276" s="245" t="inlineStr">
        <is>
          <t>carried from the initial testing (CoQ-PP-2026-0015) — covered</t>
        </is>
      </c>
      <c r="Q2276" s="245" t="inlineStr"/>
      <c r="R2276" s="245" t="inlineStr"/>
    </row>
    <row r="2277">
      <c r="A2277" s="245" t="inlineStr">
        <is>
          <t>CoQ-PP_26-099</t>
        </is>
      </c>
      <c r="B2277" s="245" t="inlineStr">
        <is>
          <t>reissue — 12-month retest</t>
        </is>
      </c>
      <c r="C2277" s="245" t="inlineStr">
        <is>
          <t>JD112501</t>
        </is>
      </c>
      <c r="D2277" s="245" t="inlineStr">
        <is>
          <t>P060212</t>
        </is>
      </c>
      <c r="E2277" s="245" t="inlineStr">
        <is>
          <t>Jelly Donuts</t>
        </is>
      </c>
      <c r="F2277" s="245" t="inlineStr">
        <is>
          <t>17.08.2026</t>
        </is>
      </c>
      <c r="G2277" s="245" t="inlineStr">
        <is>
          <t>11.4</t>
        </is>
      </c>
      <c r="H2277" s="245" t="inlineStr">
        <is>
          <t>Mercury (Hg)</t>
        </is>
      </c>
      <c r="I2277" s="245" t="inlineStr">
        <is>
          <t>Ph. Eur. 2.4.27 (ICP-MS)</t>
        </is>
      </c>
      <c r="J2277" s="245" t="inlineStr">
        <is>
          <t>≤ 0.1 mg/kg</t>
        </is>
      </c>
      <c r="K2277" s="245" t="inlineStr">
        <is>
          <t>0.0166</t>
        </is>
      </c>
      <c r="L2277" s="245" t="inlineStr">
        <is>
          <t>2361/2026</t>
        </is>
      </c>
      <c r="M2277" s="245" t="inlineStr">
        <is>
          <t>30.04.2026</t>
        </is>
      </c>
      <c r="N2277" s="245" t="inlineStr">
        <is>
          <t>IPH — Institute of Public Health</t>
        </is>
      </c>
      <c r="O2277" s="245" t="inlineStr">
        <is>
          <t>21.04.2026</t>
        </is>
      </c>
      <c r="P2277" s="245" t="inlineStr">
        <is>
          <t>carried from the initial testing (CoQ-PP-2026-0015) — covered</t>
        </is>
      </c>
      <c r="Q2277" s="245" t="inlineStr"/>
      <c r="R2277" s="245" t="inlineStr"/>
    </row>
    <row r="2278">
      <c r="A2278" s="245" t="inlineStr">
        <is>
          <t>CoQ-PP_26-099</t>
        </is>
      </c>
      <c r="B2278" s="245" t="inlineStr">
        <is>
          <t>reissue — 12-month retest</t>
        </is>
      </c>
      <c r="C2278" s="245" t="inlineStr">
        <is>
          <t>JD112501</t>
        </is>
      </c>
      <c r="D2278" s="245" t="inlineStr">
        <is>
          <t>P060212</t>
        </is>
      </c>
      <c r="E2278" s="245" t="inlineStr">
        <is>
          <t>Jelly Donuts</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t>
        </is>
      </c>
      <c r="L2278" s="245" t="inlineStr">
        <is>
          <t>2361/2026</t>
        </is>
      </c>
      <c r="M2278" s="245" t="inlineStr">
        <is>
          <t>30.04.2026</t>
        </is>
      </c>
      <c r="N2278" s="245" t="inlineStr">
        <is>
          <t>IPH — Institute of Public Health</t>
        </is>
      </c>
      <c r="O2278" s="245" t="inlineStr">
        <is>
          <t>21.04.2026</t>
        </is>
      </c>
      <c r="P2278" s="245" t="inlineStr">
        <is>
          <t>carried from the initial testing (CoQ-PP-2026-0015) — covered</t>
        </is>
      </c>
      <c r="Q2278" s="245" t="inlineStr"/>
      <c r="R2278" s="245" t="inlineStr"/>
    </row>
    <row r="2279">
      <c r="A2279" s="245" t="inlineStr">
        <is>
          <t>CoQ-PP_26-100</t>
        </is>
      </c>
      <c r="B2279" s="245" t="inlineStr">
        <is>
          <t>reissue — 12-month retest</t>
        </is>
      </c>
      <c r="C2279" s="245" t="inlineStr">
        <is>
          <t>OPM1024</t>
        </is>
      </c>
      <c r="D2279" s="245" t="inlineStr">
        <is>
          <t>OPM1024</t>
        </is>
      </c>
      <c r="E2279" s="245" t="inlineStr">
        <is>
          <t>Orange Punch Mimosa</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5" t="inlineStr">
        <is>
          <t>Conforms | Одговара</t>
        </is>
      </c>
      <c r="L2279" s="245" t="inlineStr">
        <is>
          <t>iCoA-PP_26-114</t>
        </is>
      </c>
      <c r="M2279" s="245" t="inlineStr">
        <is>
          <t>27.07.2026</t>
        </is>
      </c>
      <c r="N2279" s="245" t="inlineStr">
        <is>
          <t>Purely Plant GmbH (in-house)</t>
        </is>
      </c>
      <c r="O2279" s="245" t="inlineStr">
        <is>
          <t>—</t>
        </is>
      </c>
      <c r="P2279" s="245" t="inlineStr">
        <is>
          <t>covered</t>
        </is>
      </c>
      <c r="Q2279" s="245" t="inlineStr">
        <is>
          <t>Farmahem — Ident A + B + C with the Assay, at retest</t>
        </is>
      </c>
      <c r="R2279" s="245" t="inlineStr"/>
    </row>
    <row r="2280">
      <c r="A2280" s="245" t="inlineStr">
        <is>
          <t>CoQ-PP_26-100</t>
        </is>
      </c>
      <c r="B2280" s="245" t="inlineStr">
        <is>
          <t>reissue — 12-month retest</t>
        </is>
      </c>
      <c r="C2280" s="245" t="inlineStr">
        <is>
          <t>OPM1024</t>
        </is>
      </c>
      <c r="D2280" s="245" t="inlineStr">
        <is>
          <t>OPM1024</t>
        </is>
      </c>
      <c r="E2280" s="245" t="inlineStr">
        <is>
          <t>Orange Punch Mimosa</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5" t="inlineStr">
        <is>
          <t>Conforms | Одговара</t>
        </is>
      </c>
      <c r="L2280" s="245" t="inlineStr">
        <is>
          <t>iCoA-PP_26-114</t>
        </is>
      </c>
      <c r="M2280" s="245" t="inlineStr">
        <is>
          <t>27.07.2026</t>
        </is>
      </c>
      <c r="N2280" s="245" t="inlineStr">
        <is>
          <t>Purely Plant GmbH (in-house)</t>
        </is>
      </c>
      <c r="O2280" s="245" t="inlineStr">
        <is>
          <t>—</t>
        </is>
      </c>
      <c r="P2280" s="245" t="inlineStr">
        <is>
          <t>covered</t>
        </is>
      </c>
      <c r="Q2280" s="245" t="inlineStr">
        <is>
          <t>Farmahem — Ident A + B + C with the Assay, at retest</t>
        </is>
      </c>
      <c r="R2280" s="245" t="inlineStr"/>
    </row>
    <row r="2281">
      <c r="A2281" s="245" t="inlineStr">
        <is>
          <t>CoQ-PP_26-100</t>
        </is>
      </c>
      <c r="B2281" s="245" t="inlineStr">
        <is>
          <t>reissue — 12-month retest</t>
        </is>
      </c>
      <c r="C2281" s="245" t="inlineStr">
        <is>
          <t>OPM1024</t>
        </is>
      </c>
      <c r="D2281" s="245" t="inlineStr">
        <is>
          <t>OPM1024</t>
        </is>
      </c>
      <c r="E2281" s="245" t="inlineStr">
        <is>
          <t>Orange Punch Mimosa</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197-17-К/26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OPM1024</t>
        </is>
      </c>
      <c r="D2282" s="245" t="inlineStr">
        <is>
          <t>OPM1024</t>
        </is>
      </c>
      <c r="E2282" s="245" t="inlineStr">
        <is>
          <t>Orange Punch Mimosa</t>
        </is>
      </c>
      <c r="F2282" s="245" t="inlineStr">
        <is>
          <t>17.08.2026</t>
        </is>
      </c>
      <c r="G2282" s="245" t="inlineStr">
        <is>
          <t>4</t>
        </is>
      </c>
      <c r="H2282" s="245" t="inlineStr">
        <is>
          <t>Assay — Total Δ⁹-THC</t>
        </is>
      </c>
      <c r="I2282" s="245" t="inlineStr">
        <is>
          <t>Ph. Eur. 2.2.29 (HPLC)</t>
        </is>
      </c>
      <c r="J2282" s="245" t="inlineStr">
        <is>
          <t>18.60 – 21.39 %  (grade I, nominal 20.00 ± 1.40)</t>
        </is>
      </c>
      <c r="K2282" s="245" t="inlineStr">
        <is>
          <t>20.03</t>
        </is>
      </c>
      <c r="L2282" s="245" t="inlineStr">
        <is>
          <t>197-17-К/26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OPM1024</t>
        </is>
      </c>
      <c r="D2283" s="245" t="inlineStr">
        <is>
          <t>OPM1024</t>
        </is>
      </c>
      <c r="E2283" s="245" t="inlineStr">
        <is>
          <t>Orange Punch Mimosa</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197-17-К/26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OPM1024</t>
        </is>
      </c>
      <c r="D2284" s="245" t="inlineStr">
        <is>
          <t>OPM1024</t>
        </is>
      </c>
      <c r="E2284" s="245" t="inlineStr">
        <is>
          <t>Orange Punch Mimosa</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197-17-К/26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OPM1024</t>
        </is>
      </c>
      <c r="D2285" s="245" t="inlineStr">
        <is>
          <t>OPM1024</t>
        </is>
      </c>
      <c r="E2285" s="245" t="inlineStr">
        <is>
          <t>Orange Punch Mimosa</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5" t="inlineStr">
        <is>
          <t>Conforms | Одговара</t>
        </is>
      </c>
      <c r="L2285" s="245" t="inlineStr">
        <is>
          <t>iCoA-PP_26-114</t>
        </is>
      </c>
      <c r="M2285" s="245" t="inlineStr">
        <is>
          <t>27.07.2026</t>
        </is>
      </c>
      <c r="N2285" s="245" t="inlineStr">
        <is>
          <t>Purely Plant GmbH (in-house)</t>
        </is>
      </c>
      <c r="O2285" s="245" t="inlineStr">
        <is>
          <t>—</t>
        </is>
      </c>
      <c r="P2285" s="245" t="inlineStr">
        <is>
          <t>covered</t>
        </is>
      </c>
      <c r="Q2285" s="245" t="inlineStr">
        <is>
          <t>Purely Plant laboratory — iCoA covering Foreign matter</t>
        </is>
      </c>
      <c r="R2285" s="245" t="inlineStr"/>
    </row>
    <row r="2286">
      <c r="A2286" s="245" t="inlineStr">
        <is>
          <t>CoQ-PP_26-100</t>
        </is>
      </c>
      <c r="B2286" s="245" t="inlineStr">
        <is>
          <t>reissue — 12-month retest</t>
        </is>
      </c>
      <c r="C2286" s="245" t="inlineStr">
        <is>
          <t>OPM1024</t>
        </is>
      </c>
      <c r="D2286" s="245" t="inlineStr">
        <is>
          <t>OPM1024</t>
        </is>
      </c>
      <c r="E2286" s="245" t="inlineStr">
        <is>
          <t>Orange Punch Mimosa</t>
        </is>
      </c>
      <c r="F2286" s="245" t="inlineStr">
        <is>
          <t>17.08.2026</t>
        </is>
      </c>
      <c r="G2286" s="245" t="inlineStr">
        <is>
          <t>8</t>
        </is>
      </c>
      <c r="H2286" s="245" t="inlineStr">
        <is>
          <t>Loss on Drying</t>
        </is>
      </c>
      <c r="I2286" s="245" t="inlineStr">
        <is>
          <t>Ph. Eur. 2.2.32 (3028) · at 40 °C, 24 h, 15–25 mbar</t>
        </is>
      </c>
      <c r="J2286" s="245" t="inlineStr">
        <is>
          <t>≤ 12.0%</t>
        </is>
      </c>
      <c r="K2286" s="245" t="inlineStr">
        <is>
          <t>carried from the initial testing — not tested</t>
        </is>
      </c>
      <c r="L2286" s="245" t="inlineStr">
        <is>
          <t>—</t>
        </is>
      </c>
      <c r="M2286" s="245" t="inlineStr">
        <is>
          <t>—</t>
        </is>
      </c>
      <c r="N2286" s="245" t="inlineStr">
        <is>
          <t>—</t>
        </is>
      </c>
      <c r="O2286" s="245" t="inlineStr">
        <is>
          <t>—</t>
        </is>
      </c>
      <c r="P2286" s="245" t="inlineStr">
        <is>
          <t>carried from the initial testing (CoQ-PP-2025-0005) — not tested — no certificate covers it</t>
        </is>
      </c>
      <c r="Q2286" s="245" t="inlineStr"/>
      <c r="R2286" s="245" t="inlineStr"/>
    </row>
    <row r="2287">
      <c r="A2287" s="245" t="inlineStr">
        <is>
          <t>CoQ-PP_26-100</t>
        </is>
      </c>
      <c r="B2287" s="245" t="inlineStr">
        <is>
          <t>reissue — 12-month retest</t>
        </is>
      </c>
      <c r="C2287" s="245" t="inlineStr">
        <is>
          <t>OPM1024</t>
        </is>
      </c>
      <c r="D2287" s="245" t="inlineStr">
        <is>
          <t>OPM1024</t>
        </is>
      </c>
      <c r="E2287" s="245" t="inlineStr">
        <is>
          <t>Orange Punch Mimosa</t>
        </is>
      </c>
      <c r="F2287" s="245" t="inlineStr">
        <is>
          <t>17.08.2026</t>
        </is>
      </c>
      <c r="G2287" s="245" t="inlineStr">
        <is>
          <t>9.1</t>
        </is>
      </c>
      <c r="H2287" s="245" t="inlineStr">
        <is>
          <t>TAMC</t>
        </is>
      </c>
      <c r="I2287" s="245" t="inlineStr">
        <is>
          <t>Ph. Eur. 2.6.12 cat. C</t>
        </is>
      </c>
      <c r="J2287" s="245" t="inlineStr">
        <is>
          <t>≤ 10⁵ CFU/g</t>
        </is>
      </c>
      <c r="K2287" s="245" t="inlineStr">
        <is>
          <t>1.3 × 10⁴</t>
        </is>
      </c>
      <c r="L2287" s="245" t="inlineStr">
        <is>
          <t>iCoA-PP_26-006</t>
        </is>
      </c>
      <c r="M2287" s="245" t="inlineStr">
        <is>
          <t>03.06.2026</t>
        </is>
      </c>
      <c r="N2287" s="245" t="inlineStr">
        <is>
          <t>Purely Plant GmbH (in-house)</t>
        </is>
      </c>
      <c r="O2287" s="245" t="inlineStr">
        <is>
          <t>—</t>
        </is>
      </c>
      <c r="P2287" s="245" t="inlineStr">
        <is>
          <t>carried from the initial testing (CoQ-PP-2025-0005) — in-house CoA only — not an eCoA or an iCoA: a value no certificate of analysis certifies cannot be on a release certificate (owner's rule, 02.09.2026)</t>
        </is>
      </c>
      <c r="Q2287" s="245" t="inlineStr"/>
      <c r="R2287" s="245" t="inlineStr"/>
    </row>
    <row r="2288">
      <c r="A2288" s="245" t="inlineStr">
        <is>
          <t>CoQ-PP_26-100</t>
        </is>
      </c>
      <c r="B2288" s="245" t="inlineStr">
        <is>
          <t>reissue — 12-month retest</t>
        </is>
      </c>
      <c r="C2288" s="245" t="inlineStr">
        <is>
          <t>OPM1024</t>
        </is>
      </c>
      <c r="D2288" s="245" t="inlineStr">
        <is>
          <t>OPM1024</t>
        </is>
      </c>
      <c r="E2288" s="245" t="inlineStr">
        <is>
          <t>Orange Punch Mimosa</t>
        </is>
      </c>
      <c r="F2288" s="245" t="inlineStr">
        <is>
          <t>17.08.2026</t>
        </is>
      </c>
      <c r="G2288" s="245" t="inlineStr">
        <is>
          <t>9.2</t>
        </is>
      </c>
      <c r="H2288" s="245" t="inlineStr">
        <is>
          <t>TYMC</t>
        </is>
      </c>
      <c r="I2288" s="245" t="inlineStr">
        <is>
          <t>Ph. Eur. 2.6.12 cat. C</t>
        </is>
      </c>
      <c r="J2288" s="245" t="inlineStr">
        <is>
          <t>≤ 10⁴ CFU/g</t>
        </is>
      </c>
      <c r="K2288" s="245" t="inlineStr">
        <is>
          <t>7 × 10²</t>
        </is>
      </c>
      <c r="L2288" s="245" t="inlineStr">
        <is>
          <t>iCoA-PP_26-006</t>
        </is>
      </c>
      <c r="M2288" s="245" t="inlineStr">
        <is>
          <t>03.06.2026</t>
        </is>
      </c>
      <c r="N2288" s="245" t="inlineStr">
        <is>
          <t>Purely Plant GmbH (in-house)</t>
        </is>
      </c>
      <c r="O2288" s="245" t="inlineStr">
        <is>
          <t>—</t>
        </is>
      </c>
      <c r="P2288" s="245" t="inlineStr">
        <is>
          <t>carried from the initial testing (CoQ-PP-2025-0005) — in-house CoA only — not an eCoA or an iCoA: a value no certificate of analysis certifies cannot be on a release certificate (owner's rule, 02.09.2026)</t>
        </is>
      </c>
      <c r="Q2288" s="245" t="inlineStr"/>
      <c r="R2288" s="245" t="inlineStr"/>
    </row>
    <row r="2289">
      <c r="A2289" s="245" t="inlineStr">
        <is>
          <t>CoQ-PP_26-100</t>
        </is>
      </c>
      <c r="B2289" s="245" t="inlineStr">
        <is>
          <t>reissue — 12-month retest</t>
        </is>
      </c>
      <c r="C2289" s="245" t="inlineStr">
        <is>
          <t>OPM1024</t>
        </is>
      </c>
      <c r="D2289" s="245" t="inlineStr">
        <is>
          <t>OPM1024</t>
        </is>
      </c>
      <c r="E2289" s="245" t="inlineStr">
        <is>
          <t>Orange Punch Mimosa</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10² &gt; 10³</t>
        </is>
      </c>
      <c r="L2289" s="245" t="inlineStr">
        <is>
          <t>iCoA-PP_26-006</t>
        </is>
      </c>
      <c r="M2289" s="245" t="inlineStr">
        <is>
          <t>03.06.2026</t>
        </is>
      </c>
      <c r="N2289" s="245" t="inlineStr">
        <is>
          <t>Purely Plant GmbH (in-house)</t>
        </is>
      </c>
      <c r="O2289" s="245" t="inlineStr">
        <is>
          <t>—</t>
        </is>
      </c>
      <c r="P2289" s="245" t="inlineStr">
        <is>
          <t>carried from the initial testing (CoQ-PP-2025-0005) — in-house CoA only — not an eCoA or an iCoA: a value no certificate of analysis certifies cannot be on a release certificate (owner's rule, 02.09.2026)</t>
        </is>
      </c>
      <c r="Q2289" s="245" t="inlineStr"/>
      <c r="R2289" s="245" t="inlineStr"/>
    </row>
    <row r="2290">
      <c r="A2290" s="245" t="inlineStr">
        <is>
          <t>CoQ-PP_26-100</t>
        </is>
      </c>
      <c r="B2290" s="245" t="inlineStr">
        <is>
          <t>reissue — 12-month retest</t>
        </is>
      </c>
      <c r="C2290" s="245" t="inlineStr">
        <is>
          <t>OPM1024</t>
        </is>
      </c>
      <c r="D2290" s="245" t="inlineStr">
        <is>
          <t>OPM1024</t>
        </is>
      </c>
      <c r="E2290" s="245" t="inlineStr">
        <is>
          <t>Orange Punch Mimosa</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iCoA-PP_26-006</t>
        </is>
      </c>
      <c r="M2290" s="245" t="inlineStr">
        <is>
          <t>03.06.2026</t>
        </is>
      </c>
      <c r="N2290" s="245" t="inlineStr">
        <is>
          <t>Purely Plant GmbH (in-house)</t>
        </is>
      </c>
      <c r="O2290" s="245" t="inlineStr">
        <is>
          <t>—</t>
        </is>
      </c>
      <c r="P2290" s="245" t="inlineStr">
        <is>
          <t>carried from the initial testing (CoQ-PP-2025-0005) — in-house CoA only — not an eCoA or an iCoA: a value no certificate of analysis certifies cannot be on a release certificate (owner's rule, 02.09.2026)</t>
        </is>
      </c>
      <c r="Q2290" s="245" t="inlineStr"/>
      <c r="R2290" s="245" t="inlineStr"/>
    </row>
    <row r="2291">
      <c r="A2291" s="245" t="inlineStr">
        <is>
          <t>CoQ-PP_26-100</t>
        </is>
      </c>
      <c r="B2291" s="245" t="inlineStr">
        <is>
          <t>reissue — 12-month retest</t>
        </is>
      </c>
      <c r="C2291" s="245" t="inlineStr">
        <is>
          <t>OPM1024</t>
        </is>
      </c>
      <c r="D2291" s="245" t="inlineStr">
        <is>
          <t>OPM1024</t>
        </is>
      </c>
      <c r="E2291" s="245" t="inlineStr">
        <is>
          <t>Orange Punch Mimosa</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iCoA-PP_26-006</t>
        </is>
      </c>
      <c r="M2291" s="245" t="inlineStr">
        <is>
          <t>03.06.2026</t>
        </is>
      </c>
      <c r="N2291" s="245" t="inlineStr">
        <is>
          <t>Purely Plant GmbH (in-house)</t>
        </is>
      </c>
      <c r="O2291" s="245" t="inlineStr">
        <is>
          <t>—</t>
        </is>
      </c>
      <c r="P2291" s="245" t="inlineStr">
        <is>
          <t>carried from the initial testing (CoQ-PP-2025-0005) — in-house CoA only — not an eCoA or an iCoA: a value no certificate of analysis certifies cannot be on a release certificate (owner's rule, 02.09.2026)</t>
        </is>
      </c>
      <c r="Q2291" s="245" t="inlineStr"/>
      <c r="R2291" s="245" t="inlineStr"/>
    </row>
    <row r="2292">
      <c r="A2292" s="245" t="inlineStr">
        <is>
          <t>CoQ-PP_26-100</t>
        </is>
      </c>
      <c r="B2292" s="245" t="inlineStr">
        <is>
          <t>reissue — 12-month retest</t>
        </is>
      </c>
      <c r="C2292" s="245" t="inlineStr">
        <is>
          <t>OPM1024</t>
        </is>
      </c>
      <c r="D2292" s="245" t="inlineStr">
        <is>
          <t>OPM1024</t>
        </is>
      </c>
      <c r="E2292" s="245" t="inlineStr">
        <is>
          <t>Orange Punch Mimosa</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OPM1024</t>
        </is>
      </c>
      <c r="D2293" s="245" t="inlineStr">
        <is>
          <t>OPM1024</t>
        </is>
      </c>
      <c r="E2293" s="245" t="inlineStr">
        <is>
          <t>Orange Punch Mimosa</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OPM1024</t>
        </is>
      </c>
      <c r="D2294" s="245" t="inlineStr">
        <is>
          <t>OPM1024</t>
        </is>
      </c>
      <c r="E2294" s="245" t="inlineStr">
        <is>
          <t>Orange Punch Mimosa</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197-17-М/26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OPM1024</t>
        </is>
      </c>
      <c r="D2295" s="245" t="inlineStr">
        <is>
          <t>OPM1024</t>
        </is>
      </c>
      <c r="E2295" s="245" t="inlineStr">
        <is>
          <t>Orange Punch Mimosa</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197-17-М/26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OPM1024</t>
        </is>
      </c>
      <c r="D2296" s="245" t="inlineStr">
        <is>
          <t>OPM1024</t>
        </is>
      </c>
      <c r="E2296" s="245" t="inlineStr">
        <is>
          <t>Orange Punch Mimosa</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197-17-М/26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OPM1024</t>
        </is>
      </c>
      <c r="D2297" s="245" t="inlineStr">
        <is>
          <t>OPM1024</t>
        </is>
      </c>
      <c r="E2297" s="245" t="inlineStr">
        <is>
          <t>Orange Punch Mimosa</t>
        </is>
      </c>
      <c r="F2297" s="245" t="inlineStr">
        <is>
          <t>17.08.2026</t>
        </is>
      </c>
      <c r="G2297" s="245" t="inlineStr">
        <is>
          <t>11.1</t>
        </is>
      </c>
      <c r="H2297" s="245" t="inlineStr">
        <is>
          <t>Lead (Pb)</t>
        </is>
      </c>
      <c r="I2297" s="245" t="inlineStr">
        <is>
          <t>Ph. Eur. 2.4.27 (ICP-MS)</t>
        </is>
      </c>
      <c r="J2297" s="245" t="inlineStr">
        <is>
          <t>≤ 0.5 mg/kg</t>
        </is>
      </c>
      <c r="K2297" s="245" t="inlineStr">
        <is>
          <t>0.031</t>
        </is>
      </c>
      <c r="L2297" s="245" t="inlineStr">
        <is>
          <t>iCoA-PP_26-006</t>
        </is>
      </c>
      <c r="M2297" s="245" t="inlineStr">
        <is>
          <t>03.06.2026</t>
        </is>
      </c>
      <c r="N2297" s="245" t="inlineStr">
        <is>
          <t>Purely Plant GmbH (in-house)</t>
        </is>
      </c>
      <c r="O2297" s="245" t="inlineStr">
        <is>
          <t>—</t>
        </is>
      </c>
      <c r="P2297" s="245" t="inlineStr">
        <is>
          <t>carried from the initial testing (CoQ-PP-2025-0005) — in-house CoA only — not an eCoA or an iCoA: a value no certificate of analysis certifies cannot be on a release certificate (owner's rule, 02.09.2026)</t>
        </is>
      </c>
      <c r="Q2297" s="245" t="inlineStr"/>
      <c r="R2297" s="245" t="inlineStr"/>
    </row>
    <row r="2298">
      <c r="A2298" s="245" t="inlineStr">
        <is>
          <t>CoQ-PP_26-100</t>
        </is>
      </c>
      <c r="B2298" s="245" t="inlineStr">
        <is>
          <t>reissue — 12-month retest</t>
        </is>
      </c>
      <c r="C2298" s="245" t="inlineStr">
        <is>
          <t>OPM1024</t>
        </is>
      </c>
      <c r="D2298" s="245" t="inlineStr">
        <is>
          <t>OPM1024</t>
        </is>
      </c>
      <c r="E2298" s="245" t="inlineStr">
        <is>
          <t>Orange Punch Mimosa</t>
        </is>
      </c>
      <c r="F2298" s="245" t="inlineStr">
        <is>
          <t>17.08.2026</t>
        </is>
      </c>
      <c r="G2298" s="245" t="inlineStr">
        <is>
          <t>11.2</t>
        </is>
      </c>
      <c r="H2298" s="245" t="inlineStr">
        <is>
          <t>Cadmium (Cd)</t>
        </is>
      </c>
      <c r="I2298" s="245" t="inlineStr">
        <is>
          <t>Ph. Eur. 2.4.27 (ICP-MS)</t>
        </is>
      </c>
      <c r="J2298" s="245" t="inlineStr">
        <is>
          <t>≤ 0.3 mg/kg</t>
        </is>
      </c>
      <c r="K2298" s="245" t="inlineStr">
        <is>
          <t>0.017</t>
        </is>
      </c>
      <c r="L2298" s="245" t="inlineStr">
        <is>
          <t>iCoA-PP_26-006</t>
        </is>
      </c>
      <c r="M2298" s="245" t="inlineStr">
        <is>
          <t>03.06.2026</t>
        </is>
      </c>
      <c r="N2298" s="245" t="inlineStr">
        <is>
          <t>Purely Plant GmbH (in-house)</t>
        </is>
      </c>
      <c r="O2298" s="245" t="inlineStr">
        <is>
          <t>—</t>
        </is>
      </c>
      <c r="P2298" s="245" t="inlineStr">
        <is>
          <t>carried from the initial testing (CoQ-PP-2025-0005) — in-house CoA only — not an eCoA or an iCoA: a value no certificate of analysis certifies cannot be on a release certificate (owner's rule, 02.09.2026)</t>
        </is>
      </c>
      <c r="Q2298" s="245" t="inlineStr"/>
      <c r="R2298" s="245" t="inlineStr"/>
    </row>
    <row r="2299">
      <c r="A2299" s="245" t="inlineStr">
        <is>
          <t>CoQ-PP_26-100</t>
        </is>
      </c>
      <c r="B2299" s="245" t="inlineStr">
        <is>
          <t>reissue — 12-month retest</t>
        </is>
      </c>
      <c r="C2299" s="245" t="inlineStr">
        <is>
          <t>OPM1024</t>
        </is>
      </c>
      <c r="D2299" s="245" t="inlineStr">
        <is>
          <t>OPM1024</t>
        </is>
      </c>
      <c r="E2299" s="245" t="inlineStr">
        <is>
          <t>Orange Punch Mimosa</t>
        </is>
      </c>
      <c r="F2299" s="245" t="inlineStr">
        <is>
          <t>17.08.2026</t>
        </is>
      </c>
      <c r="G2299" s="245" t="inlineStr">
        <is>
          <t>11.3</t>
        </is>
      </c>
      <c r="H2299" s="245" t="inlineStr">
        <is>
          <t>Arsenic (As)</t>
        </is>
      </c>
      <c r="I2299" s="245" t="inlineStr">
        <is>
          <t>Ph. Eur. 2.4.27 (ICP-MS)</t>
        </is>
      </c>
      <c r="J2299" s="245" t="inlineStr">
        <is>
          <t>≤ 0.2 mg/kg</t>
        </is>
      </c>
      <c r="K2299" s="245" t="inlineStr">
        <is>
          <t>0.045</t>
        </is>
      </c>
      <c r="L2299" s="245" t="inlineStr">
        <is>
          <t>iCoA-PP_26-006</t>
        </is>
      </c>
      <c r="M2299" s="245" t="inlineStr">
        <is>
          <t>03.06.2026</t>
        </is>
      </c>
      <c r="N2299" s="245" t="inlineStr">
        <is>
          <t>Purely Plant GmbH (in-house)</t>
        </is>
      </c>
      <c r="O2299" s="245" t="inlineStr">
        <is>
          <t>—</t>
        </is>
      </c>
      <c r="P2299" s="245" t="inlineStr">
        <is>
          <t>carried from the initial testing (CoQ-PP-2025-0005) — in-house CoA only — not an eCoA or an iCoA: a value no certificate of analysis certifies cannot be on a release certificate (owner's rule, 02.09.2026)</t>
        </is>
      </c>
      <c r="Q2299" s="245" t="inlineStr"/>
      <c r="R2299" s="245" t="inlineStr"/>
    </row>
    <row r="2300">
      <c r="A2300" s="245" t="inlineStr">
        <is>
          <t>CoQ-PP_26-100</t>
        </is>
      </c>
      <c r="B2300" s="245" t="inlineStr">
        <is>
          <t>reissue — 12-month retest</t>
        </is>
      </c>
      <c r="C2300" s="245" t="inlineStr">
        <is>
          <t>OPM1024</t>
        </is>
      </c>
      <c r="D2300" s="245" t="inlineStr">
        <is>
          <t>OPM1024</t>
        </is>
      </c>
      <c r="E2300" s="245" t="inlineStr">
        <is>
          <t>Orange Punch Mimosa</t>
        </is>
      </c>
      <c r="F2300" s="245" t="inlineStr">
        <is>
          <t>17.08.2026</t>
        </is>
      </c>
      <c r="G2300" s="245" t="inlineStr">
        <is>
          <t>11.4</t>
        </is>
      </c>
      <c r="H2300" s="245" t="inlineStr">
        <is>
          <t>Mercury (Hg)</t>
        </is>
      </c>
      <c r="I2300" s="245" t="inlineStr">
        <is>
          <t>Ph. Eur. 2.4.27 (ICP-MS)</t>
        </is>
      </c>
      <c r="J2300" s="245" t="inlineStr">
        <is>
          <t>≤ 0.1 mg/kg</t>
        </is>
      </c>
      <c r="K2300" s="245" t="inlineStr">
        <is>
          <t>0.005</t>
        </is>
      </c>
      <c r="L2300" s="245" t="inlineStr">
        <is>
          <t>iCoA-PP_26-006</t>
        </is>
      </c>
      <c r="M2300" s="245" t="inlineStr">
        <is>
          <t>03.06.2026</t>
        </is>
      </c>
      <c r="N2300" s="245" t="inlineStr">
        <is>
          <t>Purely Plant GmbH (in-house)</t>
        </is>
      </c>
      <c r="O2300" s="245" t="inlineStr">
        <is>
          <t>—</t>
        </is>
      </c>
      <c r="P2300" s="245" t="inlineStr">
        <is>
          <t>carried from the initial testing (CoQ-PP-2025-0005) — in-house CoA only — not an eCoA or an iCoA: a value no certificate of analysis certifies cannot be on a release certificate (owner's rule, 02.09.2026)</t>
        </is>
      </c>
      <c r="Q2300" s="245" t="inlineStr"/>
      <c r="R2300" s="245" t="inlineStr"/>
    </row>
    <row r="2301">
      <c r="A2301" s="245" t="inlineStr">
        <is>
          <t>CoQ-PP_26-100</t>
        </is>
      </c>
      <c r="B2301" s="245" t="inlineStr">
        <is>
          <t>reissue — 12-month retest</t>
        </is>
      </c>
      <c r="C2301" s="245" t="inlineStr">
        <is>
          <t>OPM1024</t>
        </is>
      </c>
      <c r="D2301" s="245" t="inlineStr">
        <is>
          <t>OPM1024</t>
        </is>
      </c>
      <c r="E2301" s="245" t="inlineStr">
        <is>
          <t>Orange Punch Mimosa</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iCoA-PP_26-006</t>
        </is>
      </c>
      <c r="M2301" s="245" t="inlineStr">
        <is>
          <t>03.06.2026</t>
        </is>
      </c>
      <c r="N2301" s="245" t="inlineStr">
        <is>
          <t>Purely Plant GmbH (in-house)</t>
        </is>
      </c>
      <c r="O2301" s="245" t="inlineStr">
        <is>
          <t>—</t>
        </is>
      </c>
      <c r="P2301" s="245" t="inlineStr">
        <is>
          <t>carried from the initial testing (CoQ-PP-2025-0005) — in-house CoA only — not an eCoA or an iCoA: a value no certificate of analysis certifies cannot be on a release certificate (owner's rule, 02.09.2026)</t>
        </is>
      </c>
      <c r="Q2301" s="245" t="inlineStr"/>
      <c r="R2301" s="245" t="inlineStr"/>
    </row>
    <row r="2302">
      <c r="A2302" s="245" t="inlineStr">
        <is>
          <t>CoQ-PP_26-101</t>
        </is>
      </c>
      <c r="B2302" s="245" t="inlineStr">
        <is>
          <t>reissue — 12-month retest</t>
        </is>
      </c>
      <c r="C2302" s="245" t="inlineStr">
        <is>
          <t>OPM1024_02</t>
        </is>
      </c>
      <c r="D2302" s="245" t="inlineStr">
        <is>
          <t>P050062</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5" t="inlineStr">
        <is>
          <t>Conforms | Одговара</t>
        </is>
      </c>
      <c r="L2302" s="245" t="inlineStr">
        <is>
          <t>iCoA-PP_26-115</t>
        </is>
      </c>
      <c r="M2302" s="245" t="inlineStr">
        <is>
          <t>27.07.2026</t>
        </is>
      </c>
      <c r="N2302" s="245" t="inlineStr">
        <is>
          <t>Purely Plant GmbH (in-house)</t>
        </is>
      </c>
      <c r="O2302" s="245" t="inlineStr">
        <is>
          <t>—</t>
        </is>
      </c>
      <c r="P2302" s="245" t="inlineStr">
        <is>
          <t>covered</t>
        </is>
      </c>
      <c r="Q2302" s="245" t="inlineStr">
        <is>
          <t>Farmahem — Ident A + B + C with the Assay, at retest</t>
        </is>
      </c>
      <c r="R2302" s="245" t="inlineStr"/>
    </row>
    <row r="2303">
      <c r="A2303" s="245" t="inlineStr">
        <is>
          <t>CoQ-PP_26-101</t>
        </is>
      </c>
      <c r="B2303" s="245" t="inlineStr">
        <is>
          <t>reissue — 12-month retest</t>
        </is>
      </c>
      <c r="C2303" s="245" t="inlineStr">
        <is>
          <t>OPM1024_02</t>
        </is>
      </c>
      <c r="D2303" s="245" t="inlineStr">
        <is>
          <t>P050062</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5" t="inlineStr">
        <is>
          <t>Conforms | Одговара</t>
        </is>
      </c>
      <c r="L2303" s="245" t="inlineStr">
        <is>
          <t>iCoA-PP_26-115</t>
        </is>
      </c>
      <c r="M2303" s="245" t="inlineStr">
        <is>
          <t>27.07.2026</t>
        </is>
      </c>
      <c r="N2303" s="245" t="inlineStr">
        <is>
          <t>Purely Plant GmbH (in-house)</t>
        </is>
      </c>
      <c r="O2303" s="245" t="inlineStr">
        <is>
          <t>—</t>
        </is>
      </c>
      <c r="P2303" s="245" t="inlineStr">
        <is>
          <t>covered</t>
        </is>
      </c>
      <c r="Q2303" s="245" t="inlineStr">
        <is>
          <t>Farmahem — Ident A + B + C with the Assay, at retest</t>
        </is>
      </c>
      <c r="R2303" s="245" t="inlineStr"/>
    </row>
    <row r="2304">
      <c r="A2304" s="245" t="inlineStr">
        <is>
          <t>CoQ-PP_26-101</t>
        </is>
      </c>
      <c r="B2304" s="245" t="inlineStr">
        <is>
          <t>reissue — 12-month retest</t>
        </is>
      </c>
      <c r="C2304" s="245" t="inlineStr">
        <is>
          <t>OPM1024_02</t>
        </is>
      </c>
      <c r="D2304" s="245" t="inlineStr">
        <is>
          <t>P050062</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197-18-К/26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OPM1024_02</t>
        </is>
      </c>
      <c r="D2305" s="245" t="inlineStr">
        <is>
          <t>P050062</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15.40 – 18.59 %  (grade II, nominal 17.00 ± 1.60)</t>
        </is>
      </c>
      <c r="K2305" s="245" t="inlineStr">
        <is>
          <t>18.04</t>
        </is>
      </c>
      <c r="L2305" s="245" t="inlineStr">
        <is>
          <t>197-18-К/26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OPM1024_02</t>
        </is>
      </c>
      <c r="D2306" s="245" t="inlineStr">
        <is>
          <t>P050062</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197-18-К/26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OPM1024_02</t>
        </is>
      </c>
      <c r="D2307" s="245" t="inlineStr">
        <is>
          <t>P050062</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197-18-К/26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OPM1024_02</t>
        </is>
      </c>
      <c r="D2308" s="245" t="inlineStr">
        <is>
          <t>P050062</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5" t="inlineStr">
        <is>
          <t>Conforms | Одговара</t>
        </is>
      </c>
      <c r="L2308" s="245" t="inlineStr">
        <is>
          <t>iCoA-PP_26-115</t>
        </is>
      </c>
      <c r="M2308" s="245" t="inlineStr">
        <is>
          <t>27.07.2026</t>
        </is>
      </c>
      <c r="N2308" s="245" t="inlineStr">
        <is>
          <t>Purely Plant GmbH (in-house)</t>
        </is>
      </c>
      <c r="O2308" s="245" t="inlineStr">
        <is>
          <t>—</t>
        </is>
      </c>
      <c r="P2308" s="245" t="inlineStr">
        <is>
          <t>covered</t>
        </is>
      </c>
      <c r="Q2308" s="245" t="inlineStr">
        <is>
          <t>Purely Plant laboratory — iCoA covering Foreign matter</t>
        </is>
      </c>
      <c r="R2308" s="245" t="inlineStr"/>
    </row>
    <row r="2309">
      <c r="A2309" s="245" t="inlineStr">
        <is>
          <t>CoQ-PP_26-101</t>
        </is>
      </c>
      <c r="B2309" s="245" t="inlineStr">
        <is>
          <t>reissue — 12-month retest</t>
        </is>
      </c>
      <c r="C2309" s="245" t="inlineStr">
        <is>
          <t>OPM1024_02</t>
        </is>
      </c>
      <c r="D2309" s="245" t="inlineStr">
        <is>
          <t>P050062</t>
        </is>
      </c>
      <c r="E2309" s="245" t="inlineStr">
        <is>
          <t>Orange Punch Mimosa</t>
        </is>
      </c>
      <c r="F2309" s="245" t="inlineStr">
        <is>
          <t>17.08.2026</t>
        </is>
      </c>
      <c r="G2309" s="245" t="inlineStr">
        <is>
          <t>8</t>
        </is>
      </c>
      <c r="H2309" s="245" t="inlineStr">
        <is>
          <t>Loss on Drying</t>
        </is>
      </c>
      <c r="I2309" s="245" t="inlineStr">
        <is>
          <t>DAB 2018 monograph Cannabis flos, 2.2.32 — loss on drying (CNP, before its Ph. Eur. 3028 accreditation)</t>
        </is>
      </c>
      <c r="J2309" s="245" t="inlineStr">
        <is>
          <t>≤ 12.0%</t>
        </is>
      </c>
      <c r="K2309" s="245" t="inlineStr">
        <is>
          <t>6.89</t>
        </is>
      </c>
      <c r="L2309" s="245" t="inlineStr">
        <is>
          <t>ППК25154</t>
        </is>
      </c>
      <c r="M2309" s="245" t="inlineStr">
        <is>
          <t>24.06.2025</t>
        </is>
      </c>
      <c r="N2309" s="245" t="inlineStr">
        <is>
          <t>UKIM Faculty of Pharmacy — Center for Natural Products</t>
        </is>
      </c>
      <c r="O2309" s="245" t="inlineStr">
        <is>
          <t>12.06.2025</t>
        </is>
      </c>
      <c r="P2309" s="245" t="inlineStr">
        <is>
          <t>carried from the initial testing (CoQ-PP-2025-0009) — covered</t>
        </is>
      </c>
      <c r="Q2309" s="245" t="inlineStr"/>
      <c r="R2309" s="245" t="inlineStr"/>
    </row>
    <row r="2310">
      <c r="A2310" s="245" t="inlineStr">
        <is>
          <t>CoQ-PP_26-101</t>
        </is>
      </c>
      <c r="B2310" s="245" t="inlineStr">
        <is>
          <t>reissue — 12-month retest</t>
        </is>
      </c>
      <c r="C2310" s="245" t="inlineStr">
        <is>
          <t>OPM1024_02</t>
        </is>
      </c>
      <c r="D2310" s="245" t="inlineStr">
        <is>
          <t>P050062</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3.4 × 10³</t>
        </is>
      </c>
      <c r="L2310" s="245" t="inlineStr">
        <is>
          <t>588/1067/25</t>
        </is>
      </c>
      <c r="M2310" s="245" t="inlineStr">
        <is>
          <t>18.06.2025</t>
        </is>
      </c>
      <c r="N2310" s="245" t="inlineStr">
        <is>
          <t>IPH — Institute of Public Health</t>
        </is>
      </c>
      <c r="O2310" s="245" t="inlineStr">
        <is>
          <t>13.06.2025</t>
        </is>
      </c>
      <c r="P2310" s="245" t="inlineStr">
        <is>
          <t>carried from the initial testing (CoQ-PP-2025-0009) — covered</t>
        </is>
      </c>
      <c r="Q2310" s="245" t="inlineStr"/>
      <c r="R2310" s="245" t="inlineStr"/>
    </row>
    <row r="2311">
      <c r="A2311" s="245" t="inlineStr">
        <is>
          <t>CoQ-PP_26-101</t>
        </is>
      </c>
      <c r="B2311" s="245" t="inlineStr">
        <is>
          <t>reissue — 12-month retest</t>
        </is>
      </c>
      <c r="C2311" s="245" t="inlineStr">
        <is>
          <t>OPM1024_02</t>
        </is>
      </c>
      <c r="D2311" s="245" t="inlineStr">
        <is>
          <t>P050062</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3.6 × 10³</t>
        </is>
      </c>
      <c r="L2311" s="245" t="inlineStr">
        <is>
          <t>588/1067/25</t>
        </is>
      </c>
      <c r="M2311" s="245" t="inlineStr">
        <is>
          <t>18.06.2025</t>
        </is>
      </c>
      <c r="N2311" s="245" t="inlineStr">
        <is>
          <t>IPH — Institute of Public Health</t>
        </is>
      </c>
      <c r="O2311" s="245" t="inlineStr">
        <is>
          <t>13.06.2025</t>
        </is>
      </c>
      <c r="P2311" s="245" t="inlineStr">
        <is>
          <t>carried from the initial testing (CoQ-PP-2025-0009) — covered</t>
        </is>
      </c>
      <c r="Q2311" s="245" t="inlineStr"/>
      <c r="R2311" s="245" t="inlineStr"/>
    </row>
    <row r="2312">
      <c r="A2312" s="245" t="inlineStr">
        <is>
          <t>CoQ-PP_26-101</t>
        </is>
      </c>
      <c r="B2312" s="245" t="inlineStr">
        <is>
          <t>reissue — 12-month retest</t>
        </is>
      </c>
      <c r="C2312" s="245" t="inlineStr">
        <is>
          <t>OPM1024_02</t>
        </is>
      </c>
      <c r="D2312" s="245" t="inlineStr">
        <is>
          <t>P050062</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t>
        </is>
      </c>
      <c r="L2312" s="245" t="inlineStr">
        <is>
          <t>588/1067/25</t>
        </is>
      </c>
      <c r="M2312" s="245" t="inlineStr">
        <is>
          <t>18.06.2025</t>
        </is>
      </c>
      <c r="N2312" s="245" t="inlineStr">
        <is>
          <t>IPH — Institute of Public Health</t>
        </is>
      </c>
      <c r="O2312" s="245" t="inlineStr">
        <is>
          <t>13.06.2025</t>
        </is>
      </c>
      <c r="P2312" s="245" t="inlineStr">
        <is>
          <t>carried from the initial testing (CoQ-PP-2025-0009) — covered</t>
        </is>
      </c>
      <c r="Q2312" s="245" t="inlineStr"/>
      <c r="R2312" s="245" t="inlineStr"/>
    </row>
    <row r="2313">
      <c r="A2313" s="245" t="inlineStr">
        <is>
          <t>CoQ-PP_26-101</t>
        </is>
      </c>
      <c r="B2313" s="245" t="inlineStr">
        <is>
          <t>reissue — 12-month retest</t>
        </is>
      </c>
      <c r="C2313" s="245" t="inlineStr">
        <is>
          <t>OPM1024_02</t>
        </is>
      </c>
      <c r="D2313" s="245" t="inlineStr">
        <is>
          <t>P050062</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588/1067/25</t>
        </is>
      </c>
      <c r="M2313" s="245" t="inlineStr">
        <is>
          <t>18.06.2025</t>
        </is>
      </c>
      <c r="N2313" s="245" t="inlineStr">
        <is>
          <t>IPH — Institute of Public Health</t>
        </is>
      </c>
      <c r="O2313" s="245" t="inlineStr">
        <is>
          <t>13.06.2025</t>
        </is>
      </c>
      <c r="P2313" s="245" t="inlineStr">
        <is>
          <t>carried from the initial testing (CoQ-PP-2025-0009) — covered</t>
        </is>
      </c>
      <c r="Q2313" s="245" t="inlineStr"/>
      <c r="R2313" s="245" t="inlineStr"/>
    </row>
    <row r="2314">
      <c r="A2314" s="245" t="inlineStr">
        <is>
          <t>CoQ-PP_26-101</t>
        </is>
      </c>
      <c r="B2314" s="245" t="inlineStr">
        <is>
          <t>reissue — 12-month retest</t>
        </is>
      </c>
      <c r="C2314" s="245" t="inlineStr">
        <is>
          <t>OPM1024_02</t>
        </is>
      </c>
      <c r="D2314" s="245" t="inlineStr">
        <is>
          <t>P050062</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588/1067/25</t>
        </is>
      </c>
      <c r="M2314" s="245" t="inlineStr">
        <is>
          <t>18.06.2025</t>
        </is>
      </c>
      <c r="N2314" s="245" t="inlineStr">
        <is>
          <t>IPH — Institute of Public Health</t>
        </is>
      </c>
      <c r="O2314" s="245" t="inlineStr">
        <is>
          <t>13.06.2025</t>
        </is>
      </c>
      <c r="P2314" s="245" t="inlineStr">
        <is>
          <t>carried from the initial testing (CoQ-PP-2025-0009) — covered</t>
        </is>
      </c>
      <c r="Q2314" s="245" t="inlineStr"/>
      <c r="R2314" s="245" t="inlineStr"/>
    </row>
    <row r="2315">
      <c r="A2315" s="245" t="inlineStr">
        <is>
          <t>CoQ-PP_26-101</t>
        </is>
      </c>
      <c r="B2315" s="245" t="inlineStr">
        <is>
          <t>reissue — 12-month retest</t>
        </is>
      </c>
      <c r="C2315" s="245" t="inlineStr">
        <is>
          <t>OPM1024_02</t>
        </is>
      </c>
      <c r="D2315" s="245" t="inlineStr">
        <is>
          <t>P050062</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OPM1024_02</t>
        </is>
      </c>
      <c r="D2316" s="245" t="inlineStr">
        <is>
          <t>P050062</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OPM1024_02</t>
        </is>
      </c>
      <c r="D2317" s="245" t="inlineStr">
        <is>
          <t>P050062</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197-18-М/26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OPM1024_02</t>
        </is>
      </c>
      <c r="D2318" s="245" t="inlineStr">
        <is>
          <t>P050062</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197-18-М/26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OPM1024_02</t>
        </is>
      </c>
      <c r="D2319" s="245" t="inlineStr">
        <is>
          <t>P050062</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197-18-М/26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OPM1024_02</t>
        </is>
      </c>
      <c r="D2320" s="245" t="inlineStr">
        <is>
          <t>P050062</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0.052</t>
        </is>
      </c>
      <c r="L2320" s="245" t="inlineStr">
        <is>
          <t>2994/2025</t>
        </is>
      </c>
      <c r="M2320" s="245" t="inlineStr">
        <is>
          <t>19.06.2025</t>
        </is>
      </c>
      <c r="N2320" s="245" t="inlineStr">
        <is>
          <t>IPH — Institute of Public Health</t>
        </is>
      </c>
      <c r="O2320" s="245" t="inlineStr">
        <is>
          <t>12.06.2025</t>
        </is>
      </c>
      <c r="P2320" s="245" t="inlineStr">
        <is>
          <t>carried from the initial testing (CoQ-PP-2025-0009) — covered</t>
        </is>
      </c>
      <c r="Q2320" s="245" t="inlineStr"/>
      <c r="R2320" s="245" t="inlineStr"/>
    </row>
    <row r="2321">
      <c r="A2321" s="245" t="inlineStr">
        <is>
          <t>CoQ-PP_26-101</t>
        </is>
      </c>
      <c r="B2321" s="245" t="inlineStr">
        <is>
          <t>reissue — 12-month retest</t>
        </is>
      </c>
      <c r="C2321" s="245" t="inlineStr">
        <is>
          <t>OPM1024_02</t>
        </is>
      </c>
      <c r="D2321" s="245" t="inlineStr">
        <is>
          <t>P050062</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0.011</t>
        </is>
      </c>
      <c r="L2321" s="245" t="inlineStr">
        <is>
          <t>2994/2025</t>
        </is>
      </c>
      <c r="M2321" s="245" t="inlineStr">
        <is>
          <t>19.06.2025</t>
        </is>
      </c>
      <c r="N2321" s="245" t="inlineStr">
        <is>
          <t>IPH — Institute of Public Health</t>
        </is>
      </c>
      <c r="O2321" s="245" t="inlineStr">
        <is>
          <t>12.06.2025</t>
        </is>
      </c>
      <c r="P2321" s="245" t="inlineStr">
        <is>
          <t>carried from the initial testing (CoQ-PP-2025-0009) — covered</t>
        </is>
      </c>
      <c r="Q2321" s="245" t="inlineStr"/>
      <c r="R2321" s="245" t="inlineStr"/>
    </row>
    <row r="2322">
      <c r="A2322" s="245" t="inlineStr">
        <is>
          <t>CoQ-PP_26-101</t>
        </is>
      </c>
      <c r="B2322" s="245" t="inlineStr">
        <is>
          <t>reissue — 12-month retest</t>
        </is>
      </c>
      <c r="C2322" s="245" t="inlineStr">
        <is>
          <t>OPM1024_02</t>
        </is>
      </c>
      <c r="D2322" s="245" t="inlineStr">
        <is>
          <t>P050062</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0.028</t>
        </is>
      </c>
      <c r="L2322" s="245" t="inlineStr">
        <is>
          <t>2994/2025</t>
        </is>
      </c>
      <c r="M2322" s="245" t="inlineStr">
        <is>
          <t>19.06.2025</t>
        </is>
      </c>
      <c r="N2322" s="245" t="inlineStr">
        <is>
          <t>IPH — Institute of Public Health</t>
        </is>
      </c>
      <c r="O2322" s="245" t="inlineStr">
        <is>
          <t>12.06.2025</t>
        </is>
      </c>
      <c r="P2322" s="245" t="inlineStr">
        <is>
          <t>carried from the initial testing (CoQ-PP-2025-0009) — covered</t>
        </is>
      </c>
      <c r="Q2322" s="245" t="inlineStr"/>
      <c r="R2322" s="245" t="inlineStr"/>
    </row>
    <row r="2323">
      <c r="A2323" s="245" t="inlineStr">
        <is>
          <t>CoQ-PP_26-101</t>
        </is>
      </c>
      <c r="B2323" s="245" t="inlineStr">
        <is>
          <t>reissue — 12-month retest</t>
        </is>
      </c>
      <c r="C2323" s="245" t="inlineStr">
        <is>
          <t>OPM1024_02</t>
        </is>
      </c>
      <c r="D2323" s="245" t="inlineStr">
        <is>
          <t>P050062</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0.061</t>
        </is>
      </c>
      <c r="L2323" s="245" t="inlineStr">
        <is>
          <t>2994/2025</t>
        </is>
      </c>
      <c r="M2323" s="245" t="inlineStr">
        <is>
          <t>19.06.2025</t>
        </is>
      </c>
      <c r="N2323" s="245" t="inlineStr">
        <is>
          <t>IPH — Institute of Public Health</t>
        </is>
      </c>
      <c r="O2323" s="245" t="inlineStr">
        <is>
          <t>12.06.2025</t>
        </is>
      </c>
      <c r="P2323" s="245" t="inlineStr">
        <is>
          <t>carried from the initial testing (CoQ-PP-2025-0009) — covered</t>
        </is>
      </c>
      <c r="Q2323" s="245" t="inlineStr"/>
      <c r="R2323" s="245" t="inlineStr"/>
    </row>
    <row r="2324">
      <c r="A2324" s="245" t="inlineStr">
        <is>
          <t>CoQ-PP_26-101</t>
        </is>
      </c>
      <c r="B2324" s="245" t="inlineStr">
        <is>
          <t>reissue — 12-month retest</t>
        </is>
      </c>
      <c r="C2324" s="245" t="inlineStr">
        <is>
          <t>OPM1024_02</t>
        </is>
      </c>
      <c r="D2324" s="245" t="inlineStr">
        <is>
          <t>P050062</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2994/2025</t>
        </is>
      </c>
      <c r="M2324" s="245" t="inlineStr">
        <is>
          <t>19.06.2025</t>
        </is>
      </c>
      <c r="N2324" s="245" t="inlineStr">
        <is>
          <t>IPH — Institute of Public Health</t>
        </is>
      </c>
      <c r="O2324" s="245" t="inlineStr">
        <is>
          <t>12.06.2025</t>
        </is>
      </c>
      <c r="P2324" s="245" t="inlineStr">
        <is>
          <t>carried from the initial testing (CoQ-PP-2025-0009) — covered</t>
        </is>
      </c>
      <c r="Q2324" s="245" t="inlineStr"/>
      <c r="R2324" s="245" t="inlineStr"/>
    </row>
    <row r="2325">
      <c r="A2325" s="245" t="inlineStr">
        <is>
          <t>CoQ-PP_26-102</t>
        </is>
      </c>
      <c r="B2325" s="245" t="inlineStr">
        <is>
          <t>reissue — 12-month retest</t>
        </is>
      </c>
      <c r="C2325" s="245" t="inlineStr">
        <is>
          <t>OPM122501</t>
        </is>
      </c>
      <c r="D2325" s="245" t="inlineStr">
        <is>
          <t>P060242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5" t="inlineStr">
        <is>
          <t>Conforms | Одговара</t>
        </is>
      </c>
      <c r="L2325" s="245" t="inlineStr">
        <is>
          <t>iCoA-PP_26-116</t>
        </is>
      </c>
      <c r="M2325" s="245" t="inlineStr">
        <is>
          <t>27.07.2026</t>
        </is>
      </c>
      <c r="N2325" s="245" t="inlineStr">
        <is>
          <t>Purely Plant GmbH (in-house)</t>
        </is>
      </c>
      <c r="O2325" s="245" t="inlineStr">
        <is>
          <t>—</t>
        </is>
      </c>
      <c r="P2325" s="245" t="inlineStr">
        <is>
          <t>covered</t>
        </is>
      </c>
      <c r="Q2325" s="245" t="inlineStr">
        <is>
          <t>Farmahem — Ident A + B + C with the Assay, at retest</t>
        </is>
      </c>
      <c r="R2325" s="245" t="inlineStr"/>
    </row>
    <row r="2326">
      <c r="A2326" s="245" t="inlineStr">
        <is>
          <t>CoQ-PP_26-102</t>
        </is>
      </c>
      <c r="B2326" s="245" t="inlineStr">
        <is>
          <t>reissue — 12-month retest</t>
        </is>
      </c>
      <c r="C2326" s="245" t="inlineStr">
        <is>
          <t>OPM122501</t>
        </is>
      </c>
      <c r="D2326" s="245" t="inlineStr">
        <is>
          <t>P060242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5" t="inlineStr">
        <is>
          <t>Conforms | Одговара</t>
        </is>
      </c>
      <c r="L2326" s="245" t="inlineStr">
        <is>
          <t>iCoA-PP_26-116</t>
        </is>
      </c>
      <c r="M2326" s="245" t="inlineStr">
        <is>
          <t>27.07.2026</t>
        </is>
      </c>
      <c r="N2326" s="245" t="inlineStr">
        <is>
          <t>Purely Plant GmbH (in-house)</t>
        </is>
      </c>
      <c r="O2326" s="245" t="inlineStr">
        <is>
          <t>—</t>
        </is>
      </c>
      <c r="P2326" s="245" t="inlineStr">
        <is>
          <t>covered</t>
        </is>
      </c>
      <c r="Q2326" s="245" t="inlineStr">
        <is>
          <t>Farmahem — Ident A + B + C with the Assay, at retest</t>
        </is>
      </c>
      <c r="R2326" s="245" t="inlineStr"/>
    </row>
    <row r="2327">
      <c r="A2327" s="245" t="inlineStr">
        <is>
          <t>CoQ-PP_26-102</t>
        </is>
      </c>
      <c r="B2327" s="245" t="inlineStr">
        <is>
          <t>reissue — 12-month retest</t>
        </is>
      </c>
      <c r="C2327" s="245" t="inlineStr">
        <is>
          <t>OPM122501</t>
        </is>
      </c>
      <c r="D2327" s="245" t="inlineStr">
        <is>
          <t>P060242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197-19-К/26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OPM122501</t>
        </is>
      </c>
      <c r="D2328" s="245" t="inlineStr">
        <is>
          <t>P060242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7.20 – 8.79 %  (grade V, nominal 8.00 ± 0.80)</t>
        </is>
      </c>
      <c r="K2328" s="245" t="inlineStr">
        <is>
          <t>7.91</t>
        </is>
      </c>
      <c r="L2328" s="245" t="inlineStr">
        <is>
          <t>197-19-К/26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OPM122501</t>
        </is>
      </c>
      <c r="D2329" s="245" t="inlineStr">
        <is>
          <t>P060242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197-19-К/26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OPM122501</t>
        </is>
      </c>
      <c r="D2330" s="245" t="inlineStr">
        <is>
          <t>P060242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197-19-К/26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OPM122501</t>
        </is>
      </c>
      <c r="D2331" s="245" t="inlineStr">
        <is>
          <t>P060242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5" t="inlineStr">
        <is>
          <t>Conforms | Одговара</t>
        </is>
      </c>
      <c r="L2331" s="245" t="inlineStr">
        <is>
          <t>iCoA-PP_26-116</t>
        </is>
      </c>
      <c r="M2331" s="245" t="inlineStr">
        <is>
          <t>27.07.2026</t>
        </is>
      </c>
      <c r="N2331" s="245" t="inlineStr">
        <is>
          <t>Purely Plant GmbH (in-house)</t>
        </is>
      </c>
      <c r="O2331" s="245" t="inlineStr">
        <is>
          <t>—</t>
        </is>
      </c>
      <c r="P2331" s="245" t="inlineStr">
        <is>
          <t>covered</t>
        </is>
      </c>
      <c r="Q2331" s="245" t="inlineStr">
        <is>
          <t>Purely Plant laboratory — iCoA covering Foreign matter</t>
        </is>
      </c>
      <c r="R2331" s="245" t="inlineStr"/>
    </row>
    <row r="2332">
      <c r="A2332" s="245" t="inlineStr">
        <is>
          <t>CoQ-PP_26-102</t>
        </is>
      </c>
      <c r="B2332" s="245" t="inlineStr">
        <is>
          <t>reissue — 12-month retest</t>
        </is>
      </c>
      <c r="C2332" s="245" t="inlineStr">
        <is>
          <t>OPM122501</t>
        </is>
      </c>
      <c r="D2332" s="245" t="inlineStr">
        <is>
          <t>P060242</t>
        </is>
      </c>
      <c r="E2332" s="245" t="inlineStr">
        <is>
          <t>Orange Punch Mimosa</t>
        </is>
      </c>
      <c r="F2332" s="245" t="inlineStr">
        <is>
          <t>17.08.2026</t>
        </is>
      </c>
      <c r="G2332" s="245" t="inlineStr">
        <is>
          <t>8</t>
        </is>
      </c>
      <c r="H2332" s="245" t="inlineStr">
        <is>
          <t>Loss on Drying</t>
        </is>
      </c>
      <c r="I2332" s="245" t="inlineStr">
        <is>
          <t>Ph. Eur. 2.2.32 (3028) · at 40 °C, 24 h, 15–25 mbar</t>
        </is>
      </c>
      <c r="J2332" s="245" t="inlineStr">
        <is>
          <t>≤ 12.0%</t>
        </is>
      </c>
      <c r="K2332" s="245" t="inlineStr">
        <is>
          <t>6.6</t>
        </is>
      </c>
      <c r="L2332" s="245" t="inlineStr">
        <is>
          <t>100-4-ГС/26</t>
        </is>
      </c>
      <c r="M2332" s="245" t="inlineStr">
        <is>
          <t>09.04.2026</t>
        </is>
      </c>
      <c r="N2332" s="245" t="inlineStr">
        <is>
          <t>Farmahem</t>
        </is>
      </c>
      <c r="O2332" s="245" t="inlineStr">
        <is>
          <t>—</t>
        </is>
      </c>
      <c r="P2332" s="245" t="inlineStr">
        <is>
          <t>carried from the initial testing (CoQ-PP-2026-0017) — covered</t>
        </is>
      </c>
      <c r="Q2332" s="245" t="inlineStr"/>
      <c r="R2332" s="245" t="inlineStr"/>
    </row>
    <row r="2333">
      <c r="A2333" s="245" t="inlineStr">
        <is>
          <t>CoQ-PP_26-102</t>
        </is>
      </c>
      <c r="B2333" s="245" t="inlineStr">
        <is>
          <t>reissue — 12-month retest</t>
        </is>
      </c>
      <c r="C2333" s="245" t="inlineStr">
        <is>
          <t>OPM122501</t>
        </is>
      </c>
      <c r="D2333" s="245" t="inlineStr">
        <is>
          <t>P060242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120</t>
        </is>
      </c>
      <c r="L2333" s="245" t="inlineStr">
        <is>
          <t>229/0392/26</t>
        </is>
      </c>
      <c r="M2333" s="245" t="inlineStr">
        <is>
          <t>07.04.2026</t>
        </is>
      </c>
      <c r="N2333" s="245" t="inlineStr">
        <is>
          <t>IPH — Institute of Public Health</t>
        </is>
      </c>
      <c r="O2333" s="245" t="inlineStr">
        <is>
          <t>01.04.2026</t>
        </is>
      </c>
      <c r="P2333" s="245" t="inlineStr">
        <is>
          <t>carried from the initial testing (CoQ-PP-2026-0017) — covered</t>
        </is>
      </c>
      <c r="Q2333" s="245" t="inlineStr"/>
      <c r="R2333" s="245" t="inlineStr"/>
    </row>
    <row r="2334">
      <c r="A2334" s="245" t="inlineStr">
        <is>
          <t>CoQ-PP_26-102</t>
        </is>
      </c>
      <c r="B2334" s="245" t="inlineStr">
        <is>
          <t>reissue — 12-month retest</t>
        </is>
      </c>
      <c r="C2334" s="245" t="inlineStr">
        <is>
          <t>OPM122501</t>
        </is>
      </c>
      <c r="D2334" s="245" t="inlineStr">
        <is>
          <t>P060242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100</t>
        </is>
      </c>
      <c r="L2334" s="245" t="inlineStr">
        <is>
          <t>229/0392/26</t>
        </is>
      </c>
      <c r="M2334" s="245" t="inlineStr">
        <is>
          <t>07.04.2026</t>
        </is>
      </c>
      <c r="N2334" s="245" t="inlineStr">
        <is>
          <t>IPH — Institute of Public Health</t>
        </is>
      </c>
      <c r="O2334" s="245" t="inlineStr">
        <is>
          <t>01.04.2026</t>
        </is>
      </c>
      <c r="P2334" s="245" t="inlineStr">
        <is>
          <t>carried from the initial testing (CoQ-PP-2026-0017) — covered</t>
        </is>
      </c>
      <c r="Q2334" s="245" t="inlineStr"/>
      <c r="R2334" s="245" t="inlineStr"/>
    </row>
    <row r="2335">
      <c r="A2335" s="245" t="inlineStr">
        <is>
          <t>CoQ-PP_26-102</t>
        </is>
      </c>
      <c r="B2335" s="245" t="inlineStr">
        <is>
          <t>reissue — 12-month retest</t>
        </is>
      </c>
      <c r="C2335" s="245" t="inlineStr">
        <is>
          <t>OPM122501</t>
        </is>
      </c>
      <c r="D2335" s="245" t="inlineStr">
        <is>
          <t>P060242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229/0392/26</t>
        </is>
      </c>
      <c r="M2335" s="245" t="inlineStr">
        <is>
          <t>07.04.2026</t>
        </is>
      </c>
      <c r="N2335" s="245" t="inlineStr">
        <is>
          <t>IPH — Institute of Public Health</t>
        </is>
      </c>
      <c r="O2335" s="245" t="inlineStr">
        <is>
          <t>01.04.2026</t>
        </is>
      </c>
      <c r="P2335" s="245" t="inlineStr">
        <is>
          <t>carried from the initial testing (CoQ-PP-2026-0017) — covered</t>
        </is>
      </c>
      <c r="Q2335" s="245" t="inlineStr"/>
      <c r="R2335" s="245" t="inlineStr"/>
    </row>
    <row r="2336">
      <c r="A2336" s="245" t="inlineStr">
        <is>
          <t>CoQ-PP_26-102</t>
        </is>
      </c>
      <c r="B2336" s="245" t="inlineStr">
        <is>
          <t>reissue — 12-month retest</t>
        </is>
      </c>
      <c r="C2336" s="245" t="inlineStr">
        <is>
          <t>OPM122501</t>
        </is>
      </c>
      <c r="D2336" s="245" t="inlineStr">
        <is>
          <t>P060242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229/0392/26</t>
        </is>
      </c>
      <c r="M2336" s="245" t="inlineStr">
        <is>
          <t>07.04.2026</t>
        </is>
      </c>
      <c r="N2336" s="245" t="inlineStr">
        <is>
          <t>IPH — Institute of Public Health</t>
        </is>
      </c>
      <c r="O2336" s="245" t="inlineStr">
        <is>
          <t>01.04.2026</t>
        </is>
      </c>
      <c r="P2336" s="245" t="inlineStr">
        <is>
          <t>carried from the initial testing (CoQ-PP-2026-0017) — covered</t>
        </is>
      </c>
      <c r="Q2336" s="245" t="inlineStr"/>
      <c r="R2336" s="245" t="inlineStr"/>
    </row>
    <row r="2337">
      <c r="A2337" s="245" t="inlineStr">
        <is>
          <t>CoQ-PP_26-102</t>
        </is>
      </c>
      <c r="B2337" s="245" t="inlineStr">
        <is>
          <t>reissue — 12-month retest</t>
        </is>
      </c>
      <c r="C2337" s="245" t="inlineStr">
        <is>
          <t>OPM122501</t>
        </is>
      </c>
      <c r="D2337" s="245" t="inlineStr">
        <is>
          <t>P060242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229/0392/26</t>
        </is>
      </c>
      <c r="M2337" s="245" t="inlineStr">
        <is>
          <t>07.04.2026</t>
        </is>
      </c>
      <c r="N2337" s="245" t="inlineStr">
        <is>
          <t>IPH — Institute of Public Health</t>
        </is>
      </c>
      <c r="O2337" s="245" t="inlineStr">
        <is>
          <t>01.04.2026</t>
        </is>
      </c>
      <c r="P2337" s="245" t="inlineStr">
        <is>
          <t>carried from the initial testing (CoQ-PP-2026-0017) — covered</t>
        </is>
      </c>
      <c r="Q2337" s="245" t="inlineStr"/>
      <c r="R2337" s="245" t="inlineStr"/>
    </row>
    <row r="2338">
      <c r="A2338" s="245" t="inlineStr">
        <is>
          <t>CoQ-PP_26-102</t>
        </is>
      </c>
      <c r="B2338" s="245" t="inlineStr">
        <is>
          <t>reissue — 12-month retest</t>
        </is>
      </c>
      <c r="C2338" s="245" t="inlineStr">
        <is>
          <t>OPM122501</t>
        </is>
      </c>
      <c r="D2338" s="245" t="inlineStr">
        <is>
          <t>P060242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OPM122501</t>
        </is>
      </c>
      <c r="D2339" s="245" t="inlineStr">
        <is>
          <t>P060242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OPM122501</t>
        </is>
      </c>
      <c r="D2340" s="245" t="inlineStr">
        <is>
          <t>P060242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197-19-М/26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OPM122501</t>
        </is>
      </c>
      <c r="D2341" s="245" t="inlineStr">
        <is>
          <t>P060242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197-19-М/26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OPM122501</t>
        </is>
      </c>
      <c r="D2342" s="245" t="inlineStr">
        <is>
          <t>P060242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197-19-М/26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OPM122501</t>
        </is>
      </c>
      <c r="D2343" s="245" t="inlineStr">
        <is>
          <t>P060242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0.049</t>
        </is>
      </c>
      <c r="L2343" s="245" t="inlineStr">
        <is>
          <t>1627/2026</t>
        </is>
      </c>
      <c r="M2343" s="245" t="inlineStr">
        <is>
          <t>23.04.2026</t>
        </is>
      </c>
      <c r="N2343" s="245" t="inlineStr">
        <is>
          <t>IPH — Institute of Public Health</t>
        </is>
      </c>
      <c r="O2343" s="245" t="inlineStr">
        <is>
          <t>27.03.2026</t>
        </is>
      </c>
      <c r="P2343" s="245" t="inlineStr">
        <is>
          <t>carried from the initial testing (CoQ-PP-2026-0017) — covered</t>
        </is>
      </c>
      <c r="Q2343" s="245" t="inlineStr"/>
      <c r="R2343" s="245" t="inlineStr"/>
    </row>
    <row r="2344">
      <c r="A2344" s="245" t="inlineStr">
        <is>
          <t>CoQ-PP_26-102</t>
        </is>
      </c>
      <c r="B2344" s="245" t="inlineStr">
        <is>
          <t>reissue — 12-month retest</t>
        </is>
      </c>
      <c r="C2344" s="245" t="inlineStr">
        <is>
          <t>OPM122501</t>
        </is>
      </c>
      <c r="D2344" s="245" t="inlineStr">
        <is>
          <t>P060242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0.165</t>
        </is>
      </c>
      <c r="L2344" s="245" t="inlineStr">
        <is>
          <t>1627/2026</t>
        </is>
      </c>
      <c r="M2344" s="245" t="inlineStr">
        <is>
          <t>23.04.2026</t>
        </is>
      </c>
      <c r="N2344" s="245" t="inlineStr">
        <is>
          <t>IPH — Institute of Public Health</t>
        </is>
      </c>
      <c r="O2344" s="245" t="inlineStr">
        <is>
          <t>27.03.2026</t>
        </is>
      </c>
      <c r="P2344" s="245" t="inlineStr">
        <is>
          <t>carried from the initial testing (CoQ-PP-2026-0017) — covered</t>
        </is>
      </c>
      <c r="Q2344" s="245" t="inlineStr"/>
      <c r="R2344" s="245" t="inlineStr"/>
    </row>
    <row r="2345">
      <c r="A2345" s="245" t="inlineStr">
        <is>
          <t>CoQ-PP_26-102</t>
        </is>
      </c>
      <c r="B2345" s="245" t="inlineStr">
        <is>
          <t>reissue — 12-month retest</t>
        </is>
      </c>
      <c r="C2345" s="245" t="inlineStr">
        <is>
          <t>OPM122501</t>
        </is>
      </c>
      <c r="D2345" s="245" t="inlineStr">
        <is>
          <t>P060242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ND</t>
        </is>
      </c>
      <c r="L2345" s="245" t="inlineStr">
        <is>
          <t>1627/2026</t>
        </is>
      </c>
      <c r="M2345" s="245" t="inlineStr">
        <is>
          <t>23.04.2026</t>
        </is>
      </c>
      <c r="N2345" s="245" t="inlineStr">
        <is>
          <t>IPH — Institute of Public Health</t>
        </is>
      </c>
      <c r="O2345" s="245" t="inlineStr">
        <is>
          <t>27.03.2026</t>
        </is>
      </c>
      <c r="P2345" s="245" t="inlineStr">
        <is>
          <t>carried from the initial testing (CoQ-PP-2026-0017) — covered</t>
        </is>
      </c>
      <c r="Q2345" s="245" t="inlineStr"/>
      <c r="R2345" s="245" t="inlineStr"/>
    </row>
    <row r="2346">
      <c r="A2346" s="245" t="inlineStr">
        <is>
          <t>CoQ-PP_26-102</t>
        </is>
      </c>
      <c r="B2346" s="245" t="inlineStr">
        <is>
          <t>reissue — 12-month retest</t>
        </is>
      </c>
      <c r="C2346" s="245" t="inlineStr">
        <is>
          <t>OPM122501</t>
        </is>
      </c>
      <c r="D2346" s="245" t="inlineStr">
        <is>
          <t>P060242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ND</t>
        </is>
      </c>
      <c r="L2346" s="245" t="inlineStr">
        <is>
          <t>1627/2026</t>
        </is>
      </c>
      <c r="M2346" s="245" t="inlineStr">
        <is>
          <t>23.04.2026</t>
        </is>
      </c>
      <c r="N2346" s="245" t="inlineStr">
        <is>
          <t>IPH — Institute of Public Health</t>
        </is>
      </c>
      <c r="O2346" s="245" t="inlineStr">
        <is>
          <t>27.03.2026</t>
        </is>
      </c>
      <c r="P2346" s="245" t="inlineStr">
        <is>
          <t>carried from the initial testing (CoQ-PP-2026-0017) — covered</t>
        </is>
      </c>
      <c r="Q2346" s="245" t="inlineStr"/>
      <c r="R2346" s="245" t="inlineStr"/>
    </row>
    <row r="2347">
      <c r="A2347" s="245" t="inlineStr">
        <is>
          <t>CoQ-PP_26-102</t>
        </is>
      </c>
      <c r="B2347" s="245" t="inlineStr">
        <is>
          <t>reissue — 12-month retest</t>
        </is>
      </c>
      <c r="C2347" s="245" t="inlineStr">
        <is>
          <t>OPM122501</t>
        </is>
      </c>
      <c r="D2347" s="245" t="inlineStr">
        <is>
          <t>P060242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1627/2026</t>
        </is>
      </c>
      <c r="M2347" s="245" t="inlineStr">
        <is>
          <t>23.04.2026</t>
        </is>
      </c>
      <c r="N2347" s="245" t="inlineStr">
        <is>
          <t>IPH — Institute of Public Health</t>
        </is>
      </c>
      <c r="O2347" s="245" t="inlineStr">
        <is>
          <t>27.03.2026</t>
        </is>
      </c>
      <c r="P2347" s="245" t="inlineStr">
        <is>
          <t>carried from the initial testing (CoQ-PP-2026-0017) — covered</t>
        </is>
      </c>
      <c r="Q2347" s="245" t="inlineStr"/>
      <c r="R2347" s="245" t="inlineStr"/>
    </row>
    <row r="2348">
      <c r="A2348" s="245" t="inlineStr">
        <is>
          <t>CoQ-PP_26-103</t>
        </is>
      </c>
      <c r="B2348" s="245" t="inlineStr">
        <is>
          <t>reissue — 12-month retest</t>
        </is>
      </c>
      <c r="C2348" s="245" t="inlineStr">
        <is>
          <t>PM092501</t>
        </is>
      </c>
      <c r="D2348" s="245" t="inlineStr">
        <is>
          <t>P060062</t>
        </is>
      </c>
      <c r="E2348" s="245" t="inlineStr">
        <is>
          <t>Permanent Marker</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5" t="inlineStr">
        <is>
          <t>Conforms | Одговара</t>
        </is>
      </c>
      <c r="L2348" s="245" t="inlineStr">
        <is>
          <t>iCoA-PP_26-118</t>
        </is>
      </c>
      <c r="M2348" s="245" t="inlineStr">
        <is>
          <t>27.07.2026</t>
        </is>
      </c>
      <c r="N2348" s="245" t="inlineStr">
        <is>
          <t>Purely Plant GmbH (in-house)</t>
        </is>
      </c>
      <c r="O2348" s="245" t="inlineStr">
        <is>
          <t>—</t>
        </is>
      </c>
      <c r="P2348" s="245" t="inlineStr">
        <is>
          <t>covered</t>
        </is>
      </c>
      <c r="Q2348" s="245" t="inlineStr">
        <is>
          <t>Farmahem — Ident A + B + C with the Assay, at retest</t>
        </is>
      </c>
      <c r="R2348" s="245" t="inlineStr"/>
    </row>
    <row r="2349">
      <c r="A2349" s="245" t="inlineStr">
        <is>
          <t>CoQ-PP_26-103</t>
        </is>
      </c>
      <c r="B2349" s="245" t="inlineStr">
        <is>
          <t>reissue — 12-month retest</t>
        </is>
      </c>
      <c r="C2349" s="245" t="inlineStr">
        <is>
          <t>PM092501</t>
        </is>
      </c>
      <c r="D2349" s="245" t="inlineStr">
        <is>
          <t>P060062</t>
        </is>
      </c>
      <c r="E2349" s="245" t="inlineStr">
        <is>
          <t>Permanent Marker</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5" t="inlineStr">
        <is>
          <t>Conforms | Одговара</t>
        </is>
      </c>
      <c r="L2349" s="245" t="inlineStr">
        <is>
          <t>iCoA-PP_26-118</t>
        </is>
      </c>
      <c r="M2349" s="245" t="inlineStr">
        <is>
          <t>27.07.2026</t>
        </is>
      </c>
      <c r="N2349" s="245" t="inlineStr">
        <is>
          <t>Purely Plant GmbH (in-house)</t>
        </is>
      </c>
      <c r="O2349" s="245" t="inlineStr">
        <is>
          <t>—</t>
        </is>
      </c>
      <c r="P2349" s="245" t="inlineStr">
        <is>
          <t>covered</t>
        </is>
      </c>
      <c r="Q2349" s="245" t="inlineStr">
        <is>
          <t>Farmahem — Ident A + B + C with the Assay, at retest</t>
        </is>
      </c>
      <c r="R2349" s="245" t="inlineStr"/>
    </row>
    <row r="2350">
      <c r="A2350" s="245" t="inlineStr">
        <is>
          <t>CoQ-PP_26-103</t>
        </is>
      </c>
      <c r="B2350" s="245" t="inlineStr">
        <is>
          <t>reissue — 12-month retest</t>
        </is>
      </c>
      <c r="C2350" s="245" t="inlineStr">
        <is>
          <t>PM092501</t>
        </is>
      </c>
      <c r="D2350" s="245" t="inlineStr">
        <is>
          <t>P060062</t>
        </is>
      </c>
      <c r="E2350" s="245" t="inlineStr">
        <is>
          <t>Permanent Marker</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197-20-К/26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PM092501</t>
        </is>
      </c>
      <c r="D2351" s="245" t="inlineStr">
        <is>
          <t>P060062</t>
        </is>
      </c>
      <c r="E2351" s="245" t="inlineStr">
        <is>
          <t>Permanent Marker</t>
        </is>
      </c>
      <c r="F2351" s="245" t="inlineStr">
        <is>
          <t>17.08.2026</t>
        </is>
      </c>
      <c r="G2351" s="245" t="inlineStr">
        <is>
          <t>4</t>
        </is>
      </c>
      <c r="H2351" s="245" t="inlineStr">
        <is>
          <t>Assay — Total Δ⁹-THC</t>
        </is>
      </c>
      <c r="I2351" s="245" t="inlineStr">
        <is>
          <t>Ph. Eur. 2.2.29 (HPLC)</t>
        </is>
      </c>
      <c r="J2351" s="245" t="inlineStr">
        <is>
          <t>11.00 – 12.99 %  (grade II, nominal 12.00 ± 1.00)</t>
        </is>
      </c>
      <c r="K2351" s="245" t="inlineStr">
        <is>
          <t>12.25</t>
        </is>
      </c>
      <c r="L2351" s="245" t="inlineStr">
        <is>
          <t>197-20-К/26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PM092501</t>
        </is>
      </c>
      <c r="D2352" s="245" t="inlineStr">
        <is>
          <t>P060062</t>
        </is>
      </c>
      <c r="E2352" s="245" t="inlineStr">
        <is>
          <t>Permanent Marker</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197-20-К/26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PM092501</t>
        </is>
      </c>
      <c r="D2353" s="245" t="inlineStr">
        <is>
          <t>P060062</t>
        </is>
      </c>
      <c r="E2353" s="245" t="inlineStr">
        <is>
          <t>Permanent Marker</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197-20-К/26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PM092501</t>
        </is>
      </c>
      <c r="D2354" s="245" t="inlineStr">
        <is>
          <t>P060062</t>
        </is>
      </c>
      <c r="E2354" s="245" t="inlineStr">
        <is>
          <t>Permanent Marker</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5" t="inlineStr">
        <is>
          <t>Conforms | Одговара</t>
        </is>
      </c>
      <c r="L2354" s="245" t="inlineStr">
        <is>
          <t>iCoA-PP_26-118</t>
        </is>
      </c>
      <c r="M2354" s="245" t="inlineStr">
        <is>
          <t>27.07.2026</t>
        </is>
      </c>
      <c r="N2354" s="245" t="inlineStr">
        <is>
          <t>Purely Plant GmbH (in-house)</t>
        </is>
      </c>
      <c r="O2354" s="245" t="inlineStr">
        <is>
          <t>—</t>
        </is>
      </c>
      <c r="P2354" s="245" t="inlineStr">
        <is>
          <t>covered</t>
        </is>
      </c>
      <c r="Q2354" s="245" t="inlineStr">
        <is>
          <t>Purely Plant laboratory — iCoA covering Foreign matter</t>
        </is>
      </c>
      <c r="R2354" s="245" t="inlineStr"/>
    </row>
    <row r="2355">
      <c r="A2355" s="245" t="inlineStr">
        <is>
          <t>CoQ-PP_26-103</t>
        </is>
      </c>
      <c r="B2355" s="245" t="inlineStr">
        <is>
          <t>reissue — 12-month retest</t>
        </is>
      </c>
      <c r="C2355" s="245" t="inlineStr">
        <is>
          <t>PM092501</t>
        </is>
      </c>
      <c r="D2355" s="245" t="inlineStr">
        <is>
          <t>P060062</t>
        </is>
      </c>
      <c r="E2355" s="245" t="inlineStr">
        <is>
          <t>Permanent Marker</t>
        </is>
      </c>
      <c r="F2355" s="245" t="inlineStr">
        <is>
          <t>17.08.2026</t>
        </is>
      </c>
      <c r="G2355" s="245" t="inlineStr">
        <is>
          <t>8</t>
        </is>
      </c>
      <c r="H2355" s="245" t="inlineStr">
        <is>
          <t>Loss on Drying</t>
        </is>
      </c>
      <c r="I2355" s="245" t="inlineStr">
        <is>
          <t>DAB 2018 monograph Cannabis flos, 2.2.32 — loss on drying (CNP, before its Ph. Eur. 3028 accreditation)</t>
        </is>
      </c>
      <c r="J2355" s="245" t="inlineStr">
        <is>
          <t>≤ 12.0%</t>
        </is>
      </c>
      <c r="K2355" s="245" t="inlineStr">
        <is>
          <t>7.97</t>
        </is>
      </c>
      <c r="L2355" s="245" t="inlineStr">
        <is>
          <t>ППК26004</t>
        </is>
      </c>
      <c r="M2355" s="245" t="inlineStr">
        <is>
          <t>21.01.2026</t>
        </is>
      </c>
      <c r="N2355" s="245" t="inlineStr">
        <is>
          <t>UKIM Faculty of Pharmacy — Center for Natural Products</t>
        </is>
      </c>
      <c r="O2355" s="245" t="inlineStr">
        <is>
          <t>08.01.2026</t>
        </is>
      </c>
      <c r="P2355" s="245" t="inlineStr">
        <is>
          <t>carried from the initial testing (CoQ-PP-2026-0005) — covered</t>
        </is>
      </c>
      <c r="Q2355" s="245" t="inlineStr"/>
      <c r="R2355" s="245" t="inlineStr"/>
    </row>
    <row r="2356">
      <c r="A2356" s="245" t="inlineStr">
        <is>
          <t>CoQ-PP_26-103</t>
        </is>
      </c>
      <c r="B2356" s="245" t="inlineStr">
        <is>
          <t>reissue — 12-month retest</t>
        </is>
      </c>
      <c r="C2356" s="245" t="inlineStr">
        <is>
          <t>PM092501</t>
        </is>
      </c>
      <c r="D2356" s="245" t="inlineStr">
        <is>
          <t>P060062</t>
        </is>
      </c>
      <c r="E2356" s="245" t="inlineStr">
        <is>
          <t>Permanent Marker</t>
        </is>
      </c>
      <c r="F2356" s="245" t="inlineStr">
        <is>
          <t>17.08.2026</t>
        </is>
      </c>
      <c r="G2356" s="245" t="inlineStr">
        <is>
          <t>9.1</t>
        </is>
      </c>
      <c r="H2356" s="245" t="inlineStr">
        <is>
          <t>TAMC</t>
        </is>
      </c>
      <c r="I2356" s="245" t="inlineStr">
        <is>
          <t>Ph. Eur. 2.6.12 cat. C</t>
        </is>
      </c>
      <c r="J2356" s="245" t="inlineStr">
        <is>
          <t>≤ 10⁵ CFU/g</t>
        </is>
      </c>
      <c r="K2356" s="245" t="inlineStr">
        <is>
          <t>2 × 10³</t>
        </is>
      </c>
      <c r="L2356" s="245" t="inlineStr">
        <is>
          <t>6/0009/26</t>
        </is>
      </c>
      <c r="M2356" s="245" t="inlineStr">
        <is>
          <t>20.01.2026</t>
        </is>
      </c>
      <c r="N2356" s="245" t="inlineStr">
        <is>
          <t>IPH — Institute of Public Health</t>
        </is>
      </c>
      <c r="O2356" s="245" t="inlineStr">
        <is>
          <t>12.01.2025</t>
        </is>
      </c>
      <c r="P2356" s="245" t="inlineStr">
        <is>
          <t>carried from the initial testing (CoQ-PP-2026-0005) — covered</t>
        </is>
      </c>
      <c r="Q2356" s="245" t="inlineStr"/>
      <c r="R2356" s="245" t="inlineStr"/>
    </row>
    <row r="2357">
      <c r="A2357" s="245" t="inlineStr">
        <is>
          <t>CoQ-PP_26-103</t>
        </is>
      </c>
      <c r="B2357" s="245" t="inlineStr">
        <is>
          <t>reissue — 12-month retest</t>
        </is>
      </c>
      <c r="C2357" s="245" t="inlineStr">
        <is>
          <t>PM092501</t>
        </is>
      </c>
      <c r="D2357" s="245" t="inlineStr">
        <is>
          <t>P060062</t>
        </is>
      </c>
      <c r="E2357" s="245" t="inlineStr">
        <is>
          <t>Permanent Marker</t>
        </is>
      </c>
      <c r="F2357" s="245" t="inlineStr">
        <is>
          <t>17.08.2026</t>
        </is>
      </c>
      <c r="G2357" s="245" t="inlineStr">
        <is>
          <t>9.2</t>
        </is>
      </c>
      <c r="H2357" s="245" t="inlineStr">
        <is>
          <t>TYMC</t>
        </is>
      </c>
      <c r="I2357" s="245" t="inlineStr">
        <is>
          <t>Ph. Eur. 2.6.12 cat. C</t>
        </is>
      </c>
      <c r="J2357" s="245" t="inlineStr">
        <is>
          <t>≤ 10⁴ CFU/g</t>
        </is>
      </c>
      <c r="K2357" s="245" t="inlineStr">
        <is>
          <t>2.2 × 10³</t>
        </is>
      </c>
      <c r="L2357" s="245" t="inlineStr">
        <is>
          <t>6/0009/26</t>
        </is>
      </c>
      <c r="M2357" s="245" t="inlineStr">
        <is>
          <t>20.01.2026</t>
        </is>
      </c>
      <c r="N2357" s="245" t="inlineStr">
        <is>
          <t>IPH — Institute of Public Health</t>
        </is>
      </c>
      <c r="O2357" s="245" t="inlineStr">
        <is>
          <t>12.01.2025</t>
        </is>
      </c>
      <c r="P2357" s="245" t="inlineStr">
        <is>
          <t>carried from the initial testing (CoQ-PP-2026-0005) — covered</t>
        </is>
      </c>
      <c r="Q2357" s="245" t="inlineStr"/>
      <c r="R2357" s="245" t="inlineStr"/>
    </row>
    <row r="2358">
      <c r="A2358" s="245" t="inlineStr">
        <is>
          <t>CoQ-PP_26-103</t>
        </is>
      </c>
      <c r="B2358" s="245" t="inlineStr">
        <is>
          <t>reissue — 12-month retest</t>
        </is>
      </c>
      <c r="C2358" s="245" t="inlineStr">
        <is>
          <t>PM092501</t>
        </is>
      </c>
      <c r="D2358" s="245" t="inlineStr">
        <is>
          <t>P060062</t>
        </is>
      </c>
      <c r="E2358" s="245" t="inlineStr">
        <is>
          <t>Permanent Marker</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6/0009/26</t>
        </is>
      </c>
      <c r="M2358" s="245" t="inlineStr">
        <is>
          <t>20.01.2026</t>
        </is>
      </c>
      <c r="N2358" s="245" t="inlineStr">
        <is>
          <t>IPH — Institute of Public Health</t>
        </is>
      </c>
      <c r="O2358" s="245" t="inlineStr">
        <is>
          <t>12.01.2025</t>
        </is>
      </c>
      <c r="P2358" s="245" t="inlineStr">
        <is>
          <t>carried from the initial testing (CoQ-PP-2026-0005) — covered</t>
        </is>
      </c>
      <c r="Q2358" s="245" t="inlineStr"/>
      <c r="R2358" s="245" t="inlineStr"/>
    </row>
    <row r="2359">
      <c r="A2359" s="245" t="inlineStr">
        <is>
          <t>CoQ-PP_26-103</t>
        </is>
      </c>
      <c r="B2359" s="245" t="inlineStr">
        <is>
          <t>reissue — 12-month retest</t>
        </is>
      </c>
      <c r="C2359" s="245" t="inlineStr">
        <is>
          <t>PM092501</t>
        </is>
      </c>
      <c r="D2359" s="245" t="inlineStr">
        <is>
          <t>P060062</t>
        </is>
      </c>
      <c r="E2359" s="245" t="inlineStr">
        <is>
          <t>Permanent Marker</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6/0009/26</t>
        </is>
      </c>
      <c r="M2359" s="245" t="inlineStr">
        <is>
          <t>20.01.2026</t>
        </is>
      </c>
      <c r="N2359" s="245" t="inlineStr">
        <is>
          <t>IPH — Institute of Public Health</t>
        </is>
      </c>
      <c r="O2359" s="245" t="inlineStr">
        <is>
          <t>12.01.2025</t>
        </is>
      </c>
      <c r="P2359" s="245" t="inlineStr">
        <is>
          <t>carried from the initial testing (CoQ-PP-2026-0005) — covered</t>
        </is>
      </c>
      <c r="Q2359" s="245" t="inlineStr"/>
      <c r="R2359" s="245" t="inlineStr"/>
    </row>
    <row r="2360">
      <c r="A2360" s="245" t="inlineStr">
        <is>
          <t>CoQ-PP_26-103</t>
        </is>
      </c>
      <c r="B2360" s="245" t="inlineStr">
        <is>
          <t>reissue — 12-month retest</t>
        </is>
      </c>
      <c r="C2360" s="245" t="inlineStr">
        <is>
          <t>PM092501</t>
        </is>
      </c>
      <c r="D2360" s="245" t="inlineStr">
        <is>
          <t>P060062</t>
        </is>
      </c>
      <c r="E2360" s="245" t="inlineStr">
        <is>
          <t>Permanent Marker</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6/0009/26</t>
        </is>
      </c>
      <c r="M2360" s="245" t="inlineStr">
        <is>
          <t>20.01.2026</t>
        </is>
      </c>
      <c r="N2360" s="245" t="inlineStr">
        <is>
          <t>IPH — Institute of Public Health</t>
        </is>
      </c>
      <c r="O2360" s="245" t="inlineStr">
        <is>
          <t>12.01.2025</t>
        </is>
      </c>
      <c r="P2360" s="245" t="inlineStr">
        <is>
          <t>carried from the initial testing (CoQ-PP-2026-0005) — covered</t>
        </is>
      </c>
      <c r="Q2360" s="245" t="inlineStr"/>
      <c r="R2360" s="245" t="inlineStr"/>
    </row>
    <row r="2361">
      <c r="A2361" s="245" t="inlineStr">
        <is>
          <t>CoQ-PP_26-103</t>
        </is>
      </c>
      <c r="B2361" s="245" t="inlineStr">
        <is>
          <t>reissue — 12-month retest</t>
        </is>
      </c>
      <c r="C2361" s="245" t="inlineStr">
        <is>
          <t>PM092501</t>
        </is>
      </c>
      <c r="D2361" s="245" t="inlineStr">
        <is>
          <t>P060062</t>
        </is>
      </c>
      <c r="E2361" s="245" t="inlineStr">
        <is>
          <t>Permanent Marker</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PM092501</t>
        </is>
      </c>
      <c r="D2362" s="245" t="inlineStr">
        <is>
          <t>P060062</t>
        </is>
      </c>
      <c r="E2362" s="245" t="inlineStr">
        <is>
          <t>Permanent Marker</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PM092501</t>
        </is>
      </c>
      <c r="D2363" s="245" t="inlineStr">
        <is>
          <t>P060062</t>
        </is>
      </c>
      <c r="E2363" s="245" t="inlineStr">
        <is>
          <t>Permanent Marker</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197-20-М/26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PM092501</t>
        </is>
      </c>
      <c r="D2364" s="245" t="inlineStr">
        <is>
          <t>P060062</t>
        </is>
      </c>
      <c r="E2364" s="245" t="inlineStr">
        <is>
          <t>Permanent Marker</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197-20-М/26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PM092501</t>
        </is>
      </c>
      <c r="D2365" s="245" t="inlineStr">
        <is>
          <t>P060062</t>
        </is>
      </c>
      <c r="E2365" s="245" t="inlineStr">
        <is>
          <t>Permanent Marker</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197-20-М/26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PM092501</t>
        </is>
      </c>
      <c r="D2366" s="245" t="inlineStr">
        <is>
          <t>P060062</t>
        </is>
      </c>
      <c r="E2366" s="245" t="inlineStr">
        <is>
          <t>Permanent Marker</t>
        </is>
      </c>
      <c r="F2366" s="245" t="inlineStr">
        <is>
          <t>17.08.2026</t>
        </is>
      </c>
      <c r="G2366" s="245" t="inlineStr">
        <is>
          <t>11.1</t>
        </is>
      </c>
      <c r="H2366" s="245" t="inlineStr">
        <is>
          <t>Lead (Pb)</t>
        </is>
      </c>
      <c r="I2366" s="245" t="inlineStr">
        <is>
          <t>Ph. Eur. 2.4.27 (ICP-MS)</t>
        </is>
      </c>
      <c r="J2366" s="245" t="inlineStr">
        <is>
          <t>≤ 0.5 mg/kg</t>
        </is>
      </c>
      <c r="K2366" s="245" t="inlineStr">
        <is>
          <t>0.03</t>
        </is>
      </c>
      <c r="L2366" s="245" t="inlineStr">
        <is>
          <t>83/2026</t>
        </is>
      </c>
      <c r="M2366" s="245" t="inlineStr">
        <is>
          <t>02.02.2026</t>
        </is>
      </c>
      <c r="N2366" s="245" t="inlineStr">
        <is>
          <t>IPH — Institute of Public Health</t>
        </is>
      </c>
      <c r="O2366" s="245" t="inlineStr">
        <is>
          <t>08.01.2026</t>
        </is>
      </c>
      <c r="P2366" s="245" t="inlineStr">
        <is>
          <t>carried from the initial testing (CoQ-PP-2026-0005) — covered</t>
        </is>
      </c>
      <c r="Q2366" s="245" t="inlineStr"/>
      <c r="R2366" s="245" t="inlineStr"/>
    </row>
    <row r="2367">
      <c r="A2367" s="245" t="inlineStr">
        <is>
          <t>CoQ-PP_26-103</t>
        </is>
      </c>
      <c r="B2367" s="245" t="inlineStr">
        <is>
          <t>reissue — 12-month retest</t>
        </is>
      </c>
      <c r="C2367" s="245" t="inlineStr">
        <is>
          <t>PM092501</t>
        </is>
      </c>
      <c r="D2367" s="245" t="inlineStr">
        <is>
          <t>P060062</t>
        </is>
      </c>
      <c r="E2367" s="245" t="inlineStr">
        <is>
          <t>Permanent Marker</t>
        </is>
      </c>
      <c r="F2367" s="245" t="inlineStr">
        <is>
          <t>17.08.2026</t>
        </is>
      </c>
      <c r="G2367" s="245" t="inlineStr">
        <is>
          <t>11.2</t>
        </is>
      </c>
      <c r="H2367" s="245" t="inlineStr">
        <is>
          <t>Cadmium (Cd)</t>
        </is>
      </c>
      <c r="I2367" s="245" t="inlineStr">
        <is>
          <t>Ph. Eur. 2.4.27 (ICP-MS)</t>
        </is>
      </c>
      <c r="J2367" s="245" t="inlineStr">
        <is>
          <t>≤ 0.3 mg/kg</t>
        </is>
      </c>
      <c r="K2367" s="245" t="inlineStr">
        <is>
          <t>ND</t>
        </is>
      </c>
      <c r="L2367" s="245" t="inlineStr">
        <is>
          <t>83/2026</t>
        </is>
      </c>
      <c r="M2367" s="245" t="inlineStr">
        <is>
          <t>02.02.2026</t>
        </is>
      </c>
      <c r="N2367" s="245" t="inlineStr">
        <is>
          <t>IPH — Institute of Public Health</t>
        </is>
      </c>
      <c r="O2367" s="245" t="inlineStr">
        <is>
          <t>08.01.2026</t>
        </is>
      </c>
      <c r="P2367" s="245" t="inlineStr">
        <is>
          <t>carried from the initial testing (CoQ-PP-2026-0005) — covered</t>
        </is>
      </c>
      <c r="Q2367" s="245" t="inlineStr"/>
      <c r="R2367" s="245" t="inlineStr"/>
    </row>
    <row r="2368">
      <c r="A2368" s="245" t="inlineStr">
        <is>
          <t>CoQ-PP_26-103</t>
        </is>
      </c>
      <c r="B2368" s="245" t="inlineStr">
        <is>
          <t>reissue — 12-month retest</t>
        </is>
      </c>
      <c r="C2368" s="245" t="inlineStr">
        <is>
          <t>PM092501</t>
        </is>
      </c>
      <c r="D2368" s="245" t="inlineStr">
        <is>
          <t>P060062</t>
        </is>
      </c>
      <c r="E2368" s="245" t="inlineStr">
        <is>
          <t>Permanent Marker</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83/2026</t>
        </is>
      </c>
      <c r="M2368" s="245" t="inlineStr">
        <is>
          <t>02.02.2026</t>
        </is>
      </c>
      <c r="N2368" s="245" t="inlineStr">
        <is>
          <t>IPH — Institute of Public Health</t>
        </is>
      </c>
      <c r="O2368" s="245" t="inlineStr">
        <is>
          <t>08.01.2026</t>
        </is>
      </c>
      <c r="P2368" s="245" t="inlineStr">
        <is>
          <t>carried from the initial testing (CoQ-PP-2026-0005) — covered</t>
        </is>
      </c>
      <c r="Q2368" s="245" t="inlineStr"/>
      <c r="R2368" s="245" t="inlineStr"/>
    </row>
    <row r="2369">
      <c r="A2369" s="245" t="inlineStr">
        <is>
          <t>CoQ-PP_26-103</t>
        </is>
      </c>
      <c r="B2369" s="245" t="inlineStr">
        <is>
          <t>reissue — 12-month retest</t>
        </is>
      </c>
      <c r="C2369" s="245" t="inlineStr">
        <is>
          <t>PM092501</t>
        </is>
      </c>
      <c r="D2369" s="245" t="inlineStr">
        <is>
          <t>P060062</t>
        </is>
      </c>
      <c r="E2369" s="245" t="inlineStr">
        <is>
          <t>Permanent Marker</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83/2026</t>
        </is>
      </c>
      <c r="M2369" s="245" t="inlineStr">
        <is>
          <t>02.02.2026</t>
        </is>
      </c>
      <c r="N2369" s="245" t="inlineStr">
        <is>
          <t>IPH — Institute of Public Health</t>
        </is>
      </c>
      <c r="O2369" s="245" t="inlineStr">
        <is>
          <t>08.01.2026</t>
        </is>
      </c>
      <c r="P2369" s="245" t="inlineStr">
        <is>
          <t>carried from the initial testing (CoQ-PP-2026-0005) — covered</t>
        </is>
      </c>
      <c r="Q2369" s="245" t="inlineStr"/>
      <c r="R2369" s="245" t="inlineStr"/>
    </row>
    <row r="2370">
      <c r="A2370" s="245" t="inlineStr">
        <is>
          <t>CoQ-PP_26-103</t>
        </is>
      </c>
      <c r="B2370" s="245" t="inlineStr">
        <is>
          <t>reissue — 12-month retest</t>
        </is>
      </c>
      <c r="C2370" s="245" t="inlineStr">
        <is>
          <t>PM092501</t>
        </is>
      </c>
      <c r="D2370" s="245" t="inlineStr">
        <is>
          <t>P060062</t>
        </is>
      </c>
      <c r="E2370" s="245" t="inlineStr">
        <is>
          <t>Permanent Marker</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83/2026</t>
        </is>
      </c>
      <c r="M2370" s="245" t="inlineStr">
        <is>
          <t>02.02.2026</t>
        </is>
      </c>
      <c r="N2370" s="245" t="inlineStr">
        <is>
          <t>IPH — Institute of Public Health</t>
        </is>
      </c>
      <c r="O2370" s="245" t="inlineStr">
        <is>
          <t>08.01.2026</t>
        </is>
      </c>
      <c r="P2370" s="245" t="inlineStr">
        <is>
          <t>carried from the initial testing (CoQ-PP-2026-0005) — covered</t>
        </is>
      </c>
      <c r="Q2370" s="245" t="inlineStr"/>
      <c r="R2370" s="245" t="inlineStr"/>
    </row>
    <row r="2371">
      <c r="A2371" s="245" t="inlineStr">
        <is>
          <t>CoQ-PP_26-104</t>
        </is>
      </c>
      <c r="B2371" s="245" t="inlineStr">
        <is>
          <t>reissue — 12-month retest</t>
        </is>
      </c>
      <c r="C2371" s="245" t="inlineStr">
        <is>
          <t>SCR012603</t>
        </is>
      </c>
      <c r="D2371" s="245" t="inlineStr">
        <is>
          <t>P060382</t>
        </is>
      </c>
      <c r="E2371" s="245" t="inlineStr">
        <is>
          <t>Scrambler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5" t="inlineStr">
        <is>
          <t>Conforms | Одговара</t>
        </is>
      </c>
      <c r="L2371" s="245" t="inlineStr">
        <is>
          <t>iCoA-PP_26-117</t>
        </is>
      </c>
      <c r="M2371" s="245" t="inlineStr">
        <is>
          <t>27.07.2026</t>
        </is>
      </c>
      <c r="N2371" s="245" t="inlineStr">
        <is>
          <t>Purely Plant GmbH (in-house)</t>
        </is>
      </c>
      <c r="O2371" s="245" t="inlineStr">
        <is>
          <t>—</t>
        </is>
      </c>
      <c r="P2371" s="245" t="inlineStr">
        <is>
          <t>covered</t>
        </is>
      </c>
      <c r="Q2371" s="245" t="inlineStr">
        <is>
          <t>Farmahem — Ident A + B + C with the Assay, at retest</t>
        </is>
      </c>
      <c r="R2371" s="245" t="inlineStr"/>
    </row>
    <row r="2372">
      <c r="A2372" s="245" t="inlineStr">
        <is>
          <t>CoQ-PP_26-104</t>
        </is>
      </c>
      <c r="B2372" s="245" t="inlineStr">
        <is>
          <t>reissue — 12-month retest</t>
        </is>
      </c>
      <c r="C2372" s="245" t="inlineStr">
        <is>
          <t>SCR012603</t>
        </is>
      </c>
      <c r="D2372" s="245" t="inlineStr">
        <is>
          <t>P060382</t>
        </is>
      </c>
      <c r="E2372" s="245" t="inlineStr">
        <is>
          <t>Scrambler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5" t="inlineStr">
        <is>
          <t>Conforms | Одговара</t>
        </is>
      </c>
      <c r="L2372" s="245" t="inlineStr">
        <is>
          <t>iCoA-PP_26-117</t>
        </is>
      </c>
      <c r="M2372" s="245" t="inlineStr">
        <is>
          <t>27.07.2026</t>
        </is>
      </c>
      <c r="N2372" s="245" t="inlineStr">
        <is>
          <t>Purely Plant GmbH (in-house)</t>
        </is>
      </c>
      <c r="O2372" s="245" t="inlineStr">
        <is>
          <t>—</t>
        </is>
      </c>
      <c r="P2372" s="245" t="inlineStr">
        <is>
          <t>covered</t>
        </is>
      </c>
      <c r="Q2372" s="245" t="inlineStr">
        <is>
          <t>Farmahem — Ident A + B + C with the Assay, at retest</t>
        </is>
      </c>
      <c r="R2372" s="245" t="inlineStr"/>
    </row>
    <row r="2373">
      <c r="A2373" s="245" t="inlineStr">
        <is>
          <t>CoQ-PP_26-104</t>
        </is>
      </c>
      <c r="B2373" s="245" t="inlineStr">
        <is>
          <t>reissue — 12-month retest</t>
        </is>
      </c>
      <c r="C2373" s="245" t="inlineStr">
        <is>
          <t>SCR012603</t>
        </is>
      </c>
      <c r="D2373" s="245" t="inlineStr">
        <is>
          <t>P060382</t>
        </is>
      </c>
      <c r="E2373" s="245" t="inlineStr">
        <is>
          <t>Scrambler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197-21-К/26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SCR012603</t>
        </is>
      </c>
      <c r="D2374" s="245" t="inlineStr">
        <is>
          <t>P060382</t>
        </is>
      </c>
      <c r="E2374" s="245" t="inlineStr">
        <is>
          <t>Scrambler</t>
        </is>
      </c>
      <c r="F2374" s="245" t="inlineStr">
        <is>
          <t>17.08.2026</t>
        </is>
      </c>
      <c r="G2374" s="245" t="inlineStr">
        <is>
          <t>4</t>
        </is>
      </c>
      <c r="H2374" s="245" t="inlineStr">
        <is>
          <t>Assay — Total Δ⁹-THC</t>
        </is>
      </c>
      <c r="I2374" s="245" t="inlineStr">
        <is>
          <t>Ph. Eur. 2.2.29 (HPLC)</t>
        </is>
      </c>
      <c r="J2374" s="245" t="inlineStr">
        <is>
          <t>16.20 – 19.79 %  (grade II, nominal 18.00 ± 1.80)</t>
        </is>
      </c>
      <c r="K2374" s="245" t="inlineStr">
        <is>
          <t>17.84</t>
        </is>
      </c>
      <c r="L2374" s="245" t="inlineStr">
        <is>
          <t>197-21-К/26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SCR012603</t>
        </is>
      </c>
      <c r="D2375" s="245" t="inlineStr">
        <is>
          <t>P060382</t>
        </is>
      </c>
      <c r="E2375" s="245" t="inlineStr">
        <is>
          <t>Scrambler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197-21-К/26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SCR012603</t>
        </is>
      </c>
      <c r="D2376" s="245" t="inlineStr">
        <is>
          <t>P060382</t>
        </is>
      </c>
      <c r="E2376" s="245" t="inlineStr">
        <is>
          <t>Scrambler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197-21-К/26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SCR012603</t>
        </is>
      </c>
      <c r="D2377" s="245" t="inlineStr">
        <is>
          <t>P060382</t>
        </is>
      </c>
      <c r="E2377" s="245" t="inlineStr">
        <is>
          <t>Scrambler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5" t="inlineStr">
        <is>
          <t>Conforms | Одговара</t>
        </is>
      </c>
      <c r="L2377" s="245" t="inlineStr">
        <is>
          <t>iCoA-PP_26-117</t>
        </is>
      </c>
      <c r="M2377" s="245" t="inlineStr">
        <is>
          <t>27.07.2026</t>
        </is>
      </c>
      <c r="N2377" s="245" t="inlineStr">
        <is>
          <t>Purely Plant GmbH (in-house)</t>
        </is>
      </c>
      <c r="O2377" s="245" t="inlineStr">
        <is>
          <t>—</t>
        </is>
      </c>
      <c r="P2377" s="245" t="inlineStr">
        <is>
          <t>covered</t>
        </is>
      </c>
      <c r="Q2377" s="245" t="inlineStr">
        <is>
          <t>Purely Plant laboratory — iCoA covering Foreign matter</t>
        </is>
      </c>
      <c r="R2377" s="245" t="inlineStr"/>
    </row>
    <row r="2378">
      <c r="A2378" s="245" t="inlineStr">
        <is>
          <t>CoQ-PP_26-104</t>
        </is>
      </c>
      <c r="B2378" s="245" t="inlineStr">
        <is>
          <t>reissue — 12-month retest</t>
        </is>
      </c>
      <c r="C2378" s="245" t="inlineStr">
        <is>
          <t>SCR012603</t>
        </is>
      </c>
      <c r="D2378" s="245" t="inlineStr">
        <is>
          <t>P060382</t>
        </is>
      </c>
      <c r="E2378" s="245" t="inlineStr">
        <is>
          <t>Scrambler</t>
        </is>
      </c>
      <c r="F2378" s="245" t="inlineStr">
        <is>
          <t>17.08.2026</t>
        </is>
      </c>
      <c r="G2378" s="245" t="inlineStr">
        <is>
          <t>8</t>
        </is>
      </c>
      <c r="H2378" s="245" t="inlineStr">
        <is>
          <t>Loss on Drying</t>
        </is>
      </c>
      <c r="I2378" s="245" t="inlineStr">
        <is>
          <t>Ph. Eur. 2.2.32 (3028) · at 40 °C, 24 h, 15–25 mbar</t>
        </is>
      </c>
      <c r="J2378" s="245" t="inlineStr">
        <is>
          <t>≤ 12.0%</t>
        </is>
      </c>
      <c r="K2378" s="245" t="inlineStr">
        <is>
          <t>carried from the initial testing — not tested</t>
        </is>
      </c>
      <c r="L2378" s="245" t="inlineStr">
        <is>
          <t>—</t>
        </is>
      </c>
      <c r="M2378" s="245" t="inlineStr">
        <is>
          <t>—</t>
        </is>
      </c>
      <c r="N2378" s="245" t="inlineStr">
        <is>
          <t>—</t>
        </is>
      </c>
      <c r="O2378" s="245" t="inlineStr">
        <is>
          <t>—</t>
        </is>
      </c>
      <c r="P2378" s="245" t="inlineStr">
        <is>
          <t>carried from the initial testing (CoQ-PP-2026-0026) — not tested — no certificate covers it</t>
        </is>
      </c>
      <c r="Q2378" s="245" t="inlineStr"/>
      <c r="R2378" s="245" t="inlineStr"/>
    </row>
    <row r="2379">
      <c r="A2379" s="245" t="inlineStr">
        <is>
          <t>CoQ-PP_26-104</t>
        </is>
      </c>
      <c r="B2379" s="245" t="inlineStr">
        <is>
          <t>reissue — 12-month retest</t>
        </is>
      </c>
      <c r="C2379" s="245" t="inlineStr">
        <is>
          <t>SCR012603</t>
        </is>
      </c>
      <c r="D2379" s="245" t="inlineStr">
        <is>
          <t>P060382</t>
        </is>
      </c>
      <c r="E2379" s="245" t="inlineStr">
        <is>
          <t>Scrambler</t>
        </is>
      </c>
      <c r="F2379" s="245" t="inlineStr">
        <is>
          <t>17.08.2026</t>
        </is>
      </c>
      <c r="G2379" s="245" t="inlineStr">
        <is>
          <t>9.1</t>
        </is>
      </c>
      <c r="H2379" s="245" t="inlineStr">
        <is>
          <t>TAMC</t>
        </is>
      </c>
      <c r="I2379" s="245" t="inlineStr">
        <is>
          <t>Ph. Eur. 2.6.12 cat. C</t>
        </is>
      </c>
      <c r="J2379" s="245" t="inlineStr">
        <is>
          <t>≤ 10⁵ CFU/g</t>
        </is>
      </c>
      <c r="K2379" s="245" t="inlineStr">
        <is>
          <t>5.4 × 10⁴</t>
        </is>
      </c>
      <c r="L2379" s="245" t="inlineStr">
        <is>
          <t>364/0694/26</t>
        </is>
      </c>
      <c r="M2379" s="245" t="inlineStr">
        <is>
          <t>01.06.2026</t>
        </is>
      </c>
      <c r="N2379" s="245" t="inlineStr">
        <is>
          <t>IPH — Institute of Public Health</t>
        </is>
      </c>
      <c r="O2379" s="245" t="inlineStr">
        <is>
          <t>—</t>
        </is>
      </c>
      <c r="P2379" s="245" t="inlineStr">
        <is>
          <t>covered</t>
        </is>
      </c>
      <c r="Q2379" s="245" t="inlineStr"/>
      <c r="R2379" s="245" t="inlineStr"/>
    </row>
    <row r="2380">
      <c r="A2380" s="245" t="inlineStr">
        <is>
          <t>CoQ-PP_26-104</t>
        </is>
      </c>
      <c r="B2380" s="245" t="inlineStr">
        <is>
          <t>reissue — 12-month retest</t>
        </is>
      </c>
      <c r="C2380" s="245" t="inlineStr">
        <is>
          <t>SCR012603</t>
        </is>
      </c>
      <c r="D2380" s="245" t="inlineStr">
        <is>
          <t>P060382</t>
        </is>
      </c>
      <c r="E2380" s="245" t="inlineStr">
        <is>
          <t>Scrambler</t>
        </is>
      </c>
      <c r="F2380" s="245" t="inlineStr">
        <is>
          <t>17.08.2026</t>
        </is>
      </c>
      <c r="G2380" s="245" t="inlineStr">
        <is>
          <t>9.2</t>
        </is>
      </c>
      <c r="H2380" s="245" t="inlineStr">
        <is>
          <t>TYMC</t>
        </is>
      </c>
      <c r="I2380" s="245" t="inlineStr">
        <is>
          <t>Ph. Eur. 2.6.12 cat. C</t>
        </is>
      </c>
      <c r="J2380" s="245" t="inlineStr">
        <is>
          <t>≤ 10⁴ CFU/g</t>
        </is>
      </c>
      <c r="K2380" s="245" t="inlineStr">
        <is>
          <t>1.8 × 10⁴</t>
        </is>
      </c>
      <c r="L2380" s="245" t="inlineStr">
        <is>
          <t>364/0694/26</t>
        </is>
      </c>
      <c r="M2380" s="245" t="inlineStr">
        <is>
          <t>01.06.2026</t>
        </is>
      </c>
      <c r="N2380" s="245" t="inlineStr">
        <is>
          <t>IPH — Institute of Public Health</t>
        </is>
      </c>
      <c r="O2380" s="245" t="inlineStr">
        <is>
          <t>—</t>
        </is>
      </c>
      <c r="P2380" s="245" t="inlineStr">
        <is>
          <t>UNDETERMINED (Ph. Eur. 5.1.4) — covered</t>
        </is>
      </c>
      <c r="Q2380" s="245" t="inlineStr"/>
      <c r="R2380" s="245" t="inlineStr"/>
    </row>
    <row r="2381">
      <c r="A2381" s="245" t="inlineStr">
        <is>
          <t>CoQ-PP_26-104</t>
        </is>
      </c>
      <c r="B2381" s="245" t="inlineStr">
        <is>
          <t>reissue — 12-month retest</t>
        </is>
      </c>
      <c r="C2381" s="245" t="inlineStr">
        <is>
          <t>SCR012603</t>
        </is>
      </c>
      <c r="D2381" s="245" t="inlineStr">
        <is>
          <t>P060382</t>
        </is>
      </c>
      <c r="E2381" s="245" t="inlineStr">
        <is>
          <t>Scrambler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364/0694/26</t>
        </is>
      </c>
      <c r="M2381" s="245" t="inlineStr">
        <is>
          <t>01.06.2026</t>
        </is>
      </c>
      <c r="N2381" s="245" t="inlineStr">
        <is>
          <t>IPH — Institute of Public Health</t>
        </is>
      </c>
      <c r="O2381" s="245" t="inlineStr">
        <is>
          <t>—</t>
        </is>
      </c>
      <c r="P2381" s="245" t="inlineStr">
        <is>
          <t>covered</t>
        </is>
      </c>
      <c r="Q2381" s="245" t="inlineStr"/>
      <c r="R2381" s="245" t="inlineStr"/>
    </row>
    <row r="2382">
      <c r="A2382" s="245" t="inlineStr">
        <is>
          <t>CoQ-PP_26-104</t>
        </is>
      </c>
      <c r="B2382" s="245" t="inlineStr">
        <is>
          <t>reissue — 12-month retest</t>
        </is>
      </c>
      <c r="C2382" s="245" t="inlineStr">
        <is>
          <t>SCR012603</t>
        </is>
      </c>
      <c r="D2382" s="245" t="inlineStr">
        <is>
          <t>P060382</t>
        </is>
      </c>
      <c r="E2382" s="245" t="inlineStr">
        <is>
          <t>Scrambler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364/0694/26</t>
        </is>
      </c>
      <c r="M2382" s="245" t="inlineStr">
        <is>
          <t>01.06.2026</t>
        </is>
      </c>
      <c r="N2382" s="245" t="inlineStr">
        <is>
          <t>IPH — Institute of Public Health</t>
        </is>
      </c>
      <c r="O2382" s="245" t="inlineStr">
        <is>
          <t>—</t>
        </is>
      </c>
      <c r="P2382" s="245" t="inlineStr">
        <is>
          <t>covered</t>
        </is>
      </c>
      <c r="Q2382" s="245" t="inlineStr"/>
      <c r="R2382" s="245" t="inlineStr"/>
    </row>
    <row r="2383">
      <c r="A2383" s="245" t="inlineStr">
        <is>
          <t>CoQ-PP_26-104</t>
        </is>
      </c>
      <c r="B2383" s="245" t="inlineStr">
        <is>
          <t>reissue — 12-month retest</t>
        </is>
      </c>
      <c r="C2383" s="245" t="inlineStr">
        <is>
          <t>SCR012603</t>
        </is>
      </c>
      <c r="D2383" s="245" t="inlineStr">
        <is>
          <t>P060382</t>
        </is>
      </c>
      <c r="E2383" s="245" t="inlineStr">
        <is>
          <t>Scrambler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364/0694/26</t>
        </is>
      </c>
      <c r="M2383" s="245" t="inlineStr">
        <is>
          <t>01.06.2026</t>
        </is>
      </c>
      <c r="N2383" s="245" t="inlineStr">
        <is>
          <t>IPH — Institute of Public Health</t>
        </is>
      </c>
      <c r="O2383" s="245" t="inlineStr">
        <is>
          <t>—</t>
        </is>
      </c>
      <c r="P2383" s="245" t="inlineStr">
        <is>
          <t>covered</t>
        </is>
      </c>
      <c r="Q2383" s="245" t="inlineStr"/>
      <c r="R2383" s="245" t="inlineStr"/>
    </row>
    <row r="2384">
      <c r="A2384" s="245" t="inlineStr">
        <is>
          <t>CoQ-PP_26-104</t>
        </is>
      </c>
      <c r="B2384" s="245" t="inlineStr">
        <is>
          <t>reissue — 12-month retest</t>
        </is>
      </c>
      <c r="C2384" s="245" t="inlineStr">
        <is>
          <t>SCR012603</t>
        </is>
      </c>
      <c r="D2384" s="245" t="inlineStr">
        <is>
          <t>P060382</t>
        </is>
      </c>
      <c r="E2384" s="245" t="inlineStr">
        <is>
          <t>Scrambler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SCR012603</t>
        </is>
      </c>
      <c r="D2385" s="245" t="inlineStr">
        <is>
          <t>P060382</t>
        </is>
      </c>
      <c r="E2385" s="245" t="inlineStr">
        <is>
          <t>Scrambler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SCR012603</t>
        </is>
      </c>
      <c r="D2386" s="245" t="inlineStr">
        <is>
          <t>P060382</t>
        </is>
      </c>
      <c r="E2386" s="245" t="inlineStr">
        <is>
          <t>Scrambler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197-21-М/26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SCR012603</t>
        </is>
      </c>
      <c r="D2387" s="245" t="inlineStr">
        <is>
          <t>P060382</t>
        </is>
      </c>
      <c r="E2387" s="245" t="inlineStr">
        <is>
          <t>Scrambler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197-21-М/26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SCR012603</t>
        </is>
      </c>
      <c r="D2388" s="245" t="inlineStr">
        <is>
          <t>P060382</t>
        </is>
      </c>
      <c r="E2388" s="245" t="inlineStr">
        <is>
          <t>Scrambler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197-21-М/26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SCR012603</t>
        </is>
      </c>
      <c r="D2389" s="245" t="inlineStr">
        <is>
          <t>P060382</t>
        </is>
      </c>
      <c r="E2389" s="245" t="inlineStr">
        <is>
          <t>Scrambler</t>
        </is>
      </c>
      <c r="F2389" s="245" t="inlineStr">
        <is>
          <t>17.08.2026</t>
        </is>
      </c>
      <c r="G2389" s="245" t="inlineStr">
        <is>
          <t>11.1</t>
        </is>
      </c>
      <c r="H2389" s="245" t="inlineStr">
        <is>
          <t>Lead (Pb)</t>
        </is>
      </c>
      <c r="I2389" s="245" t="inlineStr">
        <is>
          <t>Ph. Eur. 2.4.27 (ICP-MS)</t>
        </is>
      </c>
      <c r="J2389" s="245" t="inlineStr">
        <is>
          <t>≤ 0.5 mg/kg</t>
        </is>
      </c>
      <c r="K2389" s="245" t="inlineStr">
        <is>
          <t>carried from the initial testing — not tested</t>
        </is>
      </c>
      <c r="L2389" s="245" t="inlineStr">
        <is>
          <t>—</t>
        </is>
      </c>
      <c r="M2389" s="245" t="inlineStr">
        <is>
          <t>—</t>
        </is>
      </c>
      <c r="N2389" s="245" t="inlineStr">
        <is>
          <t>—</t>
        </is>
      </c>
      <c r="O2389" s="245" t="inlineStr">
        <is>
          <t>—</t>
        </is>
      </c>
      <c r="P2389" s="245" t="inlineStr">
        <is>
          <t>carried from the initial testing (CoQ-PP-2026-0026) — not tested — no certificate covers it</t>
        </is>
      </c>
      <c r="Q2389" s="245" t="inlineStr"/>
      <c r="R2389" s="245" t="inlineStr"/>
    </row>
    <row r="2390">
      <c r="A2390" s="245" t="inlineStr">
        <is>
          <t>CoQ-PP_26-104</t>
        </is>
      </c>
      <c r="B2390" s="245" t="inlineStr">
        <is>
          <t>reissue — 12-month retest</t>
        </is>
      </c>
      <c r="C2390" s="245" t="inlineStr">
        <is>
          <t>SCR012603</t>
        </is>
      </c>
      <c r="D2390" s="245" t="inlineStr">
        <is>
          <t>P060382</t>
        </is>
      </c>
      <c r="E2390" s="245" t="inlineStr">
        <is>
          <t>Scrambler</t>
        </is>
      </c>
      <c r="F2390" s="245" t="inlineStr">
        <is>
          <t>17.08.2026</t>
        </is>
      </c>
      <c r="G2390" s="245" t="inlineStr">
        <is>
          <t>11.2</t>
        </is>
      </c>
      <c r="H2390" s="245" t="inlineStr">
        <is>
          <t>Cadmium (Cd)</t>
        </is>
      </c>
      <c r="I2390" s="245" t="inlineStr">
        <is>
          <t>Ph. Eur. 2.4.27 (ICP-MS)</t>
        </is>
      </c>
      <c r="J2390" s="245" t="inlineStr">
        <is>
          <t>≤ 0.3 mg/kg</t>
        </is>
      </c>
      <c r="K2390" s="245" t="inlineStr">
        <is>
          <t>carried from the initial testing — not tested</t>
        </is>
      </c>
      <c r="L2390" s="245" t="inlineStr">
        <is>
          <t>—</t>
        </is>
      </c>
      <c r="M2390" s="245" t="inlineStr">
        <is>
          <t>—</t>
        </is>
      </c>
      <c r="N2390" s="245" t="inlineStr">
        <is>
          <t>—</t>
        </is>
      </c>
      <c r="O2390" s="245" t="inlineStr">
        <is>
          <t>—</t>
        </is>
      </c>
      <c r="P2390" s="245" t="inlineStr">
        <is>
          <t>carried from the initial testing (CoQ-PP-2026-0026) — not tested — no certificate covers it</t>
        </is>
      </c>
      <c r="Q2390" s="245" t="inlineStr"/>
      <c r="R2390" s="245" t="inlineStr"/>
    </row>
    <row r="2391">
      <c r="A2391" s="245" t="inlineStr">
        <is>
          <t>CoQ-PP_26-104</t>
        </is>
      </c>
      <c r="B2391" s="245" t="inlineStr">
        <is>
          <t>reissue — 12-month retest</t>
        </is>
      </c>
      <c r="C2391" s="245" t="inlineStr">
        <is>
          <t>SCR012603</t>
        </is>
      </c>
      <c r="D2391" s="245" t="inlineStr">
        <is>
          <t>P060382</t>
        </is>
      </c>
      <c r="E2391" s="245" t="inlineStr">
        <is>
          <t>Scrambler</t>
        </is>
      </c>
      <c r="F2391" s="245" t="inlineStr">
        <is>
          <t>17.08.2026</t>
        </is>
      </c>
      <c r="G2391" s="245" t="inlineStr">
        <is>
          <t>11.3</t>
        </is>
      </c>
      <c r="H2391" s="245" t="inlineStr">
        <is>
          <t>Arsenic (As)</t>
        </is>
      </c>
      <c r="I2391" s="245" t="inlineStr">
        <is>
          <t>Ph. Eur. 2.4.27 (ICP-MS)</t>
        </is>
      </c>
      <c r="J2391" s="245" t="inlineStr">
        <is>
          <t>≤ 0.2 mg/kg</t>
        </is>
      </c>
      <c r="K2391" s="245" t="inlineStr">
        <is>
          <t>carried from the initial testing — not tested</t>
        </is>
      </c>
      <c r="L2391" s="245" t="inlineStr">
        <is>
          <t>—</t>
        </is>
      </c>
      <c r="M2391" s="245" t="inlineStr">
        <is>
          <t>—</t>
        </is>
      </c>
      <c r="N2391" s="245" t="inlineStr">
        <is>
          <t>—</t>
        </is>
      </c>
      <c r="O2391" s="245" t="inlineStr">
        <is>
          <t>—</t>
        </is>
      </c>
      <c r="P2391" s="245" t="inlineStr">
        <is>
          <t>carried from the initial testing (CoQ-PP-2026-0026) — not tested — no certificate covers it</t>
        </is>
      </c>
      <c r="Q2391" s="245" t="inlineStr"/>
      <c r="R2391" s="245" t="inlineStr"/>
    </row>
    <row r="2392">
      <c r="A2392" s="245" t="inlineStr">
        <is>
          <t>CoQ-PP_26-104</t>
        </is>
      </c>
      <c r="B2392" s="245" t="inlineStr">
        <is>
          <t>reissue — 12-month retest</t>
        </is>
      </c>
      <c r="C2392" s="245" t="inlineStr">
        <is>
          <t>SCR012603</t>
        </is>
      </c>
      <c r="D2392" s="245" t="inlineStr">
        <is>
          <t>P060382</t>
        </is>
      </c>
      <c r="E2392" s="245" t="inlineStr">
        <is>
          <t>Scrambler</t>
        </is>
      </c>
      <c r="F2392" s="245" t="inlineStr">
        <is>
          <t>17.08.2026</t>
        </is>
      </c>
      <c r="G2392" s="245" t="inlineStr">
        <is>
          <t>11.4</t>
        </is>
      </c>
      <c r="H2392" s="245" t="inlineStr">
        <is>
          <t>Mercury (Hg)</t>
        </is>
      </c>
      <c r="I2392" s="245" t="inlineStr">
        <is>
          <t>Ph. Eur. 2.4.27 (ICP-MS)</t>
        </is>
      </c>
      <c r="J2392" s="245" t="inlineStr">
        <is>
          <t>≤ 0.1 mg/kg</t>
        </is>
      </c>
      <c r="K2392" s="245" t="inlineStr">
        <is>
          <t>carried from the initial testing — not tested</t>
        </is>
      </c>
      <c r="L2392" s="245" t="inlineStr">
        <is>
          <t>—</t>
        </is>
      </c>
      <c r="M2392" s="245" t="inlineStr">
        <is>
          <t>—</t>
        </is>
      </c>
      <c r="N2392" s="245" t="inlineStr">
        <is>
          <t>—</t>
        </is>
      </c>
      <c r="O2392" s="245" t="inlineStr">
        <is>
          <t>—</t>
        </is>
      </c>
      <c r="P2392" s="245" t="inlineStr">
        <is>
          <t>carried from the initial testing (CoQ-PP-2026-0026) — not tested — no certificate covers it</t>
        </is>
      </c>
      <c r="Q2392" s="245" t="inlineStr"/>
      <c r="R2392" s="245" t="inlineStr"/>
    </row>
    <row r="2393">
      <c r="A2393" s="245" t="inlineStr">
        <is>
          <t>CoQ-PP_26-104</t>
        </is>
      </c>
      <c r="B2393" s="245" t="inlineStr">
        <is>
          <t>reissue — 12-month retest</t>
        </is>
      </c>
      <c r="C2393" s="245" t="inlineStr">
        <is>
          <t>SCR012603</t>
        </is>
      </c>
      <c r="D2393" s="245" t="inlineStr">
        <is>
          <t>P060382</t>
        </is>
      </c>
      <c r="E2393" s="245" t="inlineStr">
        <is>
          <t>Scrambler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carried from the initial testing — not tested</t>
        </is>
      </c>
      <c r="L2393" s="245" t="inlineStr">
        <is>
          <t>—</t>
        </is>
      </c>
      <c r="M2393" s="245" t="inlineStr">
        <is>
          <t>—</t>
        </is>
      </c>
      <c r="N2393" s="245" t="inlineStr">
        <is>
          <t>—</t>
        </is>
      </c>
      <c r="O2393" s="245" t="inlineStr">
        <is>
          <t>—</t>
        </is>
      </c>
      <c r="P2393" s="245" t="inlineStr">
        <is>
          <t>carried from the initial testing (CoQ-PP-2026-0026) — not tested — no certificate covers it</t>
        </is>
      </c>
      <c r="Q2393" s="245" t="inlineStr"/>
      <c r="R2393" s="245" t="inlineStr"/>
    </row>
    <row r="2394">
      <c r="A2394" s="245" t="inlineStr">
        <is>
          <t>CoQ-PP_26-105</t>
        </is>
      </c>
      <c r="B2394" s="245" t="inlineStr">
        <is>
          <t>reissue — 12-month retest</t>
        </is>
      </c>
      <c r="C2394" s="245" t="inlineStr">
        <is>
          <t>CJ062501-2</t>
        </is>
      </c>
      <c r="D2394" s="245" t="inlineStr">
        <is>
          <t>P050212</t>
        </is>
      </c>
      <c r="E2394" s="245" t="inlineStr">
        <is>
          <t>Cap Junkie</t>
        </is>
      </c>
      <c r="F2394" s="245" t="inlineStr">
        <is>
          <t>07.09.2026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5" t="inlineStr">
        <is>
          <t>Conforms | Одговара</t>
        </is>
      </c>
      <c r="L2394" s="245" t="inlineStr">
        <is>
          <t>iCoA-PP_26-101</t>
        </is>
      </c>
      <c r="M2394" s="245" t="inlineStr">
        <is>
          <t>27.07.2026</t>
        </is>
      </c>
      <c r="N2394" s="245" t="inlineStr">
        <is>
          <t>Purely Plant GmbH (in-house)</t>
        </is>
      </c>
      <c r="O2394" s="245" t="inlineStr">
        <is>
          <t>—</t>
        </is>
      </c>
      <c r="P2394" s="245" t="inlineStr">
        <is>
          <t>covered</t>
        </is>
      </c>
      <c r="Q2394" s="245" t="inlineStr">
        <is>
          <t>Farmahem — Ident A + B + C with the Assay, at retest</t>
        </is>
      </c>
      <c r="R2394" s="245" t="inlineStr"/>
    </row>
    <row r="2395">
      <c r="A2395" s="245" t="inlineStr">
        <is>
          <t>CoQ-PP_26-105</t>
        </is>
      </c>
      <c r="B2395" s="245" t="inlineStr">
        <is>
          <t>reissue — 12-month retest</t>
        </is>
      </c>
      <c r="C2395" s="245" t="inlineStr">
        <is>
          <t>CJ062501-2</t>
        </is>
      </c>
      <c r="D2395" s="245" t="inlineStr">
        <is>
          <t>P050212</t>
        </is>
      </c>
      <c r="E2395" s="245" t="inlineStr">
        <is>
          <t>Cap Junkie</t>
        </is>
      </c>
      <c r="F2395" s="245" t="inlineStr">
        <is>
          <t>07.09.2026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5" t="inlineStr">
        <is>
          <t>Conforms | Одговара</t>
        </is>
      </c>
      <c r="L2395" s="245" t="inlineStr">
        <is>
          <t>iCoA-PP_26-101</t>
        </is>
      </c>
      <c r="M2395" s="245" t="inlineStr">
        <is>
          <t>27.07.2026</t>
        </is>
      </c>
      <c r="N2395" s="245" t="inlineStr">
        <is>
          <t>Purely Plant GmbH (in-house)</t>
        </is>
      </c>
      <c r="O2395" s="245" t="inlineStr">
        <is>
          <t>—</t>
        </is>
      </c>
      <c r="P2395" s="245" t="inlineStr">
        <is>
          <t>covered</t>
        </is>
      </c>
      <c r="Q2395" s="245" t="inlineStr">
        <is>
          <t>Farmahem — Ident A + B + C with the Assay, at retest</t>
        </is>
      </c>
      <c r="R2395" s="245" t="inlineStr"/>
    </row>
    <row r="2396">
      <c r="A2396" s="245" t="inlineStr">
        <is>
          <t>CoQ-PP_26-105</t>
        </is>
      </c>
      <c r="B2396" s="245" t="inlineStr">
        <is>
          <t>reissue — 12-month retest</t>
        </is>
      </c>
      <c r="C2396" s="245" t="inlineStr">
        <is>
          <t>CJ062501-2</t>
        </is>
      </c>
      <c r="D2396" s="245" t="inlineStr">
        <is>
          <t>P050212</t>
        </is>
      </c>
      <c r="E2396" s="245" t="inlineStr">
        <is>
          <t>Cap Junkie</t>
        </is>
      </c>
      <c r="F2396" s="245" t="inlineStr">
        <is>
          <t>07.09.2026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197-4-К/26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CJ062501-2</t>
        </is>
      </c>
      <c r="D2397" s="245" t="inlineStr">
        <is>
          <t>P050212</t>
        </is>
      </c>
      <c r="E2397" s="245" t="inlineStr">
        <is>
          <t>Cap Junkie</t>
        </is>
      </c>
      <c r="F2397" s="245" t="inlineStr">
        <is>
          <t>07.09.2026</t>
        </is>
      </c>
      <c r="G2397" s="245" t="inlineStr">
        <is>
          <t>4</t>
        </is>
      </c>
      <c r="H2397" s="245" t="inlineStr">
        <is>
          <t>Assay — Total Δ⁹-THC</t>
        </is>
      </c>
      <c r="I2397" s="245" t="inlineStr">
        <is>
          <t>Ph. Eur. 2.2.29 (HPLC)</t>
        </is>
      </c>
      <c r="J2397" s="245" t="inlineStr">
        <is>
          <t>18.40 – 21.59 %  (grade III, nominal 20.00 ± 1.60)</t>
        </is>
      </c>
      <c r="K2397" s="245" t="inlineStr">
        <is>
          <t>18.91</t>
        </is>
      </c>
      <c r="L2397" s="245" t="inlineStr">
        <is>
          <t>197-4-К/26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CJ062501-2</t>
        </is>
      </c>
      <c r="D2398" s="245" t="inlineStr">
        <is>
          <t>P050212</t>
        </is>
      </c>
      <c r="E2398" s="245" t="inlineStr">
        <is>
          <t>Cap Junkie</t>
        </is>
      </c>
      <c r="F2398" s="245" t="inlineStr">
        <is>
          <t>07.09.2026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197-4-К/26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CJ062501-2</t>
        </is>
      </c>
      <c r="D2399" s="245" t="inlineStr">
        <is>
          <t>P050212</t>
        </is>
      </c>
      <c r="E2399" s="245" t="inlineStr">
        <is>
          <t>Cap Junkie</t>
        </is>
      </c>
      <c r="F2399" s="245" t="inlineStr">
        <is>
          <t>07.09.2026</t>
        </is>
      </c>
      <c r="G2399" s="245" t="inlineStr">
        <is>
          <t>6</t>
        </is>
      </c>
      <c r="H2399" s="245" t="inlineStr">
        <is>
          <t>Total CBN</t>
        </is>
      </c>
      <c r="I2399" s="245" t="inlineStr">
        <is>
          <t>Ph. Eur. 2.2.29 (HPLC) · CBN + CBNA x 0.876</t>
        </is>
      </c>
      <c r="J2399" s="245" t="inlineStr">
        <is>
          <t>≤ 1.0%, w/w</t>
        </is>
      </c>
      <c r="K2399" s="245" t="inlineStr">
        <is>
          <t>&lt; LOQ</t>
        </is>
      </c>
      <c r="L2399" s="245" t="inlineStr">
        <is>
          <t>197-4-К/26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CJ062501-2</t>
        </is>
      </c>
      <c r="D2400" s="245" t="inlineStr">
        <is>
          <t>P050212</t>
        </is>
      </c>
      <c r="E2400" s="245" t="inlineStr">
        <is>
          <t>Cap Junkie</t>
        </is>
      </c>
      <c r="F2400" s="245" t="inlineStr">
        <is>
          <t>07.09.2026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5" t="inlineStr">
        <is>
          <t>Conforms | Одговара</t>
        </is>
      </c>
      <c r="L2400" s="245" t="inlineStr">
        <is>
          <t>iCoA-PP_26-101</t>
        </is>
      </c>
      <c r="M2400" s="245" t="inlineStr">
        <is>
          <t>27.07.2026</t>
        </is>
      </c>
      <c r="N2400" s="245" t="inlineStr">
        <is>
          <t>Purely Plant GmbH (in-house)</t>
        </is>
      </c>
      <c r="O2400" s="245" t="inlineStr">
        <is>
          <t>—</t>
        </is>
      </c>
      <c r="P2400" s="245" t="inlineStr">
        <is>
          <t>covered</t>
        </is>
      </c>
      <c r="Q2400" s="245" t="inlineStr">
        <is>
          <t>Purely Plant laboratory — iCoA covering Foreign matter</t>
        </is>
      </c>
      <c r="R2400" s="245" t="inlineStr"/>
    </row>
    <row r="2401">
      <c r="A2401" s="245" t="inlineStr">
        <is>
          <t>CoQ-PP_26-105</t>
        </is>
      </c>
      <c r="B2401" s="245" t="inlineStr">
        <is>
          <t>reissue — 12-month retest</t>
        </is>
      </c>
      <c r="C2401" s="245" t="inlineStr">
        <is>
          <t>CJ062501-2</t>
        </is>
      </c>
      <c r="D2401" s="245" t="inlineStr">
        <is>
          <t>P050212</t>
        </is>
      </c>
      <c r="E2401" s="245" t="inlineStr">
        <is>
          <t>Cap Junkie</t>
        </is>
      </c>
      <c r="F2401" s="245" t="inlineStr">
        <is>
          <t>07.09.2026</t>
        </is>
      </c>
      <c r="G2401" s="245" t="inlineStr">
        <is>
          <t>8</t>
        </is>
      </c>
      <c r="H2401" s="245" t="inlineStr">
        <is>
          <t>Loss on Drying</t>
        </is>
      </c>
      <c r="I2401" s="245" t="inlineStr">
        <is>
          <t>DAB 2018 monograph Cannabis flos, 2.2.32 — loss on drying (CNP, before its Ph. Eur. 3028 accreditation)</t>
        </is>
      </c>
      <c r="J2401" s="245" t="inlineStr">
        <is>
          <t>≤ 12.0%</t>
        </is>
      </c>
      <c r="K2401" s="245" t="inlineStr">
        <is>
          <t>6.70</t>
        </is>
      </c>
      <c r="L2401" s="245" t="inlineStr">
        <is>
          <t>ППК25322</t>
        </is>
      </c>
      <c r="M2401" s="245" t="inlineStr">
        <is>
          <t>23.10.2025</t>
        </is>
      </c>
      <c r="N2401" s="245" t="inlineStr">
        <is>
          <t>UKIM Faculty of Pharmacy — Center for Natural Products</t>
        </is>
      </c>
      <c r="O2401" s="245" t="inlineStr">
        <is>
          <t>10.10.2025</t>
        </is>
      </c>
      <c r="P2401" s="245" t="inlineStr">
        <is>
          <t>carried from the initial testing (the batch's initial CoQ (number assigned on issue)) — covered</t>
        </is>
      </c>
      <c r="Q2401" s="245" t="inlineStr"/>
      <c r="R2401" s="245" t="inlineStr"/>
    </row>
    <row r="2402">
      <c r="A2402" s="245" t="inlineStr">
        <is>
          <t>CoQ-PP_26-105</t>
        </is>
      </c>
      <c r="B2402" s="245" t="inlineStr">
        <is>
          <t>reissue — 12-month retest</t>
        </is>
      </c>
      <c r="C2402" s="245" t="inlineStr">
        <is>
          <t>CJ062501-2</t>
        </is>
      </c>
      <c r="D2402" s="245" t="inlineStr">
        <is>
          <t>P050212</t>
        </is>
      </c>
      <c r="E2402" s="245" t="inlineStr">
        <is>
          <t>Cap Junkie</t>
        </is>
      </c>
      <c r="F2402" s="245" t="inlineStr">
        <is>
          <t>07.09.2026</t>
        </is>
      </c>
      <c r="G2402" s="245" t="inlineStr">
        <is>
          <t>9.1</t>
        </is>
      </c>
      <c r="H2402" s="245" t="inlineStr">
        <is>
          <t>TAMC</t>
        </is>
      </c>
      <c r="I2402" s="245" t="inlineStr">
        <is>
          <t>Ph. Eur. 2.6.12 cat. C</t>
        </is>
      </c>
      <c r="J2402" s="245" t="inlineStr">
        <is>
          <t>≤ 10⁵ CFU/g</t>
        </is>
      </c>
      <c r="K2402" s="245" t="inlineStr">
        <is>
          <t>6,2 × 10³</t>
        </is>
      </c>
      <c r="L2402" s="245" t="inlineStr">
        <is>
          <t>534/1065/26</t>
        </is>
      </c>
      <c r="M2402" s="245" t="inlineStr">
        <is>
          <t>31.08.2026</t>
        </is>
      </c>
      <c r="N2402" s="245" t="inlineStr">
        <is>
          <t>IPH — Institute of Public Health</t>
        </is>
      </c>
      <c r="O2402" s="245" t="inlineStr">
        <is>
          <t>—</t>
        </is>
      </c>
      <c r="P2402" s="245" t="inlineStr">
        <is>
          <t>covered</t>
        </is>
      </c>
      <c r="Q2402" s="245" t="inlineStr"/>
      <c r="R2402" s="245" t="inlineStr"/>
    </row>
    <row r="2403">
      <c r="A2403" s="245" t="inlineStr">
        <is>
          <t>CoQ-PP_26-105</t>
        </is>
      </c>
      <c r="B2403" s="245" t="inlineStr">
        <is>
          <t>reissue — 12-month retest</t>
        </is>
      </c>
      <c r="C2403" s="245" t="inlineStr">
        <is>
          <t>CJ062501-2</t>
        </is>
      </c>
      <c r="D2403" s="245" t="inlineStr">
        <is>
          <t>P050212</t>
        </is>
      </c>
      <c r="E2403" s="245" t="inlineStr">
        <is>
          <t>Cap Junkie</t>
        </is>
      </c>
      <c r="F2403" s="245" t="inlineStr">
        <is>
          <t>07.09.2026</t>
        </is>
      </c>
      <c r="G2403" s="245" t="inlineStr">
        <is>
          <t>9.2</t>
        </is>
      </c>
      <c r="H2403" s="245" t="inlineStr">
        <is>
          <t>TYMC</t>
        </is>
      </c>
      <c r="I2403" s="245" t="inlineStr">
        <is>
          <t>Ph. Eur. 2.6.12 cat. C</t>
        </is>
      </c>
      <c r="J2403" s="245" t="inlineStr">
        <is>
          <t>≤ 10⁴ CFU/g</t>
        </is>
      </c>
      <c r="K2403" s="245" t="inlineStr">
        <is>
          <t>2,3 × 10²</t>
        </is>
      </c>
      <c r="L2403" s="245" t="inlineStr">
        <is>
          <t>534/1065/26</t>
        </is>
      </c>
      <c r="M2403" s="245" t="inlineStr">
        <is>
          <t>31.08.2026</t>
        </is>
      </c>
      <c r="N2403" s="245" t="inlineStr">
        <is>
          <t>IPH — Institute of Public Health</t>
        </is>
      </c>
      <c r="O2403" s="245" t="inlineStr">
        <is>
          <t>—</t>
        </is>
      </c>
      <c r="P2403" s="245" t="inlineStr">
        <is>
          <t>covered</t>
        </is>
      </c>
      <c r="Q2403" s="245" t="inlineStr"/>
      <c r="R2403" s="245" t="inlineStr"/>
    </row>
    <row r="2404">
      <c r="A2404" s="245" t="inlineStr">
        <is>
          <t>CoQ-PP_26-105</t>
        </is>
      </c>
      <c r="B2404" s="245" t="inlineStr">
        <is>
          <t>reissue — 12-month retest</t>
        </is>
      </c>
      <c r="C2404" s="245" t="inlineStr">
        <is>
          <t>CJ062501-2</t>
        </is>
      </c>
      <c r="D2404" s="245" t="inlineStr">
        <is>
          <t>P050212</t>
        </is>
      </c>
      <c r="E2404" s="245" t="inlineStr">
        <is>
          <t>Cap Junkie</t>
        </is>
      </c>
      <c r="F2404" s="245" t="inlineStr">
        <is>
          <t>07.09.2026</t>
        </is>
      </c>
      <c r="G2404" s="245" t="inlineStr">
        <is>
          <t>9.3</t>
        </is>
      </c>
      <c r="H2404" s="245" t="inlineStr">
        <is>
          <t>Bile-tolerant gram-neg.</t>
        </is>
      </c>
      <c r="I2404" s="245" t="inlineStr">
        <is>
          <t>Ph. Eur. 2.6.31 cat. C</t>
        </is>
      </c>
      <c r="J2404" s="245" t="inlineStr">
        <is>
          <t>≤ 10⁴ CFU/g</t>
        </is>
      </c>
      <c r="K2404" s="245" t="inlineStr">
        <is>
          <t>&lt; 10⁴ and &gt; 10³</t>
        </is>
      </c>
      <c r="L2404" s="245" t="inlineStr">
        <is>
          <t>534/1065/26</t>
        </is>
      </c>
      <c r="M2404" s="245" t="inlineStr">
        <is>
          <t>31.08.2026</t>
        </is>
      </c>
      <c r="N2404" s="245" t="inlineStr">
        <is>
          <t>IPH — Institute of Public Health</t>
        </is>
      </c>
      <c r="O2404" s="245" t="inlineStr">
        <is>
          <t>—</t>
        </is>
      </c>
      <c r="P2404" s="245" t="inlineStr">
        <is>
          <t>covered</t>
        </is>
      </c>
      <c r="Q2404" s="245" t="inlineStr"/>
      <c r="R2404" s="245" t="inlineStr"/>
    </row>
    <row r="2405">
      <c r="A2405" s="245" t="inlineStr">
        <is>
          <t>CoQ-PP_26-105</t>
        </is>
      </c>
      <c r="B2405" s="245" t="inlineStr">
        <is>
          <t>reissue — 12-month retest</t>
        </is>
      </c>
      <c r="C2405" s="245" t="inlineStr">
        <is>
          <t>CJ062501-2</t>
        </is>
      </c>
      <c r="D2405" s="245" t="inlineStr">
        <is>
          <t>P050212</t>
        </is>
      </c>
      <c r="E2405" s="245" t="inlineStr">
        <is>
          <t>Cap Junkie</t>
        </is>
      </c>
      <c r="F2405" s="245" t="inlineStr">
        <is>
          <t>07.09.2026</t>
        </is>
      </c>
      <c r="G2405" s="245" t="inlineStr">
        <is>
          <t>9.4</t>
        </is>
      </c>
      <c r="H2405" s="245" t="inlineStr">
        <is>
          <t>Salmonella</t>
        </is>
      </c>
      <c r="I2405" s="245" t="inlineStr">
        <is>
          <t>Ph. Eur. 2.6.31 cat. C</t>
        </is>
      </c>
      <c r="J2405" s="245" t="inlineStr">
        <is>
          <t>Absence | Отсуство / 25 g</t>
        </is>
      </c>
      <c r="K2405" s="245" t="inlineStr">
        <is>
          <t>Absent | Отсутна</t>
        </is>
      </c>
      <c r="L2405" s="245" t="inlineStr">
        <is>
          <t>534/1065/26</t>
        </is>
      </c>
      <c r="M2405" s="245" t="inlineStr">
        <is>
          <t>31.08.2026</t>
        </is>
      </c>
      <c r="N2405" s="245" t="inlineStr">
        <is>
          <t>IPH — Institute of Public Health</t>
        </is>
      </c>
      <c r="O2405" s="245" t="inlineStr">
        <is>
          <t>—</t>
        </is>
      </c>
      <c r="P2405" s="245" t="inlineStr">
        <is>
          <t>covered</t>
        </is>
      </c>
      <c r="Q2405" s="245" t="inlineStr"/>
      <c r="R2405" s="245" t="inlineStr"/>
    </row>
    <row r="2406">
      <c r="A2406" s="245" t="inlineStr">
        <is>
          <t>CoQ-PP_26-105</t>
        </is>
      </c>
      <c r="B2406" s="245" t="inlineStr">
        <is>
          <t>reissue — 12-month retest</t>
        </is>
      </c>
      <c r="C2406" s="245" t="inlineStr">
        <is>
          <t>CJ062501-2</t>
        </is>
      </c>
      <c r="D2406" s="245" t="inlineStr">
        <is>
          <t>P050212</t>
        </is>
      </c>
      <c r="E2406" s="245" t="inlineStr">
        <is>
          <t>Cap Junkie</t>
        </is>
      </c>
      <c r="F2406" s="245" t="inlineStr">
        <is>
          <t>07.09.2026</t>
        </is>
      </c>
      <c r="G2406" s="245" t="inlineStr">
        <is>
          <t>9.5</t>
        </is>
      </c>
      <c r="H2406" s="245" t="inlineStr">
        <is>
          <t>Escherichia coli</t>
        </is>
      </c>
      <c r="I2406" s="245" t="inlineStr">
        <is>
          <t>Ph. Eur. 2.6.13 cat. C</t>
        </is>
      </c>
      <c r="J2406" s="245" t="inlineStr">
        <is>
          <t>Absence | Отсуство / 1 g</t>
        </is>
      </c>
      <c r="K2406" s="245" t="inlineStr">
        <is>
          <t>Absent | Отсутна</t>
        </is>
      </c>
      <c r="L2406" s="245" t="inlineStr">
        <is>
          <t>534/1065/26</t>
        </is>
      </c>
      <c r="M2406" s="245" t="inlineStr">
        <is>
          <t>31.08.2026</t>
        </is>
      </c>
      <c r="N2406" s="245" t="inlineStr">
        <is>
          <t>IPH — Institute of Public Health</t>
        </is>
      </c>
      <c r="O2406" s="245" t="inlineStr">
        <is>
          <t>—</t>
        </is>
      </c>
      <c r="P2406" s="245" t="inlineStr">
        <is>
          <t>covered</t>
        </is>
      </c>
      <c r="Q2406" s="245" t="inlineStr"/>
      <c r="R2406" s="245" t="inlineStr"/>
    </row>
    <row r="2407">
      <c r="A2407" s="245" t="inlineStr">
        <is>
          <t>CoQ-PP_26-105</t>
        </is>
      </c>
      <c r="B2407" s="245" t="inlineStr">
        <is>
          <t>reissue — 12-month retest</t>
        </is>
      </c>
      <c r="C2407" s="245" t="inlineStr">
        <is>
          <t>CJ062501-2</t>
        </is>
      </c>
      <c r="D2407" s="245" t="inlineStr">
        <is>
          <t>P050212</t>
        </is>
      </c>
      <c r="E2407" s="245" t="inlineStr">
        <is>
          <t>Cap Junkie</t>
        </is>
      </c>
      <c r="F2407" s="245" t="inlineStr">
        <is>
          <t>07.09.2026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CJ062501-2</t>
        </is>
      </c>
      <c r="D2408" s="245" t="inlineStr">
        <is>
          <t>P050212</t>
        </is>
      </c>
      <c r="E2408" s="245" t="inlineStr">
        <is>
          <t>Cap Junkie</t>
        </is>
      </c>
      <c r="F2408" s="245" t="inlineStr">
        <is>
          <t>07.09.2026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CJ062501-2</t>
        </is>
      </c>
      <c r="D2409" s="245" t="inlineStr">
        <is>
          <t>P050212</t>
        </is>
      </c>
      <c r="E2409" s="245" t="inlineStr">
        <is>
          <t>Cap Junkie</t>
        </is>
      </c>
      <c r="F2409" s="245" t="inlineStr">
        <is>
          <t>07.09.2026</t>
        </is>
      </c>
      <c r="G2409" s="245" t="inlineStr">
        <is>
          <t>10.1</t>
        </is>
      </c>
      <c r="H2409" s="245" t="inlineStr">
        <is>
          <t>Aflatoxin B₁</t>
        </is>
      </c>
      <c r="I2409" s="245" t="inlineStr">
        <is>
          <t>Ph. Eur. 2.8.18 (HPLC-FLD)</t>
        </is>
      </c>
      <c r="J2409" s="245" t="inlineStr">
        <is>
          <t>≤ 2 µg/kg</t>
        </is>
      </c>
      <c r="K2409" s="245" t="inlineStr">
        <is>
          <t>ND</t>
        </is>
      </c>
      <c r="L2409" s="245" t="inlineStr">
        <is>
          <t>197-4-М/26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CJ062501-2</t>
        </is>
      </c>
      <c r="D2410" s="245" t="inlineStr">
        <is>
          <t>P050212</t>
        </is>
      </c>
      <c r="E2410" s="245" t="inlineStr">
        <is>
          <t>Cap Junkie</t>
        </is>
      </c>
      <c r="F2410" s="245" t="inlineStr">
        <is>
          <t>07.09.2026</t>
        </is>
      </c>
      <c r="G2410" s="245" t="inlineStr">
        <is>
          <t>10.2</t>
        </is>
      </c>
      <c r="H2410" s="245" t="inlineStr">
        <is>
          <t>Aflatoxins ∑</t>
        </is>
      </c>
      <c r="I2410" s="245" t="inlineStr">
        <is>
          <t>Ph. Eur. 2.8.18 (HPLC-FLD)</t>
        </is>
      </c>
      <c r="J2410" s="245" t="inlineStr">
        <is>
          <t>≤ 4 µg/kg</t>
        </is>
      </c>
      <c r="K2410" s="245" t="inlineStr">
        <is>
          <t>ND</t>
        </is>
      </c>
      <c r="L2410" s="245" t="inlineStr">
        <is>
          <t>197-4-М/26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CJ062501-2</t>
        </is>
      </c>
      <c r="D2411" s="245" t="inlineStr">
        <is>
          <t>P050212</t>
        </is>
      </c>
      <c r="E2411" s="245" t="inlineStr">
        <is>
          <t>Cap Junkie</t>
        </is>
      </c>
      <c r="F2411" s="245" t="inlineStr">
        <is>
          <t>07.09.2026</t>
        </is>
      </c>
      <c r="G2411" s="245" t="inlineStr">
        <is>
          <t>10.3</t>
        </is>
      </c>
      <c r="H2411" s="245" t="inlineStr">
        <is>
          <t>Ochratoxin A</t>
        </is>
      </c>
      <c r="I2411" s="245" t="inlineStr">
        <is>
          <t>Ph. Eur. 2.8.22 (HPLC-FLD)</t>
        </is>
      </c>
      <c r="J2411" s="245" t="inlineStr">
        <is>
          <t>≤ 20 µg/kg</t>
        </is>
      </c>
      <c r="K2411" s="245" t="inlineStr">
        <is>
          <t>ND</t>
        </is>
      </c>
      <c r="L2411" s="245" t="inlineStr">
        <is>
          <t>197-4-М/26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CJ062501-2</t>
        </is>
      </c>
      <c r="D2412" s="245" t="inlineStr">
        <is>
          <t>P050212</t>
        </is>
      </c>
      <c r="E2412" s="245" t="inlineStr">
        <is>
          <t>Cap Junkie</t>
        </is>
      </c>
      <c r="F2412" s="245" t="inlineStr">
        <is>
          <t>07.09.2026</t>
        </is>
      </c>
      <c r="G2412" s="245" t="inlineStr">
        <is>
          <t>11.1</t>
        </is>
      </c>
      <c r="H2412" s="245" t="inlineStr">
        <is>
          <t>Lead (Pb)</t>
        </is>
      </c>
      <c r="I2412" s="245" t="inlineStr">
        <is>
          <t>Ph. Eur. 2.4.27 (ICP-MS)</t>
        </is>
      </c>
      <c r="J2412" s="245" t="inlineStr">
        <is>
          <t>≤ 0.5 mg/kg</t>
        </is>
      </c>
      <c r="K2412" s="245" t="inlineStr">
        <is>
          <t>0.026</t>
        </is>
      </c>
      <c r="L2412" s="245" t="inlineStr">
        <is>
          <t>4908/2025</t>
        </is>
      </c>
      <c r="M2412" s="245" t="inlineStr">
        <is>
          <t>24.10.2025</t>
        </is>
      </c>
      <c r="N2412" s="245" t="inlineStr">
        <is>
          <t>IPH — Institute of Public Health</t>
        </is>
      </c>
      <c r="O2412" s="245" t="inlineStr">
        <is>
          <t>10.10.2025</t>
        </is>
      </c>
      <c r="P2412" s="245" t="inlineStr">
        <is>
          <t>carried from the initial testing (the batch's initial CoQ (number assigned on issue)) — covered</t>
        </is>
      </c>
      <c r="Q2412" s="245" t="inlineStr"/>
      <c r="R2412" s="245" t="inlineStr"/>
    </row>
    <row r="2413">
      <c r="A2413" s="245" t="inlineStr">
        <is>
          <t>CoQ-PP_26-105</t>
        </is>
      </c>
      <c r="B2413" s="245" t="inlineStr">
        <is>
          <t>reissue — 12-month retest</t>
        </is>
      </c>
      <c r="C2413" s="245" t="inlineStr">
        <is>
          <t>CJ062501-2</t>
        </is>
      </c>
      <c r="D2413" s="245" t="inlineStr">
        <is>
          <t>P050212</t>
        </is>
      </c>
      <c r="E2413" s="245" t="inlineStr">
        <is>
          <t>Cap Junkie</t>
        </is>
      </c>
      <c r="F2413" s="245" t="inlineStr">
        <is>
          <t>07.09.2026</t>
        </is>
      </c>
      <c r="G2413" s="245" t="inlineStr">
        <is>
          <t>11.2</t>
        </is>
      </c>
      <c r="H2413" s="245" t="inlineStr">
        <is>
          <t>Cadmium (Cd)</t>
        </is>
      </c>
      <c r="I2413" s="245" t="inlineStr">
        <is>
          <t>Ph. Eur. 2.4.27 (ICP-MS)</t>
        </is>
      </c>
      <c r="J2413" s="245" t="inlineStr">
        <is>
          <t>≤ 0.3 mg/kg</t>
        </is>
      </c>
      <c r="K2413" s="245" t="inlineStr">
        <is>
          <t>0.002</t>
        </is>
      </c>
      <c r="L2413" s="245" t="inlineStr">
        <is>
          <t>4908/2025</t>
        </is>
      </c>
      <c r="M2413" s="245" t="inlineStr">
        <is>
          <t>24.10.2025</t>
        </is>
      </c>
      <c r="N2413" s="245" t="inlineStr">
        <is>
          <t>IPH — Institute of Public Health</t>
        </is>
      </c>
      <c r="O2413" s="245" t="inlineStr">
        <is>
          <t>10.10.2025</t>
        </is>
      </c>
      <c r="P2413" s="245" t="inlineStr">
        <is>
          <t>carried from the initial testing (the batch's initial CoQ (number assigned on issue)) — covered</t>
        </is>
      </c>
      <c r="Q2413" s="245" t="inlineStr"/>
      <c r="R2413" s="245" t="inlineStr"/>
    </row>
    <row r="2414">
      <c r="A2414" s="245" t="inlineStr">
        <is>
          <t>CoQ-PP_26-105</t>
        </is>
      </c>
      <c r="B2414" s="245" t="inlineStr">
        <is>
          <t>reissue — 12-month retest</t>
        </is>
      </c>
      <c r="C2414" s="245" t="inlineStr">
        <is>
          <t>CJ062501-2</t>
        </is>
      </c>
      <c r="D2414" s="245" t="inlineStr">
        <is>
          <t>P050212</t>
        </is>
      </c>
      <c r="E2414" s="245" t="inlineStr">
        <is>
          <t>Cap Junkie</t>
        </is>
      </c>
      <c r="F2414" s="245" t="inlineStr">
        <is>
          <t>07.09.2026</t>
        </is>
      </c>
      <c r="G2414" s="245" t="inlineStr">
        <is>
          <t>11.3</t>
        </is>
      </c>
      <c r="H2414" s="245" t="inlineStr">
        <is>
          <t>Arsenic (As)</t>
        </is>
      </c>
      <c r="I2414" s="245" t="inlineStr">
        <is>
          <t>Ph. Eur. 2.4.27 (ICP-MS)</t>
        </is>
      </c>
      <c r="J2414" s="245" t="inlineStr">
        <is>
          <t>≤ 0.2 mg/kg</t>
        </is>
      </c>
      <c r="K2414" s="245" t="inlineStr">
        <is>
          <t>0.011</t>
        </is>
      </c>
      <c r="L2414" s="245" t="inlineStr">
        <is>
          <t>4908/2025</t>
        </is>
      </c>
      <c r="M2414" s="245" t="inlineStr">
        <is>
          <t>24.10.2025</t>
        </is>
      </c>
      <c r="N2414" s="245" t="inlineStr">
        <is>
          <t>IPH — Institute of Public Health</t>
        </is>
      </c>
      <c r="O2414" s="245" t="inlineStr">
        <is>
          <t>10.10.2025</t>
        </is>
      </c>
      <c r="P2414" s="245" t="inlineStr">
        <is>
          <t>carried from the initial testing (the batch's initial CoQ (number assigned on issue)) — covered</t>
        </is>
      </c>
      <c r="Q2414" s="245" t="inlineStr"/>
      <c r="R2414" s="245" t="inlineStr"/>
    </row>
    <row r="2415">
      <c r="A2415" s="245" t="inlineStr">
        <is>
          <t>CoQ-PP_26-105</t>
        </is>
      </c>
      <c r="B2415" s="245" t="inlineStr">
        <is>
          <t>reissue — 12-month retest</t>
        </is>
      </c>
      <c r="C2415" s="245" t="inlineStr">
        <is>
          <t>CJ062501-2</t>
        </is>
      </c>
      <c r="D2415" s="245" t="inlineStr">
        <is>
          <t>P050212</t>
        </is>
      </c>
      <c r="E2415" s="245" t="inlineStr">
        <is>
          <t>Cap Junkie</t>
        </is>
      </c>
      <c r="F2415" s="245" t="inlineStr">
        <is>
          <t>07.09.2026</t>
        </is>
      </c>
      <c r="G2415" s="245" t="inlineStr">
        <is>
          <t>11.4</t>
        </is>
      </c>
      <c r="H2415" s="245" t="inlineStr">
        <is>
          <t>Mercury (Hg)</t>
        </is>
      </c>
      <c r="I2415" s="245" t="inlineStr">
        <is>
          <t>Ph. Eur. 2.4.27 (ICP-MS)</t>
        </is>
      </c>
      <c r="J2415" s="245" t="inlineStr">
        <is>
          <t>≤ 0.1 mg/kg</t>
        </is>
      </c>
      <c r="K2415" s="245" t="inlineStr">
        <is>
          <t>0.012</t>
        </is>
      </c>
      <c r="L2415" s="245" t="inlineStr">
        <is>
          <t>4908/2025</t>
        </is>
      </c>
      <c r="M2415" s="245" t="inlineStr">
        <is>
          <t>24.10.2025</t>
        </is>
      </c>
      <c r="N2415" s="245" t="inlineStr">
        <is>
          <t>IPH — Institute of Public Health</t>
        </is>
      </c>
      <c r="O2415" s="245" t="inlineStr">
        <is>
          <t>10.10.2025</t>
        </is>
      </c>
      <c r="P2415" s="245" t="inlineStr">
        <is>
          <t>carried from the initial testing (the batch's initial CoQ (number assigned on issue)) — covered</t>
        </is>
      </c>
      <c r="Q2415" s="245" t="inlineStr"/>
      <c r="R2415" s="245" t="inlineStr"/>
    </row>
    <row r="2416">
      <c r="A2416" s="245" t="inlineStr">
        <is>
          <t>CoQ-PP_26-105</t>
        </is>
      </c>
      <c r="B2416" s="245" t="inlineStr">
        <is>
          <t>reissue — 12-month retest</t>
        </is>
      </c>
      <c r="C2416" s="245" t="inlineStr">
        <is>
          <t>CJ062501-2</t>
        </is>
      </c>
      <c r="D2416" s="245" t="inlineStr">
        <is>
          <t>P050212</t>
        </is>
      </c>
      <c r="E2416" s="245" t="inlineStr">
        <is>
          <t>Cap Junkie</t>
        </is>
      </c>
      <c r="F2416" s="245" t="inlineStr">
        <is>
          <t>07.09.2026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ND</t>
        </is>
      </c>
      <c r="L2416" s="245" t="inlineStr">
        <is>
          <t>4908/2025</t>
        </is>
      </c>
      <c r="M2416" s="245" t="inlineStr">
        <is>
          <t>24.10.2025</t>
        </is>
      </c>
      <c r="N2416" s="245" t="inlineStr">
        <is>
          <t>IPH — Institute of Public Health</t>
        </is>
      </c>
      <c r="O2416" s="245" t="inlineStr">
        <is>
          <t>10.10.2025</t>
        </is>
      </c>
      <c r="P2416" s="245" t="inlineStr">
        <is>
          <t>carried from the initial testing (the batch's initial CoQ (number assigned on issue)) — covered</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5" t="inlineStr">
        <is>
          <t>Conforms | Одговара</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5" t="inlineStr">
        <is>
          <t>Conforms | Одговара</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10.80 – 13.19 %  (grade I, nominal 12.00 ± 1.20)</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5" t="inlineStr">
        <is>
          <t>Conforms | Одговара</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1 × 10³</t>
        </is>
      </c>
      <c r="L2425" s="245" t="inlineStr">
        <is>
          <t>77/0120/26</t>
        </is>
      </c>
      <c r="M2425" s="245" t="inlineStr">
        <is>
          <t>09.02.2026</t>
        </is>
      </c>
      <c r="N2425" s="245" t="inlineStr">
        <is>
          <t>IPH — Institute of Public Health</t>
        </is>
      </c>
      <c r="O2425" s="245" t="inlineStr">
        <is>
          <t>—</t>
        </is>
      </c>
      <c r="P2425" s="245" t="inlineStr">
        <is>
          <t>covered</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1.6 × 10³</t>
        </is>
      </c>
      <c r="L2426" s="245" t="inlineStr">
        <is>
          <t>77/0120/26</t>
        </is>
      </c>
      <c r="M2426" s="245" t="inlineStr">
        <is>
          <t>09.02.2026</t>
        </is>
      </c>
      <c r="N2426" s="245" t="inlineStr">
        <is>
          <t>IPH — Institute of Public Health</t>
        </is>
      </c>
      <c r="O2426" s="245" t="inlineStr">
        <is>
          <t>—</t>
        </is>
      </c>
      <c r="P2426" s="245" t="inlineStr">
        <is>
          <t>covered</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&lt; 10</t>
        </is>
      </c>
      <c r="L2427" s="245" t="inlineStr">
        <is>
          <t>77/0120/26</t>
        </is>
      </c>
      <c r="M2427" s="245" t="inlineStr">
        <is>
          <t>09.02.2026</t>
        </is>
      </c>
      <c r="N2427" s="245" t="inlineStr">
        <is>
          <t>IPH — Institute of Public Health</t>
        </is>
      </c>
      <c r="O2427" s="245" t="inlineStr">
        <is>
          <t>—</t>
        </is>
      </c>
      <c r="P2427" s="245" t="inlineStr">
        <is>
          <t>covered</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Absent | Отсутна</t>
        </is>
      </c>
      <c r="L2428" s="245" t="inlineStr">
        <is>
          <t>77/0120/26</t>
        </is>
      </c>
      <c r="M2428" s="245" t="inlineStr">
        <is>
          <t>09.02.2026</t>
        </is>
      </c>
      <c r="N2428" s="245" t="inlineStr">
        <is>
          <t>IPH — Institute of Public Health</t>
        </is>
      </c>
      <c r="O2428" s="245" t="inlineStr">
        <is>
          <t>—</t>
        </is>
      </c>
      <c r="P2428" s="245" t="inlineStr">
        <is>
          <t>covered</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Absent | Отсутна</t>
        </is>
      </c>
      <c r="L2429" s="245" t="inlineStr">
        <is>
          <t>77/0120/26</t>
        </is>
      </c>
      <c r="M2429" s="245" t="inlineStr">
        <is>
          <t>09.02.2026</t>
        </is>
      </c>
      <c r="N2429" s="245" t="inlineStr">
        <is>
          <t>IPH — Institute of Public Health</t>
        </is>
      </c>
      <c r="O2429" s="245" t="inlineStr">
        <is>
          <t>—</t>
        </is>
      </c>
      <c r="P2429" s="245" t="inlineStr">
        <is>
          <t>covered</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0.078</t>
        </is>
      </c>
      <c r="L2435" s="245" t="inlineStr">
        <is>
          <t>326/2026</t>
        </is>
      </c>
      <c r="M2435" s="245" t="inlineStr">
        <is>
          <t>11.02.2026</t>
        </is>
      </c>
      <c r="N2435" s="245" t="inlineStr">
        <is>
          <t>IPH — Institute of Public Health</t>
        </is>
      </c>
      <c r="O2435" s="245" t="inlineStr">
        <is>
          <t>—</t>
        </is>
      </c>
      <c r="P2435" s="245" t="inlineStr">
        <is>
          <t>covered</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ND</t>
        </is>
      </c>
      <c r="L2436" s="245" t="inlineStr">
        <is>
          <t>326/2026</t>
        </is>
      </c>
      <c r="M2436" s="245" t="inlineStr">
        <is>
          <t>11.02.2026</t>
        </is>
      </c>
      <c r="N2436" s="245" t="inlineStr">
        <is>
          <t>IPH — Institute of Public Health</t>
        </is>
      </c>
      <c r="O2436" s="245" t="inlineStr">
        <is>
          <t>—</t>
        </is>
      </c>
      <c r="P2436" s="245" t="inlineStr">
        <is>
          <t>covered</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0.022</t>
        </is>
      </c>
      <c r="L2437" s="245" t="inlineStr">
        <is>
          <t>326/2026</t>
        </is>
      </c>
      <c r="M2437" s="245" t="inlineStr">
        <is>
          <t>11.02.2026</t>
        </is>
      </c>
      <c r="N2437" s="245" t="inlineStr">
        <is>
          <t>IPH — Institute of Public Health</t>
        </is>
      </c>
      <c r="O2437" s="245" t="inlineStr">
        <is>
          <t>—</t>
        </is>
      </c>
      <c r="P2437" s="245" t="inlineStr">
        <is>
          <t>covered</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ND</t>
        </is>
      </c>
      <c r="L2438" s="245" t="inlineStr">
        <is>
          <t>326/2026</t>
        </is>
      </c>
      <c r="M2438" s="245" t="inlineStr">
        <is>
          <t>11.02.2026</t>
        </is>
      </c>
      <c r="N2438" s="245" t="inlineStr">
        <is>
          <t>IPH — Institute of Public Health</t>
        </is>
      </c>
      <c r="O2438" s="245" t="inlineStr">
        <is>
          <t>—</t>
        </is>
      </c>
      <c r="P2438" s="245" t="inlineStr">
        <is>
          <t>covered</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5" t="inlineStr">
        <is>
          <t>Conforms | Одговара</t>
        </is>
      </c>
      <c r="L2440" s="245" t="inlineStr">
        <is>
          <t>iCoA-PP_26-122</t>
        </is>
      </c>
      <c r="M2440" s="245" t="inlineStr">
        <is>
          <t>17.08.2026</t>
        </is>
      </c>
      <c r="N2440" s="245" t="inlineStr">
        <is>
          <t>Purely Plant GmbH (in-house)</t>
        </is>
      </c>
      <c r="O2440" s="245" t="inlineStr">
        <is>
          <t>—</t>
        </is>
      </c>
      <c r="P2440" s="245" t="inlineStr">
        <is>
          <t>covered</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5" t="inlineStr">
        <is>
          <t>Conforms | Одговара</t>
        </is>
      </c>
      <c r="L2441" s="245" t="inlineStr">
        <is>
          <t>iCoA-PP_26-122</t>
        </is>
      </c>
      <c r="M2441" s="245" t="inlineStr">
        <is>
          <t>17.08.2026</t>
        </is>
      </c>
      <c r="N2441" s="245" t="inlineStr">
        <is>
          <t>Purely Plant GmbH (in-house)</t>
        </is>
      </c>
      <c r="O2441" s="245" t="inlineStr">
        <is>
          <t>—</t>
        </is>
      </c>
      <c r="P2441" s="245" t="inlineStr">
        <is>
          <t>covered</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5" t="inlineStr">
        <is>
          <t>Conforms | Одговара</t>
        </is>
      </c>
      <c r="L2446" s="245" t="inlineStr">
        <is>
          <t>iCoA-PP_26-122</t>
        </is>
      </c>
      <c r="M2446" s="245" t="inlineStr">
        <is>
          <t>17.08.2026</t>
        </is>
      </c>
      <c r="N2446" s="245" t="inlineStr">
        <is>
          <t>Purely Plant GmbH (in-house)</t>
        </is>
      </c>
      <c r="O2446" s="245" t="inlineStr">
        <is>
          <t>—</t>
        </is>
      </c>
      <c r="P2446" s="245" t="inlineStr">
        <is>
          <t>covered</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5" t="inlineStr">
        <is>
          <t>Conforms | Одговара</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5" t="inlineStr">
        <is>
          <t>Conforms | Одговара</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5" t="inlineStr">
        <is>
          <t>Conforms | Одговара</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 not tested</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2.7 × 10³</t>
        </is>
      </c>
      <c r="L2471" s="245" t="inlineStr">
        <is>
          <t>363/0693/26</t>
        </is>
      </c>
      <c r="M2471" s="245" t="inlineStr">
        <is>
          <t>01.06.2026</t>
        </is>
      </c>
      <c r="N2471" s="245" t="inlineStr">
        <is>
          <t>IPH — Institute of Public Health</t>
        </is>
      </c>
      <c r="O2471" s="245" t="inlineStr">
        <is>
          <t>—</t>
        </is>
      </c>
      <c r="P2471" s="245" t="inlineStr">
        <is>
          <t>covered</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1.6 × 10¹</t>
        </is>
      </c>
      <c r="L2472" s="245" t="inlineStr">
        <is>
          <t>363/0693/26</t>
        </is>
      </c>
      <c r="M2472" s="245" t="inlineStr">
        <is>
          <t>01.06.2026</t>
        </is>
      </c>
      <c r="N2472" s="245" t="inlineStr">
        <is>
          <t>IPH — Institute of Public Health</t>
        </is>
      </c>
      <c r="O2472" s="245" t="inlineStr">
        <is>
          <t>—</t>
        </is>
      </c>
      <c r="P2472" s="245" t="inlineStr">
        <is>
          <t>covered</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&lt; 10</t>
        </is>
      </c>
      <c r="L2473" s="245" t="inlineStr">
        <is>
          <t>363/0693/26</t>
        </is>
      </c>
      <c r="M2473" s="245" t="inlineStr">
        <is>
          <t>01.06.2026</t>
        </is>
      </c>
      <c r="N2473" s="245" t="inlineStr">
        <is>
          <t>IPH — Institute of Public Health</t>
        </is>
      </c>
      <c r="O2473" s="245" t="inlineStr">
        <is>
          <t>—</t>
        </is>
      </c>
      <c r="P2473" s="245" t="inlineStr">
        <is>
          <t>covered</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Absent | Отсутна</t>
        </is>
      </c>
      <c r="L2474" s="245" t="inlineStr">
        <is>
          <t>363/0693/26</t>
        </is>
      </c>
      <c r="M2474" s="245" t="inlineStr">
        <is>
          <t>01.06.2026</t>
        </is>
      </c>
      <c r="N2474" s="245" t="inlineStr">
        <is>
          <t>IPH — Institute of Public Health</t>
        </is>
      </c>
      <c r="O2474" s="245" t="inlineStr">
        <is>
          <t>—</t>
        </is>
      </c>
      <c r="P2474" s="245" t="inlineStr">
        <is>
          <t>covered</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Absent | Отсутна</t>
        </is>
      </c>
      <c r="L2475" s="245" t="inlineStr">
        <is>
          <t>363/0693/26</t>
        </is>
      </c>
      <c r="M2475" s="245" t="inlineStr">
        <is>
          <t>01.06.2026</t>
        </is>
      </c>
      <c r="N2475" s="245" t="inlineStr">
        <is>
          <t>IPH — Institute of Public Health</t>
        </is>
      </c>
      <c r="O2475" s="245" t="inlineStr">
        <is>
          <t>—</t>
        </is>
      </c>
      <c r="P2475" s="245" t="inlineStr">
        <is>
          <t>covered</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 not tested</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 not tested</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 not tested</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 not tested</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 not tested</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5" t="inlineStr">
        <is>
          <t>Conforms | Одговара</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5" t="inlineStr">
        <is>
          <t>Conforms | Одговара</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5" t="inlineStr">
        <is>
          <t>Conforms | Одговара</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3.1 × 10⁴</t>
        </is>
      </c>
      <c r="L2494" s="245" t="inlineStr">
        <is>
          <t>73/0116/26</t>
        </is>
      </c>
      <c r="M2494" s="245" t="inlineStr">
        <is>
          <t>09.02.2026</t>
        </is>
      </c>
      <c r="N2494" s="245" t="inlineStr">
        <is>
          <t>IPH — Institute of Public Health</t>
        </is>
      </c>
      <c r="O2494" s="245" t="inlineStr">
        <is>
          <t>—</t>
        </is>
      </c>
      <c r="P2494" s="245" t="inlineStr">
        <is>
          <t>covered</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3.9 × 10⁴</t>
        </is>
      </c>
      <c r="L2495" s="245" t="inlineStr">
        <is>
          <t>73/0116/26</t>
        </is>
      </c>
      <c r="M2495" s="245" t="inlineStr">
        <is>
          <t>09.02.2026</t>
        </is>
      </c>
      <c r="N2495" s="245" t="inlineStr">
        <is>
          <t>IPH — Institute of Public Health</t>
        </is>
      </c>
      <c r="O2495" s="245" t="inlineStr">
        <is>
          <t>—</t>
        </is>
      </c>
      <c r="P2495" s="245" t="inlineStr">
        <is>
          <t>OUT OF SPECIFICATION — covered</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&lt; 10³ and &gt; 10²</t>
        </is>
      </c>
      <c r="L2496" s="245" t="inlineStr">
        <is>
          <t>73/0116/26</t>
        </is>
      </c>
      <c r="M2496" s="245" t="inlineStr">
        <is>
          <t>09.02.2026</t>
        </is>
      </c>
      <c r="N2496" s="245" t="inlineStr">
        <is>
          <t>IPH — Institute of Public Health</t>
        </is>
      </c>
      <c r="O2496" s="245" t="inlineStr">
        <is>
          <t>—</t>
        </is>
      </c>
      <c r="P2496" s="245" t="inlineStr">
        <is>
          <t>covered</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Absent | Отсутна</t>
        </is>
      </c>
      <c r="L2497" s="245" t="inlineStr">
        <is>
          <t>73/0116/26</t>
        </is>
      </c>
      <c r="M2497" s="245" t="inlineStr">
        <is>
          <t>09.02.2026</t>
        </is>
      </c>
      <c r="N2497" s="245" t="inlineStr">
        <is>
          <t>IPH — Institute of Public Health</t>
        </is>
      </c>
      <c r="O2497" s="245" t="inlineStr">
        <is>
          <t>—</t>
        </is>
      </c>
      <c r="P2497" s="245" t="inlineStr">
        <is>
          <t>covered</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Absent | Отсутна</t>
        </is>
      </c>
      <c r="L2498" s="245" t="inlineStr">
        <is>
          <t>73/0116/26</t>
        </is>
      </c>
      <c r="M2498" s="245" t="inlineStr">
        <is>
          <t>09.02.2026</t>
        </is>
      </c>
      <c r="N2498" s="245" t="inlineStr">
        <is>
          <t>IPH — Institute of Public Health</t>
        </is>
      </c>
      <c r="O2498" s="245" t="inlineStr">
        <is>
          <t>—</t>
        </is>
      </c>
      <c r="P2498" s="245" t="inlineStr">
        <is>
          <t>covered</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0.07</t>
        </is>
      </c>
      <c r="L2504" s="245" t="inlineStr">
        <is>
          <t>330/2026</t>
        </is>
      </c>
      <c r="M2504" s="245" t="inlineStr">
        <is>
          <t>11.02.2026</t>
        </is>
      </c>
      <c r="N2504" s="245" t="inlineStr">
        <is>
          <t>IPH — Institute of Public Health</t>
        </is>
      </c>
      <c r="O2504" s="245" t="inlineStr">
        <is>
          <t>—</t>
        </is>
      </c>
      <c r="P2504" s="245" t="inlineStr">
        <is>
          <t>covered</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ND</t>
        </is>
      </c>
      <c r="L2505" s="245" t="inlineStr">
        <is>
          <t>330/2026</t>
        </is>
      </c>
      <c r="M2505" s="245" t="inlineStr">
        <is>
          <t>11.02.2026</t>
        </is>
      </c>
      <c r="N2505" s="245" t="inlineStr">
        <is>
          <t>IPH — Institute of Public Health</t>
        </is>
      </c>
      <c r="O2505" s="245" t="inlineStr">
        <is>
          <t>—</t>
        </is>
      </c>
      <c r="P2505" s="245" t="inlineStr">
        <is>
          <t>covered</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0.0942</t>
        </is>
      </c>
      <c r="L2506" s="245" t="inlineStr">
        <is>
          <t>330/2026</t>
        </is>
      </c>
      <c r="M2506" s="245" t="inlineStr">
        <is>
          <t>11.02.2026</t>
        </is>
      </c>
      <c r="N2506" s="245" t="inlineStr">
        <is>
          <t>IPH — Institute of Public Health</t>
        </is>
      </c>
      <c r="O2506" s="245" t="inlineStr">
        <is>
          <t>—</t>
        </is>
      </c>
      <c r="P2506" s="245" t="inlineStr">
        <is>
          <t>covered</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ND</t>
        </is>
      </c>
      <c r="L2507" s="245" t="inlineStr">
        <is>
          <t>330/2026</t>
        </is>
      </c>
      <c r="M2507" s="245" t="inlineStr">
        <is>
          <t>11.02.2026</t>
        </is>
      </c>
      <c r="N2507" s="245" t="inlineStr">
        <is>
          <t>IPH — Institute of Public Health</t>
        </is>
      </c>
      <c r="O2507" s="245" t="inlineStr">
        <is>
          <t>—</t>
        </is>
      </c>
      <c r="P2507" s="245" t="inlineStr">
        <is>
          <t>covered</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5" t="inlineStr">
        <is>
          <t>Conforms | Одговара</t>
        </is>
      </c>
      <c r="L2509" s="245" t="inlineStr">
        <is>
          <t>iCoA-PP_26-124</t>
        </is>
      </c>
      <c r="M2509" s="245" t="inlineStr">
        <is>
          <t>17.08.2026</t>
        </is>
      </c>
      <c r="N2509" s="245" t="inlineStr">
        <is>
          <t>Purely Plant GmbH (in-house)</t>
        </is>
      </c>
      <c r="O2509" s="245" t="inlineStr">
        <is>
          <t>—</t>
        </is>
      </c>
      <c r="P2509" s="245" t="inlineStr">
        <is>
          <t>covered</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5" t="inlineStr">
        <is>
          <t>Conforms | Одговара</t>
        </is>
      </c>
      <c r="L2510" s="245" t="inlineStr">
        <is>
          <t>iCoA-PP_26-124</t>
        </is>
      </c>
      <c r="M2510" s="245" t="inlineStr">
        <is>
          <t>17.08.2026</t>
        </is>
      </c>
      <c r="N2510" s="245" t="inlineStr">
        <is>
          <t>Purely Plant GmbH (in-house)</t>
        </is>
      </c>
      <c r="O2510" s="245" t="inlineStr">
        <is>
          <t>—</t>
        </is>
      </c>
      <c r="P2510" s="245" t="inlineStr">
        <is>
          <t>covered</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5" t="inlineStr">
        <is>
          <t>Conforms | Одговара</t>
        </is>
      </c>
      <c r="L2515" s="245" t="inlineStr">
        <is>
          <t>iCoA-PP_26-124</t>
        </is>
      </c>
      <c r="M2515" s="245" t="inlineStr">
        <is>
          <t>17.08.2026</t>
        </is>
      </c>
      <c r="N2515" s="245" t="inlineStr">
        <is>
          <t>Purely Plant GmbH (in-house)</t>
        </is>
      </c>
      <c r="O2515" s="245" t="inlineStr">
        <is>
          <t>—</t>
        </is>
      </c>
      <c r="P2515" s="245" t="inlineStr">
        <is>
          <t>covered</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4,2 × 10³</t>
        </is>
      </c>
      <c r="L2517" s="245" t="inlineStr">
        <is>
          <t>535/1066/26</t>
        </is>
      </c>
      <c r="M2517" s="245" t="inlineStr">
        <is>
          <t>31.08.2026</t>
        </is>
      </c>
      <c r="N2517" s="245" t="inlineStr">
        <is>
          <t>IPH — Institute of Public Health</t>
        </is>
      </c>
      <c r="O2517" s="245" t="inlineStr">
        <is>
          <t>—</t>
        </is>
      </c>
      <c r="P2517" s="245" t="inlineStr">
        <is>
          <t>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&lt; 10</t>
        </is>
      </c>
      <c r="L2518" s="245" t="inlineStr">
        <is>
          <t>535/1066/26</t>
        </is>
      </c>
      <c r="M2518" s="245" t="inlineStr">
        <is>
          <t>31.08.2026</t>
        </is>
      </c>
      <c r="N2518" s="245" t="inlineStr">
        <is>
          <t>IPH — Institute of Public Health</t>
        </is>
      </c>
      <c r="O2518" s="245" t="inlineStr">
        <is>
          <t>—</t>
        </is>
      </c>
      <c r="P2518" s="245" t="inlineStr">
        <is>
          <t>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10⁴ and &gt; 10³</t>
        </is>
      </c>
      <c r="L2519" s="245" t="inlineStr">
        <is>
          <t>535/1066/26</t>
        </is>
      </c>
      <c r="M2519" s="245" t="inlineStr">
        <is>
          <t>31.08.2026</t>
        </is>
      </c>
      <c r="N2519" s="245" t="inlineStr">
        <is>
          <t>IPH — Institute of Public Health</t>
        </is>
      </c>
      <c r="O2519" s="245" t="inlineStr">
        <is>
          <t>—</t>
        </is>
      </c>
      <c r="P2519" s="245" t="inlineStr">
        <is>
          <t>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535/1066/26</t>
        </is>
      </c>
      <c r="M2520" s="245" t="inlineStr">
        <is>
          <t>31.08.2026</t>
        </is>
      </c>
      <c r="N2520" s="245" t="inlineStr">
        <is>
          <t>IPH — Institute of Public Health</t>
        </is>
      </c>
      <c r="O2520" s="245" t="inlineStr">
        <is>
          <t>—</t>
        </is>
      </c>
      <c r="P2520" s="245" t="inlineStr">
        <is>
          <t>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535/1066/26</t>
        </is>
      </c>
      <c r="M2521" s="245" t="inlineStr">
        <is>
          <t>31.08.2026</t>
        </is>
      </c>
      <c r="N2521" s="245" t="inlineStr">
        <is>
          <t>IPH — Institute of Public Health</t>
        </is>
      </c>
      <c r="O2521" s="245" t="inlineStr">
        <is>
          <t>—</t>
        </is>
      </c>
      <c r="P2521" s="245" t="inlineStr">
        <is>
          <t>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5" t="inlineStr">
        <is>
          <t>Conforms | Одговара</t>
        </is>
      </c>
      <c r="L2532" s="245" t="inlineStr">
        <is>
          <t>iCoA-PP_26-125</t>
        </is>
      </c>
      <c r="M2532" s="245" t="inlineStr">
        <is>
          <t>17.08.2026</t>
        </is>
      </c>
      <c r="N2532" s="245" t="inlineStr">
        <is>
          <t>Purely Plant GmbH (in-house)</t>
        </is>
      </c>
      <c r="O2532" s="245" t="inlineStr">
        <is>
          <t>—</t>
        </is>
      </c>
      <c r="P2532" s="245" t="inlineStr">
        <is>
          <t>covered</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5" t="inlineStr">
        <is>
          <t>Conforms | Одговара</t>
        </is>
      </c>
      <c r="L2533" s="245" t="inlineStr">
        <is>
          <t>iCoA-PP_26-125</t>
        </is>
      </c>
      <c r="M2533" s="245" t="inlineStr">
        <is>
          <t>17.08.2026</t>
        </is>
      </c>
      <c r="N2533" s="245" t="inlineStr">
        <is>
          <t>Purely Plant GmbH (in-house)</t>
        </is>
      </c>
      <c r="O2533" s="245" t="inlineStr">
        <is>
          <t>—</t>
        </is>
      </c>
      <c r="P2533" s="245" t="inlineStr">
        <is>
          <t>covered</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5" t="inlineStr">
        <is>
          <t>Conforms | Одговара</t>
        </is>
      </c>
      <c r="L2538" s="245" t="inlineStr">
        <is>
          <t>iCoA-PP_26-125</t>
        </is>
      </c>
      <c r="M2538" s="245" t="inlineStr">
        <is>
          <t>17.08.2026</t>
        </is>
      </c>
      <c r="N2538" s="245" t="inlineStr">
        <is>
          <t>Purely Plant GmbH (in-house)</t>
        </is>
      </c>
      <c r="O2538" s="245" t="inlineStr">
        <is>
          <t>—</t>
        </is>
      </c>
      <c r="P2538" s="245" t="inlineStr">
        <is>
          <t>covered</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5" t="inlineStr">
        <is>
          <t>Conforms | Одговара</t>
        </is>
      </c>
      <c r="L2555" s="245" t="inlineStr">
        <is>
          <t>iCoA-PP_26-126</t>
        </is>
      </c>
      <c r="M2555" s="245" t="inlineStr">
        <is>
          <t>17.08.2026</t>
        </is>
      </c>
      <c r="N2555" s="245" t="inlineStr">
        <is>
          <t>Purely Plant GmbH (in-house)</t>
        </is>
      </c>
      <c r="O2555" s="245" t="inlineStr">
        <is>
          <t>—</t>
        </is>
      </c>
      <c r="P2555" s="245" t="inlineStr">
        <is>
          <t>covered</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5" t="inlineStr">
        <is>
          <t>Conforms | Одговара</t>
        </is>
      </c>
      <c r="L2556" s="245" t="inlineStr">
        <is>
          <t>iCoA-PP_26-126</t>
        </is>
      </c>
      <c r="M2556" s="245" t="inlineStr">
        <is>
          <t>17.08.2026</t>
        </is>
      </c>
      <c r="N2556" s="245" t="inlineStr">
        <is>
          <t>Purely Plant GmbH (in-house)</t>
        </is>
      </c>
      <c r="O2556" s="245" t="inlineStr">
        <is>
          <t>—</t>
        </is>
      </c>
      <c r="P2556" s="245" t="inlineStr">
        <is>
          <t>covered</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5" t="inlineStr">
        <is>
          <t>Conforms | Одговара</t>
        </is>
      </c>
      <c r="L2561" s="245" t="inlineStr">
        <is>
          <t>iCoA-PP_26-126</t>
        </is>
      </c>
      <c r="M2561" s="245" t="inlineStr">
        <is>
          <t>17.08.2026</t>
        </is>
      </c>
      <c r="N2561" s="245" t="inlineStr">
        <is>
          <t>Purely Plant GmbH (in-house)</t>
        </is>
      </c>
      <c r="O2561" s="245" t="inlineStr">
        <is>
          <t>—</t>
        </is>
      </c>
      <c r="P2561" s="245" t="inlineStr">
        <is>
          <t>covered</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5" t="inlineStr">
        <is>
          <t>Conforms | Одговара</t>
        </is>
      </c>
      <c r="L2578" s="245" t="inlineStr">
        <is>
          <t>iCoA-PP_26-127</t>
        </is>
      </c>
      <c r="M2578" s="245" t="inlineStr">
        <is>
          <t>17.08.2026</t>
        </is>
      </c>
      <c r="N2578" s="245" t="inlineStr">
        <is>
          <t>Purely Plant GmbH (in-house)</t>
        </is>
      </c>
      <c r="O2578" s="245" t="inlineStr">
        <is>
          <t>—</t>
        </is>
      </c>
      <c r="P2578" s="245" t="inlineStr">
        <is>
          <t>covered</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5" t="inlineStr">
        <is>
          <t>Conforms | Одговара</t>
        </is>
      </c>
      <c r="L2579" s="245" t="inlineStr">
        <is>
          <t>iCoA-PP_26-127</t>
        </is>
      </c>
      <c r="M2579" s="245" t="inlineStr">
        <is>
          <t>17.08.2026</t>
        </is>
      </c>
      <c r="N2579" s="245" t="inlineStr">
        <is>
          <t>Purely Plant GmbH (in-house)</t>
        </is>
      </c>
      <c r="O2579" s="245" t="inlineStr">
        <is>
          <t>—</t>
        </is>
      </c>
      <c r="P2579" s="245" t="inlineStr">
        <is>
          <t>covered</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5" t="inlineStr">
        <is>
          <t>Conforms | Одговара</t>
        </is>
      </c>
      <c r="L2584" s="245" t="inlineStr">
        <is>
          <t>iCoA-PP_26-127</t>
        </is>
      </c>
      <c r="M2584" s="245" t="inlineStr">
        <is>
          <t>17.08.2026</t>
        </is>
      </c>
      <c r="N2584" s="245" t="inlineStr">
        <is>
          <t>Purely Plant GmbH (in-house)</t>
        </is>
      </c>
      <c r="O2584" s="245" t="inlineStr">
        <is>
          <t>—</t>
        </is>
      </c>
      <c r="P2584" s="245" t="inlineStr">
        <is>
          <t>covered</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ППК25370</t>
        </is>
      </c>
      <c r="M2585" s="245" t="inlineStr">
        <is>
          <t>28.11.2025</t>
        </is>
      </c>
      <c r="N2585" s="245" t="inlineStr">
        <is>
          <t>CNP</t>
        </is>
      </c>
      <c r="O2585" s="245" t="inlineStr">
        <is>
          <t>24.11.2025</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5" t="inlineStr">
        <is>
          <t>Conforms | Одговара</t>
        </is>
      </c>
      <c r="L2601" s="245" t="inlineStr">
        <is>
          <t>iCoA-PP_26-128</t>
        </is>
      </c>
      <c r="M2601" s="245" t="inlineStr">
        <is>
          <t>17.08.2026</t>
        </is>
      </c>
      <c r="N2601" s="245" t="inlineStr">
        <is>
          <t>Purely Plant GmbH (in-house)</t>
        </is>
      </c>
      <c r="O2601" s="245" t="inlineStr">
        <is>
          <t>—</t>
        </is>
      </c>
      <c r="P2601" s="245" t="inlineStr">
        <is>
          <t>covered</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5" t="inlineStr">
        <is>
          <t>Conforms | Одговара</t>
        </is>
      </c>
      <c r="L2602" s="245" t="inlineStr">
        <is>
          <t>iCoA-PP_26-128</t>
        </is>
      </c>
      <c r="M2602" s="245" t="inlineStr">
        <is>
          <t>17.08.2026</t>
        </is>
      </c>
      <c r="N2602" s="245" t="inlineStr">
        <is>
          <t>Purely Plant GmbH (in-house)</t>
        </is>
      </c>
      <c r="O2602" s="245" t="inlineStr">
        <is>
          <t>—</t>
        </is>
      </c>
      <c r="P2602" s="245" t="inlineStr">
        <is>
          <t>covered</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5" t="inlineStr">
        <is>
          <t>Conforms | Одговара</t>
        </is>
      </c>
      <c r="L2607" s="245" t="inlineStr">
        <is>
          <t>iCoA-PP_26-128</t>
        </is>
      </c>
      <c r="M2607" s="245" t="inlineStr">
        <is>
          <t>17.08.2026</t>
        </is>
      </c>
      <c r="N2607" s="245" t="inlineStr">
        <is>
          <t>Purely Plant GmbH (in-house)</t>
        </is>
      </c>
      <c r="O2607" s="245" t="inlineStr">
        <is>
          <t>—</t>
        </is>
      </c>
      <c r="P2607" s="245" t="inlineStr">
        <is>
          <t>covered</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5" t="inlineStr">
        <is>
          <t>Conforms | Одговара</t>
        </is>
      </c>
      <c r="L2624" s="245" t="inlineStr">
        <is>
          <t>iCoA-PP_26-129</t>
        </is>
      </c>
      <c r="M2624" s="245" t="inlineStr">
        <is>
          <t>17.08.2026</t>
        </is>
      </c>
      <c r="N2624" s="245" t="inlineStr">
        <is>
          <t>Purely Plant GmbH (in-house)</t>
        </is>
      </c>
      <c r="O2624" s="245" t="inlineStr">
        <is>
          <t>—</t>
        </is>
      </c>
      <c r="P2624" s="245" t="inlineStr">
        <is>
          <t>covered</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5" t="inlineStr">
        <is>
          <t>Conforms | Одговара</t>
        </is>
      </c>
      <c r="L2625" s="245" t="inlineStr">
        <is>
          <t>iCoA-PP_26-129</t>
        </is>
      </c>
      <c r="M2625" s="245" t="inlineStr">
        <is>
          <t>17.08.2026</t>
        </is>
      </c>
      <c r="N2625" s="245" t="inlineStr">
        <is>
          <t>Purely Plant GmbH (in-house)</t>
        </is>
      </c>
      <c r="O2625" s="245" t="inlineStr">
        <is>
          <t>—</t>
        </is>
      </c>
      <c r="P2625" s="245" t="inlineStr">
        <is>
          <t>covered</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5" t="inlineStr">
        <is>
          <t>Conforms | Одговара</t>
        </is>
      </c>
      <c r="L2630" s="245" t="inlineStr">
        <is>
          <t>iCoA-PP_26-129</t>
        </is>
      </c>
      <c r="M2630" s="245" t="inlineStr">
        <is>
          <t>17.08.2026</t>
        </is>
      </c>
      <c r="N2630" s="245" t="inlineStr">
        <is>
          <t>Purely Plant GmbH (in-house)</t>
        </is>
      </c>
      <c r="O2630" s="245" t="inlineStr">
        <is>
          <t>—</t>
        </is>
      </c>
      <c r="P2630" s="245" t="inlineStr">
        <is>
          <t>covered</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7.8</t>
        </is>
      </c>
      <c r="L2631" s="245" t="inlineStr">
        <is>
          <t>ППК25008</t>
        </is>
      </c>
      <c r="M2631" s="245" t="inlineStr">
        <is>
          <t>29.01.2025</t>
        </is>
      </c>
      <c r="N2631" s="245" t="inlineStr">
        <is>
          <t>CNP</t>
        </is>
      </c>
      <c r="O2631" s="245" t="inlineStr">
        <is>
          <t>—</t>
        </is>
      </c>
      <c r="P2631" s="245" t="inlineStr">
        <is>
          <t>carried from the initial testing (CoQ-PP-2025-0003) — covered</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1.1 × 10⁴ CFU/g</t>
        </is>
      </c>
      <c r="L2632" s="245" t="inlineStr">
        <is>
          <t>166/0274/25</t>
        </is>
      </c>
      <c r="M2632" s="245" t="inlineStr">
        <is>
          <t>24.02.2025</t>
        </is>
      </c>
      <c r="N2632" s="245" t="inlineStr">
        <is>
          <t>IPH — Institute of Public Health</t>
        </is>
      </c>
      <c r="O2632" s="245" t="inlineStr">
        <is>
          <t>—</t>
        </is>
      </c>
      <c r="P2632" s="245" t="inlineStr">
        <is>
          <t>covered</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&lt; 10</t>
        </is>
      </c>
      <c r="L2633" s="245" t="inlineStr">
        <is>
          <t>166/0274/25</t>
        </is>
      </c>
      <c r="M2633" s="245" t="inlineStr">
        <is>
          <t>24.02.2025</t>
        </is>
      </c>
      <c r="N2633" s="245" t="inlineStr">
        <is>
          <t>IPH — Institute of Public Health</t>
        </is>
      </c>
      <c r="O2633" s="245" t="inlineStr">
        <is>
          <t>—</t>
        </is>
      </c>
      <c r="P2633" s="245" t="inlineStr">
        <is>
          <t>covered</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&lt; 10² and &gt; 10 CFU/g</t>
        </is>
      </c>
      <c r="L2634" s="245" t="inlineStr">
        <is>
          <t>166/0274/25</t>
        </is>
      </c>
      <c r="M2634" s="245" t="inlineStr">
        <is>
          <t>24.02.2025</t>
        </is>
      </c>
      <c r="N2634" s="245" t="inlineStr">
        <is>
          <t>IPH — Institute of Public Health</t>
        </is>
      </c>
      <c r="O2634" s="245" t="inlineStr">
        <is>
          <t>—</t>
        </is>
      </c>
      <c r="P2634" s="245" t="inlineStr">
        <is>
          <t>covered</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Absent | Отсутна</t>
        </is>
      </c>
      <c r="L2635" s="245" t="inlineStr">
        <is>
          <t>166/0274/25</t>
        </is>
      </c>
      <c r="M2635" s="245" t="inlineStr">
        <is>
          <t>24.02.2025</t>
        </is>
      </c>
      <c r="N2635" s="245" t="inlineStr">
        <is>
          <t>IPH — Institute of Public Health</t>
        </is>
      </c>
      <c r="O2635" s="245" t="inlineStr">
        <is>
          <t>—</t>
        </is>
      </c>
      <c r="P2635" s="245" t="inlineStr">
        <is>
          <t>covered</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Absent | Отсутна</t>
        </is>
      </c>
      <c r="L2636" s="245" t="inlineStr">
        <is>
          <t>166/0274/25</t>
        </is>
      </c>
      <c r="M2636" s="245" t="inlineStr">
        <is>
          <t>24.02.2025</t>
        </is>
      </c>
      <c r="N2636" s="245" t="inlineStr">
        <is>
          <t>IPH — Institute of Public Health</t>
        </is>
      </c>
      <c r="O2636" s="245" t="inlineStr">
        <is>
          <t>—</t>
        </is>
      </c>
      <c r="P2636" s="245" t="inlineStr">
        <is>
          <t>covered</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0.052</t>
        </is>
      </c>
      <c r="L2642" s="245" t="inlineStr">
        <is>
          <t>748/2025</t>
        </is>
      </c>
      <c r="M2642" s="245" t="inlineStr">
        <is>
          <t>04.03.2025</t>
        </is>
      </c>
      <c r="N2642" s="245" t="inlineStr">
        <is>
          <t>IPH — Institute of Public Health</t>
        </is>
      </c>
      <c r="O2642" s="245" t="inlineStr">
        <is>
          <t>—</t>
        </is>
      </c>
      <c r="P2642" s="245" t="inlineStr">
        <is>
          <t>covered</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0.016</t>
        </is>
      </c>
      <c r="L2643" s="245" t="inlineStr">
        <is>
          <t>748/2025</t>
        </is>
      </c>
      <c r="M2643" s="245" t="inlineStr">
        <is>
          <t>04.03.2025</t>
        </is>
      </c>
      <c r="N2643" s="245" t="inlineStr">
        <is>
          <t>IPH — Institute of Public Health</t>
        </is>
      </c>
      <c r="O2643" s="245" t="inlineStr">
        <is>
          <t>—</t>
        </is>
      </c>
      <c r="P2643" s="245" t="inlineStr">
        <is>
          <t>covered</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0.04</t>
        </is>
      </c>
      <c r="L2644" s="245" t="inlineStr">
        <is>
          <t>748/2025</t>
        </is>
      </c>
      <c r="M2644" s="245" t="inlineStr">
        <is>
          <t>04.03.2025</t>
        </is>
      </c>
      <c r="N2644" s="245" t="inlineStr">
        <is>
          <t>IPH — Institute of Public Health</t>
        </is>
      </c>
      <c r="O2644" s="245" t="inlineStr">
        <is>
          <t>—</t>
        </is>
      </c>
      <c r="P2644" s="245" t="inlineStr">
        <is>
          <t>covered</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0.004</t>
        </is>
      </c>
      <c r="L2645" s="245" t="inlineStr">
        <is>
          <t>748/2025</t>
        </is>
      </c>
      <c r="M2645" s="245" t="inlineStr">
        <is>
          <t>04.03.2025</t>
        </is>
      </c>
      <c r="N2645" s="245" t="inlineStr">
        <is>
          <t>IPH — Institute of Public Health</t>
        </is>
      </c>
      <c r="O2645" s="245" t="inlineStr">
        <is>
          <t>—</t>
        </is>
      </c>
      <c r="P2645" s="245" t="inlineStr">
        <is>
          <t>covered</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5" t="inlineStr">
        <is>
          <t>Conforms | Одговара</t>
        </is>
      </c>
      <c r="L2647" s="245" t="inlineStr">
        <is>
          <t>iCoA-PP_26-130</t>
        </is>
      </c>
      <c r="M2647" s="245" t="inlineStr">
        <is>
          <t>17.08.2026</t>
        </is>
      </c>
      <c r="N2647" s="245" t="inlineStr">
        <is>
          <t>Purely Plant GmbH (in-house)</t>
        </is>
      </c>
      <c r="O2647" s="245" t="inlineStr">
        <is>
          <t>—</t>
        </is>
      </c>
      <c r="P2647" s="245" t="inlineStr">
        <is>
          <t>covered</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5" t="inlineStr">
        <is>
          <t>Conforms | Одговара</t>
        </is>
      </c>
      <c r="L2648" s="245" t="inlineStr">
        <is>
          <t>iCoA-PP_26-130</t>
        </is>
      </c>
      <c r="M2648" s="245" t="inlineStr">
        <is>
          <t>17.08.2026</t>
        </is>
      </c>
      <c r="N2648" s="245" t="inlineStr">
        <is>
          <t>Purely Plant GmbH (in-house)</t>
        </is>
      </c>
      <c r="O2648" s="245" t="inlineStr">
        <is>
          <t>—</t>
        </is>
      </c>
      <c r="P2648" s="245" t="inlineStr">
        <is>
          <t>covered</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5" t="inlineStr">
        <is>
          <t>Conforms | Одговара</t>
        </is>
      </c>
      <c r="L2653" s="245" t="inlineStr">
        <is>
          <t>iCoA-PP_26-130</t>
        </is>
      </c>
      <c r="M2653" s="245" t="inlineStr">
        <is>
          <t>17.08.2026</t>
        </is>
      </c>
      <c r="N2653" s="245" t="inlineStr">
        <is>
          <t>Purely Plant GmbH (in-house)</t>
        </is>
      </c>
      <c r="O2653" s="245" t="inlineStr">
        <is>
          <t>—</t>
        </is>
      </c>
      <c r="P2653" s="245" t="inlineStr">
        <is>
          <t>covered</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ППК25379</t>
        </is>
      </c>
      <c r="M2654" s="245" t="inlineStr">
        <is>
          <t>12.12.2025</t>
        </is>
      </c>
      <c r="N2654" s="245" t="inlineStr">
        <is>
          <t>CNP</t>
        </is>
      </c>
      <c r="O2654" s="245" t="inlineStr">
        <is>
          <t>01.12.2025</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5" t="inlineStr">
        <is>
          <t>Conforms | Одговара</t>
        </is>
      </c>
      <c r="L2670" s="245" t="inlineStr">
        <is>
          <t>iCoA-PP_26-131</t>
        </is>
      </c>
      <c r="M2670" s="245" t="inlineStr">
        <is>
          <t>17.08.2026</t>
        </is>
      </c>
      <c r="N2670" s="245" t="inlineStr">
        <is>
          <t>Purely Plant GmbH (in-house)</t>
        </is>
      </c>
      <c r="O2670" s="245" t="inlineStr">
        <is>
          <t>—</t>
        </is>
      </c>
      <c r="P2670" s="245" t="inlineStr">
        <is>
          <t>covered</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5" t="inlineStr">
        <is>
          <t>Conforms | Одговара</t>
        </is>
      </c>
      <c r="L2671" s="245" t="inlineStr">
        <is>
          <t>iCoA-PP_26-131</t>
        </is>
      </c>
      <c r="M2671" s="245" t="inlineStr">
        <is>
          <t>17.08.2026</t>
        </is>
      </c>
      <c r="N2671" s="245" t="inlineStr">
        <is>
          <t>Purely Plant GmbH (in-house)</t>
        </is>
      </c>
      <c r="O2671" s="245" t="inlineStr">
        <is>
          <t>—</t>
        </is>
      </c>
      <c r="P2671" s="245" t="inlineStr">
        <is>
          <t>covered</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5" t="inlineStr">
        <is>
          <t>Conforms | Одговара</t>
        </is>
      </c>
      <c r="L2676" s="245" t="inlineStr">
        <is>
          <t>iCoA-PP_26-131</t>
        </is>
      </c>
      <c r="M2676" s="245" t="inlineStr">
        <is>
          <t>17.08.2026</t>
        </is>
      </c>
      <c r="N2676" s="245" t="inlineStr">
        <is>
          <t>Purely Plant GmbH (in-house)</t>
        </is>
      </c>
      <c r="O2676" s="245" t="inlineStr">
        <is>
          <t>—</t>
        </is>
      </c>
      <c r="P2676" s="245" t="inlineStr">
        <is>
          <t>covered</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5" t="inlineStr">
        <is>
          <t>Conforms | Одговара</t>
        </is>
      </c>
      <c r="L2693" s="245" t="inlineStr">
        <is>
          <t>iCoA-PP_26-132</t>
        </is>
      </c>
      <c r="M2693" s="245" t="inlineStr">
        <is>
          <t>17.08.2026</t>
        </is>
      </c>
      <c r="N2693" s="245" t="inlineStr">
        <is>
          <t>Purely Plant GmbH (in-house)</t>
        </is>
      </c>
      <c r="O2693" s="245" t="inlineStr">
        <is>
          <t>—</t>
        </is>
      </c>
      <c r="P2693" s="245" t="inlineStr">
        <is>
          <t>covered</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5" t="inlineStr">
        <is>
          <t>Conforms | Одговара</t>
        </is>
      </c>
      <c r="L2694" s="245" t="inlineStr">
        <is>
          <t>iCoA-PP_26-132</t>
        </is>
      </c>
      <c r="M2694" s="245" t="inlineStr">
        <is>
          <t>17.08.2026</t>
        </is>
      </c>
      <c r="N2694" s="245" t="inlineStr">
        <is>
          <t>Purely Plant GmbH (in-house)</t>
        </is>
      </c>
      <c r="O2694" s="245" t="inlineStr">
        <is>
          <t>—</t>
        </is>
      </c>
      <c r="P2694" s="245" t="inlineStr">
        <is>
          <t>covered</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5" t="inlineStr">
        <is>
          <t>Conforms | Одговара</t>
        </is>
      </c>
      <c r="L2699" s="245" t="inlineStr">
        <is>
          <t>iCoA-PP_26-132</t>
        </is>
      </c>
      <c r="M2699" s="245" t="inlineStr">
        <is>
          <t>17.08.2026</t>
        </is>
      </c>
      <c r="N2699" s="245" t="inlineStr">
        <is>
          <t>Purely Plant GmbH (in-house)</t>
        </is>
      </c>
      <c r="O2699" s="245" t="inlineStr">
        <is>
          <t>—</t>
        </is>
      </c>
      <c r="P2699" s="245" t="inlineStr">
        <is>
          <t>covered</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ППК25380</t>
        </is>
      </c>
      <c r="M2700" s="245" t="inlineStr">
        <is>
          <t>12.12.2025</t>
        </is>
      </c>
      <c r="N2700" s="245" t="inlineStr">
        <is>
          <t>CNP</t>
        </is>
      </c>
      <c r="O2700" s="245" t="inlineStr">
        <is>
          <t>01.12.2025</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5" t="inlineStr">
        <is>
          <t>Conforms | Одговара</t>
        </is>
      </c>
      <c r="L2716" s="245" t="inlineStr">
        <is>
          <t>iCoA-PP_26-133</t>
        </is>
      </c>
      <c r="M2716" s="245" t="inlineStr">
        <is>
          <t>17.08.2026</t>
        </is>
      </c>
      <c r="N2716" s="245" t="inlineStr">
        <is>
          <t>Purely Plant GmbH (in-house)</t>
        </is>
      </c>
      <c r="O2716" s="245" t="inlineStr">
        <is>
          <t>—</t>
        </is>
      </c>
      <c r="P2716" s="245" t="inlineStr">
        <is>
          <t>covered</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5" t="inlineStr">
        <is>
          <t>Conforms | Одговара</t>
        </is>
      </c>
      <c r="L2717" s="245" t="inlineStr">
        <is>
          <t>iCoA-PP_26-133</t>
        </is>
      </c>
      <c r="M2717" s="245" t="inlineStr">
        <is>
          <t>17.08.2026</t>
        </is>
      </c>
      <c r="N2717" s="245" t="inlineStr">
        <is>
          <t>Purely Plant GmbH (in-house)</t>
        </is>
      </c>
      <c r="O2717" s="245" t="inlineStr">
        <is>
          <t>—</t>
        </is>
      </c>
      <c r="P2717" s="245" t="inlineStr">
        <is>
          <t>covered</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5" t="inlineStr">
        <is>
          <t>Conforms | Одговара</t>
        </is>
      </c>
      <c r="L2722" s="245" t="inlineStr">
        <is>
          <t>iCoA-PP_26-133</t>
        </is>
      </c>
      <c r="M2722" s="245" t="inlineStr">
        <is>
          <t>17.08.2026</t>
        </is>
      </c>
      <c r="N2722" s="245" t="inlineStr">
        <is>
          <t>Purely Plant GmbH (in-house)</t>
        </is>
      </c>
      <c r="O2722" s="245" t="inlineStr">
        <is>
          <t>—</t>
        </is>
      </c>
      <c r="P2722" s="245" t="inlineStr">
        <is>
          <t>covered</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5" t="inlineStr">
        <is>
          <t>Conforms | Одговара</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5" t="inlineStr">
        <is>
          <t>Conforms | Одговара</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5" t="inlineStr">
        <is>
          <t>Conforms | Одговара</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 not tested</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 not tested</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 not tested</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 not tested</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 not tested</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 not tested</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 not tested</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 not tested</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 not tested</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5" t="inlineStr">
        <is>
          <t>Conforms | Одговара</t>
        </is>
      </c>
      <c r="L2762" s="245" t="inlineStr">
        <is>
          <t>iCoA-PP_26-135</t>
        </is>
      </c>
      <c r="M2762" s="245" t="inlineStr">
        <is>
          <t>17.08.2026</t>
        </is>
      </c>
      <c r="N2762" s="245" t="inlineStr">
        <is>
          <t>Purely Plant GmbH (in-house)</t>
        </is>
      </c>
      <c r="O2762" s="245" t="inlineStr">
        <is>
          <t>—</t>
        </is>
      </c>
      <c r="P2762" s="245" t="inlineStr">
        <is>
          <t>covered</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5" t="inlineStr">
        <is>
          <t>Conforms | Одговара</t>
        </is>
      </c>
      <c r="L2763" s="245" t="inlineStr">
        <is>
          <t>iCoA-PP_26-135</t>
        </is>
      </c>
      <c r="M2763" s="245" t="inlineStr">
        <is>
          <t>17.08.2026</t>
        </is>
      </c>
      <c r="N2763" s="245" t="inlineStr">
        <is>
          <t>Purely Plant GmbH (in-house)</t>
        </is>
      </c>
      <c r="O2763" s="245" t="inlineStr">
        <is>
          <t>—</t>
        </is>
      </c>
      <c r="P2763" s="245" t="inlineStr">
        <is>
          <t>covered</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5" t="inlineStr">
        <is>
          <t>Conforms | Одговара</t>
        </is>
      </c>
      <c r="L2768" s="245" t="inlineStr">
        <is>
          <t>iCoA-PP_26-135</t>
        </is>
      </c>
      <c r="M2768" s="245" t="inlineStr">
        <is>
          <t>17.08.2026</t>
        </is>
      </c>
      <c r="N2768" s="245" t="inlineStr">
        <is>
          <t>Purely Plant GmbH (in-house)</t>
        </is>
      </c>
      <c r="O2768" s="245" t="inlineStr">
        <is>
          <t>—</t>
        </is>
      </c>
      <c r="P2768" s="245" t="inlineStr">
        <is>
          <t>covered</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5" t="inlineStr">
        <is>
          <t>Conforms | Одговара</t>
        </is>
      </c>
      <c r="L2785" s="245" t="inlineStr">
        <is>
          <t>ППК26111</t>
        </is>
      </c>
      <c r="M2785" s="245" t="inlineStr">
        <is>
          <t>30.06.2026</t>
        </is>
      </c>
      <c r="N2785" s="245" t="inlineStr">
        <is>
          <t>UKIM Faculty of Pharmacy — Center for Natural Products</t>
        </is>
      </c>
      <c r="O2785" s="245" t="inlineStr">
        <is>
          <t>17.06.2026</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5" t="inlineStr">
        <is>
          <t>Conforms | Одговара</t>
        </is>
      </c>
      <c r="L2786" s="245" t="inlineStr">
        <is>
          <t>ППК26111</t>
        </is>
      </c>
      <c r="M2786" s="245" t="inlineStr">
        <is>
          <t>30.06.2026</t>
        </is>
      </c>
      <c r="N2786" s="245" t="inlineStr">
        <is>
          <t>UKIM Faculty of Pharmacy — Center for Natural Products</t>
        </is>
      </c>
      <c r="O2786" s="245" t="inlineStr">
        <is>
          <t>17.06.2026</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5" t="inlineStr">
        <is>
          <t>Conforms | Одговара</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 not tested</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2 × 10²</t>
        </is>
      </c>
      <c r="L2793" s="245" t="inlineStr">
        <is>
          <t>365/0695/26</t>
        </is>
      </c>
      <c r="M2793" s="245" t="inlineStr">
        <is>
          <t>01.06.2026</t>
        </is>
      </c>
      <c r="N2793" s="245" t="inlineStr">
        <is>
          <t>IPH — Institute of Public Health</t>
        </is>
      </c>
      <c r="O2793" s="245" t="inlineStr">
        <is>
          <t>—</t>
        </is>
      </c>
      <c r="P2793" s="245" t="inlineStr">
        <is>
          <t>covered</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1 × 10²</t>
        </is>
      </c>
      <c r="L2794" s="245" t="inlineStr">
        <is>
          <t>365/0695/26</t>
        </is>
      </c>
      <c r="M2794" s="245" t="inlineStr">
        <is>
          <t>01.06.2026</t>
        </is>
      </c>
      <c r="N2794" s="245" t="inlineStr">
        <is>
          <t>IPH — Institute of Public Health</t>
        </is>
      </c>
      <c r="O2794" s="245" t="inlineStr">
        <is>
          <t>—</t>
        </is>
      </c>
      <c r="P2794" s="245" t="inlineStr">
        <is>
          <t>covered</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&lt; 10</t>
        </is>
      </c>
      <c r="L2795" s="245" t="inlineStr">
        <is>
          <t>365/0695/26</t>
        </is>
      </c>
      <c r="M2795" s="245" t="inlineStr">
        <is>
          <t>01.06.2026</t>
        </is>
      </c>
      <c r="N2795" s="245" t="inlineStr">
        <is>
          <t>IPH — Institute of Public Health</t>
        </is>
      </c>
      <c r="O2795" s="245" t="inlineStr">
        <is>
          <t>—</t>
        </is>
      </c>
      <c r="P2795" s="245" t="inlineStr">
        <is>
          <t>covered</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Absent | Отсутна</t>
        </is>
      </c>
      <c r="L2796" s="245" t="inlineStr">
        <is>
          <t>365/0695/26</t>
        </is>
      </c>
      <c r="M2796" s="245" t="inlineStr">
        <is>
          <t>01.06.2026</t>
        </is>
      </c>
      <c r="N2796" s="245" t="inlineStr">
        <is>
          <t>IPH — Institute of Public Health</t>
        </is>
      </c>
      <c r="O2796" s="245" t="inlineStr">
        <is>
          <t>—</t>
        </is>
      </c>
      <c r="P2796" s="245" t="inlineStr">
        <is>
          <t>covered</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Absent | Отсутна</t>
        </is>
      </c>
      <c r="L2797" s="245" t="inlineStr">
        <is>
          <t>365/0695/26</t>
        </is>
      </c>
      <c r="M2797" s="245" t="inlineStr">
        <is>
          <t>01.06.2026</t>
        </is>
      </c>
      <c r="N2797" s="245" t="inlineStr">
        <is>
          <t>IPH — Institute of Public Health</t>
        </is>
      </c>
      <c r="O2797" s="245" t="inlineStr">
        <is>
          <t>—</t>
        </is>
      </c>
      <c r="P2797" s="245" t="inlineStr">
        <is>
          <t>covered</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 not tested</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 not tested</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 not tested</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 not tested</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 not tested</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5" t="inlineStr">
        <is>
          <t>Conforms | Одговара</t>
        </is>
      </c>
      <c r="L2808" s="245" t="inlineStr">
        <is>
          <t>ППК26113</t>
        </is>
      </c>
      <c r="M2808" s="245" t="inlineStr">
        <is>
          <t>30.06.2026</t>
        </is>
      </c>
      <c r="N2808" s="245" t="inlineStr">
        <is>
          <t>UKIM Faculty of Pharmacy — Center for Natural Products</t>
        </is>
      </c>
      <c r="O2808" s="245" t="inlineStr">
        <is>
          <t>17.06.2026</t>
        </is>
      </c>
      <c r="P2808" s="245" t="inlineStr">
        <is>
          <t>carried from the initial testing (CoQ-PP-2026-0025) — covered</t>
        </is>
      </c>
      <c r="Q2808" s="245" t="inlineStr"/>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5" t="inlineStr">
        <is>
          <t>Conforms | Одговара</t>
        </is>
      </c>
      <c r="L2809" s="245" t="inlineStr">
        <is>
          <t>ППК26113</t>
        </is>
      </c>
      <c r="M2809" s="245" t="inlineStr">
        <is>
          <t>30.06.2026</t>
        </is>
      </c>
      <c r="N2809" s="245" t="inlineStr">
        <is>
          <t>UKIM Faculty of Pharmacy — Center for Natural Products</t>
        </is>
      </c>
      <c r="O2809" s="245" t="inlineStr">
        <is>
          <t>17.06.2026</t>
        </is>
      </c>
      <c r="P2809" s="245" t="inlineStr">
        <is>
          <t>carried from the initial testing (CoQ-PP-2026-0025) — covered</t>
        </is>
      </c>
      <c r="Q2809" s="245" t="inlineStr"/>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5" t="inlineStr">
        <is>
          <t>Conforms | Одговара</t>
        </is>
      </c>
      <c r="L2814" s="245" t="inlineStr">
        <is>
          <t>ППК26113</t>
        </is>
      </c>
      <c r="M2814" s="245" t="inlineStr">
        <is>
          <t>30.06.2026</t>
        </is>
      </c>
      <c r="N2814" s="245" t="inlineStr">
        <is>
          <t>UKIM Faculty of Pharmacy — Center for Natural Products</t>
        </is>
      </c>
      <c r="O2814" s="245" t="inlineStr">
        <is>
          <t>17.06.2026</t>
        </is>
      </c>
      <c r="P2814" s="245" t="inlineStr">
        <is>
          <t>carried from the initial testing (CoQ-PP-2026-0025) — covered</t>
        </is>
      </c>
      <c r="Q2814" s="245" t="inlineStr"/>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 not tested</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 not tested</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 not tested</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 not tested</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 not tested</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 not tested</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 not tested</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 not tested</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 not tested</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5" t="inlineStr">
        <is>
          <t>Conforms | Одговара</t>
        </is>
      </c>
      <c r="L2831" s="245" t="inlineStr">
        <is>
          <t>ППК26111</t>
        </is>
      </c>
      <c r="M2831" s="245" t="inlineStr">
        <is>
          <t>30.06.2026</t>
        </is>
      </c>
      <c r="N2831" s="245" t="inlineStr">
        <is>
          <t>UKIM Faculty of Pharmacy — Center for Natural Products</t>
        </is>
      </c>
      <c r="O2831" s="245" t="inlineStr">
        <is>
          <t>17.06.2026</t>
        </is>
      </c>
      <c r="P2831" s="245" t="inlineStr">
        <is>
          <t>carried from the initial testing (CoQ-PP-2026-0022) — covered</t>
        </is>
      </c>
      <c r="Q2831" s="245" t="inlineStr"/>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5" t="inlineStr">
        <is>
          <t>Conforms | Одговара</t>
        </is>
      </c>
      <c r="L2832" s="245" t="inlineStr">
        <is>
          <t>ППК26111</t>
        </is>
      </c>
      <c r="M2832" s="245" t="inlineStr">
        <is>
          <t>30.06.2026</t>
        </is>
      </c>
      <c r="N2832" s="245" t="inlineStr">
        <is>
          <t>UKIM Faculty of Pharmacy — Center for Natural Products</t>
        </is>
      </c>
      <c r="O2832" s="245" t="inlineStr">
        <is>
          <t>17.06.2026</t>
        </is>
      </c>
      <c r="P2832" s="245" t="inlineStr">
        <is>
          <t>carried from the initial testing (CoQ-PP-2026-0022) — covered</t>
        </is>
      </c>
      <c r="Q2832" s="245" t="inlineStr"/>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5" t="inlineStr">
        <is>
          <t>Conforms | Одговара</t>
        </is>
      </c>
      <c r="L2837" s="245" t="inlineStr">
        <is>
          <t>ППК26111</t>
        </is>
      </c>
      <c r="M2837" s="245" t="inlineStr">
        <is>
          <t>30.06.2026</t>
        </is>
      </c>
      <c r="N2837" s="245" t="inlineStr">
        <is>
          <t>UKIM Faculty of Pharmacy — Center for Natural Products</t>
        </is>
      </c>
      <c r="O2837" s="245" t="inlineStr">
        <is>
          <t>17.06.2026</t>
        </is>
      </c>
      <c r="P2837" s="245" t="inlineStr">
        <is>
          <t>carried from the initial testing (CoQ-PP-2026-0022) — covered</t>
        </is>
      </c>
      <c r="Q2837" s="245" t="inlineStr"/>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 not tested</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 not tested</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 not tested</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 not tested</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 not tested</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 not tested</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 not tested</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 not tested</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 not tested</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5" t="inlineStr">
        <is>
          <t>Conforms | Одговара</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5" t="inlineStr">
        <is>
          <t>Conforms | Одговара</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5" t="inlineStr">
        <is>
          <t>Conforms | Одговара</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 not tested</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 not tested</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 not tested</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 not tested</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 not tested</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 not tested</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 not tested</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 not tested</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 not tested</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 not tested</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 not tested</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5" t="inlineStr">
        <is>
          <t>Conforms | Одговара</t>
        </is>
      </c>
      <c r="L2877" s="245" t="inlineStr">
        <is>
          <t>iCoA-PP_26-139</t>
        </is>
      </c>
      <c r="M2877" s="245" t="inlineStr">
        <is>
          <t>17.08.2026</t>
        </is>
      </c>
      <c r="N2877" s="245" t="inlineStr">
        <is>
          <t>Purely Plant GmbH (in-house)</t>
        </is>
      </c>
      <c r="O2877" s="245" t="inlineStr">
        <is>
          <t>—</t>
        </is>
      </c>
      <c r="P2877" s="245" t="inlineStr">
        <is>
          <t>covered</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5" t="inlineStr">
        <is>
          <t>Conforms | Одговара</t>
        </is>
      </c>
      <c r="L2878" s="245" t="inlineStr">
        <is>
          <t>iCoA-PP_26-139</t>
        </is>
      </c>
      <c r="M2878" s="245" t="inlineStr">
        <is>
          <t>17.08.2026</t>
        </is>
      </c>
      <c r="N2878" s="245" t="inlineStr">
        <is>
          <t>Purely Plant GmbH (in-house)</t>
        </is>
      </c>
      <c r="O2878" s="245" t="inlineStr">
        <is>
          <t>—</t>
        </is>
      </c>
      <c r="P2878" s="245" t="inlineStr">
        <is>
          <t>covered</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5" t="inlineStr">
        <is>
          <t>Conforms | Одговара</t>
        </is>
      </c>
      <c r="L2883" s="245" t="inlineStr">
        <is>
          <t>iCoA-PP_26-139</t>
        </is>
      </c>
      <c r="M2883" s="245" t="inlineStr">
        <is>
          <t>17.08.2026</t>
        </is>
      </c>
      <c r="N2883" s="245" t="inlineStr">
        <is>
          <t>Purely Plant GmbH (in-house)</t>
        </is>
      </c>
      <c r="O2883" s="245" t="inlineStr">
        <is>
          <t>—</t>
        </is>
      </c>
      <c r="P2883" s="245" t="inlineStr">
        <is>
          <t>covered</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3.8 × 10³</t>
        </is>
      </c>
      <c r="L2885" s="245" t="inlineStr">
        <is>
          <t>129/0226/26</t>
        </is>
      </c>
      <c r="M2885" s="245" t="inlineStr">
        <is>
          <t>06.03.2026</t>
        </is>
      </c>
      <c r="N2885" s="245" t="inlineStr">
        <is>
          <t>IPH — Institute of Public Health</t>
        </is>
      </c>
      <c r="O2885" s="245" t="inlineStr">
        <is>
          <t>—</t>
        </is>
      </c>
      <c r="P2885" s="245" t="inlineStr">
        <is>
          <t>covered</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6.8 × 10³</t>
        </is>
      </c>
      <c r="L2886" s="245" t="inlineStr">
        <is>
          <t>129/0226/26</t>
        </is>
      </c>
      <c r="M2886" s="245" t="inlineStr">
        <is>
          <t>06.03.2026</t>
        </is>
      </c>
      <c r="N2886" s="245" t="inlineStr">
        <is>
          <t>IPH — Institute of Public Health</t>
        </is>
      </c>
      <c r="O2886" s="245" t="inlineStr">
        <is>
          <t>—</t>
        </is>
      </c>
      <c r="P2886" s="245" t="inlineStr">
        <is>
          <t>covered</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&lt; 10³ and &gt; 10²</t>
        </is>
      </c>
      <c r="L2887" s="245" t="inlineStr">
        <is>
          <t>129/0226/26</t>
        </is>
      </c>
      <c r="M2887" s="245" t="inlineStr">
        <is>
          <t>06.03.2026</t>
        </is>
      </c>
      <c r="N2887" s="245" t="inlineStr">
        <is>
          <t>IPH — Institute of Public Health</t>
        </is>
      </c>
      <c r="O2887" s="245" t="inlineStr">
        <is>
          <t>—</t>
        </is>
      </c>
      <c r="P2887" s="245" t="inlineStr">
        <is>
          <t>covered</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Absent | Отсутна</t>
        </is>
      </c>
      <c r="L2888" s="245" t="inlineStr">
        <is>
          <t>129/0226/26</t>
        </is>
      </c>
      <c r="M2888" s="245" t="inlineStr">
        <is>
          <t>06.03.2026</t>
        </is>
      </c>
      <c r="N2888" s="245" t="inlineStr">
        <is>
          <t>IPH — Institute of Public Health</t>
        </is>
      </c>
      <c r="O2888" s="245" t="inlineStr">
        <is>
          <t>—</t>
        </is>
      </c>
      <c r="P2888" s="245" t="inlineStr">
        <is>
          <t>covered</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Absent | Отсутна</t>
        </is>
      </c>
      <c r="L2889" s="245" t="inlineStr">
        <is>
          <t>129/0226/26</t>
        </is>
      </c>
      <c r="M2889" s="245" t="inlineStr">
        <is>
          <t>06.03.2026</t>
        </is>
      </c>
      <c r="N2889" s="245" t="inlineStr">
        <is>
          <t>IPH — Institute of Public Health</t>
        </is>
      </c>
      <c r="O2889" s="245" t="inlineStr">
        <is>
          <t>—</t>
        </is>
      </c>
      <c r="P2889" s="245" t="inlineStr">
        <is>
          <t>covered</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ND</t>
        </is>
      </c>
      <c r="L2895" s="245" t="inlineStr">
        <is>
          <t>1058/2026</t>
        </is>
      </c>
      <c r="M2895" s="245" t="inlineStr">
        <is>
          <t>09.03.2026</t>
        </is>
      </c>
      <c r="N2895" s="245" t="inlineStr">
        <is>
          <t>IPH — Institute of Public Health</t>
        </is>
      </c>
      <c r="O2895" s="245" t="inlineStr">
        <is>
          <t>—</t>
        </is>
      </c>
      <c r="P2895" s="245" t="inlineStr">
        <is>
          <t>covered</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ND</t>
        </is>
      </c>
      <c r="L2896" s="245" t="inlineStr">
        <is>
          <t>1058/2026</t>
        </is>
      </c>
      <c r="M2896" s="245" t="inlineStr">
        <is>
          <t>09.03.2026</t>
        </is>
      </c>
      <c r="N2896" s="245" t="inlineStr">
        <is>
          <t>IPH — Institute of Public Health</t>
        </is>
      </c>
      <c r="O2896" s="245" t="inlineStr">
        <is>
          <t>—</t>
        </is>
      </c>
      <c r="P2896" s="245" t="inlineStr">
        <is>
          <t>covered</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ND</t>
        </is>
      </c>
      <c r="L2897" s="245" t="inlineStr">
        <is>
          <t>1058/2026</t>
        </is>
      </c>
      <c r="M2897" s="245" t="inlineStr">
        <is>
          <t>09.03.2026</t>
        </is>
      </c>
      <c r="N2897" s="245" t="inlineStr">
        <is>
          <t>IPH — Institute of Public Health</t>
        </is>
      </c>
      <c r="O2897" s="245" t="inlineStr">
        <is>
          <t>—</t>
        </is>
      </c>
      <c r="P2897" s="245" t="inlineStr">
        <is>
          <t>covered</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ND</t>
        </is>
      </c>
      <c r="L2898" s="245" t="inlineStr">
        <is>
          <t>1058/2026</t>
        </is>
      </c>
      <c r="M2898" s="245" t="inlineStr">
        <is>
          <t>09.03.2026</t>
        </is>
      </c>
      <c r="N2898" s="245" t="inlineStr">
        <is>
          <t>IPH — Institute of Public Health</t>
        </is>
      </c>
      <c r="O2898" s="245" t="inlineStr">
        <is>
          <t>—</t>
        </is>
      </c>
      <c r="P2898" s="245" t="inlineStr">
        <is>
          <t>covered</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5" t="inlineStr">
        <is>
          <t>Conforms | Одговара</t>
        </is>
      </c>
      <c r="L2900" s="245" t="inlineStr">
        <is>
          <t>iCoA-PP_26-140</t>
        </is>
      </c>
      <c r="M2900" s="245" t="inlineStr">
        <is>
          <t>17.08.2026</t>
        </is>
      </c>
      <c r="N2900" s="245" t="inlineStr">
        <is>
          <t>Purely Plant GmbH (in-house)</t>
        </is>
      </c>
      <c r="O2900" s="245" t="inlineStr">
        <is>
          <t>—</t>
        </is>
      </c>
      <c r="P2900" s="245" t="inlineStr">
        <is>
          <t>covered</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5" t="inlineStr">
        <is>
          <t>Conforms | Одговара</t>
        </is>
      </c>
      <c r="L2901" s="245" t="inlineStr">
        <is>
          <t>iCoA-PP_26-140</t>
        </is>
      </c>
      <c r="M2901" s="245" t="inlineStr">
        <is>
          <t>17.08.2026</t>
        </is>
      </c>
      <c r="N2901" s="245" t="inlineStr">
        <is>
          <t>Purely Plant GmbH (in-house)</t>
        </is>
      </c>
      <c r="O2901" s="245" t="inlineStr">
        <is>
          <t>—</t>
        </is>
      </c>
      <c r="P2901" s="245" t="inlineStr">
        <is>
          <t>covered</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5" t="inlineStr">
        <is>
          <t>Conforms | Одговара</t>
        </is>
      </c>
      <c r="L2906" s="245" t="inlineStr">
        <is>
          <t>iCoA-PP_26-140</t>
        </is>
      </c>
      <c r="M2906" s="245" t="inlineStr">
        <is>
          <t>17.08.2026</t>
        </is>
      </c>
      <c r="N2906" s="245" t="inlineStr">
        <is>
          <t>Purely Plant GmbH (in-house)</t>
        </is>
      </c>
      <c r="O2906" s="245" t="inlineStr">
        <is>
          <t>—</t>
        </is>
      </c>
      <c r="P2906" s="245" t="inlineStr">
        <is>
          <t>covered</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5" t="inlineStr">
        <is>
          <t>Conforms | Одговара</t>
        </is>
      </c>
      <c r="L2923" s="245" t="inlineStr">
        <is>
          <t>iCoA-PP_26-142</t>
        </is>
      </c>
      <c r="M2923" s="245" t="inlineStr">
        <is>
          <t>17.08.2026</t>
        </is>
      </c>
      <c r="N2923" s="245" t="inlineStr">
        <is>
          <t>Purely Plant GmbH (in-house)</t>
        </is>
      </c>
      <c r="O2923" s="245" t="inlineStr">
        <is>
          <t>—</t>
        </is>
      </c>
      <c r="P2923" s="245" t="inlineStr">
        <is>
          <t>covered</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5" t="inlineStr">
        <is>
          <t>Conforms | Одговара</t>
        </is>
      </c>
      <c r="L2924" s="245" t="inlineStr">
        <is>
          <t>iCoA-PP_26-142</t>
        </is>
      </c>
      <c r="M2924" s="245" t="inlineStr">
        <is>
          <t>17.08.2026</t>
        </is>
      </c>
      <c r="N2924" s="245" t="inlineStr">
        <is>
          <t>Purely Plant GmbH (in-house)</t>
        </is>
      </c>
      <c r="O2924" s="245" t="inlineStr">
        <is>
          <t>—</t>
        </is>
      </c>
      <c r="P2924" s="245" t="inlineStr">
        <is>
          <t>covered</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5" t="inlineStr">
        <is>
          <t>Conforms | Одговара</t>
        </is>
      </c>
      <c r="L2929" s="245" t="inlineStr">
        <is>
          <t>iCoA-PP_26-142</t>
        </is>
      </c>
      <c r="M2929" s="245" t="inlineStr">
        <is>
          <t>17.08.2026</t>
        </is>
      </c>
      <c r="N2929" s="245" t="inlineStr">
        <is>
          <t>Purely Plant GmbH (in-house)</t>
        </is>
      </c>
      <c r="O2929" s="245" t="inlineStr">
        <is>
          <t>—</t>
        </is>
      </c>
      <c r="P2929" s="245" t="inlineStr">
        <is>
          <t>covered</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5" t="inlineStr">
        <is>
          <t>Conforms | Одговара</t>
        </is>
      </c>
      <c r="L2946" s="245" t="inlineStr">
        <is>
          <t>iCoA-PP_26-141</t>
        </is>
      </c>
      <c r="M2946" s="245" t="inlineStr">
        <is>
          <t>17.08.2026</t>
        </is>
      </c>
      <c r="N2946" s="245" t="inlineStr">
        <is>
          <t>Purely Plant GmbH (in-house)</t>
        </is>
      </c>
      <c r="O2946" s="245" t="inlineStr">
        <is>
          <t>—</t>
        </is>
      </c>
      <c r="P2946" s="245" t="inlineStr">
        <is>
          <t>covered</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5" t="inlineStr">
        <is>
          <t>Conforms | Одговара</t>
        </is>
      </c>
      <c r="L2947" s="245" t="inlineStr">
        <is>
          <t>iCoA-PP_26-141</t>
        </is>
      </c>
      <c r="M2947" s="245" t="inlineStr">
        <is>
          <t>17.08.2026</t>
        </is>
      </c>
      <c r="N2947" s="245" t="inlineStr">
        <is>
          <t>Purely Plant GmbH (in-house)</t>
        </is>
      </c>
      <c r="O2947" s="245" t="inlineStr">
        <is>
          <t>—</t>
        </is>
      </c>
      <c r="P2947" s="245" t="inlineStr">
        <is>
          <t>covered</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5" t="inlineStr">
        <is>
          <t>Conforms | Одговара</t>
        </is>
      </c>
      <c r="L2952" s="245" t="inlineStr">
        <is>
          <t>iCoA-PP_26-141</t>
        </is>
      </c>
      <c r="M2952" s="245" t="inlineStr">
        <is>
          <t>17.08.2026</t>
        </is>
      </c>
      <c r="N2952" s="245" t="inlineStr">
        <is>
          <t>Purely Plant GmbH (in-house)</t>
        </is>
      </c>
      <c r="O2952" s="245" t="inlineStr">
        <is>
          <t>—</t>
        </is>
      </c>
      <c r="P2952" s="245" t="inlineStr">
        <is>
          <t>covered</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5" t="inlineStr">
        <is>
          <t>Conforms | Одговара</t>
        </is>
      </c>
      <c r="L2969" s="245" t="inlineStr">
        <is>
          <t>iCoA-PP_26-147</t>
        </is>
      </c>
      <c r="M2969" s="245" t="inlineStr">
        <is>
          <t>17.08.2026</t>
        </is>
      </c>
      <c r="N2969" s="245" t="inlineStr">
        <is>
          <t>Purely Plant GmbH (in-house)</t>
        </is>
      </c>
      <c r="O2969" s="245" t="inlineStr">
        <is>
          <t>—</t>
        </is>
      </c>
      <c r="P2969" s="245" t="inlineStr">
        <is>
          <t>covered</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5" t="inlineStr">
        <is>
          <t>Conforms | Одговара</t>
        </is>
      </c>
      <c r="L2970" s="245" t="inlineStr">
        <is>
          <t>iCoA-PP_26-147</t>
        </is>
      </c>
      <c r="M2970" s="245" t="inlineStr">
        <is>
          <t>17.08.2026</t>
        </is>
      </c>
      <c r="N2970" s="245" t="inlineStr">
        <is>
          <t>Purely Plant GmbH (in-house)</t>
        </is>
      </c>
      <c r="O2970" s="245" t="inlineStr">
        <is>
          <t>—</t>
        </is>
      </c>
      <c r="P2970" s="245" t="inlineStr">
        <is>
          <t>covered</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5" t="inlineStr">
        <is>
          <t>Conforms | Одговара</t>
        </is>
      </c>
      <c r="L2975" s="245" t="inlineStr">
        <is>
          <t>iCoA-PP_26-147</t>
        </is>
      </c>
      <c r="M2975" s="245" t="inlineStr">
        <is>
          <t>17.08.2026</t>
        </is>
      </c>
      <c r="N2975" s="245" t="inlineStr">
        <is>
          <t>Purely Plant GmbH (in-house)</t>
        </is>
      </c>
      <c r="O2975" s="245" t="inlineStr">
        <is>
          <t>—</t>
        </is>
      </c>
      <c r="P2975" s="245" t="inlineStr">
        <is>
          <t>covered</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5" t="inlineStr">
        <is>
          <t>Conforms | Одговара</t>
        </is>
      </c>
      <c r="L2992" s="245" t="inlineStr">
        <is>
          <t>iCoA-PP_26-148</t>
        </is>
      </c>
      <c r="M2992" s="245" t="inlineStr">
        <is>
          <t>17.08.2026</t>
        </is>
      </c>
      <c r="N2992" s="245" t="inlineStr">
        <is>
          <t>Purely Plant GmbH (in-house)</t>
        </is>
      </c>
      <c r="O2992" s="245" t="inlineStr">
        <is>
          <t>—</t>
        </is>
      </c>
      <c r="P2992" s="245" t="inlineStr">
        <is>
          <t>covered</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5" t="inlineStr">
        <is>
          <t>Conforms | Одговара</t>
        </is>
      </c>
      <c r="L2993" s="245" t="inlineStr">
        <is>
          <t>iCoA-PP_26-148</t>
        </is>
      </c>
      <c r="M2993" s="245" t="inlineStr">
        <is>
          <t>17.08.2026</t>
        </is>
      </c>
      <c r="N2993" s="245" t="inlineStr">
        <is>
          <t>Purely Plant GmbH (in-house)</t>
        </is>
      </c>
      <c r="O2993" s="245" t="inlineStr">
        <is>
          <t>—</t>
        </is>
      </c>
      <c r="P2993" s="245" t="inlineStr">
        <is>
          <t>covered</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5" t="inlineStr">
        <is>
          <t>Conforms | Одговара</t>
        </is>
      </c>
      <c r="L2998" s="245" t="inlineStr">
        <is>
          <t>iCoA-PP_26-148</t>
        </is>
      </c>
      <c r="M2998" s="245" t="inlineStr">
        <is>
          <t>17.08.2026</t>
        </is>
      </c>
      <c r="N2998" s="245" t="inlineStr">
        <is>
          <t>Purely Plant GmbH (in-house)</t>
        </is>
      </c>
      <c r="O2998" s="245" t="inlineStr">
        <is>
          <t>—</t>
        </is>
      </c>
      <c r="P2998" s="245" t="inlineStr">
        <is>
          <t>covered</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10</t>
        </is>
      </c>
      <c r="L3000" s="245" t="inlineStr">
        <is>
          <t>135/0232/26</t>
        </is>
      </c>
      <c r="M3000" s="245" t="inlineStr">
        <is>
          <t>06.03.2026</t>
        </is>
      </c>
      <c r="N3000" s="245" t="inlineStr">
        <is>
          <t>IPH — Institute of Public Health</t>
        </is>
      </c>
      <c r="O3000" s="245" t="inlineStr">
        <is>
          <t>—</t>
        </is>
      </c>
      <c r="P3000" s="245" t="inlineStr">
        <is>
          <t>covered</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&lt; 10</t>
        </is>
      </c>
      <c r="L3001" s="245" t="inlineStr">
        <is>
          <t>135/0232/26</t>
        </is>
      </c>
      <c r="M3001" s="245" t="inlineStr">
        <is>
          <t>06.03.2026</t>
        </is>
      </c>
      <c r="N3001" s="245" t="inlineStr">
        <is>
          <t>IPH — Institute of Public Health</t>
        </is>
      </c>
      <c r="O3001" s="245" t="inlineStr">
        <is>
          <t>—</t>
        </is>
      </c>
      <c r="P3001" s="245" t="inlineStr">
        <is>
          <t>covered</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&lt; 10</t>
        </is>
      </c>
      <c r="L3002" s="245" t="inlineStr">
        <is>
          <t>135/0232/26</t>
        </is>
      </c>
      <c r="M3002" s="245" t="inlineStr">
        <is>
          <t>06.03.2026</t>
        </is>
      </c>
      <c r="N3002" s="245" t="inlineStr">
        <is>
          <t>IPH — Institute of Public Health</t>
        </is>
      </c>
      <c r="O3002" s="245" t="inlineStr">
        <is>
          <t>—</t>
        </is>
      </c>
      <c r="P3002" s="245" t="inlineStr">
        <is>
          <t>covered</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Absent | Отсутна</t>
        </is>
      </c>
      <c r="L3003" s="245" t="inlineStr">
        <is>
          <t>135/0232/26</t>
        </is>
      </c>
      <c r="M3003" s="245" t="inlineStr">
        <is>
          <t>06.03.2026</t>
        </is>
      </c>
      <c r="N3003" s="245" t="inlineStr">
        <is>
          <t>IPH — Institute of Public Health</t>
        </is>
      </c>
      <c r="O3003" s="245" t="inlineStr">
        <is>
          <t>—</t>
        </is>
      </c>
      <c r="P3003" s="245" t="inlineStr">
        <is>
          <t>covered</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Absent | Отсутна</t>
        </is>
      </c>
      <c r="L3004" s="245" t="inlineStr">
        <is>
          <t>135/0232/26</t>
        </is>
      </c>
      <c r="M3004" s="245" t="inlineStr">
        <is>
          <t>06.03.2026</t>
        </is>
      </c>
      <c r="N3004" s="245" t="inlineStr">
        <is>
          <t>IPH — Institute of Public Health</t>
        </is>
      </c>
      <c r="O3004" s="245" t="inlineStr">
        <is>
          <t>—</t>
        </is>
      </c>
      <c r="P3004" s="245" t="inlineStr">
        <is>
          <t>covered</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ND</t>
        </is>
      </c>
      <c r="L3010" s="245" t="inlineStr">
        <is>
          <t>1059/2026</t>
        </is>
      </c>
      <c r="M3010" s="245" t="inlineStr">
        <is>
          <t>09.03.2026</t>
        </is>
      </c>
      <c r="N3010" s="245" t="inlineStr">
        <is>
          <t>IPH — Institute of Public Health</t>
        </is>
      </c>
      <c r="O3010" s="245" t="inlineStr">
        <is>
          <t>—</t>
        </is>
      </c>
      <c r="P3010" s="245" t="inlineStr">
        <is>
          <t>covered</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ND</t>
        </is>
      </c>
      <c r="L3011" s="245" t="inlineStr">
        <is>
          <t>1059/2026</t>
        </is>
      </c>
      <c r="M3011" s="245" t="inlineStr">
        <is>
          <t>09.03.2026</t>
        </is>
      </c>
      <c r="N3011" s="245" t="inlineStr">
        <is>
          <t>IPH — Institute of Public Health</t>
        </is>
      </c>
      <c r="O3011" s="245" t="inlineStr">
        <is>
          <t>—</t>
        </is>
      </c>
      <c r="P3011" s="245" t="inlineStr">
        <is>
          <t>covered</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ND</t>
        </is>
      </c>
      <c r="L3012" s="245" t="inlineStr">
        <is>
          <t>1059/2026</t>
        </is>
      </c>
      <c r="M3012" s="245" t="inlineStr">
        <is>
          <t>09.03.2026</t>
        </is>
      </c>
      <c r="N3012" s="245" t="inlineStr">
        <is>
          <t>IPH — Institute of Public Health</t>
        </is>
      </c>
      <c r="O3012" s="245" t="inlineStr">
        <is>
          <t>—</t>
        </is>
      </c>
      <c r="P3012" s="245" t="inlineStr">
        <is>
          <t>covered</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ND</t>
        </is>
      </c>
      <c r="L3013" s="245" t="inlineStr">
        <is>
          <t>1059/2026</t>
        </is>
      </c>
      <c r="M3013" s="245" t="inlineStr">
        <is>
          <t>09.03.2026</t>
        </is>
      </c>
      <c r="N3013" s="245" t="inlineStr">
        <is>
          <t>IPH — Institute of Public Health</t>
        </is>
      </c>
      <c r="O3013" s="245" t="inlineStr">
        <is>
          <t>—</t>
        </is>
      </c>
      <c r="P3013" s="245" t="inlineStr">
        <is>
          <t>covered</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5" t="inlineStr">
        <is>
          <t>Conforms | Одговара</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5" t="inlineStr">
        <is>
          <t>Conforms | Одговара</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5" t="inlineStr">
        <is>
          <t>Conforms | Одговара</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5 × 10¹</t>
        </is>
      </c>
      <c r="L3023" s="245" t="inlineStr">
        <is>
          <t>74/0117/26</t>
        </is>
      </c>
      <c r="M3023" s="245" t="inlineStr">
        <is>
          <t>09.02.2026</t>
        </is>
      </c>
      <c r="N3023" s="245" t="inlineStr">
        <is>
          <t>IPH — Institute of Public Health</t>
        </is>
      </c>
      <c r="O3023" s="245" t="inlineStr">
        <is>
          <t>—</t>
        </is>
      </c>
      <c r="P3023" s="245" t="inlineStr">
        <is>
          <t>covered</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5 × 10¹</t>
        </is>
      </c>
      <c r="L3024" s="245" t="inlineStr">
        <is>
          <t>74/0117/26</t>
        </is>
      </c>
      <c r="M3024" s="245" t="inlineStr">
        <is>
          <t>09.02.2026</t>
        </is>
      </c>
      <c r="N3024" s="245" t="inlineStr">
        <is>
          <t>IPH — Institute of Public Health</t>
        </is>
      </c>
      <c r="O3024" s="245" t="inlineStr">
        <is>
          <t>—</t>
        </is>
      </c>
      <c r="P3024" s="245" t="inlineStr">
        <is>
          <t>covered</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&lt; 10</t>
        </is>
      </c>
      <c r="L3025" s="245" t="inlineStr">
        <is>
          <t>74/0117/26</t>
        </is>
      </c>
      <c r="M3025" s="245" t="inlineStr">
        <is>
          <t>09.02.2026</t>
        </is>
      </c>
      <c r="N3025" s="245" t="inlineStr">
        <is>
          <t>IPH — Institute of Public Health</t>
        </is>
      </c>
      <c r="O3025" s="245" t="inlineStr">
        <is>
          <t>—</t>
        </is>
      </c>
      <c r="P3025" s="245" t="inlineStr">
        <is>
          <t>covered</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Absent | Отсутна</t>
        </is>
      </c>
      <c r="L3026" s="245" t="inlineStr">
        <is>
          <t>74/0117/26</t>
        </is>
      </c>
      <c r="M3026" s="245" t="inlineStr">
        <is>
          <t>09.02.2026</t>
        </is>
      </c>
      <c r="N3026" s="245" t="inlineStr">
        <is>
          <t>IPH — Institute of Public Health</t>
        </is>
      </c>
      <c r="O3026" s="245" t="inlineStr">
        <is>
          <t>—</t>
        </is>
      </c>
      <c r="P3026" s="245" t="inlineStr">
        <is>
          <t>covered</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Absent | Отсутна</t>
        </is>
      </c>
      <c r="L3027" s="245" t="inlineStr">
        <is>
          <t>74/0117/26</t>
        </is>
      </c>
      <c r="M3027" s="245" t="inlineStr">
        <is>
          <t>09.02.2026</t>
        </is>
      </c>
      <c r="N3027" s="245" t="inlineStr">
        <is>
          <t>IPH — Institute of Public Health</t>
        </is>
      </c>
      <c r="O3027" s="245" t="inlineStr">
        <is>
          <t>—</t>
        </is>
      </c>
      <c r="P3027" s="245" t="inlineStr">
        <is>
          <t>covered</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0.078</t>
        </is>
      </c>
      <c r="L3033" s="245" t="inlineStr">
        <is>
          <t>327/2026</t>
        </is>
      </c>
      <c r="M3033" s="245" t="inlineStr">
        <is>
          <t>11.02.2026</t>
        </is>
      </c>
      <c r="N3033" s="245" t="inlineStr">
        <is>
          <t>IPH — Institute of Public Health</t>
        </is>
      </c>
      <c r="O3033" s="245" t="inlineStr">
        <is>
          <t>—</t>
        </is>
      </c>
      <c r="P3033" s="245" t="inlineStr">
        <is>
          <t>covered</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ND</t>
        </is>
      </c>
      <c r="L3034" s="245" t="inlineStr">
        <is>
          <t>327/2026</t>
        </is>
      </c>
      <c r="M3034" s="245" t="inlineStr">
        <is>
          <t>11.02.2026</t>
        </is>
      </c>
      <c r="N3034" s="245" t="inlineStr">
        <is>
          <t>IPH — Institute of Public Health</t>
        </is>
      </c>
      <c r="O3034" s="245" t="inlineStr">
        <is>
          <t>—</t>
        </is>
      </c>
      <c r="P3034" s="245" t="inlineStr">
        <is>
          <t>covered</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0.0187</t>
        </is>
      </c>
      <c r="L3035" s="245" t="inlineStr">
        <is>
          <t>327/2026</t>
        </is>
      </c>
      <c r="M3035" s="245" t="inlineStr">
        <is>
          <t>11.02.2026</t>
        </is>
      </c>
      <c r="N3035" s="245" t="inlineStr">
        <is>
          <t>IPH — Institute of Public Health</t>
        </is>
      </c>
      <c r="O3035" s="245" t="inlineStr">
        <is>
          <t>—</t>
        </is>
      </c>
      <c r="P3035" s="245" t="inlineStr">
        <is>
          <t>covered</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ND</t>
        </is>
      </c>
      <c r="L3036" s="245" t="inlineStr">
        <is>
          <t>327/2026</t>
        </is>
      </c>
      <c r="M3036" s="245" t="inlineStr">
        <is>
          <t>11.02.2026</t>
        </is>
      </c>
      <c r="N3036" s="245" t="inlineStr">
        <is>
          <t>IPH — Institute of Public Health</t>
        </is>
      </c>
      <c r="O3036" s="245" t="inlineStr">
        <is>
          <t>—</t>
        </is>
      </c>
      <c r="P3036" s="245" t="inlineStr">
        <is>
          <t>covered</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5" t="inlineStr">
        <is>
          <t>Conforms | Одговара</t>
        </is>
      </c>
      <c r="L3038" s="245" t="inlineStr">
        <is>
          <t>iCoA-PP_26-150</t>
        </is>
      </c>
      <c r="M3038" s="245" t="inlineStr">
        <is>
          <t>17.08.2026</t>
        </is>
      </c>
      <c r="N3038" s="245" t="inlineStr">
        <is>
          <t>Purely Plant GmbH (in-house)</t>
        </is>
      </c>
      <c r="O3038" s="245" t="inlineStr">
        <is>
          <t>—</t>
        </is>
      </c>
      <c r="P3038" s="245" t="inlineStr">
        <is>
          <t>covered</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5" t="inlineStr">
        <is>
          <t>Conforms | Одговара</t>
        </is>
      </c>
      <c r="L3039" s="245" t="inlineStr">
        <is>
          <t>iCoA-PP_26-150</t>
        </is>
      </c>
      <c r="M3039" s="245" t="inlineStr">
        <is>
          <t>17.08.2026</t>
        </is>
      </c>
      <c r="N3039" s="245" t="inlineStr">
        <is>
          <t>Purely Plant GmbH (in-house)</t>
        </is>
      </c>
      <c r="O3039" s="245" t="inlineStr">
        <is>
          <t>—</t>
        </is>
      </c>
      <c r="P3039" s="245" t="inlineStr">
        <is>
          <t>covered</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5" t="inlineStr">
        <is>
          <t>Conforms | Одговара</t>
        </is>
      </c>
      <c r="L3044" s="245" t="inlineStr">
        <is>
          <t>iCoA-PP_26-150</t>
        </is>
      </c>
      <c r="M3044" s="245" t="inlineStr">
        <is>
          <t>17.08.2026</t>
        </is>
      </c>
      <c r="N3044" s="245" t="inlineStr">
        <is>
          <t>Purely Plant GmbH (in-house)</t>
        </is>
      </c>
      <c r="O3044" s="245" t="inlineStr">
        <is>
          <t>—</t>
        </is>
      </c>
      <c r="P3044" s="245" t="inlineStr">
        <is>
          <t>covered</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5" t="inlineStr">
        <is>
          <t>Conforms | Одговара</t>
        </is>
      </c>
      <c r="L3061" s="245" t="inlineStr">
        <is>
          <t>iCoA-PP_26-151</t>
        </is>
      </c>
      <c r="M3061" s="245" t="inlineStr">
        <is>
          <t>17.08.2026</t>
        </is>
      </c>
      <c r="N3061" s="245" t="inlineStr">
        <is>
          <t>Purely Plant GmbH (in-house)</t>
        </is>
      </c>
      <c r="O3061" s="245" t="inlineStr">
        <is>
          <t>—</t>
        </is>
      </c>
      <c r="P3061" s="245" t="inlineStr">
        <is>
          <t>covered</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5" t="inlineStr">
        <is>
          <t>Conforms | Одговара</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5" t="inlineStr">
        <is>
          <t>Conforms | Одговара</t>
        </is>
      </c>
      <c r="L3067" s="245" t="inlineStr">
        <is>
          <t>iCoA-PP_26-151</t>
        </is>
      </c>
      <c r="M3067" s="245" t="inlineStr">
        <is>
          <t>17.08.2026</t>
        </is>
      </c>
      <c r="N3067" s="245" t="inlineStr">
        <is>
          <t>Purely Plant GmbH (in-house)</t>
        </is>
      </c>
      <c r="O3067" s="245" t="inlineStr">
        <is>
          <t>—</t>
        </is>
      </c>
      <c r="P3067" s="245" t="inlineStr">
        <is>
          <t>covered</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5" t="inlineStr">
        <is>
          <t>Conforms | Одговара</t>
        </is>
      </c>
      <c r="L3084" s="245" t="inlineStr">
        <is>
          <t>iCoA-PP_26-152</t>
        </is>
      </c>
      <c r="M3084" s="245" t="inlineStr">
        <is>
          <t>17.08.2026</t>
        </is>
      </c>
      <c r="N3084" s="245" t="inlineStr">
        <is>
          <t>Purely Plant GmbH (in-house)</t>
        </is>
      </c>
      <c r="O3084" s="245" t="inlineStr">
        <is>
          <t>—</t>
        </is>
      </c>
      <c r="P3084" s="245" t="inlineStr">
        <is>
          <t>covered</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5" t="inlineStr">
        <is>
          <t>Conforms | Одговара</t>
        </is>
      </c>
      <c r="L3085" s="245" t="inlineStr">
        <is>
          <t>iCoA-PP_26-152</t>
        </is>
      </c>
      <c r="M3085" s="245" t="inlineStr">
        <is>
          <t>17.08.2026</t>
        </is>
      </c>
      <c r="N3085" s="245" t="inlineStr">
        <is>
          <t>Purely Plant GmbH (in-house)</t>
        </is>
      </c>
      <c r="O3085" s="245" t="inlineStr">
        <is>
          <t>—</t>
        </is>
      </c>
      <c r="P3085" s="245" t="inlineStr">
        <is>
          <t>covered</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5" t="inlineStr">
        <is>
          <t>Conforms | Одговара</t>
        </is>
      </c>
      <c r="L3090" s="245" t="inlineStr">
        <is>
          <t>iCoA-PP_26-152</t>
        </is>
      </c>
      <c r="M3090" s="245" t="inlineStr">
        <is>
          <t>17.08.2026</t>
        </is>
      </c>
      <c r="N3090" s="245" t="inlineStr">
        <is>
          <t>Purely Plant GmbH (in-house)</t>
        </is>
      </c>
      <c r="O3090" s="245" t="inlineStr">
        <is>
          <t>—</t>
        </is>
      </c>
      <c r="P3090" s="245" t="inlineStr">
        <is>
          <t>covered</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5" t="inlineStr">
        <is>
          <t>Conforms | Одговара</t>
        </is>
      </c>
      <c r="L3107" s="245" t="inlineStr">
        <is>
          <t>iCoA-PP_26-173</t>
        </is>
      </c>
      <c r="M3107" s="245" t="inlineStr">
        <is>
          <t>24.08.2026</t>
        </is>
      </c>
      <c r="N3107" s="245" t="inlineStr">
        <is>
          <t>Purely Plant GmbH (in-house)</t>
        </is>
      </c>
      <c r="O3107" s="245" t="inlineStr">
        <is>
          <t>—</t>
        </is>
      </c>
      <c r="P3107" s="245" t="inlineStr">
        <is>
          <t>covered</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5" t="inlineStr">
        <is>
          <t>Conforms | Одговара</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5" t="inlineStr">
        <is>
          <t>Conforms | Одговара</t>
        </is>
      </c>
      <c r="L3113" s="245" t="inlineStr">
        <is>
          <t>iCoA-PP_26-173</t>
        </is>
      </c>
      <c r="M3113" s="245" t="inlineStr">
        <is>
          <t>24.08.2026</t>
        </is>
      </c>
      <c r="N3113" s="245" t="inlineStr">
        <is>
          <t>Purely Plant GmbH (in-house)</t>
        </is>
      </c>
      <c r="O3113" s="245" t="inlineStr">
        <is>
          <t>—</t>
        </is>
      </c>
      <c r="P3113" s="245" t="inlineStr">
        <is>
          <t>covered</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ППК26005</t>
        </is>
      </c>
      <c r="M3114" s="245" t="inlineStr">
        <is>
          <t>21.01.2026</t>
        </is>
      </c>
      <c r="N3114" s="245" t="inlineStr">
        <is>
          <t>UKIM Faculty of Pharmacy — Center for Natural Products</t>
        </is>
      </c>
      <c r="O3114" s="245" t="inlineStr">
        <is>
          <t>08.01.2026</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552/1083/26</t>
        </is>
      </c>
      <c r="M3115" s="245" t="inlineStr">
        <is>
          <t>01.09.2026</t>
        </is>
      </c>
      <c r="N3115" s="245" t="inlineStr">
        <is>
          <t>IPH — Institute of Public Health</t>
        </is>
      </c>
      <c r="O3115" s="245" t="inlineStr">
        <is>
          <t>26.08.2026</t>
        </is>
      </c>
      <c r="P3115" s="245" t="inlineStr">
        <is>
          <t>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552/1083/26</t>
        </is>
      </c>
      <c r="M3116" s="245" t="inlineStr">
        <is>
          <t>01.09.2026</t>
        </is>
      </c>
      <c r="N3116" s="245" t="inlineStr">
        <is>
          <t>IPH — Institute of Public Health</t>
        </is>
      </c>
      <c r="O3116" s="245" t="inlineStr">
        <is>
          <t>26.08.2026</t>
        </is>
      </c>
      <c r="P3116" s="245" t="inlineStr">
        <is>
          <t>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552/1083/26</t>
        </is>
      </c>
      <c r="M3117" s="245" t="inlineStr">
        <is>
          <t>01.09.2026</t>
        </is>
      </c>
      <c r="N3117" s="245" t="inlineStr">
        <is>
          <t>IPH — Institute of Public Health</t>
        </is>
      </c>
      <c r="O3117" s="245" t="inlineStr">
        <is>
          <t>26.08.2026</t>
        </is>
      </c>
      <c r="P3117" s="245" t="inlineStr">
        <is>
          <t>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552/1083/26</t>
        </is>
      </c>
      <c r="M3118" s="245" t="inlineStr">
        <is>
          <t>01.09.2026</t>
        </is>
      </c>
      <c r="N3118" s="245" t="inlineStr">
        <is>
          <t>IPH — Institute of Public Health</t>
        </is>
      </c>
      <c r="O3118" s="245" t="inlineStr">
        <is>
          <t>26.08.2026</t>
        </is>
      </c>
      <c r="P3118" s="245" t="inlineStr">
        <is>
          <t>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552/1083/26</t>
        </is>
      </c>
      <c r="M3119" s="245" t="inlineStr">
        <is>
          <t>01.09.2026</t>
        </is>
      </c>
      <c r="N3119" s="245" t="inlineStr">
        <is>
          <t>IPH — Institute of Public Health</t>
        </is>
      </c>
      <c r="O3119" s="245" t="inlineStr">
        <is>
          <t>26.08.2026</t>
        </is>
      </c>
      <c r="P3119" s="245" t="inlineStr">
        <is>
          <t>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5" t="inlineStr">
        <is>
          <t>ND</t>
        </is>
      </c>
      <c r="L3122" s="245" t="inlineStr">
        <is>
          <t>227-30-М/26</t>
        </is>
      </c>
      <c r="M3122" s="245" t="inlineStr">
        <is>
          <t>16.09.2026</t>
        </is>
      </c>
      <c r="N3122" s="245" t="inlineStr">
        <is>
          <t>Farmahem</t>
        </is>
      </c>
      <c r="O3122" s="245" t="inlineStr">
        <is>
          <t>—</t>
        </is>
      </c>
      <c r="P3122" s="245" t="inlineStr">
        <is>
          <t>covered</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5" t="inlineStr">
        <is>
          <t>ND</t>
        </is>
      </c>
      <c r="L3123" s="245" t="inlineStr">
        <is>
          <t>227-30-М/26</t>
        </is>
      </c>
      <c r="M3123" s="245" t="inlineStr">
        <is>
          <t>16.09.2026</t>
        </is>
      </c>
      <c r="N3123" s="245" t="inlineStr">
        <is>
          <t>Farmahem</t>
        </is>
      </c>
      <c r="O3123" s="245" t="inlineStr">
        <is>
          <t>—</t>
        </is>
      </c>
      <c r="P3123" s="245" t="inlineStr">
        <is>
          <t>carried from the initial testing (the batch's initial CoQ (number assigned on issue)) — covered</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5" t="inlineStr">
        <is>
          <t>ND</t>
        </is>
      </c>
      <c r="L3124" s="245" t="inlineStr">
        <is>
          <t>227-30-М/26</t>
        </is>
      </c>
      <c r="M3124" s="245" t="inlineStr">
        <is>
          <t>16.09.2026</t>
        </is>
      </c>
      <c r="N3124" s="245" t="inlineStr">
        <is>
          <t>Farmahem</t>
        </is>
      </c>
      <c r="O3124" s="245" t="inlineStr">
        <is>
          <t>—</t>
        </is>
      </c>
      <c r="P3124" s="245" t="inlineStr">
        <is>
          <t>covered</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5" t="inlineStr">
        <is>
          <t>Conforms | Одговара</t>
        </is>
      </c>
      <c r="L3130" s="245" t="inlineStr">
        <is>
          <t>iCoA-PP_26-174</t>
        </is>
      </c>
      <c r="M3130" s="245" t="inlineStr">
        <is>
          <t>24.08.2026</t>
        </is>
      </c>
      <c r="N3130" s="245" t="inlineStr">
        <is>
          <t>Purely Plant GmbH (in-house)</t>
        </is>
      </c>
      <c r="O3130" s="245" t="inlineStr">
        <is>
          <t>—</t>
        </is>
      </c>
      <c r="P3130" s="245" t="inlineStr">
        <is>
          <t>covered</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5" t="inlineStr">
        <is>
          <t>Conforms | Одговара</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5" t="inlineStr">
        <is>
          <t>Conforms | Одговара</t>
        </is>
      </c>
      <c r="L3136" s="245" t="inlineStr">
        <is>
          <t>iCoA-PP_26-174</t>
        </is>
      </c>
      <c r="M3136" s="245" t="inlineStr">
        <is>
          <t>24.08.2026</t>
        </is>
      </c>
      <c r="N3136" s="245" t="inlineStr">
        <is>
          <t>Purely Plant GmbH (in-house)</t>
        </is>
      </c>
      <c r="O3136" s="245" t="inlineStr">
        <is>
          <t>—</t>
        </is>
      </c>
      <c r="P3136" s="245" t="inlineStr">
        <is>
          <t>covered</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10</t>
        </is>
      </c>
      <c r="L3138" s="245" t="inlineStr">
        <is>
          <t>561/1092/26</t>
        </is>
      </c>
      <c r="M3138" s="245" t="inlineStr">
        <is>
          <t>01.09.2026</t>
        </is>
      </c>
      <c r="N3138" s="245" t="inlineStr">
        <is>
          <t>IPH — Institute of Public Health</t>
        </is>
      </c>
      <c r="O3138" s="245" t="inlineStr">
        <is>
          <t>26.08.2026</t>
        </is>
      </c>
      <c r="P3138" s="245" t="inlineStr">
        <is>
          <t>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20</t>
        </is>
      </c>
      <c r="L3139" s="245" t="inlineStr">
        <is>
          <t>561/1092/26</t>
        </is>
      </c>
      <c r="M3139" s="245" t="inlineStr">
        <is>
          <t>01.09.2026</t>
        </is>
      </c>
      <c r="N3139" s="245" t="inlineStr">
        <is>
          <t>IPH — Institute of Public Health</t>
        </is>
      </c>
      <c r="O3139" s="245" t="inlineStr">
        <is>
          <t>26.08.2026</t>
        </is>
      </c>
      <c r="P3139" s="245" t="inlineStr">
        <is>
          <t>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561/1092/26</t>
        </is>
      </c>
      <c r="M3140" s="245" t="inlineStr">
        <is>
          <t>01.09.2026</t>
        </is>
      </c>
      <c r="N3140" s="245" t="inlineStr">
        <is>
          <t>IPH — Institute of Public Health</t>
        </is>
      </c>
      <c r="O3140" s="245" t="inlineStr">
        <is>
          <t>26.08.2026</t>
        </is>
      </c>
      <c r="P3140" s="245" t="inlineStr">
        <is>
          <t>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561/1092/26</t>
        </is>
      </c>
      <c r="M3141" s="245" t="inlineStr">
        <is>
          <t>01.09.2026</t>
        </is>
      </c>
      <c r="N3141" s="245" t="inlineStr">
        <is>
          <t>IPH — Institute of Public Health</t>
        </is>
      </c>
      <c r="O3141" s="245" t="inlineStr">
        <is>
          <t>26.08.2026</t>
        </is>
      </c>
      <c r="P3141" s="245" t="inlineStr">
        <is>
          <t>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561/1092/26</t>
        </is>
      </c>
      <c r="M3142" s="245" t="inlineStr">
        <is>
          <t>01.09.2026</t>
        </is>
      </c>
      <c r="N3142" s="245" t="inlineStr">
        <is>
          <t>IPH — Institute of Public Health</t>
        </is>
      </c>
      <c r="O3142" s="245" t="inlineStr">
        <is>
          <t>26.08.2026</t>
        </is>
      </c>
      <c r="P3142" s="245" t="inlineStr">
        <is>
          <t>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5" t="inlineStr">
        <is>
          <t>ND</t>
        </is>
      </c>
      <c r="L3145" s="245" t="inlineStr">
        <is>
          <t>227-29-М/26</t>
        </is>
      </c>
      <c r="M3145" s="245" t="inlineStr">
        <is>
          <t>16.09.2026</t>
        </is>
      </c>
      <c r="N3145" s="245" t="inlineStr">
        <is>
          <t>Farmahem</t>
        </is>
      </c>
      <c r="O3145" s="245" t="inlineStr">
        <is>
          <t>—</t>
        </is>
      </c>
      <c r="P3145" s="245" t="inlineStr">
        <is>
          <t>covered</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5" t="inlineStr">
        <is>
          <t>ND</t>
        </is>
      </c>
      <c r="L3146" s="245" t="inlineStr">
        <is>
          <t>227-29-М/26</t>
        </is>
      </c>
      <c r="M3146" s="245" t="inlineStr">
        <is>
          <t>16.09.2026</t>
        </is>
      </c>
      <c r="N3146" s="245" t="inlineStr">
        <is>
          <t>Farmahem</t>
        </is>
      </c>
      <c r="O3146" s="245" t="inlineStr">
        <is>
          <t>—</t>
        </is>
      </c>
      <c r="P3146" s="245" t="inlineStr">
        <is>
          <t>carried from the initial testing (the batch's initial CoQ (number assigned on issue)) — covered</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5" t="inlineStr">
        <is>
          <t>ND</t>
        </is>
      </c>
      <c r="L3147" s="245" t="inlineStr">
        <is>
          <t>227-29-М/26</t>
        </is>
      </c>
      <c r="M3147" s="245" t="inlineStr">
        <is>
          <t>16.09.2026</t>
        </is>
      </c>
      <c r="N3147" s="245" t="inlineStr">
        <is>
          <t>Farmahem</t>
        </is>
      </c>
      <c r="O3147" s="245" t="inlineStr">
        <is>
          <t>—</t>
        </is>
      </c>
      <c r="P3147" s="245" t="inlineStr">
        <is>
          <t>covered</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5" t="inlineStr">
        <is>
          <t>Conforms | Одговара</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5" t="inlineStr">
        <is>
          <t>Conforms | Одговара</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5" t="inlineStr">
        <is>
          <t>Conforms | Одговара</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 not tested</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&lt; 10</t>
        </is>
      </c>
      <c r="L3161" s="245" t="inlineStr">
        <is>
          <t>559/1090/26</t>
        </is>
      </c>
      <c r="M3161" s="245" t="inlineStr">
        <is>
          <t>01.09.2026</t>
        </is>
      </c>
      <c r="N3161" s="245" t="inlineStr">
        <is>
          <t>IPH — Institute of Public Health</t>
        </is>
      </c>
      <c r="O3161" s="245" t="inlineStr">
        <is>
          <t>26.08.2026</t>
        </is>
      </c>
      <c r="P3161" s="245" t="inlineStr">
        <is>
          <t>covered</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&lt; 10</t>
        </is>
      </c>
      <c r="L3162" s="245" t="inlineStr">
        <is>
          <t>559/1090/26</t>
        </is>
      </c>
      <c r="M3162" s="245" t="inlineStr">
        <is>
          <t>01.09.2026</t>
        </is>
      </c>
      <c r="N3162" s="245" t="inlineStr">
        <is>
          <t>IPH — Institute of Public Health</t>
        </is>
      </c>
      <c r="O3162" s="245" t="inlineStr">
        <is>
          <t>26.08.2026</t>
        </is>
      </c>
      <c r="P3162" s="245" t="inlineStr">
        <is>
          <t>covered</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&lt; 10</t>
        </is>
      </c>
      <c r="L3163" s="245" t="inlineStr">
        <is>
          <t>559/1090/26</t>
        </is>
      </c>
      <c r="M3163" s="245" t="inlineStr">
        <is>
          <t>01.09.2026</t>
        </is>
      </c>
      <c r="N3163" s="245" t="inlineStr">
        <is>
          <t>IPH — Institute of Public Health</t>
        </is>
      </c>
      <c r="O3163" s="245" t="inlineStr">
        <is>
          <t>26.08.2026</t>
        </is>
      </c>
      <c r="P3163" s="245" t="inlineStr">
        <is>
          <t>covered</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Absent | Отсутна</t>
        </is>
      </c>
      <c r="L3164" s="245" t="inlineStr">
        <is>
          <t>559/1090/26</t>
        </is>
      </c>
      <c r="M3164" s="245" t="inlineStr">
        <is>
          <t>01.09.2026</t>
        </is>
      </c>
      <c r="N3164" s="245" t="inlineStr">
        <is>
          <t>IPH — Institute of Public Health</t>
        </is>
      </c>
      <c r="O3164" s="245" t="inlineStr">
        <is>
          <t>26.08.2026</t>
        </is>
      </c>
      <c r="P3164" s="245" t="inlineStr">
        <is>
          <t>covered</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Absent | Отсутна</t>
        </is>
      </c>
      <c r="L3165" s="245" t="inlineStr">
        <is>
          <t>559/1090/26</t>
        </is>
      </c>
      <c r="M3165" s="245" t="inlineStr">
        <is>
          <t>01.09.2026</t>
        </is>
      </c>
      <c r="N3165" s="245" t="inlineStr">
        <is>
          <t>IPH — Institute of Public Health</t>
        </is>
      </c>
      <c r="O3165" s="245" t="inlineStr">
        <is>
          <t>26.08.2026</t>
        </is>
      </c>
      <c r="P3165" s="245" t="inlineStr">
        <is>
          <t>covered</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5" t="inlineStr">
        <is>
          <t>ND</t>
        </is>
      </c>
      <c r="L3168" s="245" t="inlineStr">
        <is>
          <t>227-1-М/26</t>
        </is>
      </c>
      <c r="M3168" s="245" t="inlineStr">
        <is>
          <t>16.09.2026</t>
        </is>
      </c>
      <c r="N3168" s="245" t="inlineStr">
        <is>
          <t>Farmahem</t>
        </is>
      </c>
      <c r="O3168" s="245" t="inlineStr">
        <is>
          <t>—</t>
        </is>
      </c>
      <c r="P3168" s="245" t="inlineStr">
        <is>
          <t>covered</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5" t="inlineStr">
        <is>
          <t>ND</t>
        </is>
      </c>
      <c r="L3169" s="245" t="inlineStr">
        <is>
          <t>227-1-М/26</t>
        </is>
      </c>
      <c r="M3169" s="245" t="inlineStr">
        <is>
          <t>16.09.2026</t>
        </is>
      </c>
      <c r="N3169" s="245" t="inlineStr">
        <is>
          <t>Farmahem</t>
        </is>
      </c>
      <c r="O3169" s="245" t="inlineStr">
        <is>
          <t>—</t>
        </is>
      </c>
      <c r="P3169" s="245" t="inlineStr">
        <is>
          <t>covered</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5" t="inlineStr">
        <is>
          <t>ND</t>
        </is>
      </c>
      <c r="L3170" s="245" t="inlineStr">
        <is>
          <t>227-1-М/26</t>
        </is>
      </c>
      <c r="M3170" s="245" t="inlineStr">
        <is>
          <t>16.09.2026</t>
        </is>
      </c>
      <c r="N3170" s="245" t="inlineStr">
        <is>
          <t>Farmahem</t>
        </is>
      </c>
      <c r="O3170" s="245" t="inlineStr">
        <is>
          <t>—</t>
        </is>
      </c>
      <c r="P3170" s="245" t="inlineStr">
        <is>
          <t>covered</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 not tested</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 not tested</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 not tested</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 not tested</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 not tested</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5" t="inlineStr">
        <is>
          <t>Conforms | Одговара</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5" t="inlineStr">
        <is>
          <t>Conforms | Одговара</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5" t="inlineStr">
        <is>
          <t>Conforms | Одговара</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1,6 × 10³</t>
        </is>
      </c>
      <c r="L3184" s="245" t="inlineStr">
        <is>
          <t>543/1074/26</t>
        </is>
      </c>
      <c r="M3184" s="245" t="inlineStr">
        <is>
          <t>31.08.2026</t>
        </is>
      </c>
      <c r="N3184" s="245" t="inlineStr">
        <is>
          <t>IPH — Institute of Public Health</t>
        </is>
      </c>
      <c r="O3184" s="245" t="inlineStr">
        <is>
          <t>25.08.2026</t>
        </is>
      </c>
      <c r="P3184" s="245" t="inlineStr">
        <is>
          <t>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1 × 10³</t>
        </is>
      </c>
      <c r="L3185" s="245" t="inlineStr">
        <is>
          <t>543/1074/26</t>
        </is>
      </c>
      <c r="M3185" s="245" t="inlineStr">
        <is>
          <t>31.08.2026</t>
        </is>
      </c>
      <c r="N3185" s="245" t="inlineStr">
        <is>
          <t>IPH — Institute of Public Health</t>
        </is>
      </c>
      <c r="O3185" s="245" t="inlineStr">
        <is>
          <t>25.08.2026</t>
        </is>
      </c>
      <c r="P3185" s="245" t="inlineStr">
        <is>
          <t>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543/1074/26</t>
        </is>
      </c>
      <c r="M3186" s="245" t="inlineStr">
        <is>
          <t>31.08.2026</t>
        </is>
      </c>
      <c r="N3186" s="245" t="inlineStr">
        <is>
          <t>IPH — Institute of Public Health</t>
        </is>
      </c>
      <c r="O3186" s="245" t="inlineStr">
        <is>
          <t>25.08.2026</t>
        </is>
      </c>
      <c r="P3186" s="245" t="inlineStr">
        <is>
          <t>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543/1074/26</t>
        </is>
      </c>
      <c r="M3187" s="245" t="inlineStr">
        <is>
          <t>31.08.2026</t>
        </is>
      </c>
      <c r="N3187" s="245" t="inlineStr">
        <is>
          <t>IPH — Institute of Public Health</t>
        </is>
      </c>
      <c r="O3187" s="245" t="inlineStr">
        <is>
          <t>25.08.2026</t>
        </is>
      </c>
      <c r="P3187" s="245" t="inlineStr">
        <is>
          <t>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543/1074/26</t>
        </is>
      </c>
      <c r="M3188" s="245" t="inlineStr">
        <is>
          <t>31.08.2026</t>
        </is>
      </c>
      <c r="N3188" s="245" t="inlineStr">
        <is>
          <t>IPH — Institute of Public Health</t>
        </is>
      </c>
      <c r="O3188" s="245" t="inlineStr">
        <is>
          <t>25.08.2026</t>
        </is>
      </c>
      <c r="P3188" s="245" t="inlineStr">
        <is>
          <t>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5" t="inlineStr">
        <is>
          <t>ND</t>
        </is>
      </c>
      <c r="L3191" s="245" t="inlineStr">
        <is>
          <t>227-25-М/26</t>
        </is>
      </c>
      <c r="M3191" s="245" t="inlineStr">
        <is>
          <t>16.09.2026</t>
        </is>
      </c>
      <c r="N3191" s="245" t="inlineStr">
        <is>
          <t>Farmahem</t>
        </is>
      </c>
      <c r="O3191" s="245" t="inlineStr">
        <is>
          <t>—</t>
        </is>
      </c>
      <c r="P3191" s="245" t="inlineStr">
        <is>
          <t>covered</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5" t="inlineStr">
        <is>
          <t>ND</t>
        </is>
      </c>
      <c r="L3192" s="245" t="inlineStr">
        <is>
          <t>227-25-М/26</t>
        </is>
      </c>
      <c r="M3192" s="245" t="inlineStr">
        <is>
          <t>16.09.2026</t>
        </is>
      </c>
      <c r="N3192" s="245" t="inlineStr">
        <is>
          <t>Farmahem</t>
        </is>
      </c>
      <c r="O3192" s="245" t="inlineStr">
        <is>
          <t>—</t>
        </is>
      </c>
      <c r="P3192" s="245" t="inlineStr">
        <is>
          <t>carried from the initial testing (the batch's initial CoQ (number assigned on issue)) — covered</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5" t="inlineStr">
        <is>
          <t>ND</t>
        </is>
      </c>
      <c r="L3193" s="245" t="inlineStr">
        <is>
          <t>227-25-М/26</t>
        </is>
      </c>
      <c r="M3193" s="245" t="inlineStr">
        <is>
          <t>16.09.2026</t>
        </is>
      </c>
      <c r="N3193" s="245" t="inlineStr">
        <is>
          <t>Farmahem</t>
        </is>
      </c>
      <c r="O3193" s="245" t="inlineStr">
        <is>
          <t>—</t>
        </is>
      </c>
      <c r="P3193" s="245" t="inlineStr">
        <is>
          <t>covered</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5" t="inlineStr">
        <is>
          <t>Conforms | Одговара</t>
        </is>
      </c>
      <c r="L3199" s="245" t="inlineStr">
        <is>
          <t>iCoA-PP_26-176</t>
        </is>
      </c>
      <c r="M3199" s="245" t="inlineStr">
        <is>
          <t>24.08.2026</t>
        </is>
      </c>
      <c r="N3199" s="245" t="inlineStr">
        <is>
          <t>Purely Plant GmbH (in-house)</t>
        </is>
      </c>
      <c r="O3199" s="245" t="inlineStr">
        <is>
          <t>—</t>
        </is>
      </c>
      <c r="P3199" s="245" t="inlineStr">
        <is>
          <t>covered</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5" t="inlineStr">
        <is>
          <t>Conforms | Одговара</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5" t="inlineStr">
        <is>
          <t>Conforms | Одговара</t>
        </is>
      </c>
      <c r="L3205" s="245" t="inlineStr">
        <is>
          <t>iCoA-PP_26-176</t>
        </is>
      </c>
      <c r="M3205" s="245" t="inlineStr">
        <is>
          <t>24.08.2026</t>
        </is>
      </c>
      <c r="N3205" s="245" t="inlineStr">
        <is>
          <t>Purely Plant GmbH (in-house)</t>
        </is>
      </c>
      <c r="O3205" s="245" t="inlineStr">
        <is>
          <t>—</t>
        </is>
      </c>
      <c r="P3205" s="245" t="inlineStr">
        <is>
          <t>covered</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&lt; 10</t>
        </is>
      </c>
      <c r="L3207" s="245" t="inlineStr">
        <is>
          <t>558/1089/26</t>
        </is>
      </c>
      <c r="M3207" s="245" t="inlineStr">
        <is>
          <t>01.09.2026</t>
        </is>
      </c>
      <c r="N3207" s="245" t="inlineStr">
        <is>
          <t>IPH — Institute of Public Health</t>
        </is>
      </c>
      <c r="O3207" s="245" t="inlineStr">
        <is>
          <t>26.08.2026</t>
        </is>
      </c>
      <c r="P3207" s="245" t="inlineStr">
        <is>
          <t>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&lt; 10</t>
        </is>
      </c>
      <c r="L3208" s="245" t="inlineStr">
        <is>
          <t>558/1089/26</t>
        </is>
      </c>
      <c r="M3208" s="245" t="inlineStr">
        <is>
          <t>01.09.2026</t>
        </is>
      </c>
      <c r="N3208" s="245" t="inlineStr">
        <is>
          <t>IPH — Institute of Public Health</t>
        </is>
      </c>
      <c r="O3208" s="245" t="inlineStr">
        <is>
          <t>26.08.2026</t>
        </is>
      </c>
      <c r="P3208" s="245" t="inlineStr">
        <is>
          <t>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558/1089/26</t>
        </is>
      </c>
      <c r="M3209" s="245" t="inlineStr">
        <is>
          <t>01.09.2026</t>
        </is>
      </c>
      <c r="N3209" s="245" t="inlineStr">
        <is>
          <t>IPH — Institute of Public Health</t>
        </is>
      </c>
      <c r="O3209" s="245" t="inlineStr">
        <is>
          <t>26.08.2026</t>
        </is>
      </c>
      <c r="P3209" s="245" t="inlineStr">
        <is>
          <t>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558/1089/26</t>
        </is>
      </c>
      <c r="M3210" s="245" t="inlineStr">
        <is>
          <t>01.09.2026</t>
        </is>
      </c>
      <c r="N3210" s="245" t="inlineStr">
        <is>
          <t>IPH — Institute of Public Health</t>
        </is>
      </c>
      <c r="O3210" s="245" t="inlineStr">
        <is>
          <t>26.08.2026</t>
        </is>
      </c>
      <c r="P3210" s="245" t="inlineStr">
        <is>
          <t>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558/1089/26</t>
        </is>
      </c>
      <c r="M3211" s="245" t="inlineStr">
        <is>
          <t>01.09.2026</t>
        </is>
      </c>
      <c r="N3211" s="245" t="inlineStr">
        <is>
          <t>IPH — Institute of Public Health</t>
        </is>
      </c>
      <c r="O3211" s="245" t="inlineStr">
        <is>
          <t>26.08.2026</t>
        </is>
      </c>
      <c r="P3211" s="245" t="inlineStr">
        <is>
          <t>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5" t="inlineStr">
        <is>
          <t>ND</t>
        </is>
      </c>
      <c r="L3214" s="245" t="inlineStr">
        <is>
          <t>227-28-М/26</t>
        </is>
      </c>
      <c r="M3214" s="245" t="inlineStr">
        <is>
          <t>16.09.2026</t>
        </is>
      </c>
      <c r="N3214" s="245" t="inlineStr">
        <is>
          <t>Farmahem</t>
        </is>
      </c>
      <c r="O3214" s="245" t="inlineStr">
        <is>
          <t>—</t>
        </is>
      </c>
      <c r="P3214" s="245" t="inlineStr">
        <is>
          <t>covered</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5" t="inlineStr">
        <is>
          <t>ND</t>
        </is>
      </c>
      <c r="L3215" s="245" t="inlineStr">
        <is>
          <t>227-28-М/26</t>
        </is>
      </c>
      <c r="M3215" s="245" t="inlineStr">
        <is>
          <t>16.09.2026</t>
        </is>
      </c>
      <c r="N3215" s="245" t="inlineStr">
        <is>
          <t>Farmahem</t>
        </is>
      </c>
      <c r="O3215" s="245" t="inlineStr">
        <is>
          <t>—</t>
        </is>
      </c>
      <c r="P3215" s="245" t="inlineStr">
        <is>
          <t>carried from the initial testing (the batch's initial CoQ (number assigned on issue)) — covered</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5" t="inlineStr">
        <is>
          <t>ND</t>
        </is>
      </c>
      <c r="L3216" s="245" t="inlineStr">
        <is>
          <t>227-28-М/26</t>
        </is>
      </c>
      <c r="M3216" s="245" t="inlineStr">
        <is>
          <t>16.09.2026</t>
        </is>
      </c>
      <c r="N3216" s="245" t="inlineStr">
        <is>
          <t>Farmahem</t>
        </is>
      </c>
      <c r="O3216" s="245" t="inlineStr">
        <is>
          <t>—</t>
        </is>
      </c>
      <c r="P3216" s="245" t="inlineStr">
        <is>
          <t>covered</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5" t="inlineStr">
        <is>
          <t>Conforms | Одговара</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5" t="inlineStr">
        <is>
          <t>Conforms | Одговара</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5" t="inlineStr">
        <is>
          <t>Conforms | Одговара</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&lt; 10</t>
        </is>
      </c>
      <c r="L3230" s="245" t="inlineStr">
        <is>
          <t>556/1087/26</t>
        </is>
      </c>
      <c r="M3230" s="245" t="inlineStr">
        <is>
          <t>01.09.2026</t>
        </is>
      </c>
      <c r="N3230" s="245" t="inlineStr">
        <is>
          <t>IPH — Institute of Public Health</t>
        </is>
      </c>
      <c r="O3230" s="245" t="inlineStr">
        <is>
          <t>26.08.2026</t>
        </is>
      </c>
      <c r="P3230" s="245" t="inlineStr">
        <is>
          <t>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&lt; 10</t>
        </is>
      </c>
      <c r="L3231" s="245" t="inlineStr">
        <is>
          <t>556/1087/26</t>
        </is>
      </c>
      <c r="M3231" s="245" t="inlineStr">
        <is>
          <t>01.09.2026</t>
        </is>
      </c>
      <c r="N3231" s="245" t="inlineStr">
        <is>
          <t>IPH — Institute of Public Health</t>
        </is>
      </c>
      <c r="O3231" s="245" t="inlineStr">
        <is>
          <t>26.08.2026</t>
        </is>
      </c>
      <c r="P3231" s="245" t="inlineStr">
        <is>
          <t>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556/1087/26</t>
        </is>
      </c>
      <c r="M3232" s="245" t="inlineStr">
        <is>
          <t>01.09.2026</t>
        </is>
      </c>
      <c r="N3232" s="245" t="inlineStr">
        <is>
          <t>IPH — Institute of Public Health</t>
        </is>
      </c>
      <c r="O3232" s="245" t="inlineStr">
        <is>
          <t>26.08.2026</t>
        </is>
      </c>
      <c r="P3232" s="245" t="inlineStr">
        <is>
          <t>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556/1087/26</t>
        </is>
      </c>
      <c r="M3233" s="245" t="inlineStr">
        <is>
          <t>01.09.2026</t>
        </is>
      </c>
      <c r="N3233" s="245" t="inlineStr">
        <is>
          <t>IPH — Institute of Public Health</t>
        </is>
      </c>
      <c r="O3233" s="245" t="inlineStr">
        <is>
          <t>26.08.2026</t>
        </is>
      </c>
      <c r="P3233" s="245" t="inlineStr">
        <is>
          <t>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556/1087/26</t>
        </is>
      </c>
      <c r="M3234" s="245" t="inlineStr">
        <is>
          <t>01.09.2026</t>
        </is>
      </c>
      <c r="N3234" s="245" t="inlineStr">
        <is>
          <t>IPH — Institute of Public Health</t>
        </is>
      </c>
      <c r="O3234" s="245" t="inlineStr">
        <is>
          <t>26.08.2026</t>
        </is>
      </c>
      <c r="P3234" s="245" t="inlineStr">
        <is>
          <t>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5" t="inlineStr">
        <is>
          <t>ND</t>
        </is>
      </c>
      <c r="L3237" s="245" t="inlineStr">
        <is>
          <t>227-27-М/26</t>
        </is>
      </c>
      <c r="M3237" s="245" t="inlineStr">
        <is>
          <t>16.09.2026</t>
        </is>
      </c>
      <c r="N3237" s="245" t="inlineStr">
        <is>
          <t>Farmahem</t>
        </is>
      </c>
      <c r="O3237" s="245" t="inlineStr">
        <is>
          <t>—</t>
        </is>
      </c>
      <c r="P3237" s="245" t="inlineStr">
        <is>
          <t>covered</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5" t="inlineStr">
        <is>
          <t>ND</t>
        </is>
      </c>
      <c r="L3238" s="245" t="inlineStr">
        <is>
          <t>227-27-М/26</t>
        </is>
      </c>
      <c r="M3238" s="245" t="inlineStr">
        <is>
          <t>16.09.2026</t>
        </is>
      </c>
      <c r="N3238" s="245" t="inlineStr">
        <is>
          <t>Farmahem</t>
        </is>
      </c>
      <c r="O3238" s="245" t="inlineStr">
        <is>
          <t>—</t>
        </is>
      </c>
      <c r="P3238" s="245" t="inlineStr">
        <is>
          <t>carried from the initial testing (the batch's initial CoQ (number assigned on issue)) — covered</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5" t="inlineStr">
        <is>
          <t>ND</t>
        </is>
      </c>
      <c r="L3239" s="245" t="inlineStr">
        <is>
          <t>227-27-М/26</t>
        </is>
      </c>
      <c r="M3239" s="245" t="inlineStr">
        <is>
          <t>16.09.2026</t>
        </is>
      </c>
      <c r="N3239" s="245" t="inlineStr">
        <is>
          <t>Farmahem</t>
        </is>
      </c>
      <c r="O3239" s="245" t="inlineStr">
        <is>
          <t>—</t>
        </is>
      </c>
      <c r="P3239" s="245" t="inlineStr">
        <is>
          <t>covered</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5" t="inlineStr">
        <is>
          <t>Conforms | Одговара</t>
        </is>
      </c>
      <c r="L3245" s="245" t="inlineStr">
        <is>
          <t>iCoA-PP_26-178</t>
        </is>
      </c>
      <c r="M3245" s="245" t="inlineStr">
        <is>
          <t>24.08.2026</t>
        </is>
      </c>
      <c r="N3245" s="245" t="inlineStr">
        <is>
          <t>Purely Plant GmbH (in-house)</t>
        </is>
      </c>
      <c r="O3245" s="245" t="inlineStr">
        <is>
          <t>—</t>
        </is>
      </c>
      <c r="P3245" s="245" t="inlineStr">
        <is>
          <t>covered</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5" t="inlineStr">
        <is>
          <t>Conforms | Одговара</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5" t="inlineStr">
        <is>
          <t>Conforms | Одговара</t>
        </is>
      </c>
      <c r="L3251" s="245" t="inlineStr">
        <is>
          <t>iCoA-PP_26-178</t>
        </is>
      </c>
      <c r="M3251" s="245" t="inlineStr">
        <is>
          <t>24.08.2026</t>
        </is>
      </c>
      <c r="N3251" s="245" t="inlineStr">
        <is>
          <t>Purely Plant GmbH (in-house)</t>
        </is>
      </c>
      <c r="O3251" s="245" t="inlineStr">
        <is>
          <t>—</t>
        </is>
      </c>
      <c r="P3251" s="245" t="inlineStr">
        <is>
          <t>covered</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&lt; 10</t>
        </is>
      </c>
      <c r="L3253" s="245" t="inlineStr">
        <is>
          <t>565/1096/26</t>
        </is>
      </c>
      <c r="M3253" s="245" t="inlineStr">
        <is>
          <t>01.09.2026</t>
        </is>
      </c>
      <c r="N3253" s="245" t="inlineStr">
        <is>
          <t>IPH — Institute of Public Health</t>
        </is>
      </c>
      <c r="O3253" s="245" t="inlineStr">
        <is>
          <t>26.08.2026</t>
        </is>
      </c>
      <c r="P3253" s="245" t="inlineStr">
        <is>
          <t>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10</t>
        </is>
      </c>
      <c r="L3254" s="245" t="inlineStr">
        <is>
          <t>565/1096/26</t>
        </is>
      </c>
      <c r="M3254" s="245" t="inlineStr">
        <is>
          <t>01.09.2026</t>
        </is>
      </c>
      <c r="N3254" s="245" t="inlineStr">
        <is>
          <t>IPH — Institute of Public Health</t>
        </is>
      </c>
      <c r="O3254" s="245" t="inlineStr">
        <is>
          <t>26.08.2026</t>
        </is>
      </c>
      <c r="P3254" s="245" t="inlineStr">
        <is>
          <t>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565/1096/26</t>
        </is>
      </c>
      <c r="M3255" s="245" t="inlineStr">
        <is>
          <t>01.09.2026</t>
        </is>
      </c>
      <c r="N3255" s="245" t="inlineStr">
        <is>
          <t>IPH — Institute of Public Health</t>
        </is>
      </c>
      <c r="O3255" s="245" t="inlineStr">
        <is>
          <t>26.08.2026</t>
        </is>
      </c>
      <c r="P3255" s="245" t="inlineStr">
        <is>
          <t>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565/1096/26</t>
        </is>
      </c>
      <c r="M3256" s="245" t="inlineStr">
        <is>
          <t>01.09.2026</t>
        </is>
      </c>
      <c r="N3256" s="245" t="inlineStr">
        <is>
          <t>IPH — Institute of Public Health</t>
        </is>
      </c>
      <c r="O3256" s="245" t="inlineStr">
        <is>
          <t>26.08.2026</t>
        </is>
      </c>
      <c r="P3256" s="245" t="inlineStr">
        <is>
          <t>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565/1096/26</t>
        </is>
      </c>
      <c r="M3257" s="245" t="inlineStr">
        <is>
          <t>01.09.2026</t>
        </is>
      </c>
      <c r="N3257" s="245" t="inlineStr">
        <is>
          <t>IPH — Institute of Public Health</t>
        </is>
      </c>
      <c r="O3257" s="245" t="inlineStr">
        <is>
          <t>26.08.2026</t>
        </is>
      </c>
      <c r="P3257" s="245" t="inlineStr">
        <is>
          <t>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5" t="inlineStr">
        <is>
          <t>ND</t>
        </is>
      </c>
      <c r="L3260" s="245" t="inlineStr">
        <is>
          <t>227-26-М/26</t>
        </is>
      </c>
      <c r="M3260" s="245" t="inlineStr">
        <is>
          <t>16.09.2026</t>
        </is>
      </c>
      <c r="N3260" s="245" t="inlineStr">
        <is>
          <t>Farmahem</t>
        </is>
      </c>
      <c r="O3260" s="245" t="inlineStr">
        <is>
          <t>—</t>
        </is>
      </c>
      <c r="P3260" s="245" t="inlineStr">
        <is>
          <t>covered</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5" t="inlineStr">
        <is>
          <t>ND</t>
        </is>
      </c>
      <c r="L3261" s="245" t="inlineStr">
        <is>
          <t>227-26-М/26</t>
        </is>
      </c>
      <c r="M3261" s="245" t="inlineStr">
        <is>
          <t>16.09.2026</t>
        </is>
      </c>
      <c r="N3261" s="245" t="inlineStr">
        <is>
          <t>Farmahem</t>
        </is>
      </c>
      <c r="O3261" s="245" t="inlineStr">
        <is>
          <t>—</t>
        </is>
      </c>
      <c r="P3261" s="245" t="inlineStr">
        <is>
          <t>carried from the initial testing (the batch's initial CoQ (number assigned on issue)) — covered</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5" t="inlineStr">
        <is>
          <t>ND</t>
        </is>
      </c>
      <c r="L3262" s="245" t="inlineStr">
        <is>
          <t>227-26-М/26</t>
        </is>
      </c>
      <c r="M3262" s="245" t="inlineStr">
        <is>
          <t>16.09.2026</t>
        </is>
      </c>
      <c r="N3262" s="245" t="inlineStr">
        <is>
          <t>Farmahem</t>
        </is>
      </c>
      <c r="O3262" s="245" t="inlineStr">
        <is>
          <t>—</t>
        </is>
      </c>
      <c r="P3262" s="245" t="inlineStr">
        <is>
          <t>covered</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5" t="inlineStr">
        <is>
          <t>Conforms | Одговара</t>
        </is>
      </c>
      <c r="L3268" s="245" t="inlineStr">
        <is>
          <t>ППК26112</t>
        </is>
      </c>
      <c r="M3268" s="245" t="inlineStr">
        <is>
          <t>30.06.2026</t>
        </is>
      </c>
      <c r="N3268" s="245" t="inlineStr">
        <is>
          <t>UKIM Faculty of Pharmacy — Center for Natural Products</t>
        </is>
      </c>
      <c r="O3268" s="245" t="inlineStr">
        <is>
          <t>17.06.2026</t>
        </is>
      </c>
      <c r="P3268" s="245" t="inlineStr">
        <is>
          <t>carried from the initial testing (the batch's initial CoQ (number assigned on issue)) — covered</t>
        </is>
      </c>
      <c r="Q3268" s="245" t="inlineStr"/>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5" t="inlineStr">
        <is>
          <t>Conforms | Одговара</t>
        </is>
      </c>
      <c r="L3269" s="245" t="inlineStr">
        <is>
          <t>ППК26112</t>
        </is>
      </c>
      <c r="M3269" s="245" t="inlineStr">
        <is>
          <t>30.06.2026</t>
        </is>
      </c>
      <c r="N3269" s="245" t="inlineStr">
        <is>
          <t>UKIM Faculty of Pharmacy — Center for Natural Products</t>
        </is>
      </c>
      <c r="O3269" s="245" t="inlineStr">
        <is>
          <t>17.06.2026</t>
        </is>
      </c>
      <c r="P3269" s="245" t="inlineStr">
        <is>
          <t>carried from the initial testing (the batch's initial CoQ (number assigned on issue)) — covered</t>
        </is>
      </c>
      <c r="Q3269" s="245" t="inlineStr"/>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5" t="inlineStr">
        <is>
          <t>Conforms | Одговара</t>
        </is>
      </c>
      <c r="L3274" s="245" t="inlineStr">
        <is>
          <t>ППК26112</t>
        </is>
      </c>
      <c r="M3274" s="245" t="inlineStr">
        <is>
          <t>30.06.2026</t>
        </is>
      </c>
      <c r="N3274" s="245" t="inlineStr">
        <is>
          <t>UKIM Faculty of Pharmacy — Center for Natural Products</t>
        </is>
      </c>
      <c r="O3274" s="245" t="inlineStr">
        <is>
          <t>17.06.2026</t>
        </is>
      </c>
      <c r="P3274" s="245" t="inlineStr">
        <is>
          <t>carried from the initial testing (the batch's initial CoQ (number assigned on issue)) — covered</t>
        </is>
      </c>
      <c r="Q3274" s="245" t="inlineStr"/>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9,8 × 10³</t>
        </is>
      </c>
      <c r="L3276" s="245" t="inlineStr">
        <is>
          <t>537/1068/26</t>
        </is>
      </c>
      <c r="M3276" s="245" t="inlineStr">
        <is>
          <t>31.08.2026</t>
        </is>
      </c>
      <c r="N3276" s="245" t="inlineStr">
        <is>
          <t>IPH — Institute of Public Health</t>
        </is>
      </c>
      <c r="O3276" s="245" t="inlineStr">
        <is>
          <t>25.08.2026</t>
        </is>
      </c>
      <c r="P3276" s="245" t="inlineStr">
        <is>
          <t>covered</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2,5 × 10³</t>
        </is>
      </c>
      <c r="L3277" s="245" t="inlineStr">
        <is>
          <t>537/1068/26</t>
        </is>
      </c>
      <c r="M3277" s="245" t="inlineStr">
        <is>
          <t>31.08.2026</t>
        </is>
      </c>
      <c r="N3277" s="245" t="inlineStr">
        <is>
          <t>IPH — Institute of Public Health</t>
        </is>
      </c>
      <c r="O3277" s="245" t="inlineStr">
        <is>
          <t>25.08.2026</t>
        </is>
      </c>
      <c r="P3277" s="245" t="inlineStr">
        <is>
          <t>covered</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&lt; 10² and &gt; 10</t>
        </is>
      </c>
      <c r="L3278" s="245" t="inlineStr">
        <is>
          <t>537/1068/26</t>
        </is>
      </c>
      <c r="M3278" s="245" t="inlineStr">
        <is>
          <t>31.08.2026</t>
        </is>
      </c>
      <c r="N3278" s="245" t="inlineStr">
        <is>
          <t>IPH — Institute of Public Health</t>
        </is>
      </c>
      <c r="O3278" s="245" t="inlineStr">
        <is>
          <t>25.08.2026</t>
        </is>
      </c>
      <c r="P3278" s="245" t="inlineStr">
        <is>
          <t>covered</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Absent | Отсутна</t>
        </is>
      </c>
      <c r="L3279" s="245" t="inlineStr">
        <is>
          <t>537/1068/26</t>
        </is>
      </c>
      <c r="M3279" s="245" t="inlineStr">
        <is>
          <t>31.08.2026</t>
        </is>
      </c>
      <c r="N3279" s="245" t="inlineStr">
        <is>
          <t>IPH — Institute of Public Health</t>
        </is>
      </c>
      <c r="O3279" s="245" t="inlineStr">
        <is>
          <t>25.08.2026</t>
        </is>
      </c>
      <c r="P3279" s="245" t="inlineStr">
        <is>
          <t>covered</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Absent | Отсутна</t>
        </is>
      </c>
      <c r="L3280" s="245" t="inlineStr">
        <is>
          <t>537/1068/26</t>
        </is>
      </c>
      <c r="M3280" s="245" t="inlineStr">
        <is>
          <t>31.08.2026</t>
        </is>
      </c>
      <c r="N3280" s="245" t="inlineStr">
        <is>
          <t>IPH — Institute of Public Health</t>
        </is>
      </c>
      <c r="O3280" s="245" t="inlineStr">
        <is>
          <t>25.08.2026</t>
        </is>
      </c>
      <c r="P3280" s="245" t="inlineStr">
        <is>
          <t>covered</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5" t="inlineStr">
        <is>
          <t>ND</t>
        </is>
      </c>
      <c r="L3283" s="245" t="inlineStr">
        <is>
          <t>227-24-М/26</t>
        </is>
      </c>
      <c r="M3283" s="245" t="inlineStr">
        <is>
          <t>16.09.2026</t>
        </is>
      </c>
      <c r="N3283" s="245" t="inlineStr">
        <is>
          <t>Farmahem</t>
        </is>
      </c>
      <c r="O3283" s="245" t="inlineStr">
        <is>
          <t>—</t>
        </is>
      </c>
      <c r="P3283" s="245" t="inlineStr">
        <is>
          <t>covered</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5" t="inlineStr">
        <is>
          <t>ND</t>
        </is>
      </c>
      <c r="L3284" s="245" t="inlineStr">
        <is>
          <t>227-24-М/26</t>
        </is>
      </c>
      <c r="M3284" s="245" t="inlineStr">
        <is>
          <t>16.09.2026</t>
        </is>
      </c>
      <c r="N3284" s="245" t="inlineStr">
        <is>
          <t>Farmahem</t>
        </is>
      </c>
      <c r="O3284" s="245" t="inlineStr">
        <is>
          <t>—</t>
        </is>
      </c>
      <c r="P3284" s="245" t="inlineStr">
        <is>
          <t>covered</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5" t="inlineStr">
        <is>
          <t>ND</t>
        </is>
      </c>
      <c r="L3285" s="245" t="inlineStr">
        <is>
          <t>227-24-М/26</t>
        </is>
      </c>
      <c r="M3285" s="245" t="inlineStr">
        <is>
          <t>16.09.2026</t>
        </is>
      </c>
      <c r="N3285" s="245" t="inlineStr">
        <is>
          <t>Farmahem</t>
        </is>
      </c>
      <c r="O3285" s="245" t="inlineStr">
        <is>
          <t>—</t>
        </is>
      </c>
      <c r="P3285" s="245" t="inlineStr">
        <is>
          <t>covered</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 not tested</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 not tested</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 not tested</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 not tested</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 not tested</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5" t="inlineStr">
        <is>
          <t>Conforms | Одговара</t>
        </is>
      </c>
      <c r="L3291" s="245" t="inlineStr">
        <is>
          <t>ППК26110</t>
        </is>
      </c>
      <c r="M3291" s="245" t="inlineStr">
        <is>
          <t>30.06.2026</t>
        </is>
      </c>
      <c r="N3291" s="245" t="inlineStr">
        <is>
          <t>UKIM Faculty of Pharmacy — Center for Natural Products</t>
        </is>
      </c>
      <c r="O3291" s="245" t="inlineStr">
        <is>
          <t>17.06.2026</t>
        </is>
      </c>
      <c r="P3291" s="245" t="inlineStr">
        <is>
          <t>carried from the initial testing (the batch's initial CoQ (number assigned on issue)) — covered</t>
        </is>
      </c>
      <c r="Q3291" s="245" t="inlineStr"/>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5" t="inlineStr">
        <is>
          <t>Conforms | Одговара</t>
        </is>
      </c>
      <c r="L3292" s="245" t="inlineStr">
        <is>
          <t>ППК26110</t>
        </is>
      </c>
      <c r="M3292" s="245" t="inlineStr">
        <is>
          <t>30.06.2026</t>
        </is>
      </c>
      <c r="N3292" s="245" t="inlineStr">
        <is>
          <t>UKIM Faculty of Pharmacy — Center for Natural Products</t>
        </is>
      </c>
      <c r="O3292" s="245" t="inlineStr">
        <is>
          <t>17.06.2026</t>
        </is>
      </c>
      <c r="P3292" s="245" t="inlineStr">
        <is>
          <t>carried from the initial testing (the batch's initial CoQ (number assigned on issue)) — covered</t>
        </is>
      </c>
      <c r="Q3292" s="245" t="inlineStr"/>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5" t="inlineStr">
        <is>
          <t>Conforms | Одговара</t>
        </is>
      </c>
      <c r="L3297" s="245" t="inlineStr">
        <is>
          <t>ППК26110</t>
        </is>
      </c>
      <c r="M3297" s="245" t="inlineStr">
        <is>
          <t>30.06.2026</t>
        </is>
      </c>
      <c r="N3297" s="245" t="inlineStr">
        <is>
          <t>UKIM Faculty of Pharmacy — Center for Natural Products</t>
        </is>
      </c>
      <c r="O3297" s="245" t="inlineStr">
        <is>
          <t>17.06.2026</t>
        </is>
      </c>
      <c r="P3297" s="245" t="inlineStr">
        <is>
          <t>carried from the initial testing (the batch's initial CoQ (number assigned on issue)) — covered</t>
        </is>
      </c>
      <c r="Q3297" s="245" t="inlineStr"/>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2,9 × 10³</t>
        </is>
      </c>
      <c r="L3299" s="245" t="inlineStr">
        <is>
          <t>538/1069/26</t>
        </is>
      </c>
      <c r="M3299" s="245" t="inlineStr">
        <is>
          <t>31.08.2026</t>
        </is>
      </c>
      <c r="N3299" s="245" t="inlineStr">
        <is>
          <t>IPH — Institute of Public Health</t>
        </is>
      </c>
      <c r="O3299" s="245" t="inlineStr">
        <is>
          <t>25.08.2026</t>
        </is>
      </c>
      <c r="P3299" s="245" t="inlineStr">
        <is>
          <t>covered</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2,5 × 10³</t>
        </is>
      </c>
      <c r="L3300" s="245" t="inlineStr">
        <is>
          <t>538/1069/26</t>
        </is>
      </c>
      <c r="M3300" s="245" t="inlineStr">
        <is>
          <t>31.08.2026</t>
        </is>
      </c>
      <c r="N3300" s="245" t="inlineStr">
        <is>
          <t>IPH — Institute of Public Health</t>
        </is>
      </c>
      <c r="O3300" s="245" t="inlineStr">
        <is>
          <t>25.08.2026</t>
        </is>
      </c>
      <c r="P3300" s="245" t="inlineStr">
        <is>
          <t>covered</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&lt; 10</t>
        </is>
      </c>
      <c r="L3301" s="245" t="inlineStr">
        <is>
          <t>538/1069/26</t>
        </is>
      </c>
      <c r="M3301" s="245" t="inlineStr">
        <is>
          <t>31.08.2026</t>
        </is>
      </c>
      <c r="N3301" s="245" t="inlineStr">
        <is>
          <t>IPH — Institute of Public Health</t>
        </is>
      </c>
      <c r="O3301" s="245" t="inlineStr">
        <is>
          <t>25.08.2026</t>
        </is>
      </c>
      <c r="P3301" s="245" t="inlineStr">
        <is>
          <t>covered</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Absent | Отсутна</t>
        </is>
      </c>
      <c r="L3302" s="245" t="inlineStr">
        <is>
          <t>538/1069/26</t>
        </is>
      </c>
      <c r="M3302" s="245" t="inlineStr">
        <is>
          <t>31.08.2026</t>
        </is>
      </c>
      <c r="N3302" s="245" t="inlineStr">
        <is>
          <t>IPH — Institute of Public Health</t>
        </is>
      </c>
      <c r="O3302" s="245" t="inlineStr">
        <is>
          <t>25.08.2026</t>
        </is>
      </c>
      <c r="P3302" s="245" t="inlineStr">
        <is>
          <t>covered</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Absent | Отсутна</t>
        </is>
      </c>
      <c r="L3303" s="245" t="inlineStr">
        <is>
          <t>538/1069/26</t>
        </is>
      </c>
      <c r="M3303" s="245" t="inlineStr">
        <is>
          <t>31.08.2026</t>
        </is>
      </c>
      <c r="N3303" s="245" t="inlineStr">
        <is>
          <t>IPH — Institute of Public Health</t>
        </is>
      </c>
      <c r="O3303" s="245" t="inlineStr">
        <is>
          <t>25.08.2026</t>
        </is>
      </c>
      <c r="P3303" s="245" t="inlineStr">
        <is>
          <t>covered</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5" t="inlineStr">
        <is>
          <t>ND</t>
        </is>
      </c>
      <c r="L3306" s="245" t="inlineStr">
        <is>
          <t>227-23-М/26</t>
        </is>
      </c>
      <c r="M3306" s="245" t="inlineStr">
        <is>
          <t>16.09.2026</t>
        </is>
      </c>
      <c r="N3306" s="245" t="inlineStr">
        <is>
          <t>Farmahem</t>
        </is>
      </c>
      <c r="O3306" s="245" t="inlineStr">
        <is>
          <t>—</t>
        </is>
      </c>
      <c r="P3306" s="245" t="inlineStr">
        <is>
          <t>covered</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5" t="inlineStr">
        <is>
          <t>ND</t>
        </is>
      </c>
      <c r="L3307" s="245" t="inlineStr">
        <is>
          <t>227-23-М/26</t>
        </is>
      </c>
      <c r="M3307" s="245" t="inlineStr">
        <is>
          <t>16.09.2026</t>
        </is>
      </c>
      <c r="N3307" s="245" t="inlineStr">
        <is>
          <t>Farmahem</t>
        </is>
      </c>
      <c r="O3307" s="245" t="inlineStr">
        <is>
          <t>—</t>
        </is>
      </c>
      <c r="P3307" s="245" t="inlineStr">
        <is>
          <t>covered</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5" t="inlineStr">
        <is>
          <t>ND</t>
        </is>
      </c>
      <c r="L3308" s="245" t="inlineStr">
        <is>
          <t>227-23-М/26</t>
        </is>
      </c>
      <c r="M3308" s="245" t="inlineStr">
        <is>
          <t>16.09.2026</t>
        </is>
      </c>
      <c r="N3308" s="245" t="inlineStr">
        <is>
          <t>Farmahem</t>
        </is>
      </c>
      <c r="O3308" s="245" t="inlineStr">
        <is>
          <t>—</t>
        </is>
      </c>
      <c r="P3308" s="245" t="inlineStr">
        <is>
          <t>covered</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 not tested</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 not tested</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 not tested</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 not tested</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 not tested</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5" t="inlineStr">
        <is>
          <t>Conforms | Одговара</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5" t="inlineStr">
        <is>
          <t>Conforms | Одговара</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5" t="inlineStr">
        <is>
          <t>Conforms | Одговара</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 × 10³</t>
        </is>
      </c>
      <c r="L3322" s="245" t="inlineStr">
        <is>
          <t>542/1073/26</t>
        </is>
      </c>
      <c r="M3322" s="245" t="inlineStr">
        <is>
          <t>31.08.2026</t>
        </is>
      </c>
      <c r="N3322" s="245" t="inlineStr">
        <is>
          <t>IPH — Institute of Public Health</t>
        </is>
      </c>
      <c r="O3322" s="245" t="inlineStr">
        <is>
          <t>25.08.2026</t>
        </is>
      </c>
      <c r="P3322" s="245" t="inlineStr">
        <is>
          <t>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5,2 × 10²</t>
        </is>
      </c>
      <c r="L3323" s="245" t="inlineStr">
        <is>
          <t>542/1073/26</t>
        </is>
      </c>
      <c r="M3323" s="245" t="inlineStr">
        <is>
          <t>31.08.2026</t>
        </is>
      </c>
      <c r="N3323" s="245" t="inlineStr">
        <is>
          <t>IPH — Institute of Public Health</t>
        </is>
      </c>
      <c r="O3323" s="245" t="inlineStr">
        <is>
          <t>25.08.2026</t>
        </is>
      </c>
      <c r="P3323" s="245" t="inlineStr">
        <is>
          <t>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10² and &gt; 10</t>
        </is>
      </c>
      <c r="L3324" s="245" t="inlineStr">
        <is>
          <t>542/1073/26</t>
        </is>
      </c>
      <c r="M3324" s="245" t="inlineStr">
        <is>
          <t>31.08.2026</t>
        </is>
      </c>
      <c r="N3324" s="245" t="inlineStr">
        <is>
          <t>IPH — Institute of Public Health</t>
        </is>
      </c>
      <c r="O3324" s="245" t="inlineStr">
        <is>
          <t>25.08.2026</t>
        </is>
      </c>
      <c r="P3324" s="245" t="inlineStr">
        <is>
          <t>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542/1073/26</t>
        </is>
      </c>
      <c r="M3325" s="245" t="inlineStr">
        <is>
          <t>31.08.2026</t>
        </is>
      </c>
      <c r="N3325" s="245" t="inlineStr">
        <is>
          <t>IPH — Institute of Public Health</t>
        </is>
      </c>
      <c r="O3325" s="245" t="inlineStr">
        <is>
          <t>25.08.2026</t>
        </is>
      </c>
      <c r="P3325" s="245" t="inlineStr">
        <is>
          <t>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542/1073/26</t>
        </is>
      </c>
      <c r="M3326" s="245" t="inlineStr">
        <is>
          <t>31.08.2026</t>
        </is>
      </c>
      <c r="N3326" s="245" t="inlineStr">
        <is>
          <t>IPH — Institute of Public Health</t>
        </is>
      </c>
      <c r="O3326" s="245" t="inlineStr">
        <is>
          <t>25.08.2026</t>
        </is>
      </c>
      <c r="P3326" s="245" t="inlineStr">
        <is>
          <t>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5" t="inlineStr">
        <is>
          <t>ND</t>
        </is>
      </c>
      <c r="L3329" s="245" t="inlineStr">
        <is>
          <t>227-22-М/26</t>
        </is>
      </c>
      <c r="M3329" s="245" t="inlineStr">
        <is>
          <t>16.09.2026</t>
        </is>
      </c>
      <c r="N3329" s="245" t="inlineStr">
        <is>
          <t>Farmahem</t>
        </is>
      </c>
      <c r="O3329" s="245" t="inlineStr">
        <is>
          <t>—</t>
        </is>
      </c>
      <c r="P3329" s="245" t="inlineStr">
        <is>
          <t>covered</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5" t="inlineStr">
        <is>
          <t>ND</t>
        </is>
      </c>
      <c r="L3330" s="245" t="inlineStr">
        <is>
          <t>227-22-М/26</t>
        </is>
      </c>
      <c r="M3330" s="245" t="inlineStr">
        <is>
          <t>16.09.2026</t>
        </is>
      </c>
      <c r="N3330" s="245" t="inlineStr">
        <is>
          <t>Farmahem</t>
        </is>
      </c>
      <c r="O3330" s="245" t="inlineStr">
        <is>
          <t>—</t>
        </is>
      </c>
      <c r="P3330" s="245" t="inlineStr">
        <is>
          <t>carried from the initial testing (the batch's initial CoQ (number assigned on issue)) — covered</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5" t="inlineStr">
        <is>
          <t>ND</t>
        </is>
      </c>
      <c r="L3331" s="245" t="inlineStr">
        <is>
          <t>227-22-М/26</t>
        </is>
      </c>
      <c r="M3331" s="245" t="inlineStr">
        <is>
          <t>16.09.2026</t>
        </is>
      </c>
      <c r="N3331" s="245" t="inlineStr">
        <is>
          <t>Farmahem</t>
        </is>
      </c>
      <c r="O3331" s="245" t="inlineStr">
        <is>
          <t>—</t>
        </is>
      </c>
      <c r="P3331" s="245" t="inlineStr">
        <is>
          <t>covered</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5" t="inlineStr">
        <is>
          <t>Conforms | Одговара</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5" t="inlineStr">
        <is>
          <t>Conforms | Одговара</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5" t="inlineStr">
        <is>
          <t>Conforms | Одговара</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2,2 × 10³</t>
        </is>
      </c>
      <c r="L3345" s="245" t="inlineStr">
        <is>
          <t>541/1072/26</t>
        </is>
      </c>
      <c r="M3345" s="245" t="inlineStr">
        <is>
          <t>31.08.2026</t>
        </is>
      </c>
      <c r="N3345" s="245" t="inlineStr">
        <is>
          <t>IPH — Institute of Public Health</t>
        </is>
      </c>
      <c r="O3345" s="245" t="inlineStr">
        <is>
          <t>25.08.2026</t>
        </is>
      </c>
      <c r="P3345" s="245" t="inlineStr">
        <is>
          <t>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2,1 × 10³</t>
        </is>
      </c>
      <c r="L3346" s="245" t="inlineStr">
        <is>
          <t>541/1072/26</t>
        </is>
      </c>
      <c r="M3346" s="245" t="inlineStr">
        <is>
          <t>31.08.2026</t>
        </is>
      </c>
      <c r="N3346" s="245" t="inlineStr">
        <is>
          <t>IPH — Institute of Public Health</t>
        </is>
      </c>
      <c r="O3346" s="245" t="inlineStr">
        <is>
          <t>25.08.2026</t>
        </is>
      </c>
      <c r="P3346" s="245" t="inlineStr">
        <is>
          <t>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541/1072/26</t>
        </is>
      </c>
      <c r="M3347" s="245" t="inlineStr">
        <is>
          <t>31.08.2026</t>
        </is>
      </c>
      <c r="N3347" s="245" t="inlineStr">
        <is>
          <t>IPH — Institute of Public Health</t>
        </is>
      </c>
      <c r="O3347" s="245" t="inlineStr">
        <is>
          <t>25.08.2026</t>
        </is>
      </c>
      <c r="P3347" s="245" t="inlineStr">
        <is>
          <t>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541/1072/26</t>
        </is>
      </c>
      <c r="M3348" s="245" t="inlineStr">
        <is>
          <t>31.08.2026</t>
        </is>
      </c>
      <c r="N3348" s="245" t="inlineStr">
        <is>
          <t>IPH — Institute of Public Health</t>
        </is>
      </c>
      <c r="O3348" s="245" t="inlineStr">
        <is>
          <t>25.08.2026</t>
        </is>
      </c>
      <c r="P3348" s="245" t="inlineStr">
        <is>
          <t>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541/1072/26</t>
        </is>
      </c>
      <c r="M3349" s="245" t="inlineStr">
        <is>
          <t>31.08.2026</t>
        </is>
      </c>
      <c r="N3349" s="245" t="inlineStr">
        <is>
          <t>IPH — Institute of Public Health</t>
        </is>
      </c>
      <c r="O3349" s="245" t="inlineStr">
        <is>
          <t>25.08.2026</t>
        </is>
      </c>
      <c r="P3349" s="245" t="inlineStr">
        <is>
          <t>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5" t="inlineStr">
        <is>
          <t>ND</t>
        </is>
      </c>
      <c r="L3352" s="245" t="inlineStr">
        <is>
          <t>227-21-М/26</t>
        </is>
      </c>
      <c r="M3352" s="245" t="inlineStr">
        <is>
          <t>16.09.2026</t>
        </is>
      </c>
      <c r="N3352" s="245" t="inlineStr">
        <is>
          <t>Farmahem</t>
        </is>
      </c>
      <c r="O3352" s="245" t="inlineStr">
        <is>
          <t>—</t>
        </is>
      </c>
      <c r="P3352" s="245" t="inlineStr">
        <is>
          <t>covered</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5" t="inlineStr">
        <is>
          <t>ND</t>
        </is>
      </c>
      <c r="L3353" s="245" t="inlineStr">
        <is>
          <t>227-21-М/26</t>
        </is>
      </c>
      <c r="M3353" s="245" t="inlineStr">
        <is>
          <t>16.09.2026</t>
        </is>
      </c>
      <c r="N3353" s="245" t="inlineStr">
        <is>
          <t>Farmahem</t>
        </is>
      </c>
      <c r="O3353" s="245" t="inlineStr">
        <is>
          <t>—</t>
        </is>
      </c>
      <c r="P3353" s="245" t="inlineStr">
        <is>
          <t>carried from the initial testing (the batch's initial CoQ (number assigned on issue)) — covered</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5" t="inlineStr">
        <is>
          <t>ND</t>
        </is>
      </c>
      <c r="L3354" s="245" t="inlineStr">
        <is>
          <t>227-21-М/26</t>
        </is>
      </c>
      <c r="M3354" s="245" t="inlineStr">
        <is>
          <t>16.09.2026</t>
        </is>
      </c>
      <c r="N3354" s="245" t="inlineStr">
        <is>
          <t>Farmahem</t>
        </is>
      </c>
      <c r="O3354" s="245" t="inlineStr">
        <is>
          <t>—</t>
        </is>
      </c>
      <c r="P3354" s="245" t="inlineStr">
        <is>
          <t>covered</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5" t="inlineStr">
        <is>
          <t>Conforms | Одговара</t>
        </is>
      </c>
      <c r="L3360" s="245" t="inlineStr">
        <is>
          <t>iCoA-PP_26-163</t>
        </is>
      </c>
      <c r="M3360" s="245" t="inlineStr">
        <is>
          <t>24.08.2026</t>
        </is>
      </c>
      <c r="N3360" s="245" t="inlineStr">
        <is>
          <t>Purely Plant GmbH (in-house)</t>
        </is>
      </c>
      <c r="O3360" s="245" t="inlineStr">
        <is>
          <t>—</t>
        </is>
      </c>
      <c r="P3360" s="245" t="inlineStr">
        <is>
          <t>covered</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5" t="inlineStr">
        <is>
          <t>Conforms | Одговара</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5" t="inlineStr">
        <is>
          <t>Conforms | Одговара</t>
        </is>
      </c>
      <c r="L3366" s="245" t="inlineStr">
        <is>
          <t>iCoA-PP_26-163</t>
        </is>
      </c>
      <c r="M3366" s="245" t="inlineStr">
        <is>
          <t>24.08.2026</t>
        </is>
      </c>
      <c r="N3366" s="245" t="inlineStr">
        <is>
          <t>Purely Plant GmbH (in-house)</t>
        </is>
      </c>
      <c r="O3366" s="245" t="inlineStr">
        <is>
          <t>—</t>
        </is>
      </c>
      <c r="P3366" s="245" t="inlineStr">
        <is>
          <t>covered</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&lt; 10</t>
        </is>
      </c>
      <c r="L3368" s="245" t="inlineStr">
        <is>
          <t>564/1095/26</t>
        </is>
      </c>
      <c r="M3368" s="245" t="inlineStr">
        <is>
          <t>01.09.2026</t>
        </is>
      </c>
      <c r="N3368" s="245" t="inlineStr">
        <is>
          <t>IPH — Institute of Public Health</t>
        </is>
      </c>
      <c r="O3368" s="245" t="inlineStr">
        <is>
          <t>26.08.2026</t>
        </is>
      </c>
      <c r="P3368" s="245" t="inlineStr">
        <is>
          <t>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&lt; 10</t>
        </is>
      </c>
      <c r="L3369" s="245" t="inlineStr">
        <is>
          <t>564/1095/26</t>
        </is>
      </c>
      <c r="M3369" s="245" t="inlineStr">
        <is>
          <t>01.09.2026</t>
        </is>
      </c>
      <c r="N3369" s="245" t="inlineStr">
        <is>
          <t>IPH — Institute of Public Health</t>
        </is>
      </c>
      <c r="O3369" s="245" t="inlineStr">
        <is>
          <t>26.08.2026</t>
        </is>
      </c>
      <c r="P3369" s="245" t="inlineStr">
        <is>
          <t>covered</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564/1095/26</t>
        </is>
      </c>
      <c r="M3370" s="245" t="inlineStr">
        <is>
          <t>01.09.2026</t>
        </is>
      </c>
      <c r="N3370" s="245" t="inlineStr">
        <is>
          <t>IPH — Institute of Public Health</t>
        </is>
      </c>
      <c r="O3370" s="245" t="inlineStr">
        <is>
          <t>26.08.2026</t>
        </is>
      </c>
      <c r="P3370" s="245" t="inlineStr">
        <is>
          <t>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564/1095/26</t>
        </is>
      </c>
      <c r="M3371" s="245" t="inlineStr">
        <is>
          <t>01.09.2026</t>
        </is>
      </c>
      <c r="N3371" s="245" t="inlineStr">
        <is>
          <t>IPH — Institute of Public Health</t>
        </is>
      </c>
      <c r="O3371" s="245" t="inlineStr">
        <is>
          <t>26.08.2026</t>
        </is>
      </c>
      <c r="P3371" s="245" t="inlineStr">
        <is>
          <t>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564/1095/26</t>
        </is>
      </c>
      <c r="M3372" s="245" t="inlineStr">
        <is>
          <t>01.09.2026</t>
        </is>
      </c>
      <c r="N3372" s="245" t="inlineStr">
        <is>
          <t>IPH — Institute of Public Health</t>
        </is>
      </c>
      <c r="O3372" s="245" t="inlineStr">
        <is>
          <t>26.08.2026</t>
        </is>
      </c>
      <c r="P3372" s="245" t="inlineStr">
        <is>
          <t>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5" t="inlineStr">
        <is>
          <t>ND</t>
        </is>
      </c>
      <c r="L3375" s="245" t="inlineStr">
        <is>
          <t>227-19-М/26</t>
        </is>
      </c>
      <c r="M3375" s="245" t="inlineStr">
        <is>
          <t>16.09.2026</t>
        </is>
      </c>
      <c r="N3375" s="245" t="inlineStr">
        <is>
          <t>Farmahem</t>
        </is>
      </c>
      <c r="O3375" s="245" t="inlineStr">
        <is>
          <t>—</t>
        </is>
      </c>
      <c r="P3375" s="245" t="inlineStr">
        <is>
          <t>covered</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5" t="inlineStr">
        <is>
          <t>ND</t>
        </is>
      </c>
      <c r="L3376" s="245" t="inlineStr">
        <is>
          <t>227-19-М/26</t>
        </is>
      </c>
      <c r="M3376" s="245" t="inlineStr">
        <is>
          <t>16.09.2026</t>
        </is>
      </c>
      <c r="N3376" s="245" t="inlineStr">
        <is>
          <t>Farmahem</t>
        </is>
      </c>
      <c r="O3376" s="245" t="inlineStr">
        <is>
          <t>—</t>
        </is>
      </c>
      <c r="P3376" s="245" t="inlineStr">
        <is>
          <t>carried from the initial testing (the batch's initial CoQ (number assigned on issue)) — covered</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5" t="inlineStr">
        <is>
          <t>ND</t>
        </is>
      </c>
      <c r="L3377" s="245" t="inlineStr">
        <is>
          <t>227-19-М/26</t>
        </is>
      </c>
      <c r="M3377" s="245" t="inlineStr">
        <is>
          <t>16.09.2026</t>
        </is>
      </c>
      <c r="N3377" s="245" t="inlineStr">
        <is>
          <t>Farmahem</t>
        </is>
      </c>
      <c r="O3377" s="245" t="inlineStr">
        <is>
          <t>—</t>
        </is>
      </c>
      <c r="P3377" s="245" t="inlineStr">
        <is>
          <t>covered</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5" t="inlineStr">
        <is>
          <t>Conforms | Одговара</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5" t="inlineStr">
        <is>
          <t>Conforms | Одговара</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5" t="inlineStr">
        <is>
          <t>Conforms | Одговара</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 × 10³</t>
        </is>
      </c>
      <c r="L3391" s="245" t="inlineStr">
        <is>
          <t>545/1076/26</t>
        </is>
      </c>
      <c r="M3391" s="245" t="inlineStr">
        <is>
          <t>31.08.2026</t>
        </is>
      </c>
      <c r="N3391" s="245" t="inlineStr">
        <is>
          <t>IPH — Institute of Public Health</t>
        </is>
      </c>
      <c r="O3391" s="245" t="inlineStr">
        <is>
          <t>25.08.2026</t>
        </is>
      </c>
      <c r="P3391" s="245" t="inlineStr">
        <is>
          <t>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1,1 × 10³</t>
        </is>
      </c>
      <c r="L3392" s="245" t="inlineStr">
        <is>
          <t>545/1076/26</t>
        </is>
      </c>
      <c r="M3392" s="245" t="inlineStr">
        <is>
          <t>31.08.2026</t>
        </is>
      </c>
      <c r="N3392" s="245" t="inlineStr">
        <is>
          <t>IPH — Institute of Public Health</t>
        </is>
      </c>
      <c r="O3392" s="245" t="inlineStr">
        <is>
          <t>25.08.2026</t>
        </is>
      </c>
      <c r="P3392" s="245" t="inlineStr">
        <is>
          <t>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10³ and &gt; 10²</t>
        </is>
      </c>
      <c r="L3393" s="245" t="inlineStr">
        <is>
          <t>545/1076/26</t>
        </is>
      </c>
      <c r="M3393" s="245" t="inlineStr">
        <is>
          <t>31.08.2026</t>
        </is>
      </c>
      <c r="N3393" s="245" t="inlineStr">
        <is>
          <t>IPH — Institute of Public Health</t>
        </is>
      </c>
      <c r="O3393" s="245" t="inlineStr">
        <is>
          <t>25.08.2026</t>
        </is>
      </c>
      <c r="P3393" s="245" t="inlineStr">
        <is>
          <t>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545/1076/26</t>
        </is>
      </c>
      <c r="M3394" s="245" t="inlineStr">
        <is>
          <t>31.08.2026</t>
        </is>
      </c>
      <c r="N3394" s="245" t="inlineStr">
        <is>
          <t>IPH — Institute of Public Health</t>
        </is>
      </c>
      <c r="O3394" s="245" t="inlineStr">
        <is>
          <t>25.08.2026</t>
        </is>
      </c>
      <c r="P3394" s="245" t="inlineStr">
        <is>
          <t>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545/1076/26</t>
        </is>
      </c>
      <c r="M3395" s="245" t="inlineStr">
        <is>
          <t>31.08.2026</t>
        </is>
      </c>
      <c r="N3395" s="245" t="inlineStr">
        <is>
          <t>IPH — Institute of Public Health</t>
        </is>
      </c>
      <c r="O3395" s="245" t="inlineStr">
        <is>
          <t>25.08.2026</t>
        </is>
      </c>
      <c r="P3395" s="245" t="inlineStr">
        <is>
          <t>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5" t="inlineStr">
        <is>
          <t>ND</t>
        </is>
      </c>
      <c r="L3398" s="245" t="inlineStr">
        <is>
          <t>227-20-М/26</t>
        </is>
      </c>
      <c r="M3398" s="245" t="inlineStr">
        <is>
          <t>16.09.2026</t>
        </is>
      </c>
      <c r="N3398" s="245" t="inlineStr">
        <is>
          <t>Farmahem</t>
        </is>
      </c>
      <c r="O3398" s="245" t="inlineStr">
        <is>
          <t>—</t>
        </is>
      </c>
      <c r="P3398" s="245" t="inlineStr">
        <is>
          <t>covered</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5" t="inlineStr">
        <is>
          <t>ND</t>
        </is>
      </c>
      <c r="L3399" s="245" t="inlineStr">
        <is>
          <t>227-20-М/26</t>
        </is>
      </c>
      <c r="M3399" s="245" t="inlineStr">
        <is>
          <t>16.09.2026</t>
        </is>
      </c>
      <c r="N3399" s="245" t="inlineStr">
        <is>
          <t>Farmahem</t>
        </is>
      </c>
      <c r="O3399" s="245" t="inlineStr">
        <is>
          <t>—</t>
        </is>
      </c>
      <c r="P3399" s="245" t="inlineStr">
        <is>
          <t>carried from the initial testing (the batch's initial CoQ (number assigned on issue)) — covered</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5" t="inlineStr">
        <is>
          <t>ND</t>
        </is>
      </c>
      <c r="L3400" s="245" t="inlineStr">
        <is>
          <t>227-20-М/26</t>
        </is>
      </c>
      <c r="M3400" s="245" t="inlineStr">
        <is>
          <t>16.09.2026</t>
        </is>
      </c>
      <c r="N3400" s="245" t="inlineStr">
        <is>
          <t>Farmahem</t>
        </is>
      </c>
      <c r="O3400" s="245" t="inlineStr">
        <is>
          <t>—</t>
        </is>
      </c>
      <c r="P3400" s="245" t="inlineStr">
        <is>
          <t>covered</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5" t="inlineStr">
        <is>
          <t>Conforms | Одговара</t>
        </is>
      </c>
      <c r="L3406" s="245" t="inlineStr">
        <is>
          <t>iCoA-PP_26-165</t>
        </is>
      </c>
      <c r="M3406" s="245" t="inlineStr">
        <is>
          <t>24.08.2026</t>
        </is>
      </c>
      <c r="N3406" s="245" t="inlineStr">
        <is>
          <t>Purely Plant GmbH (in-house)</t>
        </is>
      </c>
      <c r="O3406" s="245" t="inlineStr">
        <is>
          <t>—</t>
        </is>
      </c>
      <c r="P3406" s="245" t="inlineStr">
        <is>
          <t>covered</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5" t="inlineStr">
        <is>
          <t>Conforms | Одговара</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5" t="inlineStr">
        <is>
          <t>Conforms | Одговара</t>
        </is>
      </c>
      <c r="L3412" s="245" t="inlineStr">
        <is>
          <t>iCoA-PP_26-165</t>
        </is>
      </c>
      <c r="M3412" s="245" t="inlineStr">
        <is>
          <t>24.08.2026</t>
        </is>
      </c>
      <c r="N3412" s="245" t="inlineStr">
        <is>
          <t>Purely Plant GmbH (in-house)</t>
        </is>
      </c>
      <c r="O3412" s="245" t="inlineStr">
        <is>
          <t>—</t>
        </is>
      </c>
      <c r="P3412" s="245" t="inlineStr">
        <is>
          <t>covered</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&lt; 10</t>
        </is>
      </c>
      <c r="L3414" s="245" t="inlineStr">
        <is>
          <t>557/1088/26</t>
        </is>
      </c>
      <c r="M3414" s="245" t="inlineStr">
        <is>
          <t>01.09.2026</t>
        </is>
      </c>
      <c r="N3414" s="245" t="inlineStr">
        <is>
          <t>IPH — Institute of Public Health</t>
        </is>
      </c>
      <c r="O3414" s="245" t="inlineStr">
        <is>
          <t>26.08.2026</t>
        </is>
      </c>
      <c r="P3414" s="245" t="inlineStr">
        <is>
          <t>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&lt; 10</t>
        </is>
      </c>
      <c r="L3415" s="245" t="inlineStr">
        <is>
          <t>557/1088/26</t>
        </is>
      </c>
      <c r="M3415" s="245" t="inlineStr">
        <is>
          <t>01.09.2026</t>
        </is>
      </c>
      <c r="N3415" s="245" t="inlineStr">
        <is>
          <t>IPH — Institute of Public Health</t>
        </is>
      </c>
      <c r="O3415" s="245" t="inlineStr">
        <is>
          <t>26.08.2026</t>
        </is>
      </c>
      <c r="P3415" s="245" t="inlineStr">
        <is>
          <t>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t>
        </is>
      </c>
      <c r="L3416" s="245" t="inlineStr">
        <is>
          <t>557/1088/26</t>
        </is>
      </c>
      <c r="M3416" s="245" t="inlineStr">
        <is>
          <t>01.09.2026</t>
        </is>
      </c>
      <c r="N3416" s="245" t="inlineStr">
        <is>
          <t>IPH — Institute of Public Health</t>
        </is>
      </c>
      <c r="O3416" s="245" t="inlineStr">
        <is>
          <t>26.08.2026</t>
        </is>
      </c>
      <c r="P3416" s="245" t="inlineStr">
        <is>
          <t>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557/1088/26</t>
        </is>
      </c>
      <c r="M3417" s="245" t="inlineStr">
        <is>
          <t>01.09.2026</t>
        </is>
      </c>
      <c r="N3417" s="245" t="inlineStr">
        <is>
          <t>IPH — Institute of Public Health</t>
        </is>
      </c>
      <c r="O3417" s="245" t="inlineStr">
        <is>
          <t>26.08.2026</t>
        </is>
      </c>
      <c r="P3417" s="245" t="inlineStr">
        <is>
          <t>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557/1088/26</t>
        </is>
      </c>
      <c r="M3418" s="245" t="inlineStr">
        <is>
          <t>01.09.2026</t>
        </is>
      </c>
      <c r="N3418" s="245" t="inlineStr">
        <is>
          <t>IPH — Institute of Public Health</t>
        </is>
      </c>
      <c r="O3418" s="245" t="inlineStr">
        <is>
          <t>26.08.2026</t>
        </is>
      </c>
      <c r="P3418" s="245" t="inlineStr">
        <is>
          <t>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5" t="inlineStr">
        <is>
          <t>&lt; 2</t>
        </is>
      </c>
      <c r="L3422" s="245" t="inlineStr">
        <is>
          <t>4762/2025</t>
        </is>
      </c>
      <c r="M3422" s="245" t="inlineStr">
        <is>
          <t>08.10.2025</t>
        </is>
      </c>
      <c r="N3422" s="245" t="inlineStr">
        <is>
          <t>IPH — Institute of Public Health</t>
        </is>
      </c>
      <c r="O3422" s="245" t="inlineStr">
        <is>
          <t>01.10.2025</t>
        </is>
      </c>
      <c r="P3422" s="245" t="inlineStr">
        <is>
          <t>carried from the initial testing (the batch's initial CoQ (number assigned on issue)) — covered</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5" t="inlineStr">
        <is>
          <t>Conforms | Одговара</t>
        </is>
      </c>
      <c r="L3429" s="245" t="inlineStr">
        <is>
          <t>iCoA-PP_26-166</t>
        </is>
      </c>
      <c r="M3429" s="245" t="inlineStr">
        <is>
          <t>24.08.2026</t>
        </is>
      </c>
      <c r="N3429" s="245" t="inlineStr">
        <is>
          <t>Purely Plant GmbH (in-house)</t>
        </is>
      </c>
      <c r="O3429" s="245" t="inlineStr">
        <is>
          <t>—</t>
        </is>
      </c>
      <c r="P3429" s="245" t="inlineStr">
        <is>
          <t>covered</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5" t="inlineStr">
        <is>
          <t>Conforms | Одговара</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5" t="inlineStr">
        <is>
          <t>Conforms | Одговара</t>
        </is>
      </c>
      <c r="L3435" s="245" t="inlineStr">
        <is>
          <t>iCoA-PP_26-166</t>
        </is>
      </c>
      <c r="M3435" s="245" t="inlineStr">
        <is>
          <t>24.08.2026</t>
        </is>
      </c>
      <c r="N3435" s="245" t="inlineStr">
        <is>
          <t>Purely Plant GmbH (in-house)</t>
        </is>
      </c>
      <c r="O3435" s="245" t="inlineStr">
        <is>
          <t>—</t>
        </is>
      </c>
      <c r="P3435" s="245" t="inlineStr">
        <is>
          <t>covered</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ППК25378</t>
        </is>
      </c>
      <c r="M3436" s="245" t="inlineStr">
        <is>
          <t>12.12.2025</t>
        </is>
      </c>
      <c r="N3436" s="245" t="inlineStr">
        <is>
          <t>UKIM Faculty of Pharmacy — Center for Natural Products</t>
        </is>
      </c>
      <c r="O3436" s="245" t="inlineStr">
        <is>
          <t>01.12.2025</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&lt; 10</t>
        </is>
      </c>
      <c r="L3437" s="245" t="inlineStr">
        <is>
          <t>553/1084/26</t>
        </is>
      </c>
      <c r="M3437" s="245" t="inlineStr">
        <is>
          <t>01.09.2026</t>
        </is>
      </c>
      <c r="N3437" s="245" t="inlineStr">
        <is>
          <t>IPH — Institute of Public Health</t>
        </is>
      </c>
      <c r="O3437" s="245" t="inlineStr">
        <is>
          <t>26.08.2026</t>
        </is>
      </c>
      <c r="P3437" s="245" t="inlineStr">
        <is>
          <t>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&lt; 10</t>
        </is>
      </c>
      <c r="L3438" s="245" t="inlineStr">
        <is>
          <t>553/1084/26</t>
        </is>
      </c>
      <c r="M3438" s="245" t="inlineStr">
        <is>
          <t>01.09.2026</t>
        </is>
      </c>
      <c r="N3438" s="245" t="inlineStr">
        <is>
          <t>IPH — Institute of Public Health</t>
        </is>
      </c>
      <c r="O3438" s="245" t="inlineStr">
        <is>
          <t>26.08.2026</t>
        </is>
      </c>
      <c r="P3438" s="245" t="inlineStr">
        <is>
          <t>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553/1084/26</t>
        </is>
      </c>
      <c r="M3439" s="245" t="inlineStr">
        <is>
          <t>01.09.2026</t>
        </is>
      </c>
      <c r="N3439" s="245" t="inlineStr">
        <is>
          <t>IPH — Institute of Public Health</t>
        </is>
      </c>
      <c r="O3439" s="245" t="inlineStr">
        <is>
          <t>26.08.2026</t>
        </is>
      </c>
      <c r="P3439" s="245" t="inlineStr">
        <is>
          <t>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553/1084/26</t>
        </is>
      </c>
      <c r="M3440" s="245" t="inlineStr">
        <is>
          <t>01.09.2026</t>
        </is>
      </c>
      <c r="N3440" s="245" t="inlineStr">
        <is>
          <t>IPH — Institute of Public Health</t>
        </is>
      </c>
      <c r="O3440" s="245" t="inlineStr">
        <is>
          <t>26.08.2026</t>
        </is>
      </c>
      <c r="P3440" s="245" t="inlineStr">
        <is>
          <t>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553/1084/26</t>
        </is>
      </c>
      <c r="M3441" s="245" t="inlineStr">
        <is>
          <t>01.09.2026</t>
        </is>
      </c>
      <c r="N3441" s="245" t="inlineStr">
        <is>
          <t>IPH — Institute of Public Health</t>
        </is>
      </c>
      <c r="O3441" s="245" t="inlineStr">
        <is>
          <t>26.08.2026</t>
        </is>
      </c>
      <c r="P3441" s="245" t="inlineStr">
        <is>
          <t>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5" t="inlineStr">
        <is>
          <t>ND</t>
        </is>
      </c>
      <c r="L3444" s="245" t="inlineStr">
        <is>
          <t>227-17-М/26</t>
        </is>
      </c>
      <c r="M3444" s="245" t="inlineStr">
        <is>
          <t>16.09.2026</t>
        </is>
      </c>
      <c r="N3444" s="245" t="inlineStr">
        <is>
          <t>Farmahem</t>
        </is>
      </c>
      <c r="O3444" s="245" t="inlineStr">
        <is>
          <t>—</t>
        </is>
      </c>
      <c r="P3444" s="245" t="inlineStr">
        <is>
          <t>covered</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5" t="inlineStr">
        <is>
          <t>ND</t>
        </is>
      </c>
      <c r="L3445" s="245" t="inlineStr">
        <is>
          <t>227-17-М/26</t>
        </is>
      </c>
      <c r="M3445" s="245" t="inlineStr">
        <is>
          <t>16.09.2026</t>
        </is>
      </c>
      <c r="N3445" s="245" t="inlineStr">
        <is>
          <t>Farmahem</t>
        </is>
      </c>
      <c r="O3445" s="245" t="inlineStr">
        <is>
          <t>—</t>
        </is>
      </c>
      <c r="P3445" s="245" t="inlineStr">
        <is>
          <t>carried from the initial testing (the batch's initial CoQ (number assigned on issue)) — covered</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5" t="inlineStr">
        <is>
          <t>ND</t>
        </is>
      </c>
      <c r="L3446" s="245" t="inlineStr">
        <is>
          <t>227-17-М/26</t>
        </is>
      </c>
      <c r="M3446" s="245" t="inlineStr">
        <is>
          <t>16.09.2026</t>
        </is>
      </c>
      <c r="N3446" s="245" t="inlineStr">
        <is>
          <t>Farmahem</t>
        </is>
      </c>
      <c r="O3446" s="245" t="inlineStr">
        <is>
          <t>—</t>
        </is>
      </c>
      <c r="P3446" s="245" t="inlineStr">
        <is>
          <t>covered</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5" t="inlineStr">
        <is>
          <t>Conforms | Одговара</t>
        </is>
      </c>
      <c r="L3452" s="245" t="inlineStr">
        <is>
          <t>iCoA-PP_26-154</t>
        </is>
      </c>
      <c r="M3452" s="245" t="inlineStr">
        <is>
          <t>24.08.2026</t>
        </is>
      </c>
      <c r="N3452" s="245" t="inlineStr">
        <is>
          <t>Purely Plant GmbH (in-house)</t>
        </is>
      </c>
      <c r="O3452" s="245" t="inlineStr">
        <is>
          <t>—</t>
        </is>
      </c>
      <c r="P3452" s="245" t="inlineStr">
        <is>
          <t>covered</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5" t="inlineStr">
        <is>
          <t>Conforms | Одговара</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5" t="inlineStr">
        <is>
          <t>Conforms | Одговара</t>
        </is>
      </c>
      <c r="L3458" s="245" t="inlineStr">
        <is>
          <t>iCoA-PP_26-154</t>
        </is>
      </c>
      <c r="M3458" s="245" t="inlineStr">
        <is>
          <t>24.08.2026</t>
        </is>
      </c>
      <c r="N3458" s="245" t="inlineStr">
        <is>
          <t>Purely Plant GmbH (in-house)</t>
        </is>
      </c>
      <c r="O3458" s="245" t="inlineStr">
        <is>
          <t>—</t>
        </is>
      </c>
      <c r="P3458" s="245" t="inlineStr">
        <is>
          <t>covered</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&lt; 10</t>
        </is>
      </c>
      <c r="L3460" s="245" t="inlineStr">
        <is>
          <t>562/1093/26</t>
        </is>
      </c>
      <c r="M3460" s="245" t="inlineStr">
        <is>
          <t>01.09.2026</t>
        </is>
      </c>
      <c r="N3460" s="245" t="inlineStr">
        <is>
          <t>IPH — Institute of Public Health</t>
        </is>
      </c>
      <c r="O3460" s="245" t="inlineStr">
        <is>
          <t>26.08.2026</t>
        </is>
      </c>
      <c r="P3460" s="245" t="inlineStr">
        <is>
          <t>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50</t>
        </is>
      </c>
      <c r="L3461" s="245" t="inlineStr">
        <is>
          <t>562/1093/26</t>
        </is>
      </c>
      <c r="M3461" s="245" t="inlineStr">
        <is>
          <t>01.09.2026</t>
        </is>
      </c>
      <c r="N3461" s="245" t="inlineStr">
        <is>
          <t>IPH — Institute of Public Health</t>
        </is>
      </c>
      <c r="O3461" s="245" t="inlineStr">
        <is>
          <t>26.08.2026</t>
        </is>
      </c>
      <c r="P3461" s="245" t="inlineStr">
        <is>
          <t>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562/1093/26</t>
        </is>
      </c>
      <c r="M3462" s="245" t="inlineStr">
        <is>
          <t>01.09.2026</t>
        </is>
      </c>
      <c r="N3462" s="245" t="inlineStr">
        <is>
          <t>IPH — Institute of Public Health</t>
        </is>
      </c>
      <c r="O3462" s="245" t="inlineStr">
        <is>
          <t>26.08.2026</t>
        </is>
      </c>
      <c r="P3462" s="245" t="inlineStr">
        <is>
          <t>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562/1093/26</t>
        </is>
      </c>
      <c r="M3463" s="245" t="inlineStr">
        <is>
          <t>01.09.2026</t>
        </is>
      </c>
      <c r="N3463" s="245" t="inlineStr">
        <is>
          <t>IPH — Institute of Public Health</t>
        </is>
      </c>
      <c r="O3463" s="245" t="inlineStr">
        <is>
          <t>26.08.2026</t>
        </is>
      </c>
      <c r="P3463" s="245" t="inlineStr">
        <is>
          <t>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562/1093/26</t>
        </is>
      </c>
      <c r="M3464" s="245" t="inlineStr">
        <is>
          <t>01.09.2026</t>
        </is>
      </c>
      <c r="N3464" s="245" t="inlineStr">
        <is>
          <t>IPH — Institute of Public Health</t>
        </is>
      </c>
      <c r="O3464" s="245" t="inlineStr">
        <is>
          <t>26.08.2026</t>
        </is>
      </c>
      <c r="P3464" s="245" t="inlineStr">
        <is>
          <t>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5" t="inlineStr">
        <is>
          <t>ND</t>
        </is>
      </c>
      <c r="L3467" s="245" t="inlineStr">
        <is>
          <t>227-2-М/26</t>
        </is>
      </c>
      <c r="M3467" s="245" t="inlineStr">
        <is>
          <t>16.09.2026</t>
        </is>
      </c>
      <c r="N3467" s="245" t="inlineStr">
        <is>
          <t>Farmahem</t>
        </is>
      </c>
      <c r="O3467" s="245" t="inlineStr">
        <is>
          <t>—</t>
        </is>
      </c>
      <c r="P3467" s="245" t="inlineStr">
        <is>
          <t>covered</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5" t="inlineStr">
        <is>
          <t>ND</t>
        </is>
      </c>
      <c r="L3468" s="245" t="inlineStr">
        <is>
          <t>227-2-М/26</t>
        </is>
      </c>
      <c r="M3468" s="245" t="inlineStr">
        <is>
          <t>16.09.2026</t>
        </is>
      </c>
      <c r="N3468" s="245" t="inlineStr">
        <is>
          <t>Farmahem</t>
        </is>
      </c>
      <c r="O3468" s="245" t="inlineStr">
        <is>
          <t>—</t>
        </is>
      </c>
      <c r="P3468" s="245" t="inlineStr">
        <is>
          <t>carried from the initial testing (the batch's initial CoQ (number assigned on issue)) — covered</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5" t="inlineStr">
        <is>
          <t>ND</t>
        </is>
      </c>
      <c r="L3469" s="245" t="inlineStr">
        <is>
          <t>227-2-М/26</t>
        </is>
      </c>
      <c r="M3469" s="245" t="inlineStr">
        <is>
          <t>16.09.2026</t>
        </is>
      </c>
      <c r="N3469" s="245" t="inlineStr">
        <is>
          <t>Farmahem</t>
        </is>
      </c>
      <c r="O3469" s="245" t="inlineStr">
        <is>
          <t>—</t>
        </is>
      </c>
      <c r="P3469" s="245" t="inlineStr">
        <is>
          <t>covered</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5" t="inlineStr">
        <is>
          <t>Conforms | Одговара</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5" t="inlineStr">
        <is>
          <t>Conforms | Одговара</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5" t="inlineStr">
        <is>
          <t>Conforms | Одговара</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 not tested</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10</t>
        </is>
      </c>
      <c r="L3483" s="245" t="inlineStr">
        <is>
          <t>550/1081/26</t>
        </is>
      </c>
      <c r="M3483" s="245" t="inlineStr">
        <is>
          <t>01.09.2026</t>
        </is>
      </c>
      <c r="N3483" s="245" t="inlineStr">
        <is>
          <t>IPH — Institute of Public Health</t>
        </is>
      </c>
      <c r="O3483" s="245" t="inlineStr">
        <is>
          <t>26.08.2026</t>
        </is>
      </c>
      <c r="P3483" s="245" t="inlineStr">
        <is>
          <t>covered</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&lt; 10</t>
        </is>
      </c>
      <c r="L3484" s="245" t="inlineStr">
        <is>
          <t>550/1081/26</t>
        </is>
      </c>
      <c r="M3484" s="245" t="inlineStr">
        <is>
          <t>01.09.2026</t>
        </is>
      </c>
      <c r="N3484" s="245" t="inlineStr">
        <is>
          <t>IPH — Institute of Public Health</t>
        </is>
      </c>
      <c r="O3484" s="245" t="inlineStr">
        <is>
          <t>26.08.2026</t>
        </is>
      </c>
      <c r="P3484" s="245" t="inlineStr">
        <is>
          <t>covered</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&lt; 10</t>
        </is>
      </c>
      <c r="L3485" s="245" t="inlineStr">
        <is>
          <t>550/1081/26</t>
        </is>
      </c>
      <c r="M3485" s="245" t="inlineStr">
        <is>
          <t>01.09.2026</t>
        </is>
      </c>
      <c r="N3485" s="245" t="inlineStr">
        <is>
          <t>IPH — Institute of Public Health</t>
        </is>
      </c>
      <c r="O3485" s="245" t="inlineStr">
        <is>
          <t>26.08.2026</t>
        </is>
      </c>
      <c r="P3485" s="245" t="inlineStr">
        <is>
          <t>covered</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Absent | Отсутна</t>
        </is>
      </c>
      <c r="L3486" s="245" t="inlineStr">
        <is>
          <t>550/1081/26</t>
        </is>
      </c>
      <c r="M3486" s="245" t="inlineStr">
        <is>
          <t>01.09.2026</t>
        </is>
      </c>
      <c r="N3486" s="245" t="inlineStr">
        <is>
          <t>IPH — Institute of Public Health</t>
        </is>
      </c>
      <c r="O3486" s="245" t="inlineStr">
        <is>
          <t>26.08.2026</t>
        </is>
      </c>
      <c r="P3486" s="245" t="inlineStr">
        <is>
          <t>covered</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Absent | Отсутна</t>
        </is>
      </c>
      <c r="L3487" s="245" t="inlineStr">
        <is>
          <t>550/1081/26</t>
        </is>
      </c>
      <c r="M3487" s="245" t="inlineStr">
        <is>
          <t>01.09.2026</t>
        </is>
      </c>
      <c r="N3487" s="245" t="inlineStr">
        <is>
          <t>IPH — Institute of Public Health</t>
        </is>
      </c>
      <c r="O3487" s="245" t="inlineStr">
        <is>
          <t>26.08.2026</t>
        </is>
      </c>
      <c r="P3487" s="245" t="inlineStr">
        <is>
          <t>covered</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5" t="inlineStr">
        <is>
          <t>ND</t>
        </is>
      </c>
      <c r="L3490" s="245" t="inlineStr">
        <is>
          <t>227-16-М/26</t>
        </is>
      </c>
      <c r="M3490" s="245" t="inlineStr">
        <is>
          <t>16.09.2026</t>
        </is>
      </c>
      <c r="N3490" s="245" t="inlineStr">
        <is>
          <t>Farmahem</t>
        </is>
      </c>
      <c r="O3490" s="245" t="inlineStr">
        <is>
          <t>—</t>
        </is>
      </c>
      <c r="P3490" s="245" t="inlineStr">
        <is>
          <t>covered</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5" t="inlineStr">
        <is>
          <t>ND</t>
        </is>
      </c>
      <c r="L3491" s="245" t="inlineStr">
        <is>
          <t>227-16-М/26</t>
        </is>
      </c>
      <c r="M3491" s="245" t="inlineStr">
        <is>
          <t>16.09.2026</t>
        </is>
      </c>
      <c r="N3491" s="245" t="inlineStr">
        <is>
          <t>Farmahem</t>
        </is>
      </c>
      <c r="O3491" s="245" t="inlineStr">
        <is>
          <t>—</t>
        </is>
      </c>
      <c r="P3491" s="245" t="inlineStr">
        <is>
          <t>covered</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5" t="inlineStr">
        <is>
          <t>ND</t>
        </is>
      </c>
      <c r="L3492" s="245" t="inlineStr">
        <is>
          <t>227-16-М/26</t>
        </is>
      </c>
      <c r="M3492" s="245" t="inlineStr">
        <is>
          <t>16.09.2026</t>
        </is>
      </c>
      <c r="N3492" s="245" t="inlineStr">
        <is>
          <t>Farmahem</t>
        </is>
      </c>
      <c r="O3492" s="245" t="inlineStr">
        <is>
          <t>—</t>
        </is>
      </c>
      <c r="P3492" s="245" t="inlineStr">
        <is>
          <t>covered</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 not tested</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 not tested</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 not tested</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 not tested</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 not tested</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5" t="inlineStr">
        <is>
          <t>Conforms | Одговара</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5" t="inlineStr">
        <is>
          <t>Conforms | Одговара</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5" t="inlineStr">
        <is>
          <t>Conforms | Одговара</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4,4 × 10²</t>
        </is>
      </c>
      <c r="L3506" s="245" t="inlineStr">
        <is>
          <t>547/1078/26</t>
        </is>
      </c>
      <c r="M3506" s="245" t="inlineStr">
        <is>
          <t>31.08.2026</t>
        </is>
      </c>
      <c r="N3506" s="245" t="inlineStr">
        <is>
          <t>IPH — Institute of Public Health</t>
        </is>
      </c>
      <c r="O3506" s="245" t="inlineStr">
        <is>
          <t>25.08.2026</t>
        </is>
      </c>
      <c r="P3506" s="245" t="inlineStr">
        <is>
          <t>covered</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8,6 × 10²</t>
        </is>
      </c>
      <c r="L3507" s="245" t="inlineStr">
        <is>
          <t>547/1078/26</t>
        </is>
      </c>
      <c r="M3507" s="245" t="inlineStr">
        <is>
          <t>31.08.2026</t>
        </is>
      </c>
      <c r="N3507" s="245" t="inlineStr">
        <is>
          <t>IPH — Institute of Public Health</t>
        </is>
      </c>
      <c r="O3507" s="245" t="inlineStr">
        <is>
          <t>25.08.2026</t>
        </is>
      </c>
      <c r="P3507" s="245" t="inlineStr">
        <is>
          <t>covered</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&lt; 10² and &gt; 10</t>
        </is>
      </c>
      <c r="L3508" s="245" t="inlineStr">
        <is>
          <t>547/1078/26</t>
        </is>
      </c>
      <c r="M3508" s="245" t="inlineStr">
        <is>
          <t>31.08.2026</t>
        </is>
      </c>
      <c r="N3508" s="245" t="inlineStr">
        <is>
          <t>IPH — Institute of Public Health</t>
        </is>
      </c>
      <c r="O3508" s="245" t="inlineStr">
        <is>
          <t>25.08.2026</t>
        </is>
      </c>
      <c r="P3508" s="245" t="inlineStr">
        <is>
          <t>covered</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Absent | Отсутна</t>
        </is>
      </c>
      <c r="L3509" s="245" t="inlineStr">
        <is>
          <t>547/1078/26</t>
        </is>
      </c>
      <c r="M3509" s="245" t="inlineStr">
        <is>
          <t>31.08.2026</t>
        </is>
      </c>
      <c r="N3509" s="245" t="inlineStr">
        <is>
          <t>IPH — Institute of Public Health</t>
        </is>
      </c>
      <c r="O3509" s="245" t="inlineStr">
        <is>
          <t>25.08.2026</t>
        </is>
      </c>
      <c r="P3509" s="245" t="inlineStr">
        <is>
          <t>covered</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Absent | Отсутна</t>
        </is>
      </c>
      <c r="L3510" s="245" t="inlineStr">
        <is>
          <t>547/1078/26</t>
        </is>
      </c>
      <c r="M3510" s="245" t="inlineStr">
        <is>
          <t>31.08.2026</t>
        </is>
      </c>
      <c r="N3510" s="245" t="inlineStr">
        <is>
          <t>IPH — Institute of Public Health</t>
        </is>
      </c>
      <c r="O3510" s="245" t="inlineStr">
        <is>
          <t>25.08.2026</t>
        </is>
      </c>
      <c r="P3510" s="245" t="inlineStr">
        <is>
          <t>covered</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5" t="inlineStr">
        <is>
          <t>ND</t>
        </is>
      </c>
      <c r="L3513" s="245" t="inlineStr">
        <is>
          <t>227-14-М/26</t>
        </is>
      </c>
      <c r="M3513" s="245" t="inlineStr">
        <is>
          <t>16.09.2026</t>
        </is>
      </c>
      <c r="N3513" s="245" t="inlineStr">
        <is>
          <t>Farmahem</t>
        </is>
      </c>
      <c r="O3513" s="245" t="inlineStr">
        <is>
          <t>—</t>
        </is>
      </c>
      <c r="P3513" s="245" t="inlineStr">
        <is>
          <t>covered</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5" t="inlineStr">
        <is>
          <t>ND</t>
        </is>
      </c>
      <c r="L3514" s="245" t="inlineStr">
        <is>
          <t>227-14-М/26</t>
        </is>
      </c>
      <c r="M3514" s="245" t="inlineStr">
        <is>
          <t>16.09.2026</t>
        </is>
      </c>
      <c r="N3514" s="245" t="inlineStr">
        <is>
          <t>Farmahem</t>
        </is>
      </c>
      <c r="O3514" s="245" t="inlineStr">
        <is>
          <t>—</t>
        </is>
      </c>
      <c r="P3514" s="245" t="inlineStr">
        <is>
          <t>covered</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5" t="inlineStr">
        <is>
          <t>ND</t>
        </is>
      </c>
      <c r="L3515" s="245" t="inlineStr">
        <is>
          <t>227-14-М/26</t>
        </is>
      </c>
      <c r="M3515" s="245" t="inlineStr">
        <is>
          <t>16.09.2026</t>
        </is>
      </c>
      <c r="N3515" s="245" t="inlineStr">
        <is>
          <t>Farmahem</t>
        </is>
      </c>
      <c r="O3515" s="245" t="inlineStr">
        <is>
          <t>—</t>
        </is>
      </c>
      <c r="P3515" s="245" t="inlineStr">
        <is>
          <t>covered</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 not tested</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 not tested</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 not tested</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 not tested</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 not tested</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5" t="inlineStr">
        <is>
          <t>Conforms | Одговара</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5" t="inlineStr">
        <is>
          <t>Conforms | Одговара</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5" t="inlineStr">
        <is>
          <t>Conforms | Одговара</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1 × 10³</t>
        </is>
      </c>
      <c r="L3529" s="245" t="inlineStr">
        <is>
          <t>544/1075/26</t>
        </is>
      </c>
      <c r="M3529" s="245" t="inlineStr">
        <is>
          <t>31.08.2026</t>
        </is>
      </c>
      <c r="N3529" s="245" t="inlineStr">
        <is>
          <t>IPH — Institute of Public Health</t>
        </is>
      </c>
      <c r="O3529" s="245" t="inlineStr">
        <is>
          <t>25.08.2026</t>
        </is>
      </c>
      <c r="P3529" s="245" t="inlineStr">
        <is>
          <t>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1,7 × 10²</t>
        </is>
      </c>
      <c r="L3530" s="245" t="inlineStr">
        <is>
          <t>544/1075/26</t>
        </is>
      </c>
      <c r="M3530" s="245" t="inlineStr">
        <is>
          <t>31.08.2026</t>
        </is>
      </c>
      <c r="N3530" s="245" t="inlineStr">
        <is>
          <t>IPH — Institute of Public Health</t>
        </is>
      </c>
      <c r="O3530" s="245" t="inlineStr">
        <is>
          <t>25.08.2026</t>
        </is>
      </c>
      <c r="P3530" s="245" t="inlineStr">
        <is>
          <t>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10³ and &gt; 10²</t>
        </is>
      </c>
      <c r="L3531" s="245" t="inlineStr">
        <is>
          <t>544/1075/26</t>
        </is>
      </c>
      <c r="M3531" s="245" t="inlineStr">
        <is>
          <t>31.08.2026</t>
        </is>
      </c>
      <c r="N3531" s="245" t="inlineStr">
        <is>
          <t>IPH — Institute of Public Health</t>
        </is>
      </c>
      <c r="O3531" s="245" t="inlineStr">
        <is>
          <t>25.08.2026</t>
        </is>
      </c>
      <c r="P3531" s="245" t="inlineStr">
        <is>
          <t>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544/1075/26</t>
        </is>
      </c>
      <c r="M3532" s="245" t="inlineStr">
        <is>
          <t>31.08.2026</t>
        </is>
      </c>
      <c r="N3532" s="245" t="inlineStr">
        <is>
          <t>IPH — Institute of Public Health</t>
        </is>
      </c>
      <c r="O3532" s="245" t="inlineStr">
        <is>
          <t>25.08.2026</t>
        </is>
      </c>
      <c r="P3532" s="245" t="inlineStr">
        <is>
          <t>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544/1075/26</t>
        </is>
      </c>
      <c r="M3533" s="245" t="inlineStr">
        <is>
          <t>31.08.2026</t>
        </is>
      </c>
      <c r="N3533" s="245" t="inlineStr">
        <is>
          <t>IPH — Institute of Public Health</t>
        </is>
      </c>
      <c r="O3533" s="245" t="inlineStr">
        <is>
          <t>25.08.2026</t>
        </is>
      </c>
      <c r="P3533" s="245" t="inlineStr">
        <is>
          <t>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5" t="inlineStr">
        <is>
          <t>ND</t>
        </is>
      </c>
      <c r="L3536" s="245" t="inlineStr">
        <is>
          <t>227-13-М/26</t>
        </is>
      </c>
      <c r="M3536" s="245" t="inlineStr">
        <is>
          <t>16.09.2026</t>
        </is>
      </c>
      <c r="N3536" s="245" t="inlineStr">
        <is>
          <t>Farmahem</t>
        </is>
      </c>
      <c r="O3536" s="245" t="inlineStr">
        <is>
          <t>—</t>
        </is>
      </c>
      <c r="P3536" s="245" t="inlineStr">
        <is>
          <t>covered</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5" t="inlineStr">
        <is>
          <t>ND</t>
        </is>
      </c>
      <c r="L3537" s="245" t="inlineStr">
        <is>
          <t>227-13-М/26</t>
        </is>
      </c>
      <c r="M3537" s="245" t="inlineStr">
        <is>
          <t>16.09.2026</t>
        </is>
      </c>
      <c r="N3537" s="245" t="inlineStr">
        <is>
          <t>Farmahem</t>
        </is>
      </c>
      <c r="O3537" s="245" t="inlineStr">
        <is>
          <t>—</t>
        </is>
      </c>
      <c r="P3537" s="245" t="inlineStr">
        <is>
          <t>carried from the initial testing (the batch's initial CoQ (number assigned on issue)) — covered</t>
        </is>
      </c>
      <c r="Q3537" s="245" t="inlineStr"/>
      <c r="R3537" s="245" t="inlineStr">
        <is>
          <t>COMPLIES (numeric value not present in captured source excerpt for report 1625/2026 — see Bundle cross-reference) (1625/2026)</t>
        </is>
      </c>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5" t="inlineStr">
        <is>
          <t>ND</t>
        </is>
      </c>
      <c r="L3538" s="245" t="inlineStr">
        <is>
          <t>227-13-М/26</t>
        </is>
      </c>
      <c r="M3538" s="245" t="inlineStr">
        <is>
          <t>16.09.2026</t>
        </is>
      </c>
      <c r="N3538" s="245" t="inlineStr">
        <is>
          <t>Farmahem</t>
        </is>
      </c>
      <c r="O3538" s="245" t="inlineStr">
        <is>
          <t>—</t>
        </is>
      </c>
      <c r="P3538" s="245" t="inlineStr">
        <is>
          <t>covered</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5" t="inlineStr">
        <is>
          <t>Conforms | Одговара</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5" t="inlineStr">
        <is>
          <t>Conforms | Одговара</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5" t="inlineStr">
        <is>
          <t>Conforms | Одговара</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2,2 × 10³</t>
        </is>
      </c>
      <c r="L3552" s="245" t="inlineStr">
        <is>
          <t>540/1071/26</t>
        </is>
      </c>
      <c r="M3552" s="245" t="inlineStr">
        <is>
          <t>31.08.2026</t>
        </is>
      </c>
      <c r="N3552" s="245" t="inlineStr">
        <is>
          <t>IPH — Institute of Public Health</t>
        </is>
      </c>
      <c r="O3552" s="245" t="inlineStr">
        <is>
          <t>25.08.2026</t>
        </is>
      </c>
      <c r="P3552" s="245" t="inlineStr">
        <is>
          <t>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1,7 × 10³</t>
        </is>
      </c>
      <c r="L3553" s="245" t="inlineStr">
        <is>
          <t>540/1071/26</t>
        </is>
      </c>
      <c r="M3553" s="245" t="inlineStr">
        <is>
          <t>31.08.2026</t>
        </is>
      </c>
      <c r="N3553" s="245" t="inlineStr">
        <is>
          <t>IPH — Institute of Public Health</t>
        </is>
      </c>
      <c r="O3553" s="245" t="inlineStr">
        <is>
          <t>25.08.2026</t>
        </is>
      </c>
      <c r="P3553" s="245" t="inlineStr">
        <is>
          <t>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540/1071/26</t>
        </is>
      </c>
      <c r="M3554" s="245" t="inlineStr">
        <is>
          <t>31.08.2026</t>
        </is>
      </c>
      <c r="N3554" s="245" t="inlineStr">
        <is>
          <t>IPH — Institute of Public Health</t>
        </is>
      </c>
      <c r="O3554" s="245" t="inlineStr">
        <is>
          <t>25.08.2026</t>
        </is>
      </c>
      <c r="P3554" s="245" t="inlineStr">
        <is>
          <t>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540/1071/26</t>
        </is>
      </c>
      <c r="M3555" s="245" t="inlineStr">
        <is>
          <t>31.08.2026</t>
        </is>
      </c>
      <c r="N3555" s="245" t="inlineStr">
        <is>
          <t>IPH — Institute of Public Health</t>
        </is>
      </c>
      <c r="O3555" s="245" t="inlineStr">
        <is>
          <t>25.08.2026</t>
        </is>
      </c>
      <c r="P3555" s="245" t="inlineStr">
        <is>
          <t>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540/1071/26</t>
        </is>
      </c>
      <c r="M3556" s="245" t="inlineStr">
        <is>
          <t>31.08.2026</t>
        </is>
      </c>
      <c r="N3556" s="245" t="inlineStr">
        <is>
          <t>IPH — Institute of Public Health</t>
        </is>
      </c>
      <c r="O3556" s="245" t="inlineStr">
        <is>
          <t>25.08.2026</t>
        </is>
      </c>
      <c r="P3556" s="245" t="inlineStr">
        <is>
          <t>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5" t="inlineStr">
        <is>
          <t>ND</t>
        </is>
      </c>
      <c r="L3559" s="245" t="inlineStr">
        <is>
          <t>227-15-М/26</t>
        </is>
      </c>
      <c r="M3559" s="245" t="inlineStr">
        <is>
          <t>16.09.2026</t>
        </is>
      </c>
      <c r="N3559" s="245" t="inlineStr">
        <is>
          <t>Farmahem</t>
        </is>
      </c>
      <c r="O3559" s="245" t="inlineStr">
        <is>
          <t>—</t>
        </is>
      </c>
      <c r="P3559" s="245" t="inlineStr">
        <is>
          <t>covered</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5" t="inlineStr">
        <is>
          <t>ND</t>
        </is>
      </c>
      <c r="L3560" s="245" t="inlineStr">
        <is>
          <t>227-15-М/26</t>
        </is>
      </c>
      <c r="M3560" s="245" t="inlineStr">
        <is>
          <t>16.09.2026</t>
        </is>
      </c>
      <c r="N3560" s="245" t="inlineStr">
        <is>
          <t>Farmahem</t>
        </is>
      </c>
      <c r="O3560" s="245" t="inlineStr">
        <is>
          <t>—</t>
        </is>
      </c>
      <c r="P3560" s="245" t="inlineStr">
        <is>
          <t>carried from the initial testing (the batch's initial CoQ (number assigned on issue)) — covered</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5" t="inlineStr">
        <is>
          <t>ND</t>
        </is>
      </c>
      <c r="L3561" s="245" t="inlineStr">
        <is>
          <t>227-15-М/26</t>
        </is>
      </c>
      <c r="M3561" s="245" t="inlineStr">
        <is>
          <t>16.09.2026</t>
        </is>
      </c>
      <c r="N3561" s="245" t="inlineStr">
        <is>
          <t>Farmahem</t>
        </is>
      </c>
      <c r="O3561" s="245" t="inlineStr">
        <is>
          <t>—</t>
        </is>
      </c>
      <c r="P3561" s="245" t="inlineStr">
        <is>
          <t>covered</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5" t="inlineStr">
        <is>
          <t>Conforms | Одговара</t>
        </is>
      </c>
      <c r="L3567" s="245" t="inlineStr">
        <is>
          <t>iCoA-PP_26-171</t>
        </is>
      </c>
      <c r="M3567" s="245" t="inlineStr">
        <is>
          <t>24.08.2026</t>
        </is>
      </c>
      <c r="N3567" s="245" t="inlineStr">
        <is>
          <t>Purely Plant GmbH (in-house)</t>
        </is>
      </c>
      <c r="O3567" s="245" t="inlineStr">
        <is>
          <t>—</t>
        </is>
      </c>
      <c r="P3567" s="245" t="inlineStr">
        <is>
          <t>covered</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5" t="inlineStr">
        <is>
          <t>Conforms | Одговара</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5" t="inlineStr">
        <is>
          <t>Conforms | Одговара</t>
        </is>
      </c>
      <c r="L3573" s="245" t="inlineStr">
        <is>
          <t>iCoA-PP_26-171</t>
        </is>
      </c>
      <c r="M3573" s="245" t="inlineStr">
        <is>
          <t>24.08.2026</t>
        </is>
      </c>
      <c r="N3573" s="245" t="inlineStr">
        <is>
          <t>Purely Plant GmbH (in-house)</t>
        </is>
      </c>
      <c r="O3573" s="245" t="inlineStr">
        <is>
          <t>—</t>
        </is>
      </c>
      <c r="P3573" s="245" t="inlineStr">
        <is>
          <t>covered</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563/1094/26</t>
        </is>
      </c>
      <c r="M3575" s="245" t="inlineStr">
        <is>
          <t>01.09.2026</t>
        </is>
      </c>
      <c r="N3575" s="245" t="inlineStr">
        <is>
          <t>IPH — Institute of Public Health</t>
        </is>
      </c>
      <c r="O3575" s="245" t="inlineStr">
        <is>
          <t>26.08.2026</t>
        </is>
      </c>
      <c r="P3575" s="245" t="inlineStr">
        <is>
          <t>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563/1094/26</t>
        </is>
      </c>
      <c r="M3576" s="245" t="inlineStr">
        <is>
          <t>01.09.2026</t>
        </is>
      </c>
      <c r="N3576" s="245" t="inlineStr">
        <is>
          <t>IPH — Institute of Public Health</t>
        </is>
      </c>
      <c r="O3576" s="245" t="inlineStr">
        <is>
          <t>26.08.2026</t>
        </is>
      </c>
      <c r="P3576" s="245" t="inlineStr">
        <is>
          <t>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563/1094/26</t>
        </is>
      </c>
      <c r="M3577" s="245" t="inlineStr">
        <is>
          <t>01.09.2026</t>
        </is>
      </c>
      <c r="N3577" s="245" t="inlineStr">
        <is>
          <t>IPH — Institute of Public Health</t>
        </is>
      </c>
      <c r="O3577" s="245" t="inlineStr">
        <is>
          <t>26.08.2026</t>
        </is>
      </c>
      <c r="P3577" s="245" t="inlineStr">
        <is>
          <t>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563/1094/26</t>
        </is>
      </c>
      <c r="M3578" s="245" t="inlineStr">
        <is>
          <t>01.09.2026</t>
        </is>
      </c>
      <c r="N3578" s="245" t="inlineStr">
        <is>
          <t>IPH — Institute of Public Health</t>
        </is>
      </c>
      <c r="O3578" s="245" t="inlineStr">
        <is>
          <t>26.08.2026</t>
        </is>
      </c>
      <c r="P3578" s="245" t="inlineStr">
        <is>
          <t>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563/1094/26</t>
        </is>
      </c>
      <c r="M3579" s="245" t="inlineStr">
        <is>
          <t>01.09.2026</t>
        </is>
      </c>
      <c r="N3579" s="245" t="inlineStr">
        <is>
          <t>IPH — Institute of Public Health</t>
        </is>
      </c>
      <c r="O3579" s="245" t="inlineStr">
        <is>
          <t>26.08.2026</t>
        </is>
      </c>
      <c r="P3579" s="245" t="inlineStr">
        <is>
          <t>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5" t="inlineStr">
        <is>
          <t>ND</t>
        </is>
      </c>
      <c r="L3582" s="245" t="inlineStr">
        <is>
          <t>227-12-М/26</t>
        </is>
      </c>
      <c r="M3582" s="245" t="inlineStr">
        <is>
          <t>16.09.2026</t>
        </is>
      </c>
      <c r="N3582" s="245" t="inlineStr">
        <is>
          <t>Farmahem</t>
        </is>
      </c>
      <c r="O3582" s="245" t="inlineStr">
        <is>
          <t>—</t>
        </is>
      </c>
      <c r="P3582" s="245" t="inlineStr">
        <is>
          <t>covered</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5" t="inlineStr">
        <is>
          <t>ND</t>
        </is>
      </c>
      <c r="L3583" s="245" t="inlineStr">
        <is>
          <t>227-12-М/26</t>
        </is>
      </c>
      <c r="M3583" s="245" t="inlineStr">
        <is>
          <t>16.09.2026</t>
        </is>
      </c>
      <c r="N3583" s="245" t="inlineStr">
        <is>
          <t>Farmahem</t>
        </is>
      </c>
      <c r="O3583" s="245" t="inlineStr">
        <is>
          <t>—</t>
        </is>
      </c>
      <c r="P3583" s="245" t="inlineStr">
        <is>
          <t>carried from the initial testing (the batch's initial CoQ (number assigned on issue)) — covered</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5" t="inlineStr">
        <is>
          <t>ND</t>
        </is>
      </c>
      <c r="L3584" s="245" t="inlineStr">
        <is>
          <t>227-12-М/26</t>
        </is>
      </c>
      <c r="M3584" s="245" t="inlineStr">
        <is>
          <t>16.09.2026</t>
        </is>
      </c>
      <c r="N3584" s="245" t="inlineStr">
        <is>
          <t>Farmahem</t>
        </is>
      </c>
      <c r="O3584" s="245" t="inlineStr">
        <is>
          <t>—</t>
        </is>
      </c>
      <c r="P3584" s="245" t="inlineStr">
        <is>
          <t>covered</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5" t="inlineStr">
        <is>
          <t>Conforms | Одговара</t>
        </is>
      </c>
      <c r="L3590" s="245" t="inlineStr">
        <is>
          <t>iCoA-PP_26-172</t>
        </is>
      </c>
      <c r="M3590" s="245" t="inlineStr">
        <is>
          <t>24.08.2026</t>
        </is>
      </c>
      <c r="N3590" s="245" t="inlineStr">
        <is>
          <t>Purely Plant GmbH (in-house)</t>
        </is>
      </c>
      <c r="O3590" s="245" t="inlineStr">
        <is>
          <t>—</t>
        </is>
      </c>
      <c r="P3590" s="245" t="inlineStr">
        <is>
          <t>covered</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5" t="inlineStr">
        <is>
          <t>Conforms | Одговара</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5" t="inlineStr">
        <is>
          <t>Conforms | Одговара</t>
        </is>
      </c>
      <c r="L3596" s="245" t="inlineStr">
        <is>
          <t>iCoA-PP_26-172</t>
        </is>
      </c>
      <c r="M3596" s="245" t="inlineStr">
        <is>
          <t>24.08.2026</t>
        </is>
      </c>
      <c r="N3596" s="245" t="inlineStr">
        <is>
          <t>Purely Plant GmbH (in-house)</t>
        </is>
      </c>
      <c r="O3596" s="245" t="inlineStr">
        <is>
          <t>—</t>
        </is>
      </c>
      <c r="P3596" s="245" t="inlineStr">
        <is>
          <t>covered</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&lt; 10</t>
        </is>
      </c>
      <c r="L3598" s="245" t="inlineStr">
        <is>
          <t>560/1091/26</t>
        </is>
      </c>
      <c r="M3598" s="245" t="inlineStr">
        <is>
          <t>01.09.2026</t>
        </is>
      </c>
      <c r="N3598" s="245" t="inlineStr">
        <is>
          <t>IPH — Institute of Public Health</t>
        </is>
      </c>
      <c r="O3598" s="245" t="inlineStr">
        <is>
          <t>25.08.2026</t>
        </is>
      </c>
      <c r="P3598" s="245" t="inlineStr">
        <is>
          <t>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&lt; 10</t>
        </is>
      </c>
      <c r="L3599" s="245" t="inlineStr">
        <is>
          <t>560/1091/26</t>
        </is>
      </c>
      <c r="M3599" s="245" t="inlineStr">
        <is>
          <t>01.09.2026</t>
        </is>
      </c>
      <c r="N3599" s="245" t="inlineStr">
        <is>
          <t>IPH — Institute of Public Health</t>
        </is>
      </c>
      <c r="O3599" s="245" t="inlineStr">
        <is>
          <t>25.08.2026</t>
        </is>
      </c>
      <c r="P3599" s="245" t="inlineStr">
        <is>
          <t>covered</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560/1091/26</t>
        </is>
      </c>
      <c r="M3600" s="245" t="inlineStr">
        <is>
          <t>01.09.2026</t>
        </is>
      </c>
      <c r="N3600" s="245" t="inlineStr">
        <is>
          <t>IPH — Institute of Public Health</t>
        </is>
      </c>
      <c r="O3600" s="245" t="inlineStr">
        <is>
          <t>25.08.2026</t>
        </is>
      </c>
      <c r="P3600" s="245" t="inlineStr">
        <is>
          <t>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560/1091/26</t>
        </is>
      </c>
      <c r="M3601" s="245" t="inlineStr">
        <is>
          <t>01.09.2026</t>
        </is>
      </c>
      <c r="N3601" s="245" t="inlineStr">
        <is>
          <t>IPH — Institute of Public Health</t>
        </is>
      </c>
      <c r="O3601" s="245" t="inlineStr">
        <is>
          <t>25.08.2026</t>
        </is>
      </c>
      <c r="P3601" s="245" t="inlineStr">
        <is>
          <t>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560/1091/26</t>
        </is>
      </c>
      <c r="M3602" s="245" t="inlineStr">
        <is>
          <t>01.09.2026</t>
        </is>
      </c>
      <c r="N3602" s="245" t="inlineStr">
        <is>
          <t>IPH — Institute of Public Health</t>
        </is>
      </c>
      <c r="O3602" s="245" t="inlineStr">
        <is>
          <t>25.08.2026</t>
        </is>
      </c>
      <c r="P3602" s="245" t="inlineStr">
        <is>
          <t>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5" t="inlineStr">
        <is>
          <t>ND</t>
        </is>
      </c>
      <c r="L3605" s="245" t="inlineStr">
        <is>
          <t>227-11-М/26</t>
        </is>
      </c>
      <c r="M3605" s="245" t="inlineStr">
        <is>
          <t>16.09.2026</t>
        </is>
      </c>
      <c r="N3605" s="245" t="inlineStr">
        <is>
          <t>Farmahem</t>
        </is>
      </c>
      <c r="O3605" s="245" t="inlineStr">
        <is>
          <t>—</t>
        </is>
      </c>
      <c r="P3605" s="245" t="inlineStr">
        <is>
          <t>covered</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5" t="inlineStr">
        <is>
          <t>ND</t>
        </is>
      </c>
      <c r="L3606" s="245" t="inlineStr">
        <is>
          <t>227-11-М/26</t>
        </is>
      </c>
      <c r="M3606" s="245" t="inlineStr">
        <is>
          <t>16.09.2026</t>
        </is>
      </c>
      <c r="N3606" s="245" t="inlineStr">
        <is>
          <t>Farmahem</t>
        </is>
      </c>
      <c r="O3606" s="245" t="inlineStr">
        <is>
          <t>—</t>
        </is>
      </c>
      <c r="P3606" s="245" t="inlineStr">
        <is>
          <t>carried from the initial testing (the batch's initial CoQ (number assigned on issue)) — covered</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5" t="inlineStr">
        <is>
          <t>ND</t>
        </is>
      </c>
      <c r="L3607" s="245" t="inlineStr">
        <is>
          <t>227-11-М/26</t>
        </is>
      </c>
      <c r="M3607" s="245" t="inlineStr">
        <is>
          <t>16.09.2026</t>
        </is>
      </c>
      <c r="N3607" s="245" t="inlineStr">
        <is>
          <t>Farmahem</t>
        </is>
      </c>
      <c r="O3607" s="245" t="inlineStr">
        <is>
          <t>—</t>
        </is>
      </c>
      <c r="P3607" s="245" t="inlineStr">
        <is>
          <t>covered</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5" t="inlineStr">
        <is>
          <t>Conforms | Одговара</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5" t="inlineStr">
        <is>
          <t>Conforms | Одговара</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5" t="inlineStr">
        <is>
          <t>Conforms | Одговара</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&lt; 10</t>
        </is>
      </c>
      <c r="L3621" s="245" t="inlineStr">
        <is>
          <t>546/1077/26</t>
        </is>
      </c>
      <c r="M3621" s="245" t="inlineStr">
        <is>
          <t>31.08.2026</t>
        </is>
      </c>
      <c r="N3621" s="245" t="inlineStr">
        <is>
          <t>IPH — Institute of Public Health</t>
        </is>
      </c>
      <c r="O3621" s="245" t="inlineStr">
        <is>
          <t>25.08.2026</t>
        </is>
      </c>
      <c r="P3621" s="245" t="inlineStr">
        <is>
          <t>covered</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10</t>
        </is>
      </c>
      <c r="L3622" s="245" t="inlineStr">
        <is>
          <t>546/1077/26</t>
        </is>
      </c>
      <c r="M3622" s="245" t="inlineStr">
        <is>
          <t>31.08.2026</t>
        </is>
      </c>
      <c r="N3622" s="245" t="inlineStr">
        <is>
          <t>IPH — Institute of Public Health</t>
        </is>
      </c>
      <c r="O3622" s="245" t="inlineStr">
        <is>
          <t>25.08.2026</t>
        </is>
      </c>
      <c r="P3622" s="245" t="inlineStr">
        <is>
          <t>covered</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&lt; 10</t>
        </is>
      </c>
      <c r="L3623" s="245" t="inlineStr">
        <is>
          <t>546/1077/26</t>
        </is>
      </c>
      <c r="M3623" s="245" t="inlineStr">
        <is>
          <t>31.08.2026</t>
        </is>
      </c>
      <c r="N3623" s="245" t="inlineStr">
        <is>
          <t>IPH — Institute of Public Health</t>
        </is>
      </c>
      <c r="O3623" s="245" t="inlineStr">
        <is>
          <t>25.08.2026</t>
        </is>
      </c>
      <c r="P3623" s="245" t="inlineStr">
        <is>
          <t>covered</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Absent | Отсутна</t>
        </is>
      </c>
      <c r="L3624" s="245" t="inlineStr">
        <is>
          <t>546/1077/26</t>
        </is>
      </c>
      <c r="M3624" s="245" t="inlineStr">
        <is>
          <t>31.08.2026</t>
        </is>
      </c>
      <c r="N3624" s="245" t="inlineStr">
        <is>
          <t>IPH — Institute of Public Health</t>
        </is>
      </c>
      <c r="O3624" s="245" t="inlineStr">
        <is>
          <t>25.08.2026</t>
        </is>
      </c>
      <c r="P3624" s="245" t="inlineStr">
        <is>
          <t>covered</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Absent | Отсутна</t>
        </is>
      </c>
      <c r="L3625" s="245" t="inlineStr">
        <is>
          <t>546/1077/26</t>
        </is>
      </c>
      <c r="M3625" s="245" t="inlineStr">
        <is>
          <t>31.08.2026</t>
        </is>
      </c>
      <c r="N3625" s="245" t="inlineStr">
        <is>
          <t>IPH — Institute of Public Health</t>
        </is>
      </c>
      <c r="O3625" s="245" t="inlineStr">
        <is>
          <t>25.08.2026</t>
        </is>
      </c>
      <c r="P3625" s="245" t="inlineStr">
        <is>
          <t>covered</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5" t="inlineStr">
        <is>
          <t>ND</t>
        </is>
      </c>
      <c r="L3628" s="245" t="inlineStr">
        <is>
          <t>227-10-М/26</t>
        </is>
      </c>
      <c r="M3628" s="245" t="inlineStr">
        <is>
          <t>16.09.2026</t>
        </is>
      </c>
      <c r="N3628" s="245" t="inlineStr">
        <is>
          <t>Farmahem</t>
        </is>
      </c>
      <c r="O3628" s="245" t="inlineStr">
        <is>
          <t>—</t>
        </is>
      </c>
      <c r="P3628" s="245" t="inlineStr">
        <is>
          <t>covered</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5" t="inlineStr">
        <is>
          <t>ND</t>
        </is>
      </c>
      <c r="L3629" s="245" t="inlineStr">
        <is>
          <t>227-10-М/26</t>
        </is>
      </c>
      <c r="M3629" s="245" t="inlineStr">
        <is>
          <t>16.09.2026</t>
        </is>
      </c>
      <c r="N3629" s="245" t="inlineStr">
        <is>
          <t>Farmahem</t>
        </is>
      </c>
      <c r="O3629" s="245" t="inlineStr">
        <is>
          <t>—</t>
        </is>
      </c>
      <c r="P3629" s="245" t="inlineStr">
        <is>
          <t>covered</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5" t="inlineStr">
        <is>
          <t>ND</t>
        </is>
      </c>
      <c r="L3630" s="245" t="inlineStr">
        <is>
          <t>227-10-М/26</t>
        </is>
      </c>
      <c r="M3630" s="245" t="inlineStr">
        <is>
          <t>16.09.2026</t>
        </is>
      </c>
      <c r="N3630" s="245" t="inlineStr">
        <is>
          <t>Farmahem</t>
        </is>
      </c>
      <c r="O3630" s="245" t="inlineStr">
        <is>
          <t>—</t>
        </is>
      </c>
      <c r="P3630" s="245" t="inlineStr">
        <is>
          <t>covered</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 not tested</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 not tested</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 not tested</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 not tested</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 not tested</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5" t="inlineStr">
        <is>
          <t>Conforms | Одговара</t>
        </is>
      </c>
      <c r="L3636" s="245" t="inlineStr">
        <is>
          <t>iCoA-PP_26-156</t>
        </is>
      </c>
      <c r="M3636" s="245" t="inlineStr">
        <is>
          <t>24.08.2026</t>
        </is>
      </c>
      <c r="N3636" s="245" t="inlineStr">
        <is>
          <t>Purely Plant GmbH (in-house)</t>
        </is>
      </c>
      <c r="O3636" s="245" t="inlineStr">
        <is>
          <t>—</t>
        </is>
      </c>
      <c r="P3636" s="245" t="inlineStr">
        <is>
          <t>covered</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5" t="inlineStr">
        <is>
          <t>Conforms | Одговара</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5" t="inlineStr">
        <is>
          <t>Conforms | Одговара</t>
        </is>
      </c>
      <c r="L3642" s="245" t="inlineStr">
        <is>
          <t>iCoA-PP_26-156</t>
        </is>
      </c>
      <c r="M3642" s="245" t="inlineStr">
        <is>
          <t>24.08.2026</t>
        </is>
      </c>
      <c r="N3642" s="245" t="inlineStr">
        <is>
          <t>Purely Plant GmbH (in-house)</t>
        </is>
      </c>
      <c r="O3642" s="245" t="inlineStr">
        <is>
          <t>—</t>
        </is>
      </c>
      <c r="P3642" s="245" t="inlineStr">
        <is>
          <t>covered</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&lt; 10</t>
        </is>
      </c>
      <c r="L3644" s="245" t="inlineStr">
        <is>
          <t>554/1085/26</t>
        </is>
      </c>
      <c r="M3644" s="245" t="inlineStr">
        <is>
          <t>01.09.2026</t>
        </is>
      </c>
      <c r="N3644" s="245" t="inlineStr">
        <is>
          <t>IPH — Institute of Public Health</t>
        </is>
      </c>
      <c r="O3644" s="245" t="inlineStr">
        <is>
          <t>26.08.2026</t>
        </is>
      </c>
      <c r="P3644" s="245" t="inlineStr">
        <is>
          <t>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&lt; 10</t>
        </is>
      </c>
      <c r="L3645" s="245" t="inlineStr">
        <is>
          <t>554/1085/26</t>
        </is>
      </c>
      <c r="M3645" s="245" t="inlineStr">
        <is>
          <t>01.09.2026</t>
        </is>
      </c>
      <c r="N3645" s="245" t="inlineStr">
        <is>
          <t>IPH — Institute of Public Health</t>
        </is>
      </c>
      <c r="O3645" s="245" t="inlineStr">
        <is>
          <t>26.08.2026</t>
        </is>
      </c>
      <c r="P3645" s="245" t="inlineStr">
        <is>
          <t>covered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554/1085/26</t>
        </is>
      </c>
      <c r="M3646" s="245" t="inlineStr">
        <is>
          <t>01.09.2026</t>
        </is>
      </c>
      <c r="N3646" s="245" t="inlineStr">
        <is>
          <t>IPH — Institute of Public Health</t>
        </is>
      </c>
      <c r="O3646" s="245" t="inlineStr">
        <is>
          <t>26.08.2026</t>
        </is>
      </c>
      <c r="P3646" s="245" t="inlineStr">
        <is>
          <t>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554/1085/26</t>
        </is>
      </c>
      <c r="M3647" s="245" t="inlineStr">
        <is>
          <t>01.09.2026</t>
        </is>
      </c>
      <c r="N3647" s="245" t="inlineStr">
        <is>
          <t>IPH — Institute of Public Health</t>
        </is>
      </c>
      <c r="O3647" s="245" t="inlineStr">
        <is>
          <t>26.08.2026</t>
        </is>
      </c>
      <c r="P3647" s="245" t="inlineStr">
        <is>
          <t>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554/1085/26</t>
        </is>
      </c>
      <c r="M3648" s="245" t="inlineStr">
        <is>
          <t>01.09.2026</t>
        </is>
      </c>
      <c r="N3648" s="245" t="inlineStr">
        <is>
          <t>IPH — Institute of Public Health</t>
        </is>
      </c>
      <c r="O3648" s="245" t="inlineStr">
        <is>
          <t>26.08.2026</t>
        </is>
      </c>
      <c r="P3648" s="245" t="inlineStr">
        <is>
          <t>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5" t="inlineStr">
        <is>
          <t>ND</t>
        </is>
      </c>
      <c r="L3651" s="245" t="inlineStr">
        <is>
          <t>227-9-М/26</t>
        </is>
      </c>
      <c r="M3651" s="245" t="inlineStr">
        <is>
          <t>16.09.2026</t>
        </is>
      </c>
      <c r="N3651" s="245" t="inlineStr">
        <is>
          <t>Farmahem</t>
        </is>
      </c>
      <c r="O3651" s="245" t="inlineStr">
        <is>
          <t>—</t>
        </is>
      </c>
      <c r="P3651" s="245" t="inlineStr">
        <is>
          <t>covered</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5" t="inlineStr">
        <is>
          <t>ND</t>
        </is>
      </c>
      <c r="L3652" s="245" t="inlineStr">
        <is>
          <t>227-9-М/26</t>
        </is>
      </c>
      <c r="M3652" s="245" t="inlineStr">
        <is>
          <t>16.09.2026</t>
        </is>
      </c>
      <c r="N3652" s="245" t="inlineStr">
        <is>
          <t>Farmahem</t>
        </is>
      </c>
      <c r="O3652" s="245" t="inlineStr">
        <is>
          <t>—</t>
        </is>
      </c>
      <c r="P3652" s="245" t="inlineStr">
        <is>
          <t>carried from the initial testing (the batch's initial CoQ (number assigned on issue)) — covered</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5" t="inlineStr">
        <is>
          <t>ND</t>
        </is>
      </c>
      <c r="L3653" s="245" t="inlineStr">
        <is>
          <t>227-9-М/26</t>
        </is>
      </c>
      <c r="M3653" s="245" t="inlineStr">
        <is>
          <t>16.09.2026</t>
        </is>
      </c>
      <c r="N3653" s="245" t="inlineStr">
        <is>
          <t>Farmahem</t>
        </is>
      </c>
      <c r="O3653" s="245" t="inlineStr">
        <is>
          <t>—</t>
        </is>
      </c>
      <c r="P3653" s="245" t="inlineStr">
        <is>
          <t>covered</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5" t="inlineStr">
        <is>
          <t>Conforms | Одговара</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5" t="inlineStr">
        <is>
          <t>Conforms | Одговара</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5" t="inlineStr">
        <is>
          <t>Conforms | Одговара</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 not tested</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8,3 × 10³</t>
        </is>
      </c>
      <c r="L3667" s="245" t="inlineStr">
        <is>
          <t>539/1070/26</t>
        </is>
      </c>
      <c r="M3667" s="245" t="inlineStr">
        <is>
          <t>31.08.2026</t>
        </is>
      </c>
      <c r="N3667" s="245" t="inlineStr">
        <is>
          <t>IPH — Institute of Public Health</t>
        </is>
      </c>
      <c r="O3667" s="245" t="inlineStr">
        <is>
          <t>25.08.2026</t>
        </is>
      </c>
      <c r="P3667" s="245" t="inlineStr">
        <is>
          <t>covered</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5,3 × 10³</t>
        </is>
      </c>
      <c r="L3668" s="245" t="inlineStr">
        <is>
          <t>539/1070/26</t>
        </is>
      </c>
      <c r="M3668" s="245" t="inlineStr">
        <is>
          <t>31.08.2026</t>
        </is>
      </c>
      <c r="N3668" s="245" t="inlineStr">
        <is>
          <t>IPH — Institute of Public Health</t>
        </is>
      </c>
      <c r="O3668" s="245" t="inlineStr">
        <is>
          <t>25.08.2026</t>
        </is>
      </c>
      <c r="P3668" s="245" t="inlineStr">
        <is>
          <t>covered</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&lt; 10</t>
        </is>
      </c>
      <c r="L3669" s="245" t="inlineStr">
        <is>
          <t>539/1070/26</t>
        </is>
      </c>
      <c r="M3669" s="245" t="inlineStr">
        <is>
          <t>31.08.2026</t>
        </is>
      </c>
      <c r="N3669" s="245" t="inlineStr">
        <is>
          <t>IPH — Institute of Public Health</t>
        </is>
      </c>
      <c r="O3669" s="245" t="inlineStr">
        <is>
          <t>25.08.2026</t>
        </is>
      </c>
      <c r="P3669" s="245" t="inlineStr">
        <is>
          <t>covered</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Absent | Отсутна</t>
        </is>
      </c>
      <c r="L3670" s="245" t="inlineStr">
        <is>
          <t>539/1070/26</t>
        </is>
      </c>
      <c r="M3670" s="245" t="inlineStr">
        <is>
          <t>31.08.2026</t>
        </is>
      </c>
      <c r="N3670" s="245" t="inlineStr">
        <is>
          <t>IPH — Institute of Public Health</t>
        </is>
      </c>
      <c r="O3670" s="245" t="inlineStr">
        <is>
          <t>25.08.2026</t>
        </is>
      </c>
      <c r="P3670" s="245" t="inlineStr">
        <is>
          <t>covered</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Absent | Отсутна</t>
        </is>
      </c>
      <c r="L3671" s="245" t="inlineStr">
        <is>
          <t>539/1070/26</t>
        </is>
      </c>
      <c r="M3671" s="245" t="inlineStr">
        <is>
          <t>31.08.2026</t>
        </is>
      </c>
      <c r="N3671" s="245" t="inlineStr">
        <is>
          <t>IPH — Institute of Public Health</t>
        </is>
      </c>
      <c r="O3671" s="245" t="inlineStr">
        <is>
          <t>25.08.2026</t>
        </is>
      </c>
      <c r="P3671" s="245" t="inlineStr">
        <is>
          <t>covered</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5" t="inlineStr">
        <is>
          <t>ND</t>
        </is>
      </c>
      <c r="L3674" s="245" t="inlineStr">
        <is>
          <t>227-8-М/26</t>
        </is>
      </c>
      <c r="M3674" s="245" t="inlineStr">
        <is>
          <t>16.09.2026</t>
        </is>
      </c>
      <c r="N3674" s="245" t="inlineStr">
        <is>
          <t>Farmahem</t>
        </is>
      </c>
      <c r="O3674" s="245" t="inlineStr">
        <is>
          <t>—</t>
        </is>
      </c>
      <c r="P3674" s="245" t="inlineStr">
        <is>
          <t>covered</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5" t="inlineStr">
        <is>
          <t>ND</t>
        </is>
      </c>
      <c r="L3675" s="245" t="inlineStr">
        <is>
          <t>227-8-М/26</t>
        </is>
      </c>
      <c r="M3675" s="245" t="inlineStr">
        <is>
          <t>16.09.2026</t>
        </is>
      </c>
      <c r="N3675" s="245" t="inlineStr">
        <is>
          <t>Farmahem</t>
        </is>
      </c>
      <c r="O3675" s="245" t="inlineStr">
        <is>
          <t>—</t>
        </is>
      </c>
      <c r="P3675" s="245" t="inlineStr">
        <is>
          <t>covered</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5" t="inlineStr">
        <is>
          <t>ND</t>
        </is>
      </c>
      <c r="L3676" s="245" t="inlineStr">
        <is>
          <t>227-8-М/26</t>
        </is>
      </c>
      <c r="M3676" s="245" t="inlineStr">
        <is>
          <t>16.09.2026</t>
        </is>
      </c>
      <c r="N3676" s="245" t="inlineStr">
        <is>
          <t>Farmahem</t>
        </is>
      </c>
      <c r="O3676" s="245" t="inlineStr">
        <is>
          <t>—</t>
        </is>
      </c>
      <c r="P3676" s="245" t="inlineStr">
        <is>
          <t>covered</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 not tested</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 not tested</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 not tested</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 not tested</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 not tested</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5" t="inlineStr">
        <is>
          <t>Conforms | Одговара</t>
        </is>
      </c>
      <c r="L3682" s="245" t="inlineStr">
        <is>
          <t>ППК26116</t>
        </is>
      </c>
      <c r="M3682" s="245" t="inlineStr">
        <is>
          <t>06.07.2026</t>
        </is>
      </c>
      <c r="N3682" s="245" t="inlineStr">
        <is>
          <t>UKIM Faculty of Pharmacy — Center for Natural Products</t>
        </is>
      </c>
      <c r="O3682" s="245" t="inlineStr">
        <is>
          <t>17.06.2026</t>
        </is>
      </c>
      <c r="P3682" s="245" t="inlineStr">
        <is>
          <t>carried from the initial testing (the batch's initial CoQ (number assigned on issue)) — covered</t>
        </is>
      </c>
      <c r="Q3682" s="245" t="inlineStr"/>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5" t="inlineStr">
        <is>
          <t>Conforms | Одговара</t>
        </is>
      </c>
      <c r="L3683" s="245" t="inlineStr">
        <is>
          <t>ППК26116</t>
        </is>
      </c>
      <c r="M3683" s="245" t="inlineStr">
        <is>
          <t>06.07.2026</t>
        </is>
      </c>
      <c r="N3683" s="245" t="inlineStr">
        <is>
          <t>UKIM Faculty of Pharmacy — Center for Natural Products</t>
        </is>
      </c>
      <c r="O3683" s="245" t="inlineStr">
        <is>
          <t>17.06.2026</t>
        </is>
      </c>
      <c r="P3683" s="245" t="inlineStr">
        <is>
          <t>carried from the initial testing (the batch's initial CoQ (number assigned on issue)) — covered</t>
        </is>
      </c>
      <c r="Q3683" s="245" t="inlineStr"/>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5" t="inlineStr">
        <is>
          <t>Conforms | Одговара</t>
        </is>
      </c>
      <c r="L3688" s="245" t="inlineStr">
        <is>
          <t>ППК26116</t>
        </is>
      </c>
      <c r="M3688" s="245" t="inlineStr">
        <is>
          <t>06.07.2026</t>
        </is>
      </c>
      <c r="N3688" s="245" t="inlineStr">
        <is>
          <t>UKIM Faculty of Pharmacy — Center for Natural Products</t>
        </is>
      </c>
      <c r="O3688" s="245" t="inlineStr">
        <is>
          <t>17.06.2026</t>
        </is>
      </c>
      <c r="P3688" s="245" t="inlineStr">
        <is>
          <t>carried from the initial testing (the batch's initial CoQ (number assigned on issue)) — covered</t>
        </is>
      </c>
      <c r="Q3688" s="245" t="inlineStr"/>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1,7 × 10³</t>
        </is>
      </c>
      <c r="L3690" s="245" t="inlineStr">
        <is>
          <t>536/1067/26</t>
        </is>
      </c>
      <c r="M3690" s="245" t="inlineStr">
        <is>
          <t>31.08.2026</t>
        </is>
      </c>
      <c r="N3690" s="245" t="inlineStr">
        <is>
          <t>IPH — Institute of Public Health</t>
        </is>
      </c>
      <c r="O3690" s="245" t="inlineStr">
        <is>
          <t>25.08.2026</t>
        </is>
      </c>
      <c r="P3690" s="245" t="inlineStr">
        <is>
          <t>covered</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5,6 × 10²</t>
        </is>
      </c>
      <c r="L3691" s="245" t="inlineStr">
        <is>
          <t>536/1067/26</t>
        </is>
      </c>
      <c r="M3691" s="245" t="inlineStr">
        <is>
          <t>31.08.2026</t>
        </is>
      </c>
      <c r="N3691" s="245" t="inlineStr">
        <is>
          <t>IPH — Institute of Public Health</t>
        </is>
      </c>
      <c r="O3691" s="245" t="inlineStr">
        <is>
          <t>25.08.2026</t>
        </is>
      </c>
      <c r="P3691" s="245" t="inlineStr">
        <is>
          <t>covered</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&lt; 10</t>
        </is>
      </c>
      <c r="L3692" s="245" t="inlineStr">
        <is>
          <t>536/1067/26</t>
        </is>
      </c>
      <c r="M3692" s="245" t="inlineStr">
        <is>
          <t>31.08.2026</t>
        </is>
      </c>
      <c r="N3692" s="245" t="inlineStr">
        <is>
          <t>IPH — Institute of Public Health</t>
        </is>
      </c>
      <c r="O3692" s="245" t="inlineStr">
        <is>
          <t>25.08.2026</t>
        </is>
      </c>
      <c r="P3692" s="245" t="inlineStr">
        <is>
          <t>covered</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Absent | Отсутна</t>
        </is>
      </c>
      <c r="L3693" s="245" t="inlineStr">
        <is>
          <t>536/1067/26</t>
        </is>
      </c>
      <c r="M3693" s="245" t="inlineStr">
        <is>
          <t>31.08.2026</t>
        </is>
      </c>
      <c r="N3693" s="245" t="inlineStr">
        <is>
          <t>IPH — Institute of Public Health</t>
        </is>
      </c>
      <c r="O3693" s="245" t="inlineStr">
        <is>
          <t>25.08.2026</t>
        </is>
      </c>
      <c r="P3693" s="245" t="inlineStr">
        <is>
          <t>covered</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Absent | Отсутна</t>
        </is>
      </c>
      <c r="L3694" s="245" t="inlineStr">
        <is>
          <t>536/1067/26</t>
        </is>
      </c>
      <c r="M3694" s="245" t="inlineStr">
        <is>
          <t>31.08.2026</t>
        </is>
      </c>
      <c r="N3694" s="245" t="inlineStr">
        <is>
          <t>IPH — Institute of Public Health</t>
        </is>
      </c>
      <c r="O3694" s="245" t="inlineStr">
        <is>
          <t>25.08.2026</t>
        </is>
      </c>
      <c r="P3694" s="245" t="inlineStr">
        <is>
          <t>covered</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5" t="inlineStr">
        <is>
          <t>ND</t>
        </is>
      </c>
      <c r="L3697" s="245" t="inlineStr">
        <is>
          <t>227-7-М/26</t>
        </is>
      </c>
      <c r="M3697" s="245" t="inlineStr">
        <is>
          <t>16.09.2026</t>
        </is>
      </c>
      <c r="N3697" s="245" t="inlineStr">
        <is>
          <t>Farmahem</t>
        </is>
      </c>
      <c r="O3697" s="245" t="inlineStr">
        <is>
          <t>—</t>
        </is>
      </c>
      <c r="P3697" s="245" t="inlineStr">
        <is>
          <t>covered</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5" t="inlineStr">
        <is>
          <t>ND</t>
        </is>
      </c>
      <c r="L3698" s="245" t="inlineStr">
        <is>
          <t>227-7-М/26</t>
        </is>
      </c>
      <c r="M3698" s="245" t="inlineStr">
        <is>
          <t>16.09.2026</t>
        </is>
      </c>
      <c r="N3698" s="245" t="inlineStr">
        <is>
          <t>Farmahem</t>
        </is>
      </c>
      <c r="O3698" s="245" t="inlineStr">
        <is>
          <t>—</t>
        </is>
      </c>
      <c r="P3698" s="245" t="inlineStr">
        <is>
          <t>covered</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5" t="inlineStr">
        <is>
          <t>ND</t>
        </is>
      </c>
      <c r="L3699" s="245" t="inlineStr">
        <is>
          <t>227-7-М/26</t>
        </is>
      </c>
      <c r="M3699" s="245" t="inlineStr">
        <is>
          <t>16.09.2026</t>
        </is>
      </c>
      <c r="N3699" s="245" t="inlineStr">
        <is>
          <t>Farmahem</t>
        </is>
      </c>
      <c r="O3699" s="245" t="inlineStr">
        <is>
          <t>—</t>
        </is>
      </c>
      <c r="P3699" s="245" t="inlineStr">
        <is>
          <t>covered</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 not tested</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 not tested</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 not tested</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 not tested</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 not tested</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5" t="inlineStr">
        <is>
          <t>Conforms | Одговара</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5" t="inlineStr">
        <is>
          <t>Conforms | Одговара</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5" t="inlineStr">
        <is>
          <t>Conforms | Одговара</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5,2 × 10²</t>
        </is>
      </c>
      <c r="L3713" s="245" t="inlineStr">
        <is>
          <t>549/1080/26</t>
        </is>
      </c>
      <c r="M3713" s="245" t="inlineStr">
        <is>
          <t>31.08.2026</t>
        </is>
      </c>
      <c r="N3713" s="245" t="inlineStr">
        <is>
          <t>IPH — Institute of Public Health</t>
        </is>
      </c>
      <c r="O3713" s="245" t="inlineStr">
        <is>
          <t>25.08.2026</t>
        </is>
      </c>
      <c r="P3713" s="245" t="inlineStr">
        <is>
          <t>covered</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4,3 × 10²</t>
        </is>
      </c>
      <c r="L3714" s="245" t="inlineStr">
        <is>
          <t>549/1080/26</t>
        </is>
      </c>
      <c r="M3714" s="245" t="inlineStr">
        <is>
          <t>31.08.2026</t>
        </is>
      </c>
      <c r="N3714" s="245" t="inlineStr">
        <is>
          <t>IPH — Institute of Public Health</t>
        </is>
      </c>
      <c r="O3714" s="245" t="inlineStr">
        <is>
          <t>25.08.2026</t>
        </is>
      </c>
      <c r="P3714" s="245" t="inlineStr">
        <is>
          <t>covered</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&lt; 10</t>
        </is>
      </c>
      <c r="L3715" s="245" t="inlineStr">
        <is>
          <t>549/1080/26</t>
        </is>
      </c>
      <c r="M3715" s="245" t="inlineStr">
        <is>
          <t>31.08.2026</t>
        </is>
      </c>
      <c r="N3715" s="245" t="inlineStr">
        <is>
          <t>IPH — Institute of Public Health</t>
        </is>
      </c>
      <c r="O3715" s="245" t="inlineStr">
        <is>
          <t>25.08.2026</t>
        </is>
      </c>
      <c r="P3715" s="245" t="inlineStr">
        <is>
          <t>covered</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Absent | Отсутна</t>
        </is>
      </c>
      <c r="L3716" s="245" t="inlineStr">
        <is>
          <t>549/1080/26</t>
        </is>
      </c>
      <c r="M3716" s="245" t="inlineStr">
        <is>
          <t>31.08.2026</t>
        </is>
      </c>
      <c r="N3716" s="245" t="inlineStr">
        <is>
          <t>IPH — Institute of Public Health</t>
        </is>
      </c>
      <c r="O3716" s="245" t="inlineStr">
        <is>
          <t>25.08.2026</t>
        </is>
      </c>
      <c r="P3716" s="245" t="inlineStr">
        <is>
          <t>covered</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Absent | Отсутна</t>
        </is>
      </c>
      <c r="L3717" s="245" t="inlineStr">
        <is>
          <t>549/1080/26</t>
        </is>
      </c>
      <c r="M3717" s="245" t="inlineStr">
        <is>
          <t>31.08.2026</t>
        </is>
      </c>
      <c r="N3717" s="245" t="inlineStr">
        <is>
          <t>IPH — Institute of Public Health</t>
        </is>
      </c>
      <c r="O3717" s="245" t="inlineStr">
        <is>
          <t>25.08.2026</t>
        </is>
      </c>
      <c r="P3717" s="245" t="inlineStr">
        <is>
          <t>covered</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5" t="inlineStr">
        <is>
          <t>ND</t>
        </is>
      </c>
      <c r="L3720" s="245" t="inlineStr">
        <is>
          <t>227-6-М/26</t>
        </is>
      </c>
      <c r="M3720" s="245" t="inlineStr">
        <is>
          <t>16.09.2026</t>
        </is>
      </c>
      <c r="N3720" s="245" t="inlineStr">
        <is>
          <t>Farmahem</t>
        </is>
      </c>
      <c r="O3720" s="245" t="inlineStr">
        <is>
          <t>—</t>
        </is>
      </c>
      <c r="P3720" s="245" t="inlineStr">
        <is>
          <t>covered</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5" t="inlineStr">
        <is>
          <t>ND</t>
        </is>
      </c>
      <c r="L3721" s="245" t="inlineStr">
        <is>
          <t>227-6-М/26</t>
        </is>
      </c>
      <c r="M3721" s="245" t="inlineStr">
        <is>
          <t>16.09.2026</t>
        </is>
      </c>
      <c r="N3721" s="245" t="inlineStr">
        <is>
          <t>Farmahem</t>
        </is>
      </c>
      <c r="O3721" s="245" t="inlineStr">
        <is>
          <t>—</t>
        </is>
      </c>
      <c r="P3721" s="245" t="inlineStr">
        <is>
          <t>covered</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5" t="inlineStr">
        <is>
          <t>ND</t>
        </is>
      </c>
      <c r="L3722" s="245" t="inlineStr">
        <is>
          <t>227-6-М/26</t>
        </is>
      </c>
      <c r="M3722" s="245" t="inlineStr">
        <is>
          <t>16.09.2026</t>
        </is>
      </c>
      <c r="N3722" s="245" t="inlineStr">
        <is>
          <t>Farmahem</t>
        </is>
      </c>
      <c r="O3722" s="245" t="inlineStr">
        <is>
          <t>—</t>
        </is>
      </c>
      <c r="P3722" s="245" t="inlineStr">
        <is>
          <t>covered</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 not tested</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 not tested</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 not tested</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 not tested</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 not tested</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5" t="inlineStr">
        <is>
          <t>Conforms | Одговара</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5" t="inlineStr">
        <is>
          <t>Conforms | Одговара</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5" t="inlineStr">
        <is>
          <t>Conforms | Одговара</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 not tested</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 not tested</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 not tested</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 not tested</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 not tested</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5" t="inlineStr">
        <is>
          <t>ND</t>
        </is>
      </c>
      <c r="L3743" s="245" t="inlineStr">
        <is>
          <t>227-5-М/26</t>
        </is>
      </c>
      <c r="M3743" s="245" t="inlineStr">
        <is>
          <t>16.09.2026</t>
        </is>
      </c>
      <c r="N3743" s="245" t="inlineStr">
        <is>
          <t>Farmahem</t>
        </is>
      </c>
      <c r="O3743" s="245" t="inlineStr">
        <is>
          <t>—</t>
        </is>
      </c>
      <c r="P3743" s="245" t="inlineStr">
        <is>
          <t>covered</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5" t="inlineStr">
        <is>
          <t>ND</t>
        </is>
      </c>
      <c r="L3744" s="245" t="inlineStr">
        <is>
          <t>227-5-М/26</t>
        </is>
      </c>
      <c r="M3744" s="245" t="inlineStr">
        <is>
          <t>16.09.2026</t>
        </is>
      </c>
      <c r="N3744" s="245" t="inlineStr">
        <is>
          <t>Farmahem</t>
        </is>
      </c>
      <c r="O3744" s="245" t="inlineStr">
        <is>
          <t>—</t>
        </is>
      </c>
      <c r="P3744" s="245" t="inlineStr">
        <is>
          <t>covered</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5" t="inlineStr">
        <is>
          <t>ND</t>
        </is>
      </c>
      <c r="L3745" s="245" t="inlineStr">
        <is>
          <t>227-5-М/26</t>
        </is>
      </c>
      <c r="M3745" s="245" t="inlineStr">
        <is>
          <t>16.09.2026</t>
        </is>
      </c>
      <c r="N3745" s="245" t="inlineStr">
        <is>
          <t>Farmahem</t>
        </is>
      </c>
      <c r="O3745" s="245" t="inlineStr">
        <is>
          <t>—</t>
        </is>
      </c>
      <c r="P3745" s="245" t="inlineStr">
        <is>
          <t>covered</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 not tested</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 not tested</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 not tested</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 not tested</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 not tested</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5" t="inlineStr">
        <is>
          <t>Conforms | Одговара</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5" t="inlineStr">
        <is>
          <t>Conforms | Одговара</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5" t="inlineStr">
        <is>
          <t>Conforms | Одговара</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&lt; 10</t>
        </is>
      </c>
      <c r="L3759" s="245" t="inlineStr">
        <is>
          <t>555/1086/26</t>
        </is>
      </c>
      <c r="M3759" s="245" t="inlineStr">
        <is>
          <t>01.09.2026</t>
        </is>
      </c>
      <c r="N3759" s="245" t="inlineStr">
        <is>
          <t>IPH — Institute of Public Health</t>
        </is>
      </c>
      <c r="O3759" s="245" t="inlineStr">
        <is>
          <t>26.08.2026</t>
        </is>
      </c>
      <c r="P3759" s="245" t="inlineStr">
        <is>
          <t>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&lt; 10</t>
        </is>
      </c>
      <c r="L3760" s="245" t="inlineStr">
        <is>
          <t>555/1086/26</t>
        </is>
      </c>
      <c r="M3760" s="245" t="inlineStr">
        <is>
          <t>01.09.2026</t>
        </is>
      </c>
      <c r="N3760" s="245" t="inlineStr">
        <is>
          <t>IPH — Institute of Public Health</t>
        </is>
      </c>
      <c r="O3760" s="245" t="inlineStr">
        <is>
          <t>26.08.2026</t>
        </is>
      </c>
      <c r="P3760" s="245" t="inlineStr">
        <is>
          <t>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555/1086/26</t>
        </is>
      </c>
      <c r="M3761" s="245" t="inlineStr">
        <is>
          <t>01.09.2026</t>
        </is>
      </c>
      <c r="N3761" s="245" t="inlineStr">
        <is>
          <t>IPH — Institute of Public Health</t>
        </is>
      </c>
      <c r="O3761" s="245" t="inlineStr">
        <is>
          <t>26.08.2026</t>
        </is>
      </c>
      <c r="P3761" s="245" t="inlineStr">
        <is>
          <t>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555/1086/26</t>
        </is>
      </c>
      <c r="M3762" s="245" t="inlineStr">
        <is>
          <t>01.09.2026</t>
        </is>
      </c>
      <c r="N3762" s="245" t="inlineStr">
        <is>
          <t>IPH — Institute of Public Health</t>
        </is>
      </c>
      <c r="O3762" s="245" t="inlineStr">
        <is>
          <t>26.08.2026</t>
        </is>
      </c>
      <c r="P3762" s="245" t="inlineStr">
        <is>
          <t>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555/1086/26</t>
        </is>
      </c>
      <c r="M3763" s="245" t="inlineStr">
        <is>
          <t>01.09.2026</t>
        </is>
      </c>
      <c r="N3763" s="245" t="inlineStr">
        <is>
          <t>IPH — Institute of Public Health</t>
        </is>
      </c>
      <c r="O3763" s="245" t="inlineStr">
        <is>
          <t>26.08.2026</t>
        </is>
      </c>
      <c r="P3763" s="245" t="inlineStr">
        <is>
          <t>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5" t="inlineStr">
        <is>
          <t>ND</t>
        </is>
      </c>
      <c r="L3766" s="245" t="inlineStr">
        <is>
          <t>227-3-М/26</t>
        </is>
      </c>
      <c r="M3766" s="245" t="inlineStr">
        <is>
          <t>16.09.2026</t>
        </is>
      </c>
      <c r="N3766" s="245" t="inlineStr">
        <is>
          <t>Farmahem</t>
        </is>
      </c>
      <c r="O3766" s="245" t="inlineStr">
        <is>
          <t>—</t>
        </is>
      </c>
      <c r="P3766" s="245" t="inlineStr">
        <is>
          <t>covered</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5" t="inlineStr">
        <is>
          <t>ND</t>
        </is>
      </c>
      <c r="L3767" s="245" t="inlineStr">
        <is>
          <t>227-3-М/26</t>
        </is>
      </c>
      <c r="M3767" s="245" t="inlineStr">
        <is>
          <t>16.09.2026</t>
        </is>
      </c>
      <c r="N3767" s="245" t="inlineStr">
        <is>
          <t>Farmahem</t>
        </is>
      </c>
      <c r="O3767" s="245" t="inlineStr">
        <is>
          <t>—</t>
        </is>
      </c>
      <c r="P3767" s="245" t="inlineStr">
        <is>
          <t>carried from the initial testing (the batch's initial CoQ (number assigned on issue)) — covered</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5" t="inlineStr">
        <is>
          <t>ND</t>
        </is>
      </c>
      <c r="L3768" s="245" t="inlineStr">
        <is>
          <t>227-3-М/26</t>
        </is>
      </c>
      <c r="M3768" s="245" t="inlineStr">
        <is>
          <t>16.09.2026</t>
        </is>
      </c>
      <c r="N3768" s="245" t="inlineStr">
        <is>
          <t>Farmahem</t>
        </is>
      </c>
      <c r="O3768" s="245" t="inlineStr">
        <is>
          <t>—</t>
        </is>
      </c>
      <c r="P3768" s="245" t="inlineStr">
        <is>
          <t>covered</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5" t="inlineStr">
        <is>
          <t>Conforms | Одговара</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5" t="inlineStr">
        <is>
          <t>Conforms | Одговара</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23.40 – 28.59 %  (grade I, nominal 26.00 ± 2.60)</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5" t="inlineStr">
        <is>
          <t>Conforms | Одговара</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6,8 %</t>
        </is>
      </c>
      <c r="L3781" s="245" t="inlineStr">
        <is>
          <t>031-3-ГС/26</t>
        </is>
      </c>
      <c r="M3781" s="245" t="inlineStr">
        <is>
          <t>12.02.2026</t>
        </is>
      </c>
      <c r="N3781" s="245" t="inlineStr">
        <is>
          <t>Farmahem</t>
        </is>
      </c>
      <c r="O3781" s="245" t="inlineStr">
        <is>
          <t>—</t>
        </is>
      </c>
      <c r="P3781" s="245" t="inlineStr">
        <is>
          <t>covered</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&lt; 10</t>
        </is>
      </c>
      <c r="L3782" s="245" t="inlineStr">
        <is>
          <t>551/1082/26</t>
        </is>
      </c>
      <c r="M3782" s="245" t="inlineStr">
        <is>
          <t>01.09.2026</t>
        </is>
      </c>
      <c r="N3782" s="245" t="inlineStr">
        <is>
          <t>IPH — Institute of Public Health</t>
        </is>
      </c>
      <c r="O3782" s="245" t="inlineStr">
        <is>
          <t>26.08.2026</t>
        </is>
      </c>
      <c r="P3782" s="245" t="inlineStr">
        <is>
          <t>covered</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&lt; 10</t>
        </is>
      </c>
      <c r="L3783" s="245" t="inlineStr">
        <is>
          <t>551/1082/26</t>
        </is>
      </c>
      <c r="M3783" s="245" t="inlineStr">
        <is>
          <t>01.09.2026</t>
        </is>
      </c>
      <c r="N3783" s="245" t="inlineStr">
        <is>
          <t>IPH — Institute of Public Health</t>
        </is>
      </c>
      <c r="O3783" s="245" t="inlineStr">
        <is>
          <t>26.08.2026</t>
        </is>
      </c>
      <c r="P3783" s="245" t="inlineStr">
        <is>
          <t>covered</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&lt; 10</t>
        </is>
      </c>
      <c r="L3784" s="245" t="inlineStr">
        <is>
          <t>551/1082/26</t>
        </is>
      </c>
      <c r="M3784" s="245" t="inlineStr">
        <is>
          <t>01.09.2026</t>
        </is>
      </c>
      <c r="N3784" s="245" t="inlineStr">
        <is>
          <t>IPH — Institute of Public Health</t>
        </is>
      </c>
      <c r="O3784" s="245" t="inlineStr">
        <is>
          <t>26.08.2026</t>
        </is>
      </c>
      <c r="P3784" s="245" t="inlineStr">
        <is>
          <t>covered</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Absent | Отсутна</t>
        </is>
      </c>
      <c r="L3785" s="245" t="inlineStr">
        <is>
          <t>551/1082/26</t>
        </is>
      </c>
      <c r="M3785" s="245" t="inlineStr">
        <is>
          <t>01.09.2026</t>
        </is>
      </c>
      <c r="N3785" s="245" t="inlineStr">
        <is>
          <t>IPH — Institute of Public Health</t>
        </is>
      </c>
      <c r="O3785" s="245" t="inlineStr">
        <is>
          <t>26.08.2026</t>
        </is>
      </c>
      <c r="P3785" s="245" t="inlineStr">
        <is>
          <t>covered</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Absent | Отсутна</t>
        </is>
      </c>
      <c r="L3786" s="245" t="inlineStr">
        <is>
          <t>551/1082/26</t>
        </is>
      </c>
      <c r="M3786" s="245" t="inlineStr">
        <is>
          <t>01.09.2026</t>
        </is>
      </c>
      <c r="N3786" s="245" t="inlineStr">
        <is>
          <t>IPH — Institute of Public Health</t>
        </is>
      </c>
      <c r="O3786" s="245" t="inlineStr">
        <is>
          <t>26.08.2026</t>
        </is>
      </c>
      <c r="P3786" s="245" t="inlineStr">
        <is>
          <t>covered</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5" t="inlineStr">
        <is>
          <t>ND</t>
        </is>
      </c>
      <c r="L3789" s="245" t="inlineStr">
        <is>
          <t>227-4-М/26</t>
        </is>
      </c>
      <c r="M3789" s="245" t="inlineStr">
        <is>
          <t>16.09.2026</t>
        </is>
      </c>
      <c r="N3789" s="245" t="inlineStr">
        <is>
          <t>Farmahem</t>
        </is>
      </c>
      <c r="O3789" s="245" t="inlineStr">
        <is>
          <t>—</t>
        </is>
      </c>
      <c r="P3789" s="245" t="inlineStr">
        <is>
          <t>covered</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5" t="inlineStr">
        <is>
          <t>ND</t>
        </is>
      </c>
      <c r="L3790" s="245" t="inlineStr">
        <is>
          <t>227-4-М/26</t>
        </is>
      </c>
      <c r="M3790" s="245" t="inlineStr">
        <is>
          <t>16.09.2026</t>
        </is>
      </c>
      <c r="N3790" s="245" t="inlineStr">
        <is>
          <t>Farmahem</t>
        </is>
      </c>
      <c r="O3790" s="245" t="inlineStr">
        <is>
          <t>—</t>
        </is>
      </c>
      <c r="P3790" s="245" t="inlineStr">
        <is>
          <t>covered</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5" t="inlineStr">
        <is>
          <t>ND</t>
        </is>
      </c>
      <c r="L3791" s="245" t="inlineStr">
        <is>
          <t>227-4-М/26</t>
        </is>
      </c>
      <c r="M3791" s="245" t="inlineStr">
        <is>
          <t>16.09.2026</t>
        </is>
      </c>
      <c r="N3791" s="245" t="inlineStr">
        <is>
          <t>Farmahem</t>
        </is>
      </c>
      <c r="O3791" s="245" t="inlineStr">
        <is>
          <t>—</t>
        </is>
      </c>
      <c r="P3791" s="245" t="inlineStr">
        <is>
          <t>covered</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 not tested</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 not tested</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 not tested</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 not tested</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 not tested</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5" t="inlineStr">
        <is>
          <t>Conforms | Одговара</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5" t="inlineStr">
        <is>
          <t>Conforms | Одговара</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5" t="inlineStr">
        <is>
          <t>Conforms | Одговара</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 not tested</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 not tested</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 not tested</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 not tested</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 not tested</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 not tested</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 not tested</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 not tested</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 not tested</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 not tested</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 not tested</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5" t="inlineStr">
        <is>
          <t>Conforms | Одговара</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5" t="inlineStr">
        <is>
          <t>Conforms | Одговара</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5" t="inlineStr">
        <is>
          <t>Conforms | Одговара</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 not tested</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 not tested</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 not tested</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 not tested</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 not tested</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 not tested</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 not tested</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 not tested</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 not tested</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 not tested</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 not tested</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11.3</t>
        </is>
      </c>
      <c r="H2" s="245" t="inlineStr">
        <is>
          <t>As</t>
        </is>
      </c>
      <c r="I2" s="245" t="inlineStr">
        <is>
          <t>ND</t>
        </is>
      </c>
      <c r="J2" s="245" t="inlineStr">
        <is>
          <t>2471-2025</t>
        </is>
      </c>
      <c r="K2" s="245" t="inlineStr">
        <is>
          <t>30.05.2025</t>
        </is>
      </c>
      <c r="L2" s="245" t="inlineStr">
        <is>
          <t>0.047</t>
        </is>
      </c>
      <c r="M2" s="245" t="inlineStr">
        <is>
          <t>3176/2025</t>
        </is>
      </c>
      <c r="N2" s="245" t="inlineStr">
        <is>
          <t>26.06.2025</t>
        </is>
      </c>
      <c r="O2" s="245" t="inlineStr">
        <is>
          <t>IPH — Institute of Public Health</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GP0824_02</t>
        </is>
      </c>
      <c r="C3" s="245" t="inlineStr">
        <is>
          <t>P050022</t>
        </is>
      </c>
      <c r="D3" s="245" t="inlineStr">
        <is>
          <t>CoQ-PP_26-007</t>
        </is>
      </c>
      <c r="E3" s="245" t="inlineStr">
        <is>
          <t>initial release</t>
        </is>
      </c>
      <c r="F3" s="245" t="inlineStr">
        <is>
          <t>06.06.2026</t>
        </is>
      </c>
      <c r="G3" s="245" t="inlineStr">
        <is>
          <t>8</t>
        </is>
      </c>
      <c r="H3" s="245" t="inlineStr">
        <is>
          <t>Loss on drying</t>
        </is>
      </c>
      <c r="I3" s="245" t="inlineStr">
        <is>
          <t>7.21</t>
        </is>
      </c>
      <c r="J3" s="245" t="inlineStr">
        <is>
          <t>ППК25139</t>
        </is>
      </c>
      <c r="K3" s="245" t="inlineStr">
        <is>
          <t>22.05.2025</t>
        </is>
      </c>
      <c r="L3" s="245" t="inlineStr">
        <is>
          <t>6.51</t>
        </is>
      </c>
      <c r="M3" s="245" t="inlineStr">
        <is>
          <t>ППК25174</t>
        </is>
      </c>
      <c r="N3" s="245" t="inlineStr">
        <is>
          <t>10.07.2025</t>
        </is>
      </c>
      <c r="O3" s="245" t="inlineStr">
        <is>
          <t>UKIM Faculty of Pharmacy — Center for Natural Products</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J31112501</t>
        </is>
      </c>
      <c r="C4" s="245" t="inlineStr"/>
      <c r="D4" s="245" t="inlineStr">
        <is>
          <t>CoQ-PP_26-056</t>
        </is>
      </c>
      <c r="E4" s="245" t="inlineStr">
        <is>
          <t>initial release — predicted</t>
        </is>
      </c>
      <c r="F4" s="245" t="inlineStr">
        <is>
          <t>06.06.2026</t>
        </is>
      </c>
      <c r="G4" s="245" t="inlineStr">
        <is>
          <t>8</t>
        </is>
      </c>
      <c r="H4" s="245" t="inlineStr">
        <is>
          <t>Loss on drying</t>
        </is>
      </c>
      <c r="I4" s="245" t="inlineStr">
        <is>
          <t>8.4</t>
        </is>
      </c>
      <c r="J4" s="245" t="inlineStr">
        <is>
          <t>051-5-ГС/26</t>
        </is>
      </c>
      <c r="K4" s="245" t="inlineStr">
        <is>
          <t>02.03.2026</t>
        </is>
      </c>
      <c r="L4" s="245" t="inlineStr">
        <is>
          <t>7.6</t>
        </is>
      </c>
      <c r="M4" s="245" t="inlineStr">
        <is>
          <t>100-1-ГС/26</t>
        </is>
      </c>
      <c r="N4" s="245" t="inlineStr">
        <is>
          <t>09.04.2026</t>
        </is>
      </c>
      <c r="O4" s="245" t="inlineStr">
        <is>
          <t>Farmahem</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9.1</t>
        </is>
      </c>
      <c r="H5" s="245" t="inlineStr">
        <is>
          <t>TAMC</t>
        </is>
      </c>
      <c r="I5" s="245" t="inlineStr">
        <is>
          <t>1.3 × 10⁴</t>
        </is>
      </c>
      <c r="J5" s="245" t="inlineStr">
        <is>
          <t>1009/1813/25</t>
        </is>
      </c>
      <c r="K5" s="245" t="inlineStr">
        <is>
          <t>08.10.2025</t>
        </is>
      </c>
      <c r="L5" s="245" t="inlineStr">
        <is>
          <t>600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GP0824_02</t>
        </is>
      </c>
      <c r="C6" s="245" t="inlineStr">
        <is>
          <t>P050022</t>
        </is>
      </c>
      <c r="D6" s="245" t="inlineStr">
        <is>
          <t>CoQ-PP_26-007</t>
        </is>
      </c>
      <c r="E6" s="245" t="inlineStr">
        <is>
          <t>initial release</t>
        </is>
      </c>
      <c r="F6" s="245" t="inlineStr">
        <is>
          <t>06.06.2026</t>
        </is>
      </c>
      <c r="G6" s="245" t="inlineStr">
        <is>
          <t>9.1</t>
        </is>
      </c>
      <c r="H6" s="245" t="inlineStr">
        <is>
          <t>TAMC</t>
        </is>
      </c>
      <c r="I6" s="245" t="inlineStr">
        <is>
          <t>700</t>
        </is>
      </c>
      <c r="J6" s="245" t="inlineStr">
        <is>
          <t>471-0862-25</t>
        </is>
      </c>
      <c r="K6" s="245" t="inlineStr">
        <is>
          <t>22.05.2025</t>
        </is>
      </c>
      <c r="L6" s="245" t="inlineStr">
        <is>
          <t>&lt;10</t>
        </is>
      </c>
      <c r="M6" s="245" t="inlineStr">
        <is>
          <t>627/1128/25</t>
        </is>
      </c>
      <c r="N6" s="245" t="inlineStr">
        <is>
          <t>02.07.2025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OMP1024_01</t>
        </is>
      </c>
      <c r="C7" s="245" t="inlineStr">
        <is>
          <t>P050042</t>
        </is>
      </c>
      <c r="D7" s="245" t="inlineStr">
        <is>
          <t>CoQ-PP_26-010</t>
        </is>
      </c>
      <c r="E7" s="245" t="inlineStr">
        <is>
          <t>initial release</t>
        </is>
      </c>
      <c r="F7" s="245" t="inlineStr">
        <is>
          <t>06.06.2026</t>
        </is>
      </c>
      <c r="G7" s="245" t="inlineStr">
        <is>
          <t>9.1</t>
        </is>
      </c>
      <c r="H7" s="245" t="inlineStr">
        <is>
          <t>TAMC</t>
        </is>
      </c>
      <c r="I7" s="245" t="inlineStr">
        <is>
          <t>10</t>
        </is>
      </c>
      <c r="J7" s="245" t="inlineStr">
        <is>
          <t>407-0745-25</t>
        </is>
      </c>
      <c r="K7" s="245" t="inlineStr">
        <is>
          <t>05.05.2025</t>
        </is>
      </c>
      <c r="L7" s="245" t="inlineStr">
        <is>
          <t>&lt;10</t>
        </is>
      </c>
      <c r="M7" s="245" t="inlineStr">
        <is>
          <t>2156/2025</t>
        </is>
      </c>
      <c r="N7" s="245" t="inlineStr">
        <is>
          <t>07.05.2025</t>
        </is>
      </c>
      <c r="O7" s="245" t="inlineStr">
        <is>
          <t>IPH — Institute of Public Health</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GP062501</t>
        </is>
      </c>
      <c r="C8" s="245" t="inlineStr">
        <is>
          <t>P050202</t>
        </is>
      </c>
      <c r="D8" s="245" t="inlineStr">
        <is>
          <t>CoQ-PP_26-026</t>
        </is>
      </c>
      <c r="E8" s="245" t="inlineStr">
        <is>
          <t>initial release — predicted</t>
        </is>
      </c>
      <c r="F8" s="245" t="inlineStr">
        <is>
          <t>06.06.2026</t>
        </is>
      </c>
      <c r="G8" s="245" t="inlineStr">
        <is>
          <t>9.2</t>
        </is>
      </c>
      <c r="H8" s="245" t="inlineStr">
        <is>
          <t>TYMC</t>
        </is>
      </c>
      <c r="I8" s="245" t="inlineStr">
        <is>
          <t>4.2 × 10³</t>
        </is>
      </c>
      <c r="J8" s="245" t="inlineStr">
        <is>
          <t>1009/1813/25</t>
        </is>
      </c>
      <c r="K8" s="245" t="inlineStr">
        <is>
          <t>08.10.2025</t>
        </is>
      </c>
      <c r="L8" s="245" t="inlineStr">
        <is>
          <t>400</t>
        </is>
      </c>
      <c r="M8" s="245" t="inlineStr">
        <is>
          <t>1155/2056/25</t>
        </is>
      </c>
      <c r="N8" s="245" t="inlineStr">
        <is>
          <t>24.11.2025</t>
        </is>
      </c>
      <c r="O8" s="245" t="inlineStr">
        <is>
          <t>IPH — Institute of Public Health</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GP062501</t>
        </is>
      </c>
      <c r="C9" s="245" t="inlineStr">
        <is>
          <t>P050202</t>
        </is>
      </c>
      <c r="D9" s="245" t="inlineStr">
        <is>
          <t>CoQ-PP_26-026</t>
        </is>
      </c>
      <c r="E9" s="245" t="inlineStr">
        <is>
          <t>initial release — predicted</t>
        </is>
      </c>
      <c r="F9" s="245" t="inlineStr">
        <is>
          <t>06.06.2026</t>
        </is>
      </c>
      <c r="G9" s="245" t="inlineStr">
        <is>
          <t>9.3</t>
        </is>
      </c>
      <c r="H9" s="245" t="inlineStr">
        <is>
          <t>Bile-tolerant GNB</t>
        </is>
      </c>
      <c r="I9" s="245" t="inlineStr">
        <is>
          <t>&lt; 10³ and &gt; 10²</t>
        </is>
      </c>
      <c r="J9" s="245" t="inlineStr">
        <is>
          <t>1009/1813/25</t>
        </is>
      </c>
      <c r="K9" s="245" t="inlineStr">
        <is>
          <t>08.10.2025</t>
        </is>
      </c>
      <c r="L9" s="245" t="inlineStr">
        <is>
          <t>&lt; 10</t>
        </is>
      </c>
      <c r="M9" s="245" t="inlineStr">
        <is>
          <t>1155/2056/25</t>
        </is>
      </c>
      <c r="N9" s="245" t="inlineStr">
        <is>
          <t>24.11.2025</t>
        </is>
      </c>
      <c r="O9" s="245" t="inlineStr">
        <is>
          <t>IPH — Institute of Public Health</t>
        </is>
      </c>
      <c r="P9" s="250" t="inlineStr">
        <is>
          <t>Correct as it stands. The certificate cites the release result, and the owner's ruling of 10.09.2026 makes the earliest result for a parameter the release result — the later one belongs to a retest certificate.</t>
        </is>
      </c>
    </row>
    <row r="10">
      <c r="A10" s="250" t="inlineStr">
        <is>
          <t>cited as covering</t>
        </is>
      </c>
      <c r="B10" s="245" t="inlineStr">
        <is>
          <t>GP0824_02</t>
        </is>
      </c>
      <c r="C10" s="245" t="inlineStr">
        <is>
          <t>P050022</t>
        </is>
      </c>
      <c r="D10" s="245" t="inlineStr">
        <is>
          <t>CoQ-PP_26-007</t>
        </is>
      </c>
      <c r="E10" s="245" t="inlineStr">
        <is>
          <t>initial release</t>
        </is>
      </c>
      <c r="F10" s="245" t="inlineStr">
        <is>
          <t>06.06.2026</t>
        </is>
      </c>
      <c r="G10" s="245" t="inlineStr">
        <is>
          <t>9.3</t>
        </is>
      </c>
      <c r="H10" s="245" t="inlineStr">
        <is>
          <t>Bile-tolerant GNB</t>
        </is>
      </c>
      <c r="I10" s="245" t="inlineStr">
        <is>
          <t>&lt; 10² and &gt; 10</t>
        </is>
      </c>
      <c r="J10" s="245" t="inlineStr">
        <is>
          <t>471-0862-25</t>
        </is>
      </c>
      <c r="K10" s="245" t="inlineStr">
        <is>
          <t>22.05.2025</t>
        </is>
      </c>
      <c r="L10" s="245" t="inlineStr">
        <is>
          <t>&lt;10</t>
        </is>
      </c>
      <c r="M10" s="245" t="inlineStr">
        <is>
          <t>627/1128/25</t>
        </is>
      </c>
      <c r="N10" s="245" t="inlineStr">
        <is>
          <t>02.07.2025</t>
        </is>
      </c>
      <c r="O10" s="245" t="inlineStr">
        <is>
          <t>IPH — Institute of Public Health</t>
        </is>
      </c>
      <c r="P10" s="250" t="inlineStr">
        <is>
          <t>Correct as it stands. The certificate cites the release result, and the owner's ruling of 10.09.2026 makes the earliest result for a parameter the release result — the later one belongs to a retest certificate.</t>
        </is>
      </c>
    </row>
    <row r="11">
      <c r="A11" s="250" t="inlineStr">
        <is>
          <t>cited as covering</t>
        </is>
      </c>
      <c r="B11" s="245" t="inlineStr">
        <is>
          <t>GP0824_02</t>
        </is>
      </c>
      <c r="C11" s="245" t="inlineStr">
        <is>
          <t>P050022</t>
        </is>
      </c>
      <c r="D11" s="245" t="inlineStr">
        <is>
          <t>CoQ-PP_26-007</t>
        </is>
      </c>
      <c r="E11" s="245" t="inlineStr">
        <is>
          <t>initial release</t>
        </is>
      </c>
      <c r="F11" s="245" t="inlineStr">
        <is>
          <t>06.06.2026</t>
        </is>
      </c>
      <c r="G11" s="245" t="inlineStr">
        <is>
          <t>4</t>
        </is>
      </c>
      <c r="H11" s="245" t="inlineStr">
        <is>
          <t>Total Δ9-THC</t>
        </is>
      </c>
      <c r="I11" s="245" t="inlineStr">
        <is>
          <t>23.79</t>
        </is>
      </c>
      <c r="J11" s="245" t="inlineStr">
        <is>
          <t>ППК25139</t>
        </is>
      </c>
      <c r="K11" s="245" t="inlineStr">
        <is>
          <t>22.05.2025</t>
        </is>
      </c>
      <c r="L11" s="245" t="inlineStr">
        <is>
          <t>23.19</t>
        </is>
      </c>
      <c r="M11" s="245" t="inlineStr">
        <is>
          <t>ППК25174</t>
        </is>
      </c>
      <c r="N11" s="245" t="inlineStr">
        <is>
          <t>10.07.2025</t>
        </is>
      </c>
      <c r="O11" s="245" t="inlineStr">
        <is>
          <t>UKIM Faculty of Pharmacy — Center for Natural Products</t>
        </is>
      </c>
      <c r="P11" s="250" t="inlineStr">
        <is>
          <t>Correct as it stands. The certificate cites the release result, and the owner's ruling of 10.09.2026 makes the earliest result for a parameter the release result — the later one belongs to a retest certificate.</t>
        </is>
      </c>
    </row>
    <row r="12">
      <c r="A12" s="250" t="inlineStr">
        <is>
          <t>cited as covering</t>
        </is>
      </c>
      <c r="B12" s="245" t="inlineStr">
        <is>
          <t>J31112501</t>
        </is>
      </c>
      <c r="C12" s="245" t="inlineStr"/>
      <c r="D12" s="245" t="inlineStr">
        <is>
          <t>CoQ-PP_26-056</t>
        </is>
      </c>
      <c r="E12" s="245" t="inlineStr">
        <is>
          <t>initial release — predicted</t>
        </is>
      </c>
      <c r="F12" s="245" t="inlineStr">
        <is>
          <t>06.06.2026</t>
        </is>
      </c>
      <c r="G12" s="245" t="inlineStr">
        <is>
          <t>4</t>
        </is>
      </c>
      <c r="H12" s="245" t="inlineStr">
        <is>
          <t>Total Δ9-THC</t>
        </is>
      </c>
      <c r="I12" s="245" t="inlineStr">
        <is>
          <t>25.27</t>
        </is>
      </c>
      <c r="J12" s="245" t="inlineStr">
        <is>
          <t>051-5-К/26</t>
        </is>
      </c>
      <c r="K12" s="245" t="inlineStr">
        <is>
          <t>04.03.2026</t>
        </is>
      </c>
      <c r="L12" s="245" t="inlineStr">
        <is>
          <t>20.21</t>
        </is>
      </c>
      <c r="M12" s="245" t="inlineStr">
        <is>
          <t>100-1-К/26</t>
        </is>
      </c>
      <c r="N12" s="245" t="inlineStr">
        <is>
          <t>09.04.2026</t>
        </is>
      </c>
      <c r="O12" s="245" t="inlineStr">
        <is>
          <t>Farmahem</t>
        </is>
      </c>
      <c r="P12" s="250" t="inlineStr">
        <is>
          <t>Correct as it stands. The certificate cites the release result, and the owner's ruling of 10.09.2026 makes the earliest result for a parameter the release result — the later one belongs to a retest certificate.</t>
        </is>
      </c>
    </row>
    <row r="13">
      <c r="A13" s="250" t="inlineStr">
        <is>
          <t>cited as covering</t>
        </is>
      </c>
      <c r="B13" s="245" t="inlineStr">
        <is>
          <t>GP0824_02</t>
        </is>
      </c>
      <c r="C13" s="245" t="inlineStr">
        <is>
          <t>P050022</t>
        </is>
      </c>
      <c r="D13" s="245" t="inlineStr">
        <is>
          <t>CoQ-PP_26-007</t>
        </is>
      </c>
      <c r="E13" s="245" t="inlineStr">
        <is>
          <t>initial release</t>
        </is>
      </c>
      <c r="F13" s="245" t="inlineStr">
        <is>
          <t>06.06.2026</t>
        </is>
      </c>
      <c r="G13" s="245" t="inlineStr">
        <is>
          <t>5</t>
        </is>
      </c>
      <c r="H13" s="245" t="inlineStr">
        <is>
          <t>Total CBD</t>
        </is>
      </c>
      <c r="I13" s="245" t="inlineStr">
        <is>
          <t>0.10</t>
        </is>
      </c>
      <c r="J13" s="245" t="inlineStr">
        <is>
          <t>ППК25139</t>
        </is>
      </c>
      <c r="K13" s="245" t="inlineStr">
        <is>
          <t>22.05.2025</t>
        </is>
      </c>
      <c r="L13" s="245" t="inlineStr">
        <is>
          <t>0.07</t>
        </is>
      </c>
      <c r="M13" s="245" t="inlineStr">
        <is>
          <t>ППК25174</t>
        </is>
      </c>
      <c r="N13" s="245" t="inlineStr">
        <is>
          <t>10.07.2025</t>
        </is>
      </c>
      <c r="O13" s="245" t="inlineStr">
        <is>
          <t>UKIM Faculty of Pharmacy — Center for Natural Products</t>
        </is>
      </c>
      <c r="P13" s="250" t="inlineStr">
        <is>
          <t>Correct as it stands. The certificate cites the release result, and the owner's ruling of 10.09.2026 makes the earliest result for a parameter the release result — the later one belongs to a retest certificate.</t>
        </is>
      </c>
    </row>
    <row r="14">
      <c r="A14" s="251" t="inlineStr">
        <is>
          <t>carried forward</t>
        </is>
      </c>
      <c r="B14" s="245" t="inlineStr">
        <is>
          <t>GP0824_02</t>
        </is>
      </c>
      <c r="C14" s="245" t="inlineStr">
        <is>
          <t>P050022</t>
        </is>
      </c>
      <c r="D14" s="245" t="inlineStr">
        <is>
          <t>CoQ-PP_26-095</t>
        </is>
      </c>
      <c r="E14" s="245" t="inlineStr">
        <is>
          <t>additional testing (12-month)</t>
        </is>
      </c>
      <c r="F14" s="245" t="inlineStr">
        <is>
          <t>17.08.2026</t>
        </is>
      </c>
      <c r="G14" s="245" t="inlineStr">
        <is>
          <t>8</t>
        </is>
      </c>
      <c r="H14" s="245" t="inlineStr">
        <is>
          <t>Loss on drying</t>
        </is>
      </c>
      <c r="I14" s="245" t="inlineStr">
        <is>
          <t>7.21</t>
        </is>
      </c>
      <c r="J14" s="245" t="inlineStr">
        <is>
          <t>ППК25139</t>
        </is>
      </c>
      <c r="K14" s="245" t="inlineStr">
        <is>
          <t>22.05.2025</t>
        </is>
      </c>
      <c r="L14" s="245" t="inlineStr">
        <is>
          <t>6.51</t>
        </is>
      </c>
      <c r="M14" s="245" t="inlineStr">
        <is>
          <t>ППК25174</t>
        </is>
      </c>
      <c r="N14" s="245" t="inlineStr">
        <is>
          <t>10.07.2025</t>
        </is>
      </c>
      <c r="O14" s="245" t="inlineStr">
        <is>
          <t>UKIM Faculty of Pharmacy — Center for Natural Products</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J31112501</t>
        </is>
      </c>
      <c r="C15" s="245" t="inlineStr"/>
      <c r="D15" s="245" t="inlineStr">
        <is>
          <t>CoQ-PP_26-153</t>
        </is>
      </c>
      <c r="E15" s="245" t="inlineStr">
        <is>
          <t>additional testing (12-month) — predicted</t>
        </is>
      </c>
      <c r="F15" s="245" t="inlineStr">
        <is>
          <t>21.09.2026</t>
        </is>
      </c>
      <c r="G15" s="245" t="inlineStr">
        <is>
          <t>8</t>
        </is>
      </c>
      <c r="H15" s="245" t="inlineStr">
        <is>
          <t>Loss on drying</t>
        </is>
      </c>
      <c r="I15" s="245" t="inlineStr">
        <is>
          <t>8.4</t>
        </is>
      </c>
      <c r="J15" s="245" t="inlineStr">
        <is>
          <t>051-5-ГС/26</t>
        </is>
      </c>
      <c r="K15" s="245" t="inlineStr">
        <is>
          <t>02.03.2026</t>
        </is>
      </c>
      <c r="L15" s="245" t="inlineStr">
        <is>
          <t>7.6</t>
        </is>
      </c>
      <c r="M15" s="245" t="inlineStr">
        <is>
          <t>100-1-ГС/26</t>
        </is>
      </c>
      <c r="N15" s="245" t="inlineStr">
        <is>
          <t>09.04.2026</t>
        </is>
      </c>
      <c r="O15" s="245" t="inlineStr">
        <is>
          <t>Farmahem</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2" t="inlineStr">
        <is>
          <t>two sublots in one block</t>
        </is>
      </c>
      <c r="B16" s="245" t="inlineStr">
        <is>
          <t>J31122501</t>
        </is>
      </c>
      <c r="C16" s="245" t="inlineStr"/>
      <c r="D16" s="245" t="inlineStr"/>
      <c r="E16" s="245" t="inlineStr">
        <is>
          <t>IPH microbiology</t>
        </is>
      </c>
      <c r="F16" s="245" t="inlineStr">
        <is>
          <t>2026-04-07</t>
        </is>
      </c>
      <c r="G16" s="245" t="inlineStr">
        <is>
          <t>9.1</t>
        </is>
      </c>
      <c r="H16" s="245" t="inlineStr">
        <is>
          <t>TAMC</t>
        </is>
      </c>
      <c r="I16" s="245" t="inlineStr">
        <is>
          <t>850</t>
        </is>
      </c>
      <c r="J16" s="245" t="inlineStr">
        <is>
          <t>231/0394/26 (Racno trimiran cvet)</t>
        </is>
      </c>
      <c r="K16" s="245" t="inlineStr">
        <is>
          <t>2026-04-07</t>
        </is>
      </c>
      <c r="L16" s="245" t="inlineStr">
        <is>
          <t>1900</t>
        </is>
      </c>
      <c r="M16" s="245" t="inlineStr">
        <is>
          <t>230/0393/26 (Trimiran cvet)</t>
        </is>
      </c>
      <c r="N16" s="245" t="inlineStr">
        <is>
          <t>2026-04-07</t>
        </is>
      </c>
      <c r="O16" s="245" t="inlineStr"/>
      <c r="P16" s="252" t="inlineStr">
        <is>
          <t>Open — OI-39. Two certificates of the same testing on the same day report different results in one register block: the block carries two sublots. The certificate of quality prints one of them and does not say which.</t>
        </is>
      </c>
    </row>
    <row r="17">
      <c r="A17" s="252" t="inlineStr">
        <is>
          <t>two sublots in one block</t>
        </is>
      </c>
      <c r="B17" s="245" t="inlineStr">
        <is>
          <t>J31122501</t>
        </is>
      </c>
      <c r="C17" s="245" t="inlineStr"/>
      <c r="D17" s="245" t="inlineStr"/>
      <c r="E17" s="245" t="inlineStr">
        <is>
          <t>IPH microbiology</t>
        </is>
      </c>
      <c r="F17" s="245" t="inlineStr">
        <is>
          <t>2026-04-07</t>
        </is>
      </c>
      <c r="G17" s="245" t="inlineStr">
        <is>
          <t>9.2</t>
        </is>
      </c>
      <c r="H17" s="245" t="inlineStr">
        <is>
          <t>TYMC</t>
        </is>
      </c>
      <c r="I17" s="245" t="inlineStr">
        <is>
          <t>370</t>
        </is>
      </c>
      <c r="J17" s="245" t="inlineStr">
        <is>
          <t>231/0394/26 (Racno trimiran cvet)</t>
        </is>
      </c>
      <c r="K17" s="245" t="inlineStr">
        <is>
          <t>2026-04-07</t>
        </is>
      </c>
      <c r="L17" s="245" t="inlineStr">
        <is>
          <t>840</t>
        </is>
      </c>
      <c r="M17" s="245" t="inlineStr">
        <is>
          <t>230/0393/26 (Trimiran cvet)</t>
        </is>
      </c>
      <c r="N17" s="245" t="inlineStr">
        <is>
          <t>2026-04-07</t>
        </is>
      </c>
      <c r="O17" s="245" t="inlineStr"/>
      <c r="P17" s="252" t="inlineStr">
        <is>
          <t>Open — OI-39. Two certificates of the same testing on the same day report different results in one register block: the block carries two sublots. The certificate of quality prints one of them and does not say which.</t>
        </is>
      </c>
    </row>
    <row r="18">
      <c r="A18" s="252" t="inlineStr">
        <is>
          <t>two sublots in one block</t>
        </is>
      </c>
      <c r="B18" s="245" t="inlineStr">
        <is>
          <t>J31122501</t>
        </is>
      </c>
      <c r="C18" s="245" t="inlineStr"/>
      <c r="D18" s="245" t="inlineStr"/>
      <c r="E18" s="245" t="inlineStr">
        <is>
          <t>IPH microbiology</t>
        </is>
      </c>
      <c r="F18" s="245" t="inlineStr">
        <is>
          <t>2026-04-07</t>
        </is>
      </c>
      <c r="G18" s="245" t="inlineStr">
        <is>
          <t>9.3</t>
        </is>
      </c>
      <c r="H18" s="245" t="inlineStr">
        <is>
          <t>Bile-tolerant GNB</t>
        </is>
      </c>
      <c r="I18" s="245" t="inlineStr">
        <is>
          <t>&lt; 10^2 and &gt; 10</t>
        </is>
      </c>
      <c r="J18" s="245" t="inlineStr">
        <is>
          <t>231/0394/26 (Racno trimiran cvet)</t>
        </is>
      </c>
      <c r="K18" s="245" t="inlineStr">
        <is>
          <t>2026-04-07</t>
        </is>
      </c>
      <c r="L18" s="245" t="inlineStr">
        <is>
          <t>&lt; 10^3 and &gt; 10^2</t>
        </is>
      </c>
      <c r="M18" s="245" t="inlineStr">
        <is>
          <t>230/0393/26 (Trimiran cvet)</t>
        </is>
      </c>
      <c r="N18" s="245" t="inlineStr">
        <is>
          <t>2026-04-07</t>
        </is>
      </c>
      <c r="O18" s="245" t="inlineStr"/>
      <c r="P18" s="252" t="inlineStr">
        <is>
          <t>Open — OI-39. Two certificates of the same testing on the same day report different results in one register block: the block carries two sublots. The certificate of quality prints one of them and does not say which.</t>
        </is>
      </c>
    </row>
    <row r="19">
      <c r="A19" s="252" t="inlineStr">
        <is>
          <t>two sublots in one block</t>
        </is>
      </c>
      <c r="B19" s="245" t="inlineStr">
        <is>
          <t>J31122501</t>
        </is>
      </c>
      <c r="C19" s="245" t="inlineStr"/>
      <c r="D19" s="245" t="inlineStr"/>
      <c r="E19" s="245" t="inlineStr">
        <is>
          <t>Farmahem — cannabinoids</t>
        </is>
      </c>
      <c r="F19" s="245" t="inlineStr">
        <is>
          <t>2026-04-09</t>
        </is>
      </c>
      <c r="G19" s="245" t="inlineStr">
        <is>
          <t>4</t>
        </is>
      </c>
      <c r="H19" s="245" t="inlineStr">
        <is>
          <t>Total Δ9-THC</t>
        </is>
      </c>
      <c r="I19" s="245" t="inlineStr">
        <is>
          <t>19.84</t>
        </is>
      </c>
      <c r="J19" s="245" t="inlineStr">
        <is>
          <t>100-2-К/26</t>
        </is>
      </c>
      <c r="K19" s="245" t="inlineStr">
        <is>
          <t>2026-04-09</t>
        </is>
      </c>
      <c r="L19" s="245" t="inlineStr">
        <is>
          <t>21.84</t>
        </is>
      </c>
      <c r="M19" s="245" t="inlineStr">
        <is>
          <t>100-3-К/26</t>
        </is>
      </c>
      <c r="N19" s="245" t="inlineStr">
        <is>
          <t>2026-04-09</t>
        </is>
      </c>
      <c r="O19" s="245" t="inlineStr"/>
      <c r="P19" s="252" t="inlineStr">
        <is>
          <t>Open — OI-39. Two certificates of the same testing on the same day report different results in one register block: the block carries two sublots. The certificate of quality prints one of them and does not say which.</t>
        </is>
      </c>
    </row>
    <row r="20">
      <c r="A20" s="252" t="inlineStr">
        <is>
          <t>two sublots in one block</t>
        </is>
      </c>
      <c r="B20" s="245" t="inlineStr">
        <is>
          <t>J31122501</t>
        </is>
      </c>
      <c r="C20" s="245" t="inlineStr"/>
      <c r="D20" s="245" t="inlineStr"/>
      <c r="E20" s="245" t="inlineStr">
        <is>
          <t>IPH mycotoxins, metals, pesticides</t>
        </is>
      </c>
      <c r="F20" s="245" t="inlineStr">
        <is>
          <t>2026-04-23</t>
        </is>
      </c>
      <c r="G20" s="245" t="inlineStr">
        <is>
          <t>10.2</t>
        </is>
      </c>
      <c r="H20" s="245" t="inlineStr">
        <is>
          <t>Aflatoxins Σ</t>
        </is>
      </c>
      <c r="I20" s="245" t="inlineStr">
        <is>
          <t>2.5</t>
        </is>
      </c>
      <c r="J20" s="245" t="inlineStr">
        <is>
          <t>1628/2026</t>
        </is>
      </c>
      <c r="K20" s="245" t="inlineStr">
        <is>
          <t>2026-04-23</t>
        </is>
      </c>
      <c r="L20" s="245" t="inlineStr">
        <is>
          <t>COMPLIES (numeric value not present in captured source excerpt for report 1625/2026 — see Bundle cross-reference)</t>
        </is>
      </c>
      <c r="M20" s="245" t="inlineStr">
        <is>
          <t>1625/2026</t>
        </is>
      </c>
      <c r="N20" s="245" t="inlineStr">
        <is>
          <t>2026-04-23</t>
        </is>
      </c>
      <c r="O20" s="245" t="inlineStr"/>
      <c r="P20" s="252" t="inlineStr">
        <is>
          <t>Open — OI-39. Two certificates of the same testing on the same day report different results in one register block: the block carries two sublots. The certificate of quality prints one of them and does not say which.</t>
        </is>
      </c>
    </row>
    <row r="21">
      <c r="A21" s="250" t="inlineStr">
        <is>
          <t>on file, on no certificate</t>
        </is>
      </c>
      <c r="B21" s="245" t="inlineStr">
        <is>
          <t>AB092501</t>
        </is>
      </c>
      <c r="C21" s="245" t="inlineStr">
        <is>
          <t>P060052</t>
        </is>
      </c>
      <c r="D21" s="245" t="inlineStr"/>
      <c r="E21" s="245" t="inlineStr">
        <is>
          <t>UKIM CNP potency</t>
        </is>
      </c>
      <c r="F21" s="245" t="inlineStr"/>
      <c r="G21" s="245" t="inlineStr">
        <is>
          <t>4</t>
        </is>
      </c>
      <c r="H21" s="245" t="inlineStr">
        <is>
          <t>Total Δ9-THC</t>
        </is>
      </c>
      <c r="I21" s="245" t="inlineStr"/>
      <c r="J21" s="245" t="inlineStr"/>
      <c r="K21" s="245" t="inlineStr"/>
      <c r="L21" s="245" t="inlineStr">
        <is>
          <t>16.93</t>
        </is>
      </c>
      <c r="M21" s="245" t="inlineStr">
        <is>
          <t>PP CoA #037 / ППК26005</t>
        </is>
      </c>
      <c r="N21" s="245" t="inlineStr">
        <is>
          <t>21.01.2026</t>
        </is>
      </c>
      <c r="O21" s="245" t="inlineStr">
        <is>
          <t>UKIM Faculty of Pharmacy — Center for Natural Products</t>
        </is>
      </c>
      <c r="P21" s="250" t="inlineStr">
        <is>
          <t>For information. This result is in the release register and on the tracker; no certificate of quality for the lot cites it. Where the lot appears in the two checks above, that is why.</t>
        </is>
      </c>
    </row>
    <row r="22">
      <c r="A22" s="250" t="inlineStr">
        <is>
          <t>on file, on no certificate</t>
        </is>
      </c>
      <c r="B22" s="245" t="inlineStr">
        <is>
          <t>AB092501</t>
        </is>
      </c>
      <c r="C22" s="245" t="inlineStr">
        <is>
          <t>P060052</t>
        </is>
      </c>
      <c r="D22" s="245" t="inlineStr"/>
      <c r="E22" s="245" t="inlineStr">
        <is>
          <t>UKIM CNP potency</t>
        </is>
      </c>
      <c r="F22" s="245" t="inlineStr"/>
      <c r="G22" s="245" t="inlineStr">
        <is>
          <t>5</t>
        </is>
      </c>
      <c r="H22" s="245" t="inlineStr">
        <is>
          <t>Total CBD</t>
        </is>
      </c>
      <c r="I22" s="245" t="inlineStr"/>
      <c r="J22" s="245" t="inlineStr"/>
      <c r="K22" s="245" t="inlineStr"/>
      <c r="L22" s="245" t="inlineStr">
        <is>
          <t>0.07</t>
        </is>
      </c>
      <c r="M22" s="245" t="inlineStr">
        <is>
          <t>PP CoA #037 / ППК26005</t>
        </is>
      </c>
      <c r="N22" s="245" t="inlineStr">
        <is>
          <t>21.01.2026</t>
        </is>
      </c>
      <c r="O22" s="245" t="inlineStr">
        <is>
          <t>UKIM Faculty of Pharmacy — Center for Natural Products</t>
        </is>
      </c>
      <c r="P22" s="250" t="inlineStr">
        <is>
          <t>For information. This result is in the release register and on the tracker; no certificate of quality for the lot cites it. Where the lot appears in the two checks above, that is why.</t>
        </is>
      </c>
    </row>
    <row r="23">
      <c r="A23" s="250" t="inlineStr">
        <is>
          <t>on file, on no certificate</t>
        </is>
      </c>
      <c r="B23" s="245" t="inlineStr">
        <is>
          <t>AB092501</t>
        </is>
      </c>
      <c r="C23" s="245" t="inlineStr">
        <is>
          <t>P060052</t>
        </is>
      </c>
      <c r="D23" s="245" t="inlineStr"/>
      <c r="E23" s="245" t="inlineStr">
        <is>
          <t>UKIM CNP potency</t>
        </is>
      </c>
      <c r="F23" s="245" t="inlineStr"/>
      <c r="G23" s="245" t="inlineStr">
        <is>
          <t>8</t>
        </is>
      </c>
      <c r="H23" s="245" t="inlineStr">
        <is>
          <t>Loss on drying</t>
        </is>
      </c>
      <c r="I23" s="245" t="inlineStr"/>
      <c r="J23" s="245" t="inlineStr"/>
      <c r="K23" s="245" t="inlineStr"/>
      <c r="L23" s="245" t="inlineStr">
        <is>
          <t>6.77</t>
        </is>
      </c>
      <c r="M23" s="245" t="inlineStr">
        <is>
          <t>PP CoA #037 / ППК26005</t>
        </is>
      </c>
      <c r="N23" s="245" t="inlineStr">
        <is>
          <t>21.01.2026</t>
        </is>
      </c>
      <c r="O23" s="245" t="inlineStr">
        <is>
          <t>UKIM Faculty of Pharmacy — Center for Natural Products</t>
        </is>
      </c>
      <c r="P23" s="250" t="inlineStr">
        <is>
          <t>For information. This result is in the release register and on the tracker; no certificate of quality for the lot cites it. Where the lot appears in the two checks above, that is why.</t>
        </is>
      </c>
    </row>
    <row r="24">
      <c r="A24" s="250" t="inlineStr">
        <is>
          <t>on file, on no certificate</t>
        </is>
      </c>
      <c r="B24" s="245" t="inlineStr">
        <is>
          <t>BSS052501</t>
        </is>
      </c>
      <c r="C24" s="245" t="inlineStr">
        <is>
          <t>P050192</t>
        </is>
      </c>
      <c r="D24" s="245" t="inlineStr"/>
      <c r="E24" s="245" t="inlineStr">
        <is>
          <t>Purely Plant in-house</t>
        </is>
      </c>
      <c r="F24" s="245" t="inlineStr"/>
      <c r="G24" s="245" t="inlineStr">
        <is>
          <t>4</t>
        </is>
      </c>
      <c r="H24" s="245" t="inlineStr">
        <is>
          <t>Total Δ9-THC</t>
        </is>
      </c>
      <c r="I24" s="245" t="inlineStr"/>
      <c r="J24" s="245" t="inlineStr"/>
      <c r="K24" s="245" t="inlineStr"/>
      <c r="L24" s="245" t="inlineStr">
        <is>
          <t>20.39</t>
        </is>
      </c>
      <c r="M24" s="245" t="inlineStr">
        <is>
          <t>In-house GC cross-check NGP/QCG/SOP-024</t>
        </is>
      </c>
      <c r="N24" s="245" t="inlineStr">
        <is>
          <t>28.11.2025</t>
        </is>
      </c>
      <c r="O24" s="245" t="inlineStr">
        <is>
          <t>Purely Plant GmbH (in-house)</t>
        </is>
      </c>
      <c r="P24" s="250" t="inlineStr">
        <is>
          <t>For information. This result is in the release register and on the tracker; no certificate of quality for the lot cites it. Where the lot appears in the two checks above, that is why.</t>
        </is>
      </c>
    </row>
    <row r="25">
      <c r="A25" s="250" t="inlineStr">
        <is>
          <t>on file, on no certificate</t>
        </is>
      </c>
      <c r="B25" s="245" t="inlineStr">
        <is>
          <t>BSS052501</t>
        </is>
      </c>
      <c r="C25" s="245" t="inlineStr">
        <is>
          <t>P050192</t>
        </is>
      </c>
      <c r="D25" s="245" t="inlineStr"/>
      <c r="E25" s="245" t="inlineStr">
        <is>
          <t>Purely Plant in-house</t>
        </is>
      </c>
      <c r="F25" s="245" t="inlineStr"/>
      <c r="G25" s="245" t="inlineStr">
        <is>
          <t>5</t>
        </is>
      </c>
      <c r="H25" s="245" t="inlineStr">
        <is>
          <t>Total CBD</t>
        </is>
      </c>
      <c r="I25" s="245" t="inlineStr"/>
      <c r="J25" s="245" t="inlineStr"/>
      <c r="K25" s="245" t="inlineStr"/>
      <c r="L25" s="245" t="inlineStr">
        <is>
          <t>0.11</t>
        </is>
      </c>
      <c r="M25" s="245" t="inlineStr">
        <is>
          <t>In-house GC cross-check NGP/QCG/SOP-024</t>
        </is>
      </c>
      <c r="N25" s="245" t="inlineStr">
        <is>
          <t>28.11.2025</t>
        </is>
      </c>
      <c r="O25" s="245" t="inlineStr">
        <is>
          <t>Purely Plant GmbH (in-house)</t>
        </is>
      </c>
      <c r="P25" s="250" t="inlineStr">
        <is>
          <t>For information. This result is in the release register and on the tracker; no certificate of quality for the lot cites it. Where the lot appears in the two checks above, that is why.</t>
        </is>
      </c>
    </row>
    <row r="26">
      <c r="A26" s="250" t="inlineStr">
        <is>
          <t>on file, on no certificate</t>
        </is>
      </c>
      <c r="B26" s="245" t="inlineStr">
        <is>
          <t>BSS052501</t>
        </is>
      </c>
      <c r="C26" s="245" t="inlineStr">
        <is>
          <t>P050192</t>
        </is>
      </c>
      <c r="D26" s="245" t="inlineStr"/>
      <c r="E26" s="245" t="inlineStr">
        <is>
          <t>Purely Plant in-house</t>
        </is>
      </c>
      <c r="F26" s="245" t="inlineStr"/>
      <c r="G26" s="245" t="inlineStr">
        <is>
          <t>8</t>
        </is>
      </c>
      <c r="H26" s="245" t="inlineStr">
        <is>
          <t>Loss on drying</t>
        </is>
      </c>
      <c r="I26" s="245" t="inlineStr"/>
      <c r="J26" s="245" t="inlineStr"/>
      <c r="K26" s="245" t="inlineStr"/>
      <c r="L26" s="245" t="inlineStr">
        <is>
          <t>8.60</t>
        </is>
      </c>
      <c r="M26" s="245" t="inlineStr">
        <is>
          <t>In-house GC cross-check NGP/QCG/SOP-024</t>
        </is>
      </c>
      <c r="N26" s="245" t="inlineStr">
        <is>
          <t>28.11.2025</t>
        </is>
      </c>
      <c r="O26" s="245" t="inlineStr">
        <is>
          <t>Purely Plant GmbH (in-house)</t>
        </is>
      </c>
      <c r="P26" s="250" t="inlineStr">
        <is>
          <t>For information. This result is in the release register and on the tracker; no certificate of quality for the lot cites it. Where the lot appears in the two checks above, that is why.</t>
        </is>
      </c>
    </row>
    <row r="27">
      <c r="A27" s="250" t="inlineStr">
        <is>
          <t>on file, on no certificate</t>
        </is>
      </c>
      <c r="B27" s="245" t="inlineStr">
        <is>
          <t>CLE072501</t>
        </is>
      </c>
      <c r="C27" s="245" t="inlineStr">
        <is>
          <t>P050282</t>
        </is>
      </c>
      <c r="D27" s="245" t="inlineStr"/>
      <c r="E27" s="245" t="inlineStr">
        <is>
          <t>UKIM CNP potency</t>
        </is>
      </c>
      <c r="F27" s="245" t="inlineStr"/>
      <c r="G27" s="245" t="inlineStr">
        <is>
          <t>4</t>
        </is>
      </c>
      <c r="H27" s="245" t="inlineStr">
        <is>
          <t>Total Δ9-THC</t>
        </is>
      </c>
      <c r="I27" s="245" t="inlineStr"/>
      <c r="J27" s="245" t="inlineStr"/>
      <c r="K27" s="245" t="inlineStr"/>
      <c r="L27" s="245" t="inlineStr">
        <is>
          <t>8.02</t>
        </is>
      </c>
      <c r="M27" s="245" t="inlineStr">
        <is>
          <t>PP CoA #027 / ППК25370</t>
        </is>
      </c>
      <c r="N27" s="245" t="inlineStr">
        <is>
          <t>21.01.2026</t>
        </is>
      </c>
      <c r="O27" s="245" t="inlineStr">
        <is>
          <t>UKIM Faculty of Pharmacy — Center for Natural Products</t>
        </is>
      </c>
      <c r="P27" s="250" t="inlineStr">
        <is>
          <t>For information. This result is in the release register and on the tracker; no certificate of quality for the lot cites it. Where the lot appears in the two checks above, that is why.</t>
        </is>
      </c>
    </row>
    <row r="28">
      <c r="A28" s="250" t="inlineStr">
        <is>
          <t>on file, on no certificate</t>
        </is>
      </c>
      <c r="B28" s="245" t="inlineStr">
        <is>
          <t>CLE072501</t>
        </is>
      </c>
      <c r="C28" s="245" t="inlineStr">
        <is>
          <t>P050282</t>
        </is>
      </c>
      <c r="D28" s="245" t="inlineStr"/>
      <c r="E28" s="245" t="inlineStr">
        <is>
          <t>UKIM CNP potency</t>
        </is>
      </c>
      <c r="F28" s="245" t="inlineStr"/>
      <c r="G28" s="245" t="inlineStr">
        <is>
          <t>5</t>
        </is>
      </c>
      <c r="H28" s="245" t="inlineStr">
        <is>
          <t>Total CBD</t>
        </is>
      </c>
      <c r="I28" s="245" t="inlineStr"/>
      <c r="J28" s="245" t="inlineStr"/>
      <c r="K28" s="245" t="inlineStr"/>
      <c r="L28" s="245" t="inlineStr">
        <is>
          <t>0.04</t>
        </is>
      </c>
      <c r="M28" s="245" t="inlineStr">
        <is>
          <t>PP CoA #027 / ППК25370</t>
        </is>
      </c>
      <c r="N28" s="245" t="inlineStr">
        <is>
          <t>21.01.2026</t>
        </is>
      </c>
      <c r="O28" s="245" t="inlineStr">
        <is>
          <t>UKIM Faculty of Pharmacy — Center for Natural Products</t>
        </is>
      </c>
      <c r="P28" s="250" t="inlineStr">
        <is>
          <t>For information. This result is in the release register and on the tracker; no certificate of quality for the lot cites it. Where the lot appears in the two checks above, that is why.</t>
        </is>
      </c>
    </row>
    <row r="29">
      <c r="A29" s="250" t="inlineStr">
        <is>
          <t>on file, on no certificate</t>
        </is>
      </c>
      <c r="B29" s="245" t="inlineStr">
        <is>
          <t>CLE072501</t>
        </is>
      </c>
      <c r="C29" s="245" t="inlineStr">
        <is>
          <t>P050282</t>
        </is>
      </c>
      <c r="D29" s="245" t="inlineStr"/>
      <c r="E29" s="245" t="inlineStr">
        <is>
          <t>UKIM CNP potency</t>
        </is>
      </c>
      <c r="F29" s="245" t="inlineStr"/>
      <c r="G29" s="245" t="inlineStr">
        <is>
          <t>8</t>
        </is>
      </c>
      <c r="H29" s="245" t="inlineStr">
        <is>
          <t>Loss on drying</t>
        </is>
      </c>
      <c r="I29" s="245" t="inlineStr"/>
      <c r="J29" s="245" t="inlineStr"/>
      <c r="K29" s="245" t="inlineStr"/>
      <c r="L29" s="245" t="inlineStr">
        <is>
          <t>9.68</t>
        </is>
      </c>
      <c r="M29" s="245" t="inlineStr">
        <is>
          <t>PP CoA #027 / ППК25370</t>
        </is>
      </c>
      <c r="N29" s="245" t="inlineStr">
        <is>
          <t>21.01.2026</t>
        </is>
      </c>
      <c r="O29" s="245" t="inlineStr">
        <is>
          <t>UKIM Faculty of Pharmacy — Center for Natural Products</t>
        </is>
      </c>
      <c r="P29" s="250" t="inlineStr">
        <is>
          <t>For information. This result is in the release register and on the tracker; no certificate of quality for the lot cites it. Where the lot appears in the two checks above, that is why.</t>
        </is>
      </c>
    </row>
    <row r="30">
      <c r="A30" s="250" t="inlineStr">
        <is>
          <t>on file, on no certificate</t>
        </is>
      </c>
      <c r="B30" s="245" t="inlineStr">
        <is>
          <t>GP062501</t>
        </is>
      </c>
      <c r="C30" s="245" t="inlineStr">
        <is>
          <t>P050202</t>
        </is>
      </c>
      <c r="D30" s="245" t="inlineStr"/>
      <c r="E30" s="245" t="inlineStr">
        <is>
          <t>IPH microbiology</t>
        </is>
      </c>
      <c r="F30" s="245" t="inlineStr"/>
      <c r="G30" s="245" t="inlineStr">
        <is>
          <t>9.1</t>
        </is>
      </c>
      <c r="H30" s="245" t="inlineStr">
        <is>
          <t>TAMC</t>
        </is>
      </c>
      <c r="I30" s="245" t="inlineStr"/>
      <c r="J30" s="245" t="inlineStr"/>
      <c r="K30" s="245" t="inlineStr"/>
      <c r="L30" s="245" t="inlineStr">
        <is>
          <t>600</t>
        </is>
      </c>
      <c r="M30" s="245" t="inlineStr">
        <is>
          <t>1155/2056/25</t>
        </is>
      </c>
      <c r="N30" s="245" t="inlineStr">
        <is>
          <t>24.11.2025</t>
        </is>
      </c>
      <c r="O30" s="245" t="inlineStr">
        <is>
          <t>IPH — Institute of Public Health</t>
        </is>
      </c>
      <c r="P30" s="250" t="inlineStr">
        <is>
          <t>For information. This result is in the release register and on the tracker; no certificate of quality for the lot cites it. Where the lot appears in the two checks above, that is why.</t>
        </is>
      </c>
    </row>
    <row r="31">
      <c r="A31" s="250" t="inlineStr">
        <is>
          <t>on file, on no certificate</t>
        </is>
      </c>
      <c r="B31" s="245" t="inlineStr">
        <is>
          <t>GP062501</t>
        </is>
      </c>
      <c r="C31" s="245" t="inlineStr">
        <is>
          <t>P050202</t>
        </is>
      </c>
      <c r="D31" s="245" t="inlineStr"/>
      <c r="E31" s="245" t="inlineStr">
        <is>
          <t>IPH microbiology</t>
        </is>
      </c>
      <c r="F31" s="245" t="inlineStr"/>
      <c r="G31" s="245" t="inlineStr">
        <is>
          <t>9.2</t>
        </is>
      </c>
      <c r="H31" s="245" t="inlineStr">
        <is>
          <t>TYMC</t>
        </is>
      </c>
      <c r="I31" s="245" t="inlineStr"/>
      <c r="J31" s="245" t="inlineStr"/>
      <c r="K31" s="245" t="inlineStr"/>
      <c r="L31" s="245" t="inlineStr">
        <is>
          <t>400</t>
        </is>
      </c>
      <c r="M31" s="245" t="inlineStr">
        <is>
          <t>1155/2056/25</t>
        </is>
      </c>
      <c r="N31" s="245" t="inlineStr">
        <is>
          <t>24.11.2025</t>
        </is>
      </c>
      <c r="O31" s="245" t="inlineStr">
        <is>
          <t>IPH — Institute of Public Health</t>
        </is>
      </c>
      <c r="P31" s="250" t="inlineStr">
        <is>
          <t>For information. This result is in the release register and on the tracker; no certificate of quality for the lot cites it. Where the lot appears in the two checks above, that is why.</t>
        </is>
      </c>
    </row>
    <row r="32">
      <c r="A32" s="250" t="inlineStr">
        <is>
          <t>on file, on no certificate</t>
        </is>
      </c>
      <c r="B32" s="245" t="inlineStr">
        <is>
          <t>GP062501</t>
        </is>
      </c>
      <c r="C32" s="245" t="inlineStr">
        <is>
          <t>P050202</t>
        </is>
      </c>
      <c r="D32" s="245" t="inlineStr"/>
      <c r="E32" s="245" t="inlineStr">
        <is>
          <t>IPH microbiology</t>
        </is>
      </c>
      <c r="F32" s="245" t="inlineStr"/>
      <c r="G32" s="245" t="inlineStr">
        <is>
          <t>9.3</t>
        </is>
      </c>
      <c r="H32" s="245" t="inlineStr">
        <is>
          <t>Bile-tolerant GNB</t>
        </is>
      </c>
      <c r="I32" s="245" t="inlineStr"/>
      <c r="J32" s="245" t="inlineStr"/>
      <c r="K32" s="245" t="inlineStr"/>
      <c r="L32" s="245" t="inlineStr">
        <is>
          <t>&lt; 10</t>
        </is>
      </c>
      <c r="M32" s="245" t="inlineStr">
        <is>
          <t>1155/2056/25</t>
        </is>
      </c>
      <c r="N32" s="245" t="inlineStr">
        <is>
          <t>24.11.2025</t>
        </is>
      </c>
      <c r="O32" s="245" t="inlineStr">
        <is>
          <t>IPH — Institute of Public Health</t>
        </is>
      </c>
      <c r="P32" s="250" t="inlineStr">
        <is>
          <t>For information. This result is in the release register and on the tracker; no certificate of quality for the lot cites it. Where the lot appears in the two checks above, that is why.</t>
        </is>
      </c>
    </row>
    <row r="33">
      <c r="A33" s="250" t="inlineStr">
        <is>
          <t>on file, on no certificate</t>
        </is>
      </c>
      <c r="B33" s="245" t="inlineStr">
        <is>
          <t>GP062501</t>
        </is>
      </c>
      <c r="C33" s="245" t="inlineStr">
        <is>
          <t>P050202</t>
        </is>
      </c>
      <c r="D33" s="245" t="inlineStr"/>
      <c r="E33" s="245" t="inlineStr">
        <is>
          <t>IPH microbiology</t>
        </is>
      </c>
      <c r="F33" s="245" t="inlineStr"/>
      <c r="G33" s="245" t="inlineStr">
        <is>
          <t>9.4</t>
        </is>
      </c>
      <c r="H33" s="245" t="inlineStr">
        <is>
          <t>Salmonella</t>
        </is>
      </c>
      <c r="I33" s="245" t="inlineStr"/>
      <c r="J33" s="245" t="inlineStr"/>
      <c r="K33" s="245" t="inlineStr"/>
      <c r="L33" s="245" t="inlineStr">
        <is>
          <t>Odgovara (Absent)</t>
        </is>
      </c>
      <c r="M33" s="245" t="inlineStr">
        <is>
          <t>1155/2056/25</t>
        </is>
      </c>
      <c r="N33" s="245" t="inlineStr">
        <is>
          <t>24.11.2025</t>
        </is>
      </c>
      <c r="O33" s="245" t="inlineStr">
        <is>
          <t>IPH — Institute of Public Health</t>
        </is>
      </c>
      <c r="P33" s="250" t="inlineStr">
        <is>
          <t>For information. This result is in the release register and on the tracker; no certificate of quality for the lot cites it. Where the lot appears in the two checks above, that is why.</t>
        </is>
      </c>
    </row>
    <row r="34">
      <c r="A34" s="250" t="inlineStr">
        <is>
          <t>on file, on no certificate</t>
        </is>
      </c>
      <c r="B34" s="245" t="inlineStr">
        <is>
          <t>GP062501</t>
        </is>
      </c>
      <c r="C34" s="245" t="inlineStr">
        <is>
          <t>P050202</t>
        </is>
      </c>
      <c r="D34" s="245" t="inlineStr"/>
      <c r="E34" s="245" t="inlineStr">
        <is>
          <t>IPH microbiology</t>
        </is>
      </c>
      <c r="F34" s="245" t="inlineStr"/>
      <c r="G34" s="245" t="inlineStr">
        <is>
          <t>9.5</t>
        </is>
      </c>
      <c r="H34" s="245" t="inlineStr">
        <is>
          <t>E. coli</t>
        </is>
      </c>
      <c r="I34" s="245" t="inlineStr"/>
      <c r="J34" s="245" t="inlineStr"/>
      <c r="K34" s="245" t="inlineStr"/>
      <c r="L34" s="245" t="inlineStr">
        <is>
          <t>Odgovara (Absent)</t>
        </is>
      </c>
      <c r="M34" s="245" t="inlineStr">
        <is>
          <t>1155/2056/25</t>
        </is>
      </c>
      <c r="N34" s="245" t="inlineStr">
        <is>
          <t>24.11.2025</t>
        </is>
      </c>
      <c r="O34" s="245" t="inlineStr">
        <is>
          <t>IPH — Institute of Public Health</t>
        </is>
      </c>
      <c r="P34" s="250" t="inlineStr">
        <is>
          <t>For information. This result is in the release register and on the tracker; no certificate of quality for the lot cites it. Where the lot appears in the two checks above, that is why.</t>
        </is>
      </c>
    </row>
    <row r="35">
      <c r="A35" s="250" t="inlineStr">
        <is>
          <t>on file, on no certificate</t>
        </is>
      </c>
      <c r="B35" s="245" t="inlineStr">
        <is>
          <t>GP062501</t>
        </is>
      </c>
      <c r="C35" s="245" t="inlineStr">
        <is>
          <t>P050202</t>
        </is>
      </c>
      <c r="D35" s="245" t="inlineStr"/>
      <c r="E35" s="245" t="inlineStr">
        <is>
          <t>Purely Plant in-house</t>
        </is>
      </c>
      <c r="F35" s="245" t="inlineStr"/>
      <c r="G35" s="245" t="inlineStr">
        <is>
          <t>4</t>
        </is>
      </c>
      <c r="H35" s="245" t="inlineStr">
        <is>
          <t>Total Δ9-THC</t>
        </is>
      </c>
      <c r="I35" s="245" t="inlineStr"/>
      <c r="J35" s="245" t="inlineStr"/>
      <c r="K35" s="245" t="inlineStr"/>
      <c r="L35" s="245" t="inlineStr">
        <is>
          <t>24.89</t>
        </is>
      </c>
      <c r="M35" s="245" t="inlineStr">
        <is>
          <t>In-house HPLC cross-check NPCCC/SCP-02, NGP/QCG/SOP-024</t>
        </is>
      </c>
      <c r="N35" s="245" t="inlineStr">
        <is>
          <t>28.11.2025</t>
        </is>
      </c>
      <c r="O35" s="245" t="inlineStr">
        <is>
          <t>Purely Plant GmbH (in-house)</t>
        </is>
      </c>
      <c r="P35" s="250" t="inlineStr">
        <is>
          <t>For information. This result is in the release register and on the tracker; no certificate of quality for the lot cites it. Where the lot appears in the two checks above, that is why.</t>
        </is>
      </c>
    </row>
    <row r="36">
      <c r="A36" s="250" t="inlineStr">
        <is>
          <t>on file, on no certificate</t>
        </is>
      </c>
      <c r="B36" s="245" t="inlineStr">
        <is>
          <t>GP062501</t>
        </is>
      </c>
      <c r="C36" s="245" t="inlineStr">
        <is>
          <t>P050202</t>
        </is>
      </c>
      <c r="D36" s="245" t="inlineStr"/>
      <c r="E36" s="245" t="inlineStr">
        <is>
          <t>Purely Plant in-house</t>
        </is>
      </c>
      <c r="F36" s="245" t="inlineStr"/>
      <c r="G36" s="245" t="inlineStr">
        <is>
          <t>5</t>
        </is>
      </c>
      <c r="H36" s="245" t="inlineStr">
        <is>
          <t>Total CBD</t>
        </is>
      </c>
      <c r="I36" s="245" t="inlineStr"/>
      <c r="J36" s="245" t="inlineStr"/>
      <c r="K36" s="245" t="inlineStr"/>
      <c r="L36" s="245" t="inlineStr">
        <is>
          <t>0.17</t>
        </is>
      </c>
      <c r="M36" s="245" t="inlineStr">
        <is>
          <t>In-house HPLC cross-check NPCCC/SCP-02, NGP/QCG/SOP-024</t>
        </is>
      </c>
      <c r="N36" s="245" t="inlineStr">
        <is>
          <t>28.11.2025</t>
        </is>
      </c>
      <c r="O36" s="245" t="inlineStr">
        <is>
          <t>Purely Plant GmbH (in-house)</t>
        </is>
      </c>
      <c r="P36" s="250" t="inlineStr">
        <is>
          <t>For information. This result is in the release register and on the tracker; no certificate of quality for the lot cites it. Where the lot appears in the two checks above, that is why.</t>
        </is>
      </c>
    </row>
    <row r="37">
      <c r="A37" s="250" t="inlineStr">
        <is>
          <t>on file, on no certificate</t>
        </is>
      </c>
      <c r="B37" s="245" t="inlineStr">
        <is>
          <t>GP062501</t>
        </is>
      </c>
      <c r="C37" s="245" t="inlineStr">
        <is>
          <t>P050202</t>
        </is>
      </c>
      <c r="D37" s="245" t="inlineStr"/>
      <c r="E37" s="245" t="inlineStr">
        <is>
          <t>Purely Plant in-house</t>
        </is>
      </c>
      <c r="F37" s="245" t="inlineStr"/>
      <c r="G37" s="245" t="inlineStr">
        <is>
          <t>8</t>
        </is>
      </c>
      <c r="H37" s="245" t="inlineStr">
        <is>
          <t>Loss on drying</t>
        </is>
      </c>
      <c r="I37" s="245" t="inlineStr"/>
      <c r="J37" s="245" t="inlineStr"/>
      <c r="K37" s="245" t="inlineStr"/>
      <c r="L37" s="245" t="inlineStr">
        <is>
          <t>8.19 (avg of 4 weighings 51-1,51-2,52-1,52-2)</t>
        </is>
      </c>
      <c r="M37" s="245" t="inlineStr">
        <is>
          <t>In-house HPLC cross-check NPCCC/SCP-02, NGP/QCG/SOP-024</t>
        </is>
      </c>
      <c r="N37" s="245" t="inlineStr">
        <is>
          <t>28.11.2025</t>
        </is>
      </c>
      <c r="O37" s="245" t="inlineStr">
        <is>
          <t>Purely Plant GmbH (in-house)</t>
        </is>
      </c>
      <c r="P37" s="250" t="inlineStr">
        <is>
          <t>For information. This result is in the release register and on the tracker; no certificate of quality for the lot cites it. Where the lot appears in the two checks above, that is why.</t>
        </is>
      </c>
    </row>
    <row r="38">
      <c r="A38" s="250" t="inlineStr">
        <is>
          <t>on file, on no certificate</t>
        </is>
      </c>
      <c r="B38" s="245" t="inlineStr">
        <is>
          <t>GP072501-1</t>
        </is>
      </c>
      <c r="C38" s="245" t="inlineStr">
        <is>
          <t>P050292</t>
        </is>
      </c>
      <c r="D38" s="245" t="inlineStr"/>
      <c r="E38" s="245" t="inlineStr">
        <is>
          <t>UKIM CNP potency</t>
        </is>
      </c>
      <c r="F38" s="245" t="inlineStr"/>
      <c r="G38" s="245" t="inlineStr">
        <is>
          <t>4</t>
        </is>
      </c>
      <c r="H38" s="245" t="inlineStr">
        <is>
          <t>Total Δ9-THC</t>
        </is>
      </c>
      <c r="I38" s="245" t="inlineStr"/>
      <c r="J38" s="245" t="inlineStr"/>
      <c r="K38" s="245" t="inlineStr"/>
      <c r="L38" s="245" t="inlineStr">
        <is>
          <t>21.36</t>
        </is>
      </c>
      <c r="M38" s="245" t="inlineStr">
        <is>
          <t>PP CoA #018 / ППК25378</t>
        </is>
      </c>
      <c r="N38" s="245" t="inlineStr">
        <is>
          <t>21.01.2026</t>
        </is>
      </c>
      <c r="O38" s="245" t="inlineStr">
        <is>
          <t>UKIM Faculty of Pharmacy — Center for Natural Products</t>
        </is>
      </c>
      <c r="P38" s="250" t="inlineStr">
        <is>
          <t>For information. This result is in the release register and on the tracker; no certificate of quality for the lot cites it. Where the lot appears in the two checks above, that is why.</t>
        </is>
      </c>
    </row>
    <row r="39">
      <c r="A39" s="250" t="inlineStr">
        <is>
          <t>on file, on no certificate</t>
        </is>
      </c>
      <c r="B39" s="245" t="inlineStr">
        <is>
          <t>GP072501-1</t>
        </is>
      </c>
      <c r="C39" s="245" t="inlineStr">
        <is>
          <t>P050292</t>
        </is>
      </c>
      <c r="D39" s="245" t="inlineStr"/>
      <c r="E39" s="245" t="inlineStr">
        <is>
          <t>UKIM CNP potency</t>
        </is>
      </c>
      <c r="F39" s="245" t="inlineStr"/>
      <c r="G39" s="245" t="inlineStr">
        <is>
          <t>5</t>
        </is>
      </c>
      <c r="H39" s="245" t="inlineStr">
        <is>
          <t>Total CBD</t>
        </is>
      </c>
      <c r="I39" s="245" t="inlineStr"/>
      <c r="J39" s="245" t="inlineStr"/>
      <c r="K39" s="245" t="inlineStr"/>
      <c r="L39" s="245" t="inlineStr">
        <is>
          <t>0.11</t>
        </is>
      </c>
      <c r="M39" s="245" t="inlineStr">
        <is>
          <t>PP CoA #018 / ППК25378</t>
        </is>
      </c>
      <c r="N39" s="245" t="inlineStr">
        <is>
          <t>21.01.2026</t>
        </is>
      </c>
      <c r="O39" s="245" t="inlineStr">
        <is>
          <t>UKIM Faculty of Pharmacy — Center for Natural Products</t>
        </is>
      </c>
      <c r="P39" s="250" t="inlineStr">
        <is>
          <t>For information. This result is in the release register and on the tracker; no certificate of quality for the lot cites it. Where the lot appears in the two checks above, that is why.</t>
        </is>
      </c>
    </row>
    <row r="40">
      <c r="A40" s="250" t="inlineStr">
        <is>
          <t>on file, on no certificate</t>
        </is>
      </c>
      <c r="B40" s="245" t="inlineStr">
        <is>
          <t>GP072501-1</t>
        </is>
      </c>
      <c r="C40" s="245" t="inlineStr">
        <is>
          <t>P050292</t>
        </is>
      </c>
      <c r="D40" s="245" t="inlineStr"/>
      <c r="E40" s="245" t="inlineStr">
        <is>
          <t>UKIM CNP potency</t>
        </is>
      </c>
      <c r="F40" s="245" t="inlineStr"/>
      <c r="G40" s="245" t="inlineStr">
        <is>
          <t>8</t>
        </is>
      </c>
      <c r="H40" s="245" t="inlineStr">
        <is>
          <t>Loss on drying</t>
        </is>
      </c>
      <c r="I40" s="245" t="inlineStr"/>
      <c r="J40" s="245" t="inlineStr"/>
      <c r="K40" s="245" t="inlineStr"/>
      <c r="L40" s="245" t="inlineStr">
        <is>
          <t>6.62</t>
        </is>
      </c>
      <c r="M40" s="245" t="inlineStr">
        <is>
          <t>PP CoA #018 / ППК25378</t>
        </is>
      </c>
      <c r="N40" s="245" t="inlineStr">
        <is>
          <t>21.01.2026</t>
        </is>
      </c>
      <c r="O40" s="245" t="inlineStr">
        <is>
          <t>UKIM Faculty of Pharmacy — Center for Natural Products</t>
        </is>
      </c>
      <c r="P40" s="250" t="inlineStr">
        <is>
          <t>For information. This result is in the release register and on the tracker; no certificate of quality for the lot cites it. Where the lot appears in the two checks above, that is why.</t>
        </is>
      </c>
    </row>
    <row r="41">
      <c r="A41" s="250" t="inlineStr">
        <is>
          <t>on file, on no certificate</t>
        </is>
      </c>
      <c r="B41" s="245" t="inlineStr">
        <is>
          <t>GP072501-2</t>
        </is>
      </c>
      <c r="C41" s="245" t="inlineStr">
        <is>
          <t>P050302</t>
        </is>
      </c>
      <c r="D41" s="245" t="inlineStr"/>
      <c r="E41" s="245" t="inlineStr">
        <is>
          <t>UKIM CNP potency</t>
        </is>
      </c>
      <c r="F41" s="245" t="inlineStr"/>
      <c r="G41" s="245" t="inlineStr">
        <is>
          <t>4</t>
        </is>
      </c>
      <c r="H41" s="245" t="inlineStr">
        <is>
          <t>Total Δ9-THC</t>
        </is>
      </c>
      <c r="I41" s="245" t="inlineStr"/>
      <c r="J41" s="245" t="inlineStr"/>
      <c r="K41" s="245" t="inlineStr"/>
      <c r="L41" s="245" t="inlineStr">
        <is>
          <t>19.81</t>
        </is>
      </c>
      <c r="M41" s="245" t="inlineStr">
        <is>
          <t>PP CoA #019 / ППК25379</t>
        </is>
      </c>
      <c r="N41" s="245" t="inlineStr">
        <is>
          <t>21.01.2026</t>
        </is>
      </c>
      <c r="O41" s="245" t="inlineStr">
        <is>
          <t>UKIM Faculty of Pharmacy — Center for Natural Products</t>
        </is>
      </c>
      <c r="P41" s="250" t="inlineStr">
        <is>
          <t>For information. This result is in the release register and on the tracker; no certificate of quality for the lot cites it. Where the lot appears in the two checks above, that is why.</t>
        </is>
      </c>
    </row>
    <row r="42">
      <c r="A42" s="250" t="inlineStr">
        <is>
          <t>on file, on no certificate</t>
        </is>
      </c>
      <c r="B42" s="245" t="inlineStr">
        <is>
          <t>GP072501-2</t>
        </is>
      </c>
      <c r="C42" s="245" t="inlineStr">
        <is>
          <t>P050302</t>
        </is>
      </c>
      <c r="D42" s="245" t="inlineStr"/>
      <c r="E42" s="245" t="inlineStr">
        <is>
          <t>UKIM CNP potency</t>
        </is>
      </c>
      <c r="F42" s="245" t="inlineStr"/>
      <c r="G42" s="245" t="inlineStr">
        <is>
          <t>5</t>
        </is>
      </c>
      <c r="H42" s="245" t="inlineStr">
        <is>
          <t>Total CBD</t>
        </is>
      </c>
      <c r="I42" s="245" t="inlineStr"/>
      <c r="J42" s="245" t="inlineStr"/>
      <c r="K42" s="245" t="inlineStr"/>
      <c r="L42" s="245" t="inlineStr">
        <is>
          <t>0.10</t>
        </is>
      </c>
      <c r="M42" s="245" t="inlineStr">
        <is>
          <t>PP CoA #019 / ППК25379</t>
        </is>
      </c>
      <c r="N42" s="245" t="inlineStr">
        <is>
          <t>21.01.2026</t>
        </is>
      </c>
      <c r="O42" s="245" t="inlineStr">
        <is>
          <t>UKIM Faculty of Pharmacy — Center for Natural Products</t>
        </is>
      </c>
      <c r="P42" s="250" t="inlineStr">
        <is>
          <t>For information. This result is in the release register and on the tracker; no certificate of quality for the lot cites it. Where the lot appears in the two checks above, that is why.</t>
        </is>
      </c>
    </row>
    <row r="43">
      <c r="A43" s="250" t="inlineStr">
        <is>
          <t>on file, on no certificate</t>
        </is>
      </c>
      <c r="B43" s="245" t="inlineStr">
        <is>
          <t>GP072501-2</t>
        </is>
      </c>
      <c r="C43" s="245" t="inlineStr">
        <is>
          <t>P050302</t>
        </is>
      </c>
      <c r="D43" s="245" t="inlineStr"/>
      <c r="E43" s="245" t="inlineStr">
        <is>
          <t>UKIM CNP potency</t>
        </is>
      </c>
      <c r="F43" s="245" t="inlineStr"/>
      <c r="G43" s="245" t="inlineStr">
        <is>
          <t>8</t>
        </is>
      </c>
      <c r="H43" s="245" t="inlineStr">
        <is>
          <t>Loss on drying</t>
        </is>
      </c>
      <c r="I43" s="245" t="inlineStr"/>
      <c r="J43" s="245" t="inlineStr"/>
      <c r="K43" s="245" t="inlineStr"/>
      <c r="L43" s="245" t="inlineStr">
        <is>
          <t>7.41</t>
        </is>
      </c>
      <c r="M43" s="245" t="inlineStr">
        <is>
          <t>PP CoA #019 / ППК25379</t>
        </is>
      </c>
      <c r="N43" s="245" t="inlineStr">
        <is>
          <t>21.01.2026</t>
        </is>
      </c>
      <c r="O43" s="245" t="inlineStr">
        <is>
          <t>UKIM Faculty of Pharmacy — Center for Natural Products</t>
        </is>
      </c>
      <c r="P43" s="250" t="inlineStr">
        <is>
          <t>For information. This result is in the release register and on the tracker; no certificate of quality for the lot cites it. Where the lot appears in the two checks above, that is why.</t>
        </is>
      </c>
    </row>
    <row r="44">
      <c r="A44" s="250" t="inlineStr">
        <is>
          <t>on file, on no certificate</t>
        </is>
      </c>
      <c r="B44" s="245" t="inlineStr">
        <is>
          <t>GP0824_02</t>
        </is>
      </c>
      <c r="C44" s="245" t="inlineStr">
        <is>
          <t>P050022</t>
        </is>
      </c>
      <c r="D44" s="245" t="inlineStr"/>
      <c r="E44" s="245" t="inlineStr">
        <is>
          <t>UKIM CNP potency</t>
        </is>
      </c>
      <c r="F44" s="245" t="inlineStr"/>
      <c r="G44" s="245" t="inlineStr">
        <is>
          <t>4</t>
        </is>
      </c>
      <c r="H44" s="245" t="inlineStr">
        <is>
          <t>Total Δ9-THC</t>
        </is>
      </c>
      <c r="I44" s="245" t="inlineStr"/>
      <c r="J44" s="245" t="inlineStr"/>
      <c r="K44" s="245" t="inlineStr"/>
      <c r="L44" s="245" t="inlineStr">
        <is>
          <t>23.19</t>
        </is>
      </c>
      <c r="M44" s="245" t="inlineStr">
        <is>
          <t>ППК25174</t>
        </is>
      </c>
      <c r="N44" s="245" t="inlineStr">
        <is>
          <t>10.07.2025</t>
        </is>
      </c>
      <c r="O44" s="245" t="inlineStr">
        <is>
          <t>UKIM Faculty of Pharmacy — Center for Natural Products</t>
        </is>
      </c>
      <c r="P44" s="250" t="inlineStr">
        <is>
          <t>For information. This result is in the release register and on the tracker; no certificate of quality for the lot cites it. Where the lot appears in the two checks above, that is why.</t>
        </is>
      </c>
    </row>
    <row r="45">
      <c r="A45" s="250" t="inlineStr">
        <is>
          <t>on file, on no certificate</t>
        </is>
      </c>
      <c r="B45" s="245" t="inlineStr">
        <is>
          <t>GP0824_02</t>
        </is>
      </c>
      <c r="C45" s="245" t="inlineStr">
        <is>
          <t>P050022</t>
        </is>
      </c>
      <c r="D45" s="245" t="inlineStr"/>
      <c r="E45" s="245" t="inlineStr">
        <is>
          <t>UKIM CNP potency</t>
        </is>
      </c>
      <c r="F45" s="245" t="inlineStr"/>
      <c r="G45" s="245" t="inlineStr">
        <is>
          <t>5</t>
        </is>
      </c>
      <c r="H45" s="245" t="inlineStr">
        <is>
          <t>Total CBD</t>
        </is>
      </c>
      <c r="I45" s="245" t="inlineStr"/>
      <c r="J45" s="245" t="inlineStr"/>
      <c r="K45" s="245" t="inlineStr"/>
      <c r="L45" s="245" t="inlineStr">
        <is>
          <t>0.07</t>
        </is>
      </c>
      <c r="M45" s="245" t="inlineStr">
        <is>
          <t>ППК25174</t>
        </is>
      </c>
      <c r="N45" s="245" t="inlineStr">
        <is>
          <t>10.07.2025</t>
        </is>
      </c>
      <c r="O45" s="245" t="inlineStr">
        <is>
          <t>UKIM Faculty of Pharmacy — Center for Natural Products</t>
        </is>
      </c>
      <c r="P45" s="250" t="inlineStr">
        <is>
          <t>For information. This result is in the release register and on the tracker; no certificate of quality for the lot cites it. Where the lot appears in the two checks above, that is why.</t>
        </is>
      </c>
    </row>
    <row r="46">
      <c r="A46" s="250" t="inlineStr">
        <is>
          <t>on file, on no certificate</t>
        </is>
      </c>
      <c r="B46" s="245" t="inlineStr">
        <is>
          <t>GP0824_02</t>
        </is>
      </c>
      <c r="C46" s="245" t="inlineStr">
        <is>
          <t>P050022</t>
        </is>
      </c>
      <c r="D46" s="245" t="inlineStr"/>
      <c r="E46" s="245" t="inlineStr">
        <is>
          <t>UKIM CNP potency</t>
        </is>
      </c>
      <c r="F46" s="245" t="inlineStr"/>
      <c r="G46" s="245" t="inlineStr">
        <is>
          <t>8</t>
        </is>
      </c>
      <c r="H46" s="245" t="inlineStr">
        <is>
          <t>Loss on drying</t>
        </is>
      </c>
      <c r="I46" s="245" t="inlineStr"/>
      <c r="J46" s="245" t="inlineStr"/>
      <c r="K46" s="245" t="inlineStr"/>
      <c r="L46" s="245" t="inlineStr">
        <is>
          <t>6.51</t>
        </is>
      </c>
      <c r="M46" s="245" t="inlineStr">
        <is>
          <t>ППК25174</t>
        </is>
      </c>
      <c r="N46" s="245" t="inlineStr">
        <is>
          <t>10.07.2025</t>
        </is>
      </c>
      <c r="O46" s="245" t="inlineStr">
        <is>
          <t>UKIM Faculty of Pharmacy — Center for Natural Products</t>
        </is>
      </c>
      <c r="P46" s="250" t="inlineStr">
        <is>
          <t>For information. This result is in the release register and on the tracker; no certificate of quality for the lot cites it. Where the lot appears in the two checks above, that is why.</t>
        </is>
      </c>
    </row>
    <row r="47">
      <c r="A47" s="250" t="inlineStr">
        <is>
          <t>on file, on no certificate</t>
        </is>
      </c>
      <c r="B47" s="245" t="inlineStr">
        <is>
          <t>GP0824_02</t>
        </is>
      </c>
      <c r="C47" s="245" t="inlineStr">
        <is>
          <t>P050022</t>
        </is>
      </c>
      <c r="D47" s="245" t="inlineStr"/>
      <c r="E47" s="245" t="inlineStr">
        <is>
          <t>IPH mycotoxins, metals, pesticides</t>
        </is>
      </c>
      <c r="F47" s="245" t="inlineStr"/>
      <c r="G47" s="245" t="inlineStr">
        <is>
          <t>10.2</t>
        </is>
      </c>
      <c r="H47" s="245" t="inlineStr">
        <is>
          <t>Aflatoxins Σ</t>
        </is>
      </c>
      <c r="I47" s="245" t="inlineStr"/>
      <c r="J47" s="245" t="inlineStr"/>
      <c r="K47" s="245" t="inlineStr"/>
      <c r="L47" s="245" t="inlineStr">
        <is>
          <t>&lt;2</t>
        </is>
      </c>
      <c r="M47" s="245" t="inlineStr">
        <is>
          <t>3176/2025</t>
        </is>
      </c>
      <c r="N47" s="245" t="inlineStr">
        <is>
          <t>26.06.2025</t>
        </is>
      </c>
      <c r="O47" s="245" t="inlineStr">
        <is>
          <t>IPH — Institute of Public Health</t>
        </is>
      </c>
      <c r="P47" s="250" t="inlineStr">
        <is>
          <t>For information. This result is in the release register and on the tracker; no certificate of quality for the lot cites it. Where the lot appears in the two checks above, that is why.</t>
        </is>
      </c>
    </row>
    <row r="48">
      <c r="A48" s="250" t="inlineStr">
        <is>
          <t>on file, on no certificate</t>
        </is>
      </c>
      <c r="B48" s="245" t="inlineStr">
        <is>
          <t>GP082501-1</t>
        </is>
      </c>
      <c r="C48" s="245" t="inlineStr">
        <is>
          <t>P050312</t>
        </is>
      </c>
      <c r="D48" s="245" t="inlineStr"/>
      <c r="E48" s="245" t="inlineStr">
        <is>
          <t>UKIM CNP potency</t>
        </is>
      </c>
      <c r="F48" s="245" t="inlineStr"/>
      <c r="G48" s="245" t="inlineStr">
        <is>
          <t>4</t>
        </is>
      </c>
      <c r="H48" s="245" t="inlineStr">
        <is>
          <t>Total Δ9-THC</t>
        </is>
      </c>
      <c r="I48" s="245" t="inlineStr"/>
      <c r="J48" s="245" t="inlineStr"/>
      <c r="K48" s="245" t="inlineStr"/>
      <c r="L48" s="245" t="inlineStr">
        <is>
          <t>21.29</t>
        </is>
      </c>
      <c r="M48" s="245" t="inlineStr">
        <is>
          <t>PP CoA #020 / ППК25380</t>
        </is>
      </c>
      <c r="N48" s="245" t="inlineStr">
        <is>
          <t>21.01.2026</t>
        </is>
      </c>
      <c r="O48" s="245" t="inlineStr">
        <is>
          <t>UKIM Faculty of Pharmacy — Center for Natural Products</t>
        </is>
      </c>
      <c r="P48" s="250" t="inlineStr">
        <is>
          <t>For information. This result is in the release register and on the tracker; no certificate of quality for the lot cites it. Where the lot appears in the two checks above, that is why.</t>
        </is>
      </c>
    </row>
    <row r="49">
      <c r="A49" s="250" t="inlineStr">
        <is>
          <t>on file, on no certificate</t>
        </is>
      </c>
      <c r="B49" s="245" t="inlineStr">
        <is>
          <t>GP082501-1</t>
        </is>
      </c>
      <c r="C49" s="245" t="inlineStr">
        <is>
          <t>P050312</t>
        </is>
      </c>
      <c r="D49" s="245" t="inlineStr"/>
      <c r="E49" s="245" t="inlineStr">
        <is>
          <t>UKIM CNP potency</t>
        </is>
      </c>
      <c r="F49" s="245" t="inlineStr"/>
      <c r="G49" s="245" t="inlineStr">
        <is>
          <t>5</t>
        </is>
      </c>
      <c r="H49" s="245" t="inlineStr">
        <is>
          <t>Total CBD</t>
        </is>
      </c>
      <c r="I49" s="245" t="inlineStr"/>
      <c r="J49" s="245" t="inlineStr"/>
      <c r="K49" s="245" t="inlineStr"/>
      <c r="L49" s="245" t="inlineStr">
        <is>
          <t>0.08</t>
        </is>
      </c>
      <c r="M49" s="245" t="inlineStr">
        <is>
          <t>PP CoA #020 / ППК25380</t>
        </is>
      </c>
      <c r="N49" s="245" t="inlineStr">
        <is>
          <t>21.01.2026</t>
        </is>
      </c>
      <c r="O49" s="245" t="inlineStr">
        <is>
          <t>UKIM Faculty of Pharmacy — Center for Natural Products</t>
        </is>
      </c>
      <c r="P49" s="250" t="inlineStr">
        <is>
          <t>For information. This result is in the release register and on the tracker; no certificate of quality for the lot cites it. Where the lot appears in the two checks above, that is why.</t>
        </is>
      </c>
    </row>
    <row r="50">
      <c r="A50" s="250" t="inlineStr">
        <is>
          <t>on file, on no certificate</t>
        </is>
      </c>
      <c r="B50" s="245" t="inlineStr">
        <is>
          <t>GP082501-1</t>
        </is>
      </c>
      <c r="C50" s="245" t="inlineStr">
        <is>
          <t>P050312</t>
        </is>
      </c>
      <c r="D50" s="245" t="inlineStr"/>
      <c r="E50" s="245" t="inlineStr">
        <is>
          <t>UKIM CNP potency</t>
        </is>
      </c>
      <c r="F50" s="245" t="inlineStr"/>
      <c r="G50" s="245" t="inlineStr">
        <is>
          <t>8</t>
        </is>
      </c>
      <c r="H50" s="245" t="inlineStr">
        <is>
          <t>Loss on drying</t>
        </is>
      </c>
      <c r="I50" s="245" t="inlineStr"/>
      <c r="J50" s="245" t="inlineStr"/>
      <c r="K50" s="245" t="inlineStr"/>
      <c r="L50" s="245" t="inlineStr">
        <is>
          <t>6.29</t>
        </is>
      </c>
      <c r="M50" s="245" t="inlineStr">
        <is>
          <t>PP CoA #020 / ППК25380</t>
        </is>
      </c>
      <c r="N50" s="245" t="inlineStr">
        <is>
          <t>21.01.2026</t>
        </is>
      </c>
      <c r="O50" s="245" t="inlineStr">
        <is>
          <t>UKIM Faculty of Pharmacy — Center for Natural Products</t>
        </is>
      </c>
      <c r="P50" s="250" t="inlineStr">
        <is>
          <t>For information. This result is in the release register and on the tracker; no certificate of quality for the lot cites it. Where the lot appears in the two checks above, that is why.</t>
        </is>
      </c>
    </row>
    <row r="51">
      <c r="A51" s="250" t="inlineStr">
        <is>
          <t>on file, on no certificate</t>
        </is>
      </c>
      <c r="B51" s="245" t="inlineStr">
        <is>
          <t>GP082501-2</t>
        </is>
      </c>
      <c r="C51" s="245" t="inlineStr">
        <is>
          <t>P050322</t>
        </is>
      </c>
      <c r="D51" s="245" t="inlineStr"/>
      <c r="E51" s="245" t="inlineStr">
        <is>
          <t>UKIM CNP potency</t>
        </is>
      </c>
      <c r="F51" s="245" t="inlineStr"/>
      <c r="G51" s="245" t="inlineStr">
        <is>
          <t>4</t>
        </is>
      </c>
      <c r="H51" s="245" t="inlineStr">
        <is>
          <t>Total Δ9-THC</t>
        </is>
      </c>
      <c r="I51" s="245" t="inlineStr"/>
      <c r="J51" s="245" t="inlineStr"/>
      <c r="K51" s="245" t="inlineStr"/>
      <c r="L51" s="245" t="inlineStr">
        <is>
          <t>14.83</t>
        </is>
      </c>
      <c r="M51" s="245" t="inlineStr">
        <is>
          <t>PP CoA #021 / ППК25381</t>
        </is>
      </c>
      <c r="N51" s="245" t="inlineStr">
        <is>
          <t>21.01.2026</t>
        </is>
      </c>
      <c r="O51" s="245" t="inlineStr">
        <is>
          <t>UKIM Faculty of Pharmacy — Center for Natural Products</t>
        </is>
      </c>
      <c r="P51" s="250" t="inlineStr">
        <is>
          <t>For information. This result is in the release register and on the tracker; no certificate of quality for the lot cites it. Where the lot appears in the two checks above, that is why.</t>
        </is>
      </c>
    </row>
    <row r="52">
      <c r="A52" s="250" t="inlineStr">
        <is>
          <t>on file, on no certificate</t>
        </is>
      </c>
      <c r="B52" s="245" t="inlineStr">
        <is>
          <t>GP082501-2</t>
        </is>
      </c>
      <c r="C52" s="245" t="inlineStr">
        <is>
          <t>P050322</t>
        </is>
      </c>
      <c r="D52" s="245" t="inlineStr"/>
      <c r="E52" s="245" t="inlineStr">
        <is>
          <t>UKIM CNP potency</t>
        </is>
      </c>
      <c r="F52" s="245" t="inlineStr"/>
      <c r="G52" s="245" t="inlineStr">
        <is>
          <t>5</t>
        </is>
      </c>
      <c r="H52" s="245" t="inlineStr">
        <is>
          <t>Total CBD</t>
        </is>
      </c>
      <c r="I52" s="245" t="inlineStr"/>
      <c r="J52" s="245" t="inlineStr"/>
      <c r="K52" s="245" t="inlineStr"/>
      <c r="L52" s="245" t="inlineStr">
        <is>
          <t>0.11</t>
        </is>
      </c>
      <c r="M52" s="245" t="inlineStr">
        <is>
          <t>PP CoA #021 / ППК25381</t>
        </is>
      </c>
      <c r="N52" s="245" t="inlineStr">
        <is>
          <t>21.01.2026</t>
        </is>
      </c>
      <c r="O52" s="245" t="inlineStr">
        <is>
          <t>UKIM Faculty of Pharmacy — Center for Natural Products</t>
        </is>
      </c>
      <c r="P52" s="250" t="inlineStr">
        <is>
          <t>For information. This result is in the release register and on the tracker; no certificate of quality for the lot cites it. Where the lot appears in the two checks above, that is why.</t>
        </is>
      </c>
    </row>
    <row r="53">
      <c r="A53" s="250" t="inlineStr">
        <is>
          <t>on file, on no certificate</t>
        </is>
      </c>
      <c r="B53" s="245" t="inlineStr">
        <is>
          <t>GP082501-2</t>
        </is>
      </c>
      <c r="C53" s="245" t="inlineStr">
        <is>
          <t>P050322</t>
        </is>
      </c>
      <c r="D53" s="245" t="inlineStr"/>
      <c r="E53" s="245" t="inlineStr">
        <is>
          <t>UKIM CNP potency</t>
        </is>
      </c>
      <c r="F53" s="245" t="inlineStr"/>
      <c r="G53" s="245" t="inlineStr">
        <is>
          <t>8</t>
        </is>
      </c>
      <c r="H53" s="245" t="inlineStr">
        <is>
          <t>Loss on drying</t>
        </is>
      </c>
      <c r="I53" s="245" t="inlineStr"/>
      <c r="J53" s="245" t="inlineStr"/>
      <c r="K53" s="245" t="inlineStr"/>
      <c r="L53" s="245" t="inlineStr">
        <is>
          <t>6.88</t>
        </is>
      </c>
      <c r="M53" s="245" t="inlineStr">
        <is>
          <t>PP CoA #021 / ППК25381</t>
        </is>
      </c>
      <c r="N53" s="245" t="inlineStr">
        <is>
          <t>21.01.2026</t>
        </is>
      </c>
      <c r="O53" s="245" t="inlineStr">
        <is>
          <t>UKIM Faculty of Pharmacy — Center for Natural Products</t>
        </is>
      </c>
      <c r="P53" s="250" t="inlineStr">
        <is>
          <t>For information. This result is in the release register and on the tracker; no certificate of quality for the lot cites it. Where the lot appears in the two checks above, that is why.</t>
        </is>
      </c>
    </row>
    <row r="54">
      <c r="A54" s="250" t="inlineStr">
        <is>
          <t>on file, on no certificate</t>
        </is>
      </c>
      <c r="B54" s="245" t="inlineStr">
        <is>
          <t>GRC102501-2</t>
        </is>
      </c>
      <c r="C54" s="245" t="inlineStr"/>
      <c r="D54" s="245" t="inlineStr"/>
      <c r="E54" s="245" t="inlineStr">
        <is>
          <t>IPH microbiology</t>
        </is>
      </c>
      <c r="F54" s="245" t="inlineStr"/>
      <c r="G54" s="245" t="inlineStr">
        <is>
          <t>9.1</t>
        </is>
      </c>
      <c r="H54" s="245" t="inlineStr">
        <is>
          <t>TAMC</t>
        </is>
      </c>
      <c r="I54" s="245" t="inlineStr"/>
      <c r="J54" s="245" t="inlineStr"/>
      <c r="K54" s="245" t="inlineStr"/>
      <c r="L54" s="245" t="inlineStr">
        <is>
          <t>2.3×10²</t>
        </is>
      </c>
      <c r="M54" s="245" t="inlineStr">
        <is>
          <t>136/0233/26</t>
        </is>
      </c>
      <c r="N54" s="245" t="inlineStr">
        <is>
          <t>06.03.2026</t>
        </is>
      </c>
      <c r="O54" s="245" t="inlineStr">
        <is>
          <t>IPH — Institute of Public Health</t>
        </is>
      </c>
      <c r="P54" s="250" t="inlineStr">
        <is>
          <t>For information. This result is in the release register and on the tracker; no certificate of quality for the lot cites it. Where the lot appears in the two checks above, that is why.</t>
        </is>
      </c>
    </row>
    <row r="55">
      <c r="A55" s="250" t="inlineStr">
        <is>
          <t>on file, on no certificate</t>
        </is>
      </c>
      <c r="B55" s="245" t="inlineStr">
        <is>
          <t>GRC102501-2</t>
        </is>
      </c>
      <c r="C55" s="245" t="inlineStr"/>
      <c r="D55" s="245" t="inlineStr"/>
      <c r="E55" s="245" t="inlineStr">
        <is>
          <t>IPH microbiology</t>
        </is>
      </c>
      <c r="F55" s="245" t="inlineStr"/>
      <c r="G55" s="245" t="inlineStr">
        <is>
          <t>9.2</t>
        </is>
      </c>
      <c r="H55" s="245" t="inlineStr">
        <is>
          <t>TYMC</t>
        </is>
      </c>
      <c r="I55" s="245" t="inlineStr"/>
      <c r="J55" s="245" t="inlineStr"/>
      <c r="K55" s="245" t="inlineStr"/>
      <c r="L55" s="245" t="inlineStr">
        <is>
          <t>1.3×10²</t>
        </is>
      </c>
      <c r="M55" s="245" t="inlineStr">
        <is>
          <t>136/0233/26</t>
        </is>
      </c>
      <c r="N55" s="245" t="inlineStr">
        <is>
          <t>06.03.2026</t>
        </is>
      </c>
      <c r="O55" s="245" t="inlineStr">
        <is>
          <t>IPH — Institute of Public Health</t>
        </is>
      </c>
      <c r="P55" s="250" t="inlineStr">
        <is>
          <t>For information. This result is in the release register and on the tracker; no certificate of quality for the lot cites it. Where the lot appears in the two checks above, that is why.</t>
        </is>
      </c>
    </row>
    <row r="56">
      <c r="A56" s="250" t="inlineStr">
        <is>
          <t>on file, on no certificate</t>
        </is>
      </c>
      <c r="B56" s="245" t="inlineStr">
        <is>
          <t>GRC102501-2</t>
        </is>
      </c>
      <c r="C56" s="245" t="inlineStr"/>
      <c r="D56" s="245" t="inlineStr"/>
      <c r="E56" s="245" t="inlineStr">
        <is>
          <t>IPH microbiology</t>
        </is>
      </c>
      <c r="F56" s="245" t="inlineStr"/>
      <c r="G56" s="245" t="inlineStr">
        <is>
          <t>9.3</t>
        </is>
      </c>
      <c r="H56" s="245" t="inlineStr">
        <is>
          <t>Bile-tolerant GNB</t>
        </is>
      </c>
      <c r="I56" s="245" t="inlineStr"/>
      <c r="J56" s="245" t="inlineStr"/>
      <c r="K56" s="245" t="inlineStr"/>
      <c r="L56" s="245" t="inlineStr">
        <is>
          <t>&lt; 10</t>
        </is>
      </c>
      <c r="M56" s="245" t="inlineStr">
        <is>
          <t>136/0233/26</t>
        </is>
      </c>
      <c r="N56" s="245" t="inlineStr">
        <is>
          <t>06.03.2026</t>
        </is>
      </c>
      <c r="O56" s="245" t="inlineStr">
        <is>
          <t>IPH — Institute of Public Health</t>
        </is>
      </c>
      <c r="P56" s="250" t="inlineStr">
        <is>
          <t>For information. This result is in the release register and on the tracker; no certificate of quality for the lot cites it. Where the lot appears in the two checks above, that is why.</t>
        </is>
      </c>
    </row>
    <row r="57">
      <c r="A57" s="250" t="inlineStr">
        <is>
          <t>on file, on no certificate</t>
        </is>
      </c>
      <c r="B57" s="245" t="inlineStr">
        <is>
          <t>GRC102501-2</t>
        </is>
      </c>
      <c r="C57" s="245" t="inlineStr"/>
      <c r="D57" s="245" t="inlineStr"/>
      <c r="E57" s="245" t="inlineStr">
        <is>
          <t>IPH microbiology</t>
        </is>
      </c>
      <c r="F57" s="245" t="inlineStr"/>
      <c r="G57" s="245" t="inlineStr">
        <is>
          <t>9.4</t>
        </is>
      </c>
      <c r="H57" s="245" t="inlineStr">
        <is>
          <t>Salmonella</t>
        </is>
      </c>
      <c r="I57" s="245" t="inlineStr"/>
      <c r="J57" s="245" t="inlineStr"/>
      <c r="K57" s="245" t="inlineStr"/>
      <c r="L57" s="245" t="inlineStr">
        <is>
          <t>Одговара</t>
        </is>
      </c>
      <c r="M57" s="245" t="inlineStr">
        <is>
          <t>136/0233/26</t>
        </is>
      </c>
      <c r="N57" s="245" t="inlineStr">
        <is>
          <t>06.03.2026</t>
        </is>
      </c>
      <c r="O57" s="245" t="inlineStr">
        <is>
          <t>IPH — Institute of Public Health</t>
        </is>
      </c>
      <c r="P57" s="250" t="inlineStr">
        <is>
          <t>For information. This result is in the release register and on the tracker; no certificate of quality for the lot cites it. Where the lot appears in the two checks above, that is why.</t>
        </is>
      </c>
    </row>
    <row r="58">
      <c r="A58" s="250" t="inlineStr">
        <is>
          <t>on file, on no certificate</t>
        </is>
      </c>
      <c r="B58" s="245" t="inlineStr">
        <is>
          <t>GRC102501-2</t>
        </is>
      </c>
      <c r="C58" s="245" t="inlineStr"/>
      <c r="D58" s="245" t="inlineStr"/>
      <c r="E58" s="245" t="inlineStr">
        <is>
          <t>IPH microbiology</t>
        </is>
      </c>
      <c r="F58" s="245" t="inlineStr"/>
      <c r="G58" s="245" t="inlineStr">
        <is>
          <t>9.5</t>
        </is>
      </c>
      <c r="H58" s="245" t="inlineStr">
        <is>
          <t>E. coli</t>
        </is>
      </c>
      <c r="I58" s="245" t="inlineStr"/>
      <c r="J58" s="245" t="inlineStr"/>
      <c r="K58" s="245" t="inlineStr"/>
      <c r="L58" s="245" t="inlineStr">
        <is>
          <t>Одговара</t>
        </is>
      </c>
      <c r="M58" s="245" t="inlineStr">
        <is>
          <t>136/0233/26</t>
        </is>
      </c>
      <c r="N58" s="245" t="inlineStr">
        <is>
          <t>06.03.2026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GRC102501-2</t>
        </is>
      </c>
      <c r="C59" s="245" t="inlineStr"/>
      <c r="D59" s="245" t="inlineStr"/>
      <c r="E59" s="245" t="inlineStr">
        <is>
          <t>IPH microbiology</t>
        </is>
      </c>
      <c r="F59" s="245" t="inlineStr"/>
      <c r="G59" s="245" t="inlineStr">
        <is>
          <t>9.2</t>
        </is>
      </c>
      <c r="H59" s="245" t="inlineStr">
        <is>
          <t>TYMC</t>
        </is>
      </c>
      <c r="I59" s="245" t="inlineStr"/>
      <c r="J59" s="245" t="inlineStr"/>
      <c r="K59" s="245" t="inlineStr"/>
      <c r="L59" s="245" t="inlineStr">
        <is>
          <t>1×10²</t>
        </is>
      </c>
      <c r="M59" s="245" t="inlineStr">
        <is>
          <t>76/0119/26</t>
        </is>
      </c>
      <c r="N59" s="245" t="inlineStr">
        <is>
          <t>09.02.2026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GRC102501-2</t>
        </is>
      </c>
      <c r="C60" s="245" t="inlineStr"/>
      <c r="D60" s="245" t="inlineStr"/>
      <c r="E60" s="245" t="inlineStr">
        <is>
          <t>IPH microbiology</t>
        </is>
      </c>
      <c r="F60" s="245" t="inlineStr"/>
      <c r="G60" s="245" t="inlineStr">
        <is>
          <t>9.3</t>
        </is>
      </c>
      <c r="H60" s="245" t="inlineStr">
        <is>
          <t>Bile-tolerant GNB</t>
        </is>
      </c>
      <c r="I60" s="245" t="inlineStr"/>
      <c r="J60" s="245" t="inlineStr"/>
      <c r="K60" s="245" t="inlineStr"/>
      <c r="L60" s="245" t="inlineStr">
        <is>
          <t>&lt; 10</t>
        </is>
      </c>
      <c r="M60" s="245" t="inlineStr">
        <is>
          <t>76/0119/26</t>
        </is>
      </c>
      <c r="N60" s="245" t="inlineStr">
        <is>
          <t>09.02.2026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GRC102501-2</t>
        </is>
      </c>
      <c r="C61" s="245" t="inlineStr"/>
      <c r="D61" s="245" t="inlineStr"/>
      <c r="E61" s="245" t="inlineStr">
        <is>
          <t>IPH microbiology</t>
        </is>
      </c>
      <c r="F61" s="245" t="inlineStr"/>
      <c r="G61" s="245" t="inlineStr">
        <is>
          <t>9.4</t>
        </is>
      </c>
      <c r="H61" s="245" t="inlineStr">
        <is>
          <t>Salmonella</t>
        </is>
      </c>
      <c r="I61" s="245" t="inlineStr"/>
      <c r="J61" s="245" t="inlineStr"/>
      <c r="K61" s="245" t="inlineStr"/>
      <c r="L61" s="245" t="inlineStr">
        <is>
          <t>Одговара (absent)</t>
        </is>
      </c>
      <c r="M61" s="245" t="inlineStr">
        <is>
          <t>76/0119/26</t>
        </is>
      </c>
      <c r="N61" s="245" t="inlineStr">
        <is>
          <t>09.02.2026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GRC102501-2</t>
        </is>
      </c>
      <c r="C62" s="245" t="inlineStr"/>
      <c r="D62" s="245" t="inlineStr"/>
      <c r="E62" s="245" t="inlineStr">
        <is>
          <t>IPH microbiology</t>
        </is>
      </c>
      <c r="F62" s="245" t="inlineStr"/>
      <c r="G62" s="245" t="inlineStr">
        <is>
          <t>9.5</t>
        </is>
      </c>
      <c r="H62" s="245" t="inlineStr">
        <is>
          <t>E. coli</t>
        </is>
      </c>
      <c r="I62" s="245" t="inlineStr"/>
      <c r="J62" s="245" t="inlineStr"/>
      <c r="K62" s="245" t="inlineStr"/>
      <c r="L62" s="245" t="inlineStr">
        <is>
          <t>Одговара (absent)</t>
        </is>
      </c>
      <c r="M62" s="245" t="inlineStr">
        <is>
          <t>76/0119/26</t>
        </is>
      </c>
      <c r="N62" s="245" t="inlineStr">
        <is>
          <t>09.02.2026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GRC102501-2</t>
        </is>
      </c>
      <c r="C63" s="245" t="inlineStr"/>
      <c r="D63" s="245" t="inlineStr"/>
      <c r="E63" s="245" t="inlineStr">
        <is>
          <t>IPH mycotoxins, metals, pesticides</t>
        </is>
      </c>
      <c r="F63" s="245" t="inlineStr"/>
      <c r="G63" s="245" t="inlineStr">
        <is>
          <t>10.2</t>
        </is>
      </c>
      <c r="H63" s="245" t="inlineStr">
        <is>
          <t>Aflatoxins Σ</t>
        </is>
      </c>
      <c r="I63" s="245" t="inlineStr"/>
      <c r="J63" s="245" t="inlineStr"/>
      <c r="K63" s="245" t="inlineStr"/>
      <c r="L63" s="245" t="inlineStr">
        <is>
          <t>&lt;2</t>
        </is>
      </c>
      <c r="M63" s="245" t="inlineStr">
        <is>
          <t>1060/2026</t>
        </is>
      </c>
      <c r="N63" s="245" t="inlineStr">
        <is>
          <t>09.03.2026</t>
        </is>
      </c>
      <c r="O63" s="245" t="inlineStr">
        <is>
          <t>IPH — Institute of Public Health</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GRC102501-2</t>
        </is>
      </c>
      <c r="C64" s="245" t="inlineStr"/>
      <c r="D64" s="245" t="inlineStr"/>
      <c r="E64" s="245" t="inlineStr">
        <is>
          <t>IPH mycotoxins, metals, pesticides</t>
        </is>
      </c>
      <c r="F64" s="245" t="inlineStr"/>
      <c r="G64" s="245" t="inlineStr">
        <is>
          <t>11.1</t>
        </is>
      </c>
      <c r="H64" s="245" t="inlineStr">
        <is>
          <t>Pb</t>
        </is>
      </c>
      <c r="I64" s="245" t="inlineStr"/>
      <c r="J64" s="245" t="inlineStr"/>
      <c r="K64" s="245" t="inlineStr"/>
      <c r="L64" s="245" t="inlineStr">
        <is>
          <t>N.D.</t>
        </is>
      </c>
      <c r="M64" s="245" t="inlineStr">
        <is>
          <t>1060/2026</t>
        </is>
      </c>
      <c r="N64" s="245" t="inlineStr">
        <is>
          <t>09.03.2026</t>
        </is>
      </c>
      <c r="O64" s="245" t="inlineStr">
        <is>
          <t>IPH — Institute of Public Health</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GRC102501-2</t>
        </is>
      </c>
      <c r="C65" s="245" t="inlineStr"/>
      <c r="D65" s="245" t="inlineStr"/>
      <c r="E65" s="245" t="inlineStr">
        <is>
          <t>IPH mycotoxins, metals, pesticides</t>
        </is>
      </c>
      <c r="F65" s="245" t="inlineStr"/>
      <c r="G65" s="245" t="inlineStr">
        <is>
          <t>11.2</t>
        </is>
      </c>
      <c r="H65" s="245" t="inlineStr">
        <is>
          <t>Cd</t>
        </is>
      </c>
      <c r="I65" s="245" t="inlineStr"/>
      <c r="J65" s="245" t="inlineStr"/>
      <c r="K65" s="245" t="inlineStr"/>
      <c r="L65" s="245" t="inlineStr">
        <is>
          <t>N.D.</t>
        </is>
      </c>
      <c r="M65" s="245" t="inlineStr">
        <is>
          <t>1060/2026</t>
        </is>
      </c>
      <c r="N65" s="245" t="inlineStr">
        <is>
          <t>09.03.2026</t>
        </is>
      </c>
      <c r="O65" s="245" t="inlineStr">
        <is>
          <t>IPH — Institute of Public Health</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GRC102501-2</t>
        </is>
      </c>
      <c r="C66" s="245" t="inlineStr"/>
      <c r="D66" s="245" t="inlineStr"/>
      <c r="E66" s="245" t="inlineStr">
        <is>
          <t>IPH mycotoxins, metals, pesticides</t>
        </is>
      </c>
      <c r="F66" s="245" t="inlineStr"/>
      <c r="G66" s="245" t="inlineStr">
        <is>
          <t>11.3</t>
        </is>
      </c>
      <c r="H66" s="245" t="inlineStr">
        <is>
          <t>As</t>
        </is>
      </c>
      <c r="I66" s="245" t="inlineStr"/>
      <c r="J66" s="245" t="inlineStr"/>
      <c r="K66" s="245" t="inlineStr"/>
      <c r="L66" s="245" t="inlineStr">
        <is>
          <t>0.0013</t>
        </is>
      </c>
      <c r="M66" s="245" t="inlineStr">
        <is>
          <t>1060/2026</t>
        </is>
      </c>
      <c r="N66" s="245" t="inlineStr">
        <is>
          <t>09.03.2026</t>
        </is>
      </c>
      <c r="O66" s="245" t="inlineStr">
        <is>
          <t>IPH — Institute of Public Health</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GRC102501-2</t>
        </is>
      </c>
      <c r="C67" s="245" t="inlineStr"/>
      <c r="D67" s="245" t="inlineStr"/>
      <c r="E67" s="245" t="inlineStr">
        <is>
          <t>IPH mycotoxins, metals, pesticides</t>
        </is>
      </c>
      <c r="F67" s="245" t="inlineStr"/>
      <c r="G67" s="245" t="inlineStr">
        <is>
          <t>11.4</t>
        </is>
      </c>
      <c r="H67" s="245" t="inlineStr">
        <is>
          <t>Hg</t>
        </is>
      </c>
      <c r="I67" s="245" t="inlineStr"/>
      <c r="J67" s="245" t="inlineStr"/>
      <c r="K67" s="245" t="inlineStr"/>
      <c r="L67" s="245" t="inlineStr">
        <is>
          <t>N.D.</t>
        </is>
      </c>
      <c r="M67" s="245" t="inlineStr">
        <is>
          <t>1060/2026</t>
        </is>
      </c>
      <c r="N67" s="245" t="inlineStr">
        <is>
          <t>09.03.2026</t>
        </is>
      </c>
      <c r="O67" s="245" t="inlineStr">
        <is>
          <t>IPH — Institute of Public Health</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HPA1024</t>
        </is>
      </c>
      <c r="C68" s="245" t="inlineStr"/>
      <c r="D68" s="245" t="inlineStr"/>
      <c r="E68" s="245" t="inlineStr">
        <is>
          <t>Purely Plant in-house</t>
        </is>
      </c>
      <c r="F68" s="245" t="inlineStr"/>
      <c r="G68" s="245" t="inlineStr">
        <is>
          <t>10.2</t>
        </is>
      </c>
      <c r="H68" s="245" t="inlineStr">
        <is>
          <t>Aflatoxins Σ</t>
        </is>
      </c>
      <c r="I68" s="245" t="inlineStr"/>
      <c r="J68" s="245" t="inlineStr"/>
      <c r="K68" s="245" t="inlineStr"/>
      <c r="L68" s="245" t="inlineStr">
        <is>
          <t>&lt; 2</t>
        </is>
      </c>
      <c r="M68" s="245" t="inlineStr">
        <is>
          <t>n/a — Purely Plant in-house CoA (Batch HPA1024, no certificate/report number printed)</t>
        </is>
      </c>
      <c r="N68" s="245" t="inlineStr">
        <is>
          <t>23.01.2025</t>
        </is>
      </c>
      <c r="O68" s="245" t="inlineStr">
        <is>
          <t>Purely Plant GmbH (in-house)</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HPA1024</t>
        </is>
      </c>
      <c r="C69" s="245" t="inlineStr"/>
      <c r="D69" s="245" t="inlineStr"/>
      <c r="E69" s="245" t="inlineStr">
        <is>
          <t>Purely Plant in-house</t>
        </is>
      </c>
      <c r="F69" s="245" t="inlineStr"/>
      <c r="G69" s="245" t="inlineStr">
        <is>
          <t>11.1</t>
        </is>
      </c>
      <c r="H69" s="245" t="inlineStr">
        <is>
          <t>Pb</t>
        </is>
      </c>
      <c r="I69" s="245" t="inlineStr"/>
      <c r="J69" s="245" t="inlineStr"/>
      <c r="K69" s="245" t="inlineStr"/>
      <c r="L69" s="245" t="inlineStr">
        <is>
          <t>0.02</t>
        </is>
      </c>
      <c r="M69" s="245" t="inlineStr">
        <is>
          <t>n/a — Purely Plant in-house CoA (Batch HPA1024, no certificate/report number printed)</t>
        </is>
      </c>
      <c r="N69" s="245" t="inlineStr">
        <is>
          <t>23.01.2025</t>
        </is>
      </c>
      <c r="O69" s="245" t="inlineStr">
        <is>
          <t>Purely Plant GmbH (in-house)</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HPA1024</t>
        </is>
      </c>
      <c r="C70" s="245" t="inlineStr"/>
      <c r="D70" s="245" t="inlineStr"/>
      <c r="E70" s="245" t="inlineStr">
        <is>
          <t>Purely Plant in-house</t>
        </is>
      </c>
      <c r="F70" s="245" t="inlineStr"/>
      <c r="G70" s="245" t="inlineStr">
        <is>
          <t>11.2</t>
        </is>
      </c>
      <c r="H70" s="245" t="inlineStr">
        <is>
          <t>Cd</t>
        </is>
      </c>
      <c r="I70" s="245" t="inlineStr"/>
      <c r="J70" s="245" t="inlineStr"/>
      <c r="K70" s="245" t="inlineStr"/>
      <c r="L70" s="245" t="inlineStr">
        <is>
          <t>0.013</t>
        </is>
      </c>
      <c r="M70" s="245" t="inlineStr">
        <is>
          <t>n/a — Purely Plant in-house CoA (Batch HPA1024, no certificate/report number printed)</t>
        </is>
      </c>
      <c r="N70" s="245" t="inlineStr">
        <is>
          <t>23.01.2025</t>
        </is>
      </c>
      <c r="O70" s="245" t="inlineStr">
        <is>
          <t>Purely Plant GmbH (in-house)</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HPA1024</t>
        </is>
      </c>
      <c r="C71" s="245" t="inlineStr"/>
      <c r="D71" s="245" t="inlineStr"/>
      <c r="E71" s="245" t="inlineStr">
        <is>
          <t>Purely Plant in-house</t>
        </is>
      </c>
      <c r="F71" s="245" t="inlineStr"/>
      <c r="G71" s="245" t="inlineStr">
        <is>
          <t>11.3</t>
        </is>
      </c>
      <c r="H71" s="245" t="inlineStr">
        <is>
          <t>As</t>
        </is>
      </c>
      <c r="I71" s="245" t="inlineStr"/>
      <c r="J71" s="245" t="inlineStr"/>
      <c r="K71" s="245" t="inlineStr"/>
      <c r="L71" s="245" t="inlineStr">
        <is>
          <t>0.017</t>
        </is>
      </c>
      <c r="M71" s="245" t="inlineStr">
        <is>
          <t>n/a — Purely Plant in-house CoA (Batch HPA1024, no certificate/report number printed)</t>
        </is>
      </c>
      <c r="N71" s="245" t="inlineStr">
        <is>
          <t>23.01.2025</t>
        </is>
      </c>
      <c r="O71" s="245" t="inlineStr">
        <is>
          <t>Purely Plant GmbH (in-house)</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HPA1024</t>
        </is>
      </c>
      <c r="C72" s="245" t="inlineStr"/>
      <c r="D72" s="245" t="inlineStr"/>
      <c r="E72" s="245" t="inlineStr">
        <is>
          <t>Purely Plant in-house</t>
        </is>
      </c>
      <c r="F72" s="245" t="inlineStr"/>
      <c r="G72" s="245" t="inlineStr">
        <is>
          <t>11.4</t>
        </is>
      </c>
      <c r="H72" s="245" t="inlineStr">
        <is>
          <t>Hg</t>
        </is>
      </c>
      <c r="I72" s="245" t="inlineStr"/>
      <c r="J72" s="245" t="inlineStr"/>
      <c r="K72" s="245" t="inlineStr"/>
      <c r="L72" s="245" t="inlineStr">
        <is>
          <t>0.0026</t>
        </is>
      </c>
      <c r="M72" s="245" t="inlineStr">
        <is>
          <t>n/a — Purely Plant in-house CoA (Batch HPA1024, no certificate/report number printed)</t>
        </is>
      </c>
      <c r="N72" s="245" t="inlineStr">
        <is>
          <t>23.01.2025</t>
        </is>
      </c>
      <c r="O72" s="245" t="inlineStr">
        <is>
          <t>Purely Plant GmbH (in-house)</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HPA1024</t>
        </is>
      </c>
      <c r="C73" s="245" t="inlineStr"/>
      <c r="D73" s="245" t="inlineStr"/>
      <c r="E73" s="245" t="inlineStr">
        <is>
          <t>Purely Plant in-house</t>
        </is>
      </c>
      <c r="F73" s="245" t="inlineStr"/>
      <c r="G73" s="245" t="inlineStr">
        <is>
          <t>12</t>
        </is>
      </c>
      <c r="H73" s="245" t="inlineStr">
        <is>
          <t>Pesticides</t>
        </is>
      </c>
      <c r="I73" s="245" t="inlineStr"/>
      <c r="J73" s="245" t="inlineStr"/>
      <c r="K73" s="245" t="inlineStr"/>
      <c r="L73" s="245" t="inlineStr">
        <is>
          <t>N.D.</t>
        </is>
      </c>
      <c r="M73" s="245" t="inlineStr">
        <is>
          <t>n/a — Purely Plant in-house CoA (Batch HPA1024, no certificate/report number printed)</t>
        </is>
      </c>
      <c r="N73" s="245" t="inlineStr">
        <is>
          <t>23.01.2025</t>
        </is>
      </c>
      <c r="O73" s="245" t="inlineStr">
        <is>
          <t>Purely Plant GmbH (in-house)</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HPA1024</t>
        </is>
      </c>
      <c r="C74" s="245" t="inlineStr"/>
      <c r="D74" s="245" t="inlineStr"/>
      <c r="E74" s="245" t="inlineStr">
        <is>
          <t>Purely Plant in-house</t>
        </is>
      </c>
      <c r="F74" s="245" t="inlineStr"/>
      <c r="G74" s="245" t="inlineStr">
        <is>
          <t>4</t>
        </is>
      </c>
      <c r="H74" s="245" t="inlineStr">
        <is>
          <t>Total Δ9-THC</t>
        </is>
      </c>
      <c r="I74" s="245" t="inlineStr"/>
      <c r="J74" s="245" t="inlineStr"/>
      <c r="K74" s="245" t="inlineStr"/>
      <c r="L74" s="245" t="inlineStr">
        <is>
          <t>14.97</t>
        </is>
      </c>
      <c r="M74" s="245" t="inlineStr">
        <is>
          <t>n/a — Purely Plant in-house CoA (Batch HPA1024, no certificate/report number printed)</t>
        </is>
      </c>
      <c r="N74" s="245" t="inlineStr">
        <is>
          <t>23.01.2025</t>
        </is>
      </c>
      <c r="O74" s="245" t="inlineStr">
        <is>
          <t>Purely Plant GmbH (in-house)</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HPA1024</t>
        </is>
      </c>
      <c r="C75" s="245" t="inlineStr"/>
      <c r="D75" s="245" t="inlineStr"/>
      <c r="E75" s="245" t="inlineStr">
        <is>
          <t>Purely Plant in-house</t>
        </is>
      </c>
      <c r="F75" s="245" t="inlineStr"/>
      <c r="G75" s="245" t="inlineStr">
        <is>
          <t>5</t>
        </is>
      </c>
      <c r="H75" s="245" t="inlineStr">
        <is>
          <t>Total CBD</t>
        </is>
      </c>
      <c r="I75" s="245" t="inlineStr"/>
      <c r="J75" s="245" t="inlineStr"/>
      <c r="K75" s="245" t="inlineStr"/>
      <c r="L75" s="245" t="inlineStr">
        <is>
          <t>0.04</t>
        </is>
      </c>
      <c r="M75" s="245" t="inlineStr">
        <is>
          <t>n/a — Purely Plant in-house CoA (Batch HPA1024, no certificate/report number printed)</t>
        </is>
      </c>
      <c r="N75" s="245" t="inlineStr">
        <is>
          <t>23.01.2025</t>
        </is>
      </c>
      <c r="O75" s="245" t="inlineStr">
        <is>
          <t>Purely Plant GmbH (in-house)</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HPA1024</t>
        </is>
      </c>
      <c r="C76" s="245" t="inlineStr"/>
      <c r="D76" s="245" t="inlineStr"/>
      <c r="E76" s="245" t="inlineStr">
        <is>
          <t>Purely Plant in-house</t>
        </is>
      </c>
      <c r="F76" s="245" t="inlineStr"/>
      <c r="G76" s="245" t="inlineStr">
        <is>
          <t>9.1</t>
        </is>
      </c>
      <c r="H76" s="245" t="inlineStr">
        <is>
          <t>TAMC</t>
        </is>
      </c>
      <c r="I76" s="245" t="inlineStr"/>
      <c r="J76" s="245" t="inlineStr"/>
      <c r="K76" s="245" t="inlineStr"/>
      <c r="L76" s="245" t="inlineStr">
        <is>
          <t>5.2·10^4</t>
        </is>
      </c>
      <c r="M76" s="245" t="inlineStr">
        <is>
          <t>n/a — Purely Plant in-house CoA (Batch HPA1024, no certificate/report number printed)</t>
        </is>
      </c>
      <c r="N76" s="245" t="inlineStr">
        <is>
          <t>23.01.2025</t>
        </is>
      </c>
      <c r="O76" s="245" t="inlineStr">
        <is>
          <t>Purely Plant GmbH (in-house)</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HPA1024</t>
        </is>
      </c>
      <c r="C77" s="245" t="inlineStr"/>
      <c r="D77" s="245" t="inlineStr"/>
      <c r="E77" s="245" t="inlineStr">
        <is>
          <t>Purely Plant in-house</t>
        </is>
      </c>
      <c r="F77" s="245" t="inlineStr"/>
      <c r="G77" s="245" t="inlineStr">
        <is>
          <t>9.2</t>
        </is>
      </c>
      <c r="H77" s="245" t="inlineStr">
        <is>
          <t>TYMC</t>
        </is>
      </c>
      <c r="I77" s="245" t="inlineStr"/>
      <c r="J77" s="245" t="inlineStr"/>
      <c r="K77" s="245" t="inlineStr"/>
      <c r="L77" s="245" t="inlineStr">
        <is>
          <t>7·10^2</t>
        </is>
      </c>
      <c r="M77" s="245" t="inlineStr">
        <is>
          <t>n/a — Purely Plant in-house CoA (Batch HPA1024, no certificate/report number printed)</t>
        </is>
      </c>
      <c r="N77" s="245" t="inlineStr">
        <is>
          <t>23.01.2025</t>
        </is>
      </c>
      <c r="O77" s="245" t="inlineStr">
        <is>
          <t>Purely Plant GmbH (in-house)</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HPA1024</t>
        </is>
      </c>
      <c r="C78" s="245" t="inlineStr"/>
      <c r="D78" s="245" t="inlineStr"/>
      <c r="E78" s="245" t="inlineStr">
        <is>
          <t>Purely Plant in-house</t>
        </is>
      </c>
      <c r="F78" s="245" t="inlineStr"/>
      <c r="G78" s="245" t="inlineStr">
        <is>
          <t>9.3</t>
        </is>
      </c>
      <c r="H78" s="245" t="inlineStr">
        <is>
          <t>Bile-tolerant GNB</t>
        </is>
      </c>
      <c r="I78" s="245" t="inlineStr"/>
      <c r="J78" s="245" t="inlineStr"/>
      <c r="K78" s="245" t="inlineStr"/>
      <c r="L78" s="245" t="inlineStr">
        <is>
          <t>&lt;10</t>
        </is>
      </c>
      <c r="M78" s="245" t="inlineStr">
        <is>
          <t>n/a — Purely Plant in-house CoA (Batch HPA1024, no certificate/report number printed)</t>
        </is>
      </c>
      <c r="N78" s="245" t="inlineStr">
        <is>
          <t>23.01.2025</t>
        </is>
      </c>
      <c r="O78" s="245" t="inlineStr">
        <is>
          <t>Purely Plant GmbH (in-house)</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HPA1024</t>
        </is>
      </c>
      <c r="C79" s="245" t="inlineStr"/>
      <c r="D79" s="245" t="inlineStr"/>
      <c r="E79" s="245" t="inlineStr">
        <is>
          <t>Purely Plant in-house</t>
        </is>
      </c>
      <c r="F79" s="245" t="inlineStr"/>
      <c r="G79" s="245" t="inlineStr">
        <is>
          <t>9.4</t>
        </is>
      </c>
      <c r="H79" s="245" t="inlineStr">
        <is>
          <t>Salmonella</t>
        </is>
      </c>
      <c r="I79" s="245" t="inlineStr"/>
      <c r="J79" s="245" t="inlineStr"/>
      <c r="K79" s="245" t="inlineStr"/>
      <c r="L79" s="245" t="inlineStr">
        <is>
          <t>Absent</t>
        </is>
      </c>
      <c r="M79" s="245" t="inlineStr">
        <is>
          <t>n/a — Purely Plant in-house CoA (Batch HPA1024, no certificate/report number printed)</t>
        </is>
      </c>
      <c r="N79" s="245" t="inlineStr">
        <is>
          <t>23.01.2025</t>
        </is>
      </c>
      <c r="O79" s="245" t="inlineStr">
        <is>
          <t>Purely Plant GmbH (in-house)</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HPA1024</t>
        </is>
      </c>
      <c r="C80" s="245" t="inlineStr"/>
      <c r="D80" s="245" t="inlineStr"/>
      <c r="E80" s="245" t="inlineStr">
        <is>
          <t>Purely Plant in-house</t>
        </is>
      </c>
      <c r="F80" s="245" t="inlineStr"/>
      <c r="G80" s="245" t="inlineStr">
        <is>
          <t>9.5</t>
        </is>
      </c>
      <c r="H80" s="245" t="inlineStr">
        <is>
          <t>E. coli</t>
        </is>
      </c>
      <c r="I80" s="245" t="inlineStr"/>
      <c r="J80" s="245" t="inlineStr"/>
      <c r="K80" s="245" t="inlineStr"/>
      <c r="L80" s="245" t="inlineStr">
        <is>
          <t>Absent</t>
        </is>
      </c>
      <c r="M80" s="245" t="inlineStr">
        <is>
          <t>n/a — Purely Plant in-house CoA (Batch HPA1024, no certificate/report number printed)</t>
        </is>
      </c>
      <c r="N80" s="245" t="inlineStr">
        <is>
          <t>23.01.2025</t>
        </is>
      </c>
      <c r="O80" s="245" t="inlineStr">
        <is>
          <t>Purely Plant GmbH (in-house)</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J31112501</t>
        </is>
      </c>
      <c r="C81" s="245" t="inlineStr"/>
      <c r="D81" s="245" t="inlineStr"/>
      <c r="E81" s="245" t="inlineStr">
        <is>
          <t>Farmahem — cannabinoids</t>
        </is>
      </c>
      <c r="F81" s="245" t="inlineStr"/>
      <c r="G81" s="245" t="inlineStr">
        <is>
          <t>4</t>
        </is>
      </c>
      <c r="H81" s="245" t="inlineStr">
        <is>
          <t>Total Δ9-THC</t>
        </is>
      </c>
      <c r="I81" s="245" t="inlineStr"/>
      <c r="J81" s="245" t="inlineStr"/>
      <c r="K81" s="245" t="inlineStr"/>
      <c r="L81" s="245" t="inlineStr">
        <is>
          <t>20.21</t>
        </is>
      </c>
      <c r="M81" s="245" t="inlineStr">
        <is>
          <t>100-1-К/26</t>
        </is>
      </c>
      <c r="N81" s="245" t="inlineStr">
        <is>
          <t>09.04.2026</t>
        </is>
      </c>
      <c r="O81" s="245" t="inlineStr">
        <is>
          <t>Farmahem</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J31112501</t>
        </is>
      </c>
      <c r="C82" s="245" t="inlineStr"/>
      <c r="D82" s="245" t="inlineStr"/>
      <c r="E82" s="245" t="inlineStr">
        <is>
          <t>Farmahem — cannabinoids</t>
        </is>
      </c>
      <c r="F82" s="245" t="inlineStr"/>
      <c r="G82" s="245" t="inlineStr">
        <is>
          <t>5</t>
        </is>
      </c>
      <c r="H82" s="245" t="inlineStr">
        <is>
          <t>Total CBD</t>
        </is>
      </c>
      <c r="I82" s="245" t="inlineStr"/>
      <c r="J82" s="245" t="inlineStr"/>
      <c r="K82" s="245" t="inlineStr"/>
      <c r="L82" s="245" t="inlineStr">
        <is>
          <t>&lt; LOQ (&lt;0.20)</t>
        </is>
      </c>
      <c r="M82" s="245" t="inlineStr">
        <is>
          <t>100-1-К/26</t>
        </is>
      </c>
      <c r="N82" s="245" t="inlineStr">
        <is>
          <t>09.04.2026</t>
        </is>
      </c>
      <c r="O82" s="245" t="inlineStr">
        <is>
          <t>Farmahem</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J31112501</t>
        </is>
      </c>
      <c r="C83" s="245" t="inlineStr"/>
      <c r="D83" s="245" t="inlineStr"/>
      <c r="E83" s="245" t="inlineStr">
        <is>
          <t>Farmahem — cannabinoids</t>
        </is>
      </c>
      <c r="F83" s="245" t="inlineStr"/>
      <c r="G83" s="245" t="inlineStr">
        <is>
          <t>6</t>
        </is>
      </c>
      <c r="H83" s="245" t="inlineStr">
        <is>
          <t>Total CBN</t>
        </is>
      </c>
      <c r="I83" s="245" t="inlineStr"/>
      <c r="J83" s="245" t="inlineStr"/>
      <c r="K83" s="245" t="inlineStr"/>
      <c r="L83" s="245" t="inlineStr">
        <is>
          <t>&lt; LOQ</t>
        </is>
      </c>
      <c r="M83" s="245" t="inlineStr">
        <is>
          <t>100-1-К/26</t>
        </is>
      </c>
      <c r="N83" s="245" t="inlineStr">
        <is>
          <t>09.04.2026</t>
        </is>
      </c>
      <c r="O83" s="245" t="inlineStr">
        <is>
          <t>Farmahem</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J31112501</t>
        </is>
      </c>
      <c r="C84" s="245" t="inlineStr"/>
      <c r="D84" s="245" t="inlineStr"/>
      <c r="E84" s="245" t="inlineStr">
        <is>
          <t>Farmahem — loss on drying</t>
        </is>
      </c>
      <c r="F84" s="245" t="inlineStr"/>
      <c r="G84" s="245" t="inlineStr">
        <is>
          <t>8</t>
        </is>
      </c>
      <c r="H84" s="245" t="inlineStr">
        <is>
          <t>Loss on drying</t>
        </is>
      </c>
      <c r="I84" s="245" t="inlineStr"/>
      <c r="J84" s="245" t="inlineStr"/>
      <c r="K84" s="245" t="inlineStr"/>
      <c r="L84" s="245" t="inlineStr">
        <is>
          <t>7.6</t>
        </is>
      </c>
      <c r="M84" s="245" t="inlineStr">
        <is>
          <t>100-1-ГС/26</t>
        </is>
      </c>
      <c r="N84" s="245" t="inlineStr">
        <is>
          <t>09.04.2026</t>
        </is>
      </c>
      <c r="O84" s="245" t="inlineStr">
        <is>
          <t>Farmahem</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J31122501</t>
        </is>
      </c>
      <c r="C85" s="245" t="inlineStr"/>
      <c r="D85" s="245" t="inlineStr"/>
      <c r="E85" s="245" t="inlineStr">
        <is>
          <t>IPH microbiology</t>
        </is>
      </c>
      <c r="F85" s="245" t="inlineStr"/>
      <c r="G85" s="245" t="inlineStr">
        <is>
          <t>9.1</t>
        </is>
      </c>
      <c r="H85" s="245" t="inlineStr">
        <is>
          <t>TAMC</t>
        </is>
      </c>
      <c r="I85" s="245" t="inlineStr"/>
      <c r="J85" s="245" t="inlineStr"/>
      <c r="K85" s="245" t="inlineStr"/>
      <c r="L85" s="245" t="inlineStr">
        <is>
          <t>1900</t>
        </is>
      </c>
      <c r="M85" s="245" t="inlineStr">
        <is>
          <t>230/0393/26 (Trimiran cvet)</t>
        </is>
      </c>
      <c r="N85" s="245" t="inlineStr">
        <is>
          <t>07.04.2026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J31122501</t>
        </is>
      </c>
      <c r="C86" s="245" t="inlineStr"/>
      <c r="D86" s="245" t="inlineStr"/>
      <c r="E86" s="245" t="inlineStr">
        <is>
          <t>IPH microbiology</t>
        </is>
      </c>
      <c r="F86" s="245" t="inlineStr"/>
      <c r="G86" s="245" t="inlineStr">
        <is>
          <t>9.2</t>
        </is>
      </c>
      <c r="H86" s="245" t="inlineStr">
        <is>
          <t>TYMC</t>
        </is>
      </c>
      <c r="I86" s="245" t="inlineStr"/>
      <c r="J86" s="245" t="inlineStr"/>
      <c r="K86" s="245" t="inlineStr"/>
      <c r="L86" s="245" t="inlineStr">
        <is>
          <t>840</t>
        </is>
      </c>
      <c r="M86" s="245" t="inlineStr">
        <is>
          <t>230/0393/26 (Trimiran cvet)</t>
        </is>
      </c>
      <c r="N86" s="245" t="inlineStr">
        <is>
          <t>07.04.2026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J31122501</t>
        </is>
      </c>
      <c r="C87" s="245" t="inlineStr"/>
      <c r="D87" s="245" t="inlineStr"/>
      <c r="E87" s="245" t="inlineStr">
        <is>
          <t>IPH microbiology</t>
        </is>
      </c>
      <c r="F87" s="245" t="inlineStr"/>
      <c r="G87" s="245" t="inlineStr">
        <is>
          <t>9.3</t>
        </is>
      </c>
      <c r="H87" s="245" t="inlineStr">
        <is>
          <t>Bile-tolerant GNB</t>
        </is>
      </c>
      <c r="I87" s="245" t="inlineStr"/>
      <c r="J87" s="245" t="inlineStr"/>
      <c r="K87" s="245" t="inlineStr"/>
      <c r="L87" s="245" t="inlineStr">
        <is>
          <t>&lt; 10^3 and &gt; 10^2</t>
        </is>
      </c>
      <c r="M87" s="245" t="inlineStr">
        <is>
          <t>230/0393/26 (Trimiran cvet)</t>
        </is>
      </c>
      <c r="N87" s="245" t="inlineStr">
        <is>
          <t>07.04.2026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J31122501</t>
        </is>
      </c>
      <c r="C88" s="245" t="inlineStr"/>
      <c r="D88" s="245" t="inlineStr"/>
      <c r="E88" s="245" t="inlineStr">
        <is>
          <t>IPH microbiology</t>
        </is>
      </c>
      <c r="F88" s="245" t="inlineStr"/>
      <c r="G88" s="245" t="inlineStr">
        <is>
          <t>9.4</t>
        </is>
      </c>
      <c r="H88" s="245" t="inlineStr">
        <is>
          <t>Salmonella</t>
        </is>
      </c>
      <c r="I88" s="245" t="inlineStr"/>
      <c r="J88" s="245" t="inlineStr"/>
      <c r="K88" s="245" t="inlineStr"/>
      <c r="L88" s="245" t="inlineStr">
        <is>
          <t>Одговара (Complies/Absent)</t>
        </is>
      </c>
      <c r="M88" s="245" t="inlineStr">
        <is>
          <t>230/0393/26 (Trimiran cvet)</t>
        </is>
      </c>
      <c r="N88" s="245" t="inlineStr">
        <is>
          <t>07.04.2026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J31122501</t>
        </is>
      </c>
      <c r="C89" s="245" t="inlineStr"/>
      <c r="D89" s="245" t="inlineStr"/>
      <c r="E89" s="245" t="inlineStr">
        <is>
          <t>IPH microbiology</t>
        </is>
      </c>
      <c r="F89" s="245" t="inlineStr"/>
      <c r="G89" s="245" t="inlineStr">
        <is>
          <t>9.5</t>
        </is>
      </c>
      <c r="H89" s="245" t="inlineStr">
        <is>
          <t>E. coli</t>
        </is>
      </c>
      <c r="I89" s="245" t="inlineStr"/>
      <c r="J89" s="245" t="inlineStr"/>
      <c r="K89" s="245" t="inlineStr"/>
      <c r="L89" s="245" t="inlineStr">
        <is>
          <t>Одговара (Complies/Absent)</t>
        </is>
      </c>
      <c r="M89" s="245" t="inlineStr">
        <is>
          <t>230/0393/26 (Trimiran cvet)</t>
        </is>
      </c>
      <c r="N89" s="245" t="inlineStr">
        <is>
          <t>07.04.2026</t>
        </is>
      </c>
      <c r="O89" s="245" t="inlineStr">
        <is>
          <t>IPH — Institute of Public Health</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J31122501</t>
        </is>
      </c>
      <c r="C90" s="245" t="inlineStr"/>
      <c r="D90" s="245" t="inlineStr"/>
      <c r="E90" s="245" t="inlineStr">
        <is>
          <t>Farmahem — cannabinoids</t>
        </is>
      </c>
      <c r="F90" s="245" t="inlineStr"/>
      <c r="G90" s="245" t="inlineStr">
        <is>
          <t>4</t>
        </is>
      </c>
      <c r="H90" s="245" t="inlineStr">
        <is>
          <t>Total Δ9-THC</t>
        </is>
      </c>
      <c r="I90" s="245" t="inlineStr"/>
      <c r="J90" s="245" t="inlineStr"/>
      <c r="K90" s="245" t="inlineStr"/>
      <c r="L90" s="245" t="inlineStr">
        <is>
          <t>21.84</t>
        </is>
      </c>
      <c r="M90" s="245" t="inlineStr">
        <is>
          <t>100-3-К/26</t>
        </is>
      </c>
      <c r="N90" s="245" t="inlineStr">
        <is>
          <t>09.04.2026</t>
        </is>
      </c>
      <c r="O90" s="245" t="inlineStr">
        <is>
          <t>Farmahem</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J31122501</t>
        </is>
      </c>
      <c r="C91" s="245" t="inlineStr"/>
      <c r="D91" s="245" t="inlineStr"/>
      <c r="E91" s="245" t="inlineStr">
        <is>
          <t>Farmahem — cannabinoids</t>
        </is>
      </c>
      <c r="F91" s="245" t="inlineStr"/>
      <c r="G91" s="245" t="inlineStr">
        <is>
          <t>5</t>
        </is>
      </c>
      <c r="H91" s="245" t="inlineStr">
        <is>
          <t>Total CBD</t>
        </is>
      </c>
      <c r="I91" s="245" t="inlineStr"/>
      <c r="J91" s="245" t="inlineStr"/>
      <c r="K91" s="245" t="inlineStr"/>
      <c r="L91" s="245" t="inlineStr">
        <is>
          <t>&lt; LOQ (&lt;0.20)</t>
        </is>
      </c>
      <c r="M91" s="245" t="inlineStr">
        <is>
          <t>100-3-К/26</t>
        </is>
      </c>
      <c r="N91" s="245" t="inlineStr">
        <is>
          <t>09.04.2026</t>
        </is>
      </c>
      <c r="O91" s="245" t="inlineStr">
        <is>
          <t>Farmahem</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J31122501</t>
        </is>
      </c>
      <c r="C92" s="245" t="inlineStr"/>
      <c r="D92" s="245" t="inlineStr"/>
      <c r="E92" s="245" t="inlineStr">
        <is>
          <t>Farmahem — cannabinoids</t>
        </is>
      </c>
      <c r="F92" s="245" t="inlineStr"/>
      <c r="G92" s="245" t="inlineStr">
        <is>
          <t>6</t>
        </is>
      </c>
      <c r="H92" s="245" t="inlineStr">
        <is>
          <t>Total CBN</t>
        </is>
      </c>
      <c r="I92" s="245" t="inlineStr"/>
      <c r="J92" s="245" t="inlineStr"/>
      <c r="K92" s="245" t="inlineStr"/>
      <c r="L92" s="245" t="inlineStr">
        <is>
          <t>&lt; LOQ</t>
        </is>
      </c>
      <c r="M92" s="245" t="inlineStr">
        <is>
          <t>100-3-К/26</t>
        </is>
      </c>
      <c r="N92" s="245" t="inlineStr">
        <is>
          <t>09.04.2026</t>
        </is>
      </c>
      <c r="O92" s="245" t="inlineStr">
        <is>
          <t>Farmahem</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J31122501</t>
        </is>
      </c>
      <c r="C93" s="245" t="inlineStr"/>
      <c r="D93" s="245" t="inlineStr"/>
      <c r="E93" s="245" t="inlineStr">
        <is>
          <t>Farmahem — loss on drying</t>
        </is>
      </c>
      <c r="F93" s="245" t="inlineStr"/>
      <c r="G93" s="245" t="inlineStr">
        <is>
          <t>8</t>
        </is>
      </c>
      <c r="H93" s="245" t="inlineStr">
        <is>
          <t>Loss on drying</t>
        </is>
      </c>
      <c r="I93" s="245" t="inlineStr"/>
      <c r="J93" s="245" t="inlineStr"/>
      <c r="K93" s="245" t="inlineStr"/>
      <c r="L93" s="245" t="inlineStr">
        <is>
          <t>10.3</t>
        </is>
      </c>
      <c r="M93" s="245" t="inlineStr">
        <is>
          <t>100-3-ГС/26</t>
        </is>
      </c>
      <c r="N93" s="245" t="inlineStr">
        <is>
          <t>09.04.2026</t>
        </is>
      </c>
      <c r="O93" s="245" t="inlineStr">
        <is>
          <t>Farmahem</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J31122501</t>
        </is>
      </c>
      <c r="C94" s="245" t="inlineStr"/>
      <c r="D94" s="245" t="inlineStr"/>
      <c r="E94" s="245" t="inlineStr">
        <is>
          <t>IPH mycotoxins, metals, pesticides</t>
        </is>
      </c>
      <c r="F94" s="245" t="inlineStr"/>
      <c r="G94" s="245" t="inlineStr">
        <is>
          <t>10.2</t>
        </is>
      </c>
      <c r="H94" s="245" t="inlineStr">
        <is>
          <t>Aflatoxins Σ</t>
        </is>
      </c>
      <c r="I94" s="245" t="inlineStr"/>
      <c r="J94" s="245" t="inlineStr"/>
      <c r="K94" s="245" t="inlineStr"/>
      <c r="L94" s="245" t="inlineStr">
        <is>
          <t>COMPLIES (numeric value not present in captured source excerpt for report 1625/2026 — see Bundle cross-reference)</t>
        </is>
      </c>
      <c r="M94" s="245" t="inlineStr">
        <is>
          <t>1625/2026</t>
        </is>
      </c>
      <c r="N94" s="245" t="inlineStr">
        <is>
          <t>23.04.2026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J31122501</t>
        </is>
      </c>
      <c r="C95" s="245" t="inlineStr"/>
      <c r="D95" s="245" t="inlineStr"/>
      <c r="E95" s="245" t="inlineStr">
        <is>
          <t>IPH mycotoxins, metals, pesticides</t>
        </is>
      </c>
      <c r="F95" s="245" t="inlineStr"/>
      <c r="G95" s="245" t="inlineStr">
        <is>
          <t>12</t>
        </is>
      </c>
      <c r="H95" s="245" t="inlineStr">
        <is>
          <t>Pesticides</t>
        </is>
      </c>
      <c r="I95" s="245" t="inlineStr"/>
      <c r="J95" s="245" t="inlineStr"/>
      <c r="K95" s="245" t="inlineStr"/>
      <c r="L95" s="245" t="inlineStr">
        <is>
          <t>н.д.</t>
        </is>
      </c>
      <c r="M95" s="245" t="inlineStr">
        <is>
          <t>1625/2026</t>
        </is>
      </c>
      <c r="N95" s="245" t="inlineStr">
        <is>
          <t>23.04.2026</t>
        </is>
      </c>
      <c r="O95" s="245" t="inlineStr">
        <is>
          <t>IPH — Institute of Public Health</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JD012603-02</t>
        </is>
      </c>
      <c r="C96" s="245" t="inlineStr"/>
      <c r="D96" s="245" t="inlineStr"/>
      <c r="E96" s="245" t="inlineStr">
        <is>
          <t>IPH mycotoxins, metals, pesticides</t>
        </is>
      </c>
      <c r="F96" s="245" t="inlineStr"/>
      <c r="G96" s="245" t="inlineStr">
        <is>
          <t>10.2</t>
        </is>
      </c>
      <c r="H96" s="245" t="inlineStr">
        <is>
          <t>Aflatoxins Σ</t>
        </is>
      </c>
      <c r="I96" s="245" t="inlineStr"/>
      <c r="J96" s="245" t="inlineStr"/>
      <c r="K96" s="245" t="inlineStr"/>
      <c r="L96" s="245" t="inlineStr">
        <is>
          <t>&lt;2</t>
        </is>
      </c>
      <c r="M96" s="245" t="inlineStr">
        <is>
          <t>3660/2026</t>
        </is>
      </c>
      <c r="N96" s="245" t="inlineStr">
        <is>
          <t>22.06.2026</t>
        </is>
      </c>
      <c r="O96" s="245" t="inlineStr">
        <is>
          <t>IPH — Institute of Public Health</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JD012603-02</t>
        </is>
      </c>
      <c r="C97" s="245" t="inlineStr"/>
      <c r="D97" s="245" t="inlineStr"/>
      <c r="E97" s="245" t="inlineStr">
        <is>
          <t>IPH mycotoxins, metals, pesticides</t>
        </is>
      </c>
      <c r="F97" s="245" t="inlineStr"/>
      <c r="G97" s="245" t="inlineStr">
        <is>
          <t>11.1</t>
        </is>
      </c>
      <c r="H97" s="245" t="inlineStr">
        <is>
          <t>Pb</t>
        </is>
      </c>
      <c r="I97" s="245" t="inlineStr"/>
      <c r="J97" s="245" t="inlineStr"/>
      <c r="K97" s="245" t="inlineStr"/>
      <c r="L97" s="245" t="inlineStr">
        <is>
          <t>0.085</t>
        </is>
      </c>
      <c r="M97" s="245" t="inlineStr">
        <is>
          <t>3660/2026</t>
        </is>
      </c>
      <c r="N97" s="245" t="inlineStr">
        <is>
          <t>22.06.2026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JD012603-02</t>
        </is>
      </c>
      <c r="C98" s="245" t="inlineStr"/>
      <c r="D98" s="245" t="inlineStr"/>
      <c r="E98" s="245" t="inlineStr">
        <is>
          <t>IPH mycotoxins, metals, pesticides</t>
        </is>
      </c>
      <c r="F98" s="245" t="inlineStr"/>
      <c r="G98" s="245" t="inlineStr">
        <is>
          <t>11.2</t>
        </is>
      </c>
      <c r="H98" s="245" t="inlineStr">
        <is>
          <t>Cd</t>
        </is>
      </c>
      <c r="I98" s="245" t="inlineStr"/>
      <c r="J98" s="245" t="inlineStr"/>
      <c r="K98" s="245" t="inlineStr"/>
      <c r="L98" s="245" t="inlineStr">
        <is>
          <t>0.044</t>
        </is>
      </c>
      <c r="M98" s="245" t="inlineStr">
        <is>
          <t>3660/2026</t>
        </is>
      </c>
      <c r="N98" s="245" t="inlineStr">
        <is>
          <t>22.06.2026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JD012603-02</t>
        </is>
      </c>
      <c r="C99" s="245" t="inlineStr"/>
      <c r="D99" s="245" t="inlineStr"/>
      <c r="E99" s="245" t="inlineStr">
        <is>
          <t>IPH mycotoxins, metals, pesticides</t>
        </is>
      </c>
      <c r="F99" s="245" t="inlineStr"/>
      <c r="G99" s="245" t="inlineStr">
        <is>
          <t>11.3</t>
        </is>
      </c>
      <c r="H99" s="245" t="inlineStr">
        <is>
          <t>As</t>
        </is>
      </c>
      <c r="I99" s="245" t="inlineStr"/>
      <c r="J99" s="245" t="inlineStr"/>
      <c r="K99" s="245" t="inlineStr"/>
      <c r="L99" s="245" t="inlineStr">
        <is>
          <t>0.042</t>
        </is>
      </c>
      <c r="M99" s="245" t="inlineStr">
        <is>
          <t>3660/2026</t>
        </is>
      </c>
      <c r="N99" s="245" t="inlineStr">
        <is>
          <t>22.06.2026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JD012603-02</t>
        </is>
      </c>
      <c r="C100" s="245" t="inlineStr"/>
      <c r="D100" s="245" t="inlineStr"/>
      <c r="E100" s="245" t="inlineStr">
        <is>
          <t>IPH mycotoxins, metals, pesticides</t>
        </is>
      </c>
      <c r="F100" s="245" t="inlineStr"/>
      <c r="G100" s="245" t="inlineStr">
        <is>
          <t>11.4</t>
        </is>
      </c>
      <c r="H100" s="245" t="inlineStr">
        <is>
          <t>Hg</t>
        </is>
      </c>
      <c r="I100" s="245" t="inlineStr"/>
      <c r="J100" s="245" t="inlineStr"/>
      <c r="K100" s="245" t="inlineStr"/>
      <c r="L100" s="245" t="inlineStr">
        <is>
          <t>0.042</t>
        </is>
      </c>
      <c r="M100" s="245" t="inlineStr">
        <is>
          <t>3660/2026</t>
        </is>
      </c>
      <c r="N100" s="245" t="inlineStr">
        <is>
          <t>22.06.2026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JD012603-02</t>
        </is>
      </c>
      <c r="C101" s="245" t="inlineStr"/>
      <c r="D101" s="245" t="inlineStr"/>
      <c r="E101" s="245" t="inlineStr">
        <is>
          <t>IPH microbiology</t>
        </is>
      </c>
      <c r="F101" s="245" t="inlineStr"/>
      <c r="G101" s="245" t="inlineStr">
        <is>
          <t>9.1</t>
        </is>
      </c>
      <c r="H101" s="245" t="inlineStr">
        <is>
          <t>TAMC</t>
        </is>
      </c>
      <c r="I101" s="245" t="inlineStr"/>
      <c r="J101" s="245" t="inlineStr"/>
      <c r="K101" s="245" t="inlineStr"/>
      <c r="L101" s="245" t="inlineStr">
        <is>
          <t>6.3×10³</t>
        </is>
      </c>
      <c r="M101" s="245" t="inlineStr">
        <is>
          <t>405/0788/26</t>
        </is>
      </c>
      <c r="N101" s="245" t="inlineStr">
        <is>
          <t>24.06.2026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JD012603-02</t>
        </is>
      </c>
      <c r="C102" s="245" t="inlineStr"/>
      <c r="D102" s="245" t="inlineStr"/>
      <c r="E102" s="245" t="inlineStr">
        <is>
          <t>IPH microbiology</t>
        </is>
      </c>
      <c r="F102" s="245" t="inlineStr"/>
      <c r="G102" s="245" t="inlineStr">
        <is>
          <t>9.2</t>
        </is>
      </c>
      <c r="H102" s="245" t="inlineStr">
        <is>
          <t>TYMC</t>
        </is>
      </c>
      <c r="I102" s="245" t="inlineStr"/>
      <c r="J102" s="245" t="inlineStr"/>
      <c r="K102" s="245" t="inlineStr"/>
      <c r="L102" s="245" t="inlineStr">
        <is>
          <t>4.4×10³</t>
        </is>
      </c>
      <c r="M102" s="245" t="inlineStr">
        <is>
          <t>405/0788/26</t>
        </is>
      </c>
      <c r="N102" s="245" t="inlineStr">
        <is>
          <t>24.06.2026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JD012603-02</t>
        </is>
      </c>
      <c r="C103" s="245" t="inlineStr"/>
      <c r="D103" s="245" t="inlineStr"/>
      <c r="E103" s="245" t="inlineStr">
        <is>
          <t>IPH microbiology</t>
        </is>
      </c>
      <c r="F103" s="245" t="inlineStr"/>
      <c r="G103" s="245" t="inlineStr">
        <is>
          <t>9.3</t>
        </is>
      </c>
      <c r="H103" s="245" t="inlineStr">
        <is>
          <t>Bile-tolerant GNB</t>
        </is>
      </c>
      <c r="I103" s="245" t="inlineStr"/>
      <c r="J103" s="245" t="inlineStr"/>
      <c r="K103" s="245" t="inlineStr"/>
      <c r="L103" s="245" t="inlineStr">
        <is>
          <t>&lt; 10</t>
        </is>
      </c>
      <c r="M103" s="245" t="inlineStr">
        <is>
          <t>405/0788/26</t>
        </is>
      </c>
      <c r="N103" s="245" t="inlineStr">
        <is>
          <t>24.06.2026</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JD012603-02</t>
        </is>
      </c>
      <c r="C104" s="245" t="inlineStr"/>
      <c r="D104" s="245" t="inlineStr"/>
      <c r="E104" s="245" t="inlineStr">
        <is>
          <t>IPH microbiology</t>
        </is>
      </c>
      <c r="F104" s="245" t="inlineStr"/>
      <c r="G104" s="245" t="inlineStr">
        <is>
          <t>9.4</t>
        </is>
      </c>
      <c r="H104" s="245" t="inlineStr">
        <is>
          <t>Salmonella</t>
        </is>
      </c>
      <c r="I104" s="245" t="inlineStr"/>
      <c r="J104" s="245" t="inlineStr"/>
      <c r="K104" s="245" t="inlineStr"/>
      <c r="L104" s="245" t="inlineStr">
        <is>
          <t>Отсутна</t>
        </is>
      </c>
      <c r="M104" s="245" t="inlineStr">
        <is>
          <t>405/0788/26</t>
        </is>
      </c>
      <c r="N104" s="245" t="inlineStr">
        <is>
          <t>24.06.2026</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JD012603-02</t>
        </is>
      </c>
      <c r="C105" s="245" t="inlineStr"/>
      <c r="D105" s="245" t="inlineStr"/>
      <c r="E105" s="245" t="inlineStr">
        <is>
          <t>IPH microbiology</t>
        </is>
      </c>
      <c r="F105" s="245" t="inlineStr"/>
      <c r="G105" s="245" t="inlineStr">
        <is>
          <t>9.5</t>
        </is>
      </c>
      <c r="H105" s="245" t="inlineStr">
        <is>
          <t>E. coli</t>
        </is>
      </c>
      <c r="I105" s="245" t="inlineStr"/>
      <c r="J105" s="245" t="inlineStr"/>
      <c r="K105" s="245" t="inlineStr"/>
      <c r="L105" s="245" t="inlineStr">
        <is>
          <t>Отсутна</t>
        </is>
      </c>
      <c r="M105" s="245" t="inlineStr">
        <is>
          <t>405/0788/26</t>
        </is>
      </c>
      <c r="N105" s="245" t="inlineStr">
        <is>
          <t>24.06.2026</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JD012603-02V</t>
        </is>
      </c>
      <c r="C106" s="245" t="inlineStr"/>
      <c r="D106" s="245" t="inlineStr"/>
      <c r="E106" s="245" t="inlineStr">
        <is>
          <t>IPH mycotoxins, metals, pesticides</t>
        </is>
      </c>
      <c r="F106" s="245" t="inlineStr"/>
      <c r="G106" s="245" t="inlineStr">
        <is>
          <t>10.2</t>
        </is>
      </c>
      <c r="H106" s="245" t="inlineStr">
        <is>
          <t>Aflatoxins Σ</t>
        </is>
      </c>
      <c r="I106" s="245" t="inlineStr"/>
      <c r="J106" s="245" t="inlineStr"/>
      <c r="K106" s="245" t="inlineStr"/>
      <c r="L106" s="245" t="inlineStr">
        <is>
          <t>&lt;2</t>
        </is>
      </c>
      <c r="M106" s="245" t="inlineStr">
        <is>
          <t>3662/2026</t>
        </is>
      </c>
      <c r="N106" s="245" t="inlineStr">
        <is>
          <t>22.06.2026</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JD012603-02V</t>
        </is>
      </c>
      <c r="C107" s="245" t="inlineStr"/>
      <c r="D107" s="245" t="inlineStr"/>
      <c r="E107" s="245" t="inlineStr">
        <is>
          <t>IPH mycotoxins, metals, pesticides</t>
        </is>
      </c>
      <c r="F107" s="245" t="inlineStr"/>
      <c r="G107" s="245" t="inlineStr">
        <is>
          <t>11.1</t>
        </is>
      </c>
      <c r="H107" s="245" t="inlineStr">
        <is>
          <t>Pb</t>
        </is>
      </c>
      <c r="I107" s="245" t="inlineStr"/>
      <c r="J107" s="245" t="inlineStr"/>
      <c r="K107" s="245" t="inlineStr"/>
      <c r="L107" s="245" t="inlineStr">
        <is>
          <t>0.06</t>
        </is>
      </c>
      <c r="M107" s="245" t="inlineStr">
        <is>
          <t>3662/2026</t>
        </is>
      </c>
      <c r="N107" s="245" t="inlineStr">
        <is>
          <t>22.06.2026</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JD012603-02V</t>
        </is>
      </c>
      <c r="C108" s="245" t="inlineStr"/>
      <c r="D108" s="245" t="inlineStr"/>
      <c r="E108" s="245" t="inlineStr">
        <is>
          <t>IPH mycotoxins, metals, pesticides</t>
        </is>
      </c>
      <c r="F108" s="245" t="inlineStr"/>
      <c r="G108" s="245" t="inlineStr">
        <is>
          <t>11.2</t>
        </is>
      </c>
      <c r="H108" s="245" t="inlineStr">
        <is>
          <t>Cd</t>
        </is>
      </c>
      <c r="I108" s="245" t="inlineStr"/>
      <c r="J108" s="245" t="inlineStr"/>
      <c r="K108" s="245" t="inlineStr"/>
      <c r="L108" s="245" t="inlineStr">
        <is>
          <t>0.03</t>
        </is>
      </c>
      <c r="M108" s="245" t="inlineStr">
        <is>
          <t>3662/2026</t>
        </is>
      </c>
      <c r="N108" s="245" t="inlineStr">
        <is>
          <t>22.06.2026</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JD012603-02V</t>
        </is>
      </c>
      <c r="C109" s="245" t="inlineStr"/>
      <c r="D109" s="245" t="inlineStr"/>
      <c r="E109" s="245" t="inlineStr">
        <is>
          <t>IPH mycotoxins, metals, pesticides</t>
        </is>
      </c>
      <c r="F109" s="245" t="inlineStr"/>
      <c r="G109" s="245" t="inlineStr">
        <is>
          <t>11.3</t>
        </is>
      </c>
      <c r="H109" s="245" t="inlineStr">
        <is>
          <t>As</t>
        </is>
      </c>
      <c r="I109" s="245" t="inlineStr"/>
      <c r="J109" s="245" t="inlineStr"/>
      <c r="K109" s="245" t="inlineStr"/>
      <c r="L109" s="245" t="inlineStr">
        <is>
          <t>0.045</t>
        </is>
      </c>
      <c r="M109" s="245" t="inlineStr">
        <is>
          <t>3662/2026</t>
        </is>
      </c>
      <c r="N109" s="245" t="inlineStr">
        <is>
          <t>22.06.2026</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JD012603-02V</t>
        </is>
      </c>
      <c r="C110" s="245" t="inlineStr"/>
      <c r="D110" s="245" t="inlineStr"/>
      <c r="E110" s="245" t="inlineStr">
        <is>
          <t>IPH mycotoxins, metals, pesticides</t>
        </is>
      </c>
      <c r="F110" s="245" t="inlineStr"/>
      <c r="G110" s="245" t="inlineStr">
        <is>
          <t>11.4</t>
        </is>
      </c>
      <c r="H110" s="245" t="inlineStr">
        <is>
          <t>Hg</t>
        </is>
      </c>
      <c r="I110" s="245" t="inlineStr"/>
      <c r="J110" s="245" t="inlineStr"/>
      <c r="K110" s="245" t="inlineStr"/>
      <c r="L110" s="245" t="inlineStr">
        <is>
          <t>0.013</t>
        </is>
      </c>
      <c r="M110" s="245" t="inlineStr">
        <is>
          <t>3662/2026</t>
        </is>
      </c>
      <c r="N110" s="245" t="inlineStr">
        <is>
          <t>22.06.2026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JD012603-02V</t>
        </is>
      </c>
      <c r="C111" s="245" t="inlineStr"/>
      <c r="D111" s="245" t="inlineStr"/>
      <c r="E111" s="245" t="inlineStr">
        <is>
          <t>IPH microbiology</t>
        </is>
      </c>
      <c r="F111" s="245" t="inlineStr"/>
      <c r="G111" s="245" t="inlineStr">
        <is>
          <t>9.1</t>
        </is>
      </c>
      <c r="H111" s="245" t="inlineStr">
        <is>
          <t>TAMC</t>
        </is>
      </c>
      <c r="I111" s="245" t="inlineStr"/>
      <c r="J111" s="245" t="inlineStr"/>
      <c r="K111" s="245" t="inlineStr"/>
      <c r="L111" s="245" t="inlineStr">
        <is>
          <t>5.1×10³</t>
        </is>
      </c>
      <c r="M111" s="245" t="inlineStr">
        <is>
          <t>406/0789/26</t>
        </is>
      </c>
      <c r="N111" s="245" t="inlineStr">
        <is>
          <t>24.06.2026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JD012603-02V</t>
        </is>
      </c>
      <c r="C112" s="245" t="inlineStr"/>
      <c r="D112" s="245" t="inlineStr"/>
      <c r="E112" s="245" t="inlineStr">
        <is>
          <t>IPH microbiology</t>
        </is>
      </c>
      <c r="F112" s="245" t="inlineStr"/>
      <c r="G112" s="245" t="inlineStr">
        <is>
          <t>9.2</t>
        </is>
      </c>
      <c r="H112" s="245" t="inlineStr">
        <is>
          <t>TYMC</t>
        </is>
      </c>
      <c r="I112" s="245" t="inlineStr"/>
      <c r="J112" s="245" t="inlineStr"/>
      <c r="K112" s="245" t="inlineStr"/>
      <c r="L112" s="245" t="inlineStr">
        <is>
          <t>4.7×10³</t>
        </is>
      </c>
      <c r="M112" s="245" t="inlineStr">
        <is>
          <t>406/0789/26</t>
        </is>
      </c>
      <c r="N112" s="245" t="inlineStr">
        <is>
          <t>24.06.2026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JD012603-02V</t>
        </is>
      </c>
      <c r="C113" s="245" t="inlineStr"/>
      <c r="D113" s="245" t="inlineStr"/>
      <c r="E113" s="245" t="inlineStr">
        <is>
          <t>IPH microbiology</t>
        </is>
      </c>
      <c r="F113" s="245" t="inlineStr"/>
      <c r="G113" s="245" t="inlineStr">
        <is>
          <t>9.3</t>
        </is>
      </c>
      <c r="H113" s="245" t="inlineStr">
        <is>
          <t>Bile-tolerant GNB</t>
        </is>
      </c>
      <c r="I113" s="245" t="inlineStr"/>
      <c r="J113" s="245" t="inlineStr"/>
      <c r="K113" s="245" t="inlineStr"/>
      <c r="L113" s="245" t="inlineStr">
        <is>
          <t>&lt; 10</t>
        </is>
      </c>
      <c r="M113" s="245" t="inlineStr">
        <is>
          <t>406/0789/26</t>
        </is>
      </c>
      <c r="N113" s="245" t="inlineStr">
        <is>
          <t>24.06.2026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JD012603-02V</t>
        </is>
      </c>
      <c r="C114" s="245" t="inlineStr"/>
      <c r="D114" s="245" t="inlineStr"/>
      <c r="E114" s="245" t="inlineStr">
        <is>
          <t>IPH microbiology</t>
        </is>
      </c>
      <c r="F114" s="245" t="inlineStr"/>
      <c r="G114" s="245" t="inlineStr">
        <is>
          <t>9.4</t>
        </is>
      </c>
      <c r="H114" s="245" t="inlineStr">
        <is>
          <t>Salmonella</t>
        </is>
      </c>
      <c r="I114" s="245" t="inlineStr"/>
      <c r="J114" s="245" t="inlineStr"/>
      <c r="K114" s="245" t="inlineStr"/>
      <c r="L114" s="245" t="inlineStr">
        <is>
          <t>Отсутна</t>
        </is>
      </c>
      <c r="M114" s="245" t="inlineStr">
        <is>
          <t>406/0789/26</t>
        </is>
      </c>
      <c r="N114" s="245" t="inlineStr">
        <is>
          <t>24.06.2026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JD012603-02V</t>
        </is>
      </c>
      <c r="C115" s="245" t="inlineStr"/>
      <c r="D115" s="245" t="inlineStr"/>
      <c r="E115" s="245" t="inlineStr">
        <is>
          <t>IPH microbiology</t>
        </is>
      </c>
      <c r="F115" s="245" t="inlineStr"/>
      <c r="G115" s="245" t="inlineStr">
        <is>
          <t>9.5</t>
        </is>
      </c>
      <c r="H115" s="245" t="inlineStr">
        <is>
          <t>E. coli</t>
        </is>
      </c>
      <c r="I115" s="245" t="inlineStr"/>
      <c r="J115" s="245" t="inlineStr"/>
      <c r="K115" s="245" t="inlineStr"/>
      <c r="L115" s="245" t="inlineStr">
        <is>
          <t>Отсутна</t>
        </is>
      </c>
      <c r="M115" s="245" t="inlineStr">
        <is>
          <t>406/0789/26</t>
        </is>
      </c>
      <c r="N115" s="245" t="inlineStr">
        <is>
          <t>24.06.2026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JD112501</t>
        </is>
      </c>
      <c r="C116" s="245" t="inlineStr"/>
      <c r="D116" s="245" t="inlineStr"/>
      <c r="E116" s="245" t="inlineStr">
        <is>
          <t>UKIM CNP potency</t>
        </is>
      </c>
      <c r="F116" s="245" t="inlineStr"/>
      <c r="G116" s="245" t="inlineStr">
        <is>
          <t>4</t>
        </is>
      </c>
      <c r="H116" s="245" t="inlineStr">
        <is>
          <t>Total Δ9-THC</t>
        </is>
      </c>
      <c r="I116" s="245" t="inlineStr"/>
      <c r="J116" s="245" t="inlineStr"/>
      <c r="K116" s="245" t="inlineStr"/>
      <c r="L116" s="245" t="inlineStr">
        <is>
          <t>13.93</t>
        </is>
      </c>
      <c r="M116" s="245" t="inlineStr">
        <is>
          <t>ППК26065</t>
        </is>
      </c>
      <c r="N116" s="245" t="inlineStr">
        <is>
          <t>11.05.2026</t>
        </is>
      </c>
      <c r="O116" s="245" t="inlineStr">
        <is>
          <t>UKIM Faculty of Pharmacy — Center for Natural Products</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JD112501</t>
        </is>
      </c>
      <c r="C117" s="245" t="inlineStr"/>
      <c r="D117" s="245" t="inlineStr"/>
      <c r="E117" s="245" t="inlineStr">
        <is>
          <t>UKIM CNP potency</t>
        </is>
      </c>
      <c r="F117" s="245" t="inlineStr"/>
      <c r="G117" s="245" t="inlineStr">
        <is>
          <t>5</t>
        </is>
      </c>
      <c r="H117" s="245" t="inlineStr">
        <is>
          <t>Total CBD</t>
        </is>
      </c>
      <c r="I117" s="245" t="inlineStr"/>
      <c r="J117" s="245" t="inlineStr"/>
      <c r="K117" s="245" t="inlineStr"/>
      <c r="L117" s="245" t="inlineStr">
        <is>
          <t>0.04</t>
        </is>
      </c>
      <c r="M117" s="245" t="inlineStr">
        <is>
          <t>ППК26065</t>
        </is>
      </c>
      <c r="N117" s="245" t="inlineStr">
        <is>
          <t>11.05.2026</t>
        </is>
      </c>
      <c r="O117" s="245" t="inlineStr">
        <is>
          <t>UKIM Faculty of Pharmacy — Center for Natural Products</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JD112501</t>
        </is>
      </c>
      <c r="C118" s="245" t="inlineStr"/>
      <c r="D118" s="245" t="inlineStr"/>
      <c r="E118" s="245" t="inlineStr">
        <is>
          <t>UKIM CNP potency</t>
        </is>
      </c>
      <c r="F118" s="245" t="inlineStr"/>
      <c r="G118" s="245" t="inlineStr">
        <is>
          <t>8</t>
        </is>
      </c>
      <c r="H118" s="245" t="inlineStr">
        <is>
          <t>Loss on drying</t>
        </is>
      </c>
      <c r="I118" s="245" t="inlineStr"/>
      <c r="J118" s="245" t="inlineStr"/>
      <c r="K118" s="245" t="inlineStr"/>
      <c r="L118" s="245" t="inlineStr">
        <is>
          <t>6.38</t>
        </is>
      </c>
      <c r="M118" s="245" t="inlineStr">
        <is>
          <t>ППК26065</t>
        </is>
      </c>
      <c r="N118" s="245" t="inlineStr">
        <is>
          <t>11.05.2026</t>
        </is>
      </c>
      <c r="O118" s="245" t="inlineStr">
        <is>
          <t>UKIM Faculty of Pharmacy — Center for Natural Products</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JD112501</t>
        </is>
      </c>
      <c r="C119" s="245" t="inlineStr"/>
      <c r="D119" s="245" t="inlineStr"/>
      <c r="E119" s="245" t="inlineStr">
        <is>
          <t>IPH microbiology</t>
        </is>
      </c>
      <c r="F119" s="245" t="inlineStr"/>
      <c r="G119" s="245" t="inlineStr">
        <is>
          <t>9.1</t>
        </is>
      </c>
      <c r="H119" s="245" t="inlineStr">
        <is>
          <t>TAMC</t>
        </is>
      </c>
      <c r="I119" s="245" t="inlineStr"/>
      <c r="J119" s="245" t="inlineStr"/>
      <c r="K119" s="245" t="inlineStr"/>
      <c r="L119" s="245" t="inlineStr">
        <is>
          <t>1×10⁴</t>
        </is>
      </c>
      <c r="M119" s="245" t="inlineStr">
        <is>
          <t>306/0550/26</t>
        </is>
      </c>
      <c r="N119" s="245" t="inlineStr">
        <is>
          <t>28.04.2026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JD112501</t>
        </is>
      </c>
      <c r="C120" s="245" t="inlineStr"/>
      <c r="D120" s="245" t="inlineStr"/>
      <c r="E120" s="245" t="inlineStr">
        <is>
          <t>IPH microbiology</t>
        </is>
      </c>
      <c r="F120" s="245" t="inlineStr"/>
      <c r="G120" s="245" t="inlineStr">
        <is>
          <t>9.2</t>
        </is>
      </c>
      <c r="H120" s="245" t="inlineStr">
        <is>
          <t>TYMC</t>
        </is>
      </c>
      <c r="I120" s="245" t="inlineStr"/>
      <c r="J120" s="245" t="inlineStr"/>
      <c r="K120" s="245" t="inlineStr"/>
      <c r="L120" s="245" t="inlineStr">
        <is>
          <t>6,7×10³</t>
        </is>
      </c>
      <c r="M120" s="245" t="inlineStr">
        <is>
          <t>306/0550/26</t>
        </is>
      </c>
      <c r="N120" s="245" t="inlineStr">
        <is>
          <t>28.04.2026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JD112501</t>
        </is>
      </c>
      <c r="C121" s="245" t="inlineStr"/>
      <c r="D121" s="245" t="inlineStr"/>
      <c r="E121" s="245" t="inlineStr">
        <is>
          <t>IPH microbiology</t>
        </is>
      </c>
      <c r="F121" s="245" t="inlineStr"/>
      <c r="G121" s="245" t="inlineStr">
        <is>
          <t>9.3</t>
        </is>
      </c>
      <c r="H121" s="245" t="inlineStr">
        <is>
          <t>Bile-tolerant GNB</t>
        </is>
      </c>
      <c r="I121" s="245" t="inlineStr"/>
      <c r="J121" s="245" t="inlineStr"/>
      <c r="K121" s="245" t="inlineStr"/>
      <c r="L121" s="245" t="inlineStr">
        <is>
          <t>&lt; 10³ и &gt; 10²</t>
        </is>
      </c>
      <c r="M121" s="245" t="inlineStr">
        <is>
          <t>306/0550/26</t>
        </is>
      </c>
      <c r="N121" s="245" t="inlineStr">
        <is>
          <t>28.04.2026</t>
        </is>
      </c>
      <c r="O121" s="245" t="inlineStr">
        <is>
          <t>IPH — Institute of Public Health</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JD112501</t>
        </is>
      </c>
      <c r="C122" s="245" t="inlineStr"/>
      <c r="D122" s="245" t="inlineStr"/>
      <c r="E122" s="245" t="inlineStr">
        <is>
          <t>IPH microbiology</t>
        </is>
      </c>
      <c r="F122" s="245" t="inlineStr"/>
      <c r="G122" s="245" t="inlineStr">
        <is>
          <t>9.4</t>
        </is>
      </c>
      <c r="H122" s="245" t="inlineStr">
        <is>
          <t>Salmonella</t>
        </is>
      </c>
      <c r="I122" s="245" t="inlineStr"/>
      <c r="J122" s="245" t="inlineStr"/>
      <c r="K122" s="245" t="inlineStr"/>
      <c r="L122" s="245" t="inlineStr">
        <is>
          <t>Одговара (absent)</t>
        </is>
      </c>
      <c r="M122" s="245" t="inlineStr">
        <is>
          <t>306/0550/26</t>
        </is>
      </c>
      <c r="N122" s="245" t="inlineStr">
        <is>
          <t>28.04.2026</t>
        </is>
      </c>
      <c r="O122" s="245" t="inlineStr">
        <is>
          <t>IPH — Institute of Public Health</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JD112501</t>
        </is>
      </c>
      <c r="C123" s="245" t="inlineStr"/>
      <c r="D123" s="245" t="inlineStr"/>
      <c r="E123" s="245" t="inlineStr">
        <is>
          <t>IPH microbiology</t>
        </is>
      </c>
      <c r="F123" s="245" t="inlineStr"/>
      <c r="G123" s="245" t="inlineStr">
        <is>
          <t>9.5</t>
        </is>
      </c>
      <c r="H123" s="245" t="inlineStr">
        <is>
          <t>E. coli</t>
        </is>
      </c>
      <c r="I123" s="245" t="inlineStr"/>
      <c r="J123" s="245" t="inlineStr"/>
      <c r="K123" s="245" t="inlineStr"/>
      <c r="L123" s="245" t="inlineStr">
        <is>
          <t>Одговара (absent)</t>
        </is>
      </c>
      <c r="M123" s="245" t="inlineStr">
        <is>
          <t>306/0550/26</t>
        </is>
      </c>
      <c r="N123" s="245" t="inlineStr">
        <is>
          <t>28.04.2026</t>
        </is>
      </c>
      <c r="O123" s="245" t="inlineStr">
        <is>
          <t>IPH — Institute of Public Health</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JD112501</t>
        </is>
      </c>
      <c r="C124" s="245" t="inlineStr"/>
      <c r="D124" s="245" t="inlineStr"/>
      <c r="E124" s="245" t="inlineStr">
        <is>
          <t>IPH mycotoxins, metals, pesticides</t>
        </is>
      </c>
      <c r="F124" s="245" t="inlineStr"/>
      <c r="G124" s="245" t="inlineStr">
        <is>
          <t>10.2</t>
        </is>
      </c>
      <c r="H124" s="245" t="inlineStr">
        <is>
          <t>Aflatoxins Σ</t>
        </is>
      </c>
      <c r="I124" s="245" t="inlineStr"/>
      <c r="J124" s="245" t="inlineStr"/>
      <c r="K124" s="245" t="inlineStr"/>
      <c r="L124" s="245" t="inlineStr">
        <is>
          <t>&lt;2</t>
        </is>
      </c>
      <c r="M124" s="245" t="inlineStr">
        <is>
          <t>2365/2026</t>
        </is>
      </c>
      <c r="N124" s="245" t="inlineStr">
        <is>
          <t>30.04.2026</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JD112501</t>
        </is>
      </c>
      <c r="C125" s="245" t="inlineStr"/>
      <c r="D125" s="245" t="inlineStr"/>
      <c r="E125" s="245" t="inlineStr">
        <is>
          <t>IPH mycotoxins, metals, pesticides</t>
        </is>
      </c>
      <c r="F125" s="245" t="inlineStr"/>
      <c r="G125" s="245" t="inlineStr">
        <is>
          <t>11.1</t>
        </is>
      </c>
      <c r="H125" s="245" t="inlineStr">
        <is>
          <t>Pb</t>
        </is>
      </c>
      <c r="I125" s="245" t="inlineStr"/>
      <c r="J125" s="245" t="inlineStr"/>
      <c r="K125" s="245" t="inlineStr"/>
      <c r="L125" s="245" t="inlineStr">
        <is>
          <t>0.0109</t>
        </is>
      </c>
      <c r="M125" s="245" t="inlineStr">
        <is>
          <t>2365/2026</t>
        </is>
      </c>
      <c r="N125" s="245" t="inlineStr">
        <is>
          <t>30.04.2026</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JD112501</t>
        </is>
      </c>
      <c r="C126" s="245" t="inlineStr"/>
      <c r="D126" s="245" t="inlineStr"/>
      <c r="E126" s="245" t="inlineStr">
        <is>
          <t>IPH mycotoxins, metals, pesticides</t>
        </is>
      </c>
      <c r="F126" s="245" t="inlineStr"/>
      <c r="G126" s="245" t="inlineStr">
        <is>
          <t>11.2</t>
        </is>
      </c>
      <c r="H126" s="245" t="inlineStr">
        <is>
          <t>Cd</t>
        </is>
      </c>
      <c r="I126" s="245" t="inlineStr"/>
      <c r="J126" s="245" t="inlineStr"/>
      <c r="K126" s="245" t="inlineStr"/>
      <c r="L126" s="245" t="inlineStr">
        <is>
          <t>0.01287</t>
        </is>
      </c>
      <c r="M126" s="245" t="inlineStr">
        <is>
          <t>2365/2026</t>
        </is>
      </c>
      <c r="N126" s="245" t="inlineStr">
        <is>
          <t>30.04.2026</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JD112501</t>
        </is>
      </c>
      <c r="C127" s="245" t="inlineStr"/>
      <c r="D127" s="245" t="inlineStr"/>
      <c r="E127" s="245" t="inlineStr">
        <is>
          <t>IPH mycotoxins, metals, pesticides</t>
        </is>
      </c>
      <c r="F127" s="245" t="inlineStr"/>
      <c r="G127" s="245" t="inlineStr">
        <is>
          <t>11.3</t>
        </is>
      </c>
      <c r="H127" s="245" t="inlineStr">
        <is>
          <t>As</t>
        </is>
      </c>
      <c r="I127" s="245" t="inlineStr"/>
      <c r="J127" s="245" t="inlineStr"/>
      <c r="K127" s="245" t="inlineStr"/>
      <c r="L127" s="245" t="inlineStr">
        <is>
          <t>0.0175</t>
        </is>
      </c>
      <c r="M127" s="245" t="inlineStr">
        <is>
          <t>2365/2026</t>
        </is>
      </c>
      <c r="N127" s="245" t="inlineStr">
        <is>
          <t>30.04.2026</t>
        </is>
      </c>
      <c r="O127" s="245" t="inlineStr">
        <is>
          <t>IPH — Institute of Public Health</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JD112501</t>
        </is>
      </c>
      <c r="C128" s="245" t="inlineStr"/>
      <c r="D128" s="245" t="inlineStr"/>
      <c r="E128" s="245" t="inlineStr">
        <is>
          <t>IPH mycotoxins, metals, pesticides</t>
        </is>
      </c>
      <c r="F128" s="245" t="inlineStr"/>
      <c r="G128" s="245" t="inlineStr">
        <is>
          <t>11.4</t>
        </is>
      </c>
      <c r="H128" s="245" t="inlineStr">
        <is>
          <t>Hg</t>
        </is>
      </c>
      <c r="I128" s="245" t="inlineStr"/>
      <c r="J128" s="245" t="inlineStr"/>
      <c r="K128" s="245" t="inlineStr"/>
      <c r="L128" s="245" t="inlineStr">
        <is>
          <t>0.0165</t>
        </is>
      </c>
      <c r="M128" s="245" t="inlineStr">
        <is>
          <t>2365/2026</t>
        </is>
      </c>
      <c r="N128" s="245" t="inlineStr">
        <is>
          <t>30.04.2026</t>
        </is>
      </c>
      <c r="O128" s="245" t="inlineStr">
        <is>
          <t>IPH — Institute of Public Health</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JD112501</t>
        </is>
      </c>
      <c r="C129" s="245" t="inlineStr"/>
      <c r="D129" s="245" t="inlineStr"/>
      <c r="E129" s="245" t="inlineStr">
        <is>
          <t>IPH mycotoxins, metals, pesticides</t>
        </is>
      </c>
      <c r="F129" s="245" t="inlineStr"/>
      <c r="G129" s="245" t="inlineStr">
        <is>
          <t>12</t>
        </is>
      </c>
      <c r="H129" s="245" t="inlineStr">
        <is>
          <t>Pesticides</t>
        </is>
      </c>
      <c r="I129" s="245" t="inlineStr"/>
      <c r="J129" s="245" t="inlineStr"/>
      <c r="K129" s="245" t="inlineStr"/>
      <c r="L129" s="245" t="inlineStr">
        <is>
          <t>N.D.</t>
        </is>
      </c>
      <c r="M129" s="245" t="inlineStr">
        <is>
          <t>2365/2026</t>
        </is>
      </c>
      <c r="N129" s="245" t="inlineStr">
        <is>
          <t>30.04.2026</t>
        </is>
      </c>
      <c r="O129" s="245" t="inlineStr">
        <is>
          <t>IPH — Institute of Public Health</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OPM1024</t>
        </is>
      </c>
      <c r="C130" s="245" t="inlineStr"/>
      <c r="D130" s="245" t="inlineStr"/>
      <c r="E130" s="245" t="inlineStr">
        <is>
          <t>Purely Plant in-house</t>
        </is>
      </c>
      <c r="F130" s="245" t="inlineStr"/>
      <c r="G130" s="245" t="inlineStr">
        <is>
          <t>10.2</t>
        </is>
      </c>
      <c r="H130" s="245" t="inlineStr">
        <is>
          <t>Aflatoxins Σ</t>
        </is>
      </c>
      <c r="I130" s="245" t="inlineStr"/>
      <c r="J130" s="245" t="inlineStr"/>
      <c r="K130" s="245" t="inlineStr"/>
      <c r="L130" s="245" t="inlineStr">
        <is>
          <t>&lt; 2</t>
        </is>
      </c>
      <c r="M130" s="245" t="inlineStr">
        <is>
          <t>n/a — Purely Plant in-house CoA (Batch OPM1024, no certificate/report number printed)</t>
        </is>
      </c>
      <c r="N130" s="245" t="inlineStr">
        <is>
          <t>23.04.2025</t>
        </is>
      </c>
      <c r="O130" s="245" t="inlineStr">
        <is>
          <t>Purely Plant GmbH (in-house)</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OPM1024</t>
        </is>
      </c>
      <c r="C131" s="245" t="inlineStr"/>
      <c r="D131" s="245" t="inlineStr"/>
      <c r="E131" s="245" t="inlineStr">
        <is>
          <t>Purely Plant in-house</t>
        </is>
      </c>
      <c r="F131" s="245" t="inlineStr"/>
      <c r="G131" s="245" t="inlineStr">
        <is>
          <t>11.1</t>
        </is>
      </c>
      <c r="H131" s="245" t="inlineStr">
        <is>
          <t>Pb</t>
        </is>
      </c>
      <c r="I131" s="245" t="inlineStr"/>
      <c r="J131" s="245" t="inlineStr"/>
      <c r="K131" s="245" t="inlineStr"/>
      <c r="L131" s="245" t="inlineStr">
        <is>
          <t>0.031</t>
        </is>
      </c>
      <c r="M131" s="245" t="inlineStr">
        <is>
          <t>n/a — Purely Plant in-house CoA (Batch OPM1024, no certificate/report number printed)</t>
        </is>
      </c>
      <c r="N131" s="245" t="inlineStr">
        <is>
          <t>23.04.2025</t>
        </is>
      </c>
      <c r="O131" s="245" t="inlineStr">
        <is>
          <t>Purely Plant GmbH (in-house)</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OPM1024</t>
        </is>
      </c>
      <c r="C132" s="245" t="inlineStr"/>
      <c r="D132" s="245" t="inlineStr"/>
      <c r="E132" s="245" t="inlineStr">
        <is>
          <t>Purely Plant in-house</t>
        </is>
      </c>
      <c r="F132" s="245" t="inlineStr"/>
      <c r="G132" s="245" t="inlineStr">
        <is>
          <t>11.2</t>
        </is>
      </c>
      <c r="H132" s="245" t="inlineStr">
        <is>
          <t>Cd</t>
        </is>
      </c>
      <c r="I132" s="245" t="inlineStr"/>
      <c r="J132" s="245" t="inlineStr"/>
      <c r="K132" s="245" t="inlineStr"/>
      <c r="L132" s="245" t="inlineStr">
        <is>
          <t>0.017</t>
        </is>
      </c>
      <c r="M132" s="245" t="inlineStr">
        <is>
          <t>n/a — Purely Plant in-house CoA (Batch OPM1024, no certificate/report number printed)</t>
        </is>
      </c>
      <c r="N132" s="245" t="inlineStr">
        <is>
          <t>23.04.2025</t>
        </is>
      </c>
      <c r="O132" s="245" t="inlineStr">
        <is>
          <t>Purely Plant GmbH (in-house)</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OPM1024</t>
        </is>
      </c>
      <c r="C133" s="245" t="inlineStr"/>
      <c r="D133" s="245" t="inlineStr"/>
      <c r="E133" s="245" t="inlineStr">
        <is>
          <t>Purely Plant in-house</t>
        </is>
      </c>
      <c r="F133" s="245" t="inlineStr"/>
      <c r="G133" s="245" t="inlineStr">
        <is>
          <t>11.3</t>
        </is>
      </c>
      <c r="H133" s="245" t="inlineStr">
        <is>
          <t>As</t>
        </is>
      </c>
      <c r="I133" s="245" t="inlineStr"/>
      <c r="J133" s="245" t="inlineStr"/>
      <c r="K133" s="245" t="inlineStr"/>
      <c r="L133" s="245" t="inlineStr">
        <is>
          <t>0.045</t>
        </is>
      </c>
      <c r="M133" s="245" t="inlineStr">
        <is>
          <t>n/a — Purely Plant in-house CoA (Batch OPM1024, no certificate/report number printed)</t>
        </is>
      </c>
      <c r="N133" s="245" t="inlineStr">
        <is>
          <t>23.04.2025</t>
        </is>
      </c>
      <c r="O133" s="245" t="inlineStr">
        <is>
          <t>Purely Plant GmbH (in-house)</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OPM1024</t>
        </is>
      </c>
      <c r="C134" s="245" t="inlineStr"/>
      <c r="D134" s="245" t="inlineStr"/>
      <c r="E134" s="245" t="inlineStr">
        <is>
          <t>Purely Plant in-house</t>
        </is>
      </c>
      <c r="F134" s="245" t="inlineStr"/>
      <c r="G134" s="245" t="inlineStr">
        <is>
          <t>11.4</t>
        </is>
      </c>
      <c r="H134" s="245" t="inlineStr">
        <is>
          <t>Hg</t>
        </is>
      </c>
      <c r="I134" s="245" t="inlineStr"/>
      <c r="J134" s="245" t="inlineStr"/>
      <c r="K134" s="245" t="inlineStr"/>
      <c r="L134" s="245" t="inlineStr">
        <is>
          <t>0.005</t>
        </is>
      </c>
      <c r="M134" s="245" t="inlineStr">
        <is>
          <t>n/a — Purely Plant in-house CoA (Batch OPM1024, no certificate/report number printed)</t>
        </is>
      </c>
      <c r="N134" s="245" t="inlineStr">
        <is>
          <t>23.04.2025</t>
        </is>
      </c>
      <c r="O134" s="245" t="inlineStr">
        <is>
          <t>Purely Plant GmbH (in-house)</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OPM1024</t>
        </is>
      </c>
      <c r="C135" s="245" t="inlineStr"/>
      <c r="D135" s="245" t="inlineStr"/>
      <c r="E135" s="245" t="inlineStr">
        <is>
          <t>Purely Plant in-house</t>
        </is>
      </c>
      <c r="F135" s="245" t="inlineStr"/>
      <c r="G135" s="245" t="inlineStr">
        <is>
          <t>12</t>
        </is>
      </c>
      <c r="H135" s="245" t="inlineStr">
        <is>
          <t>Pesticides</t>
        </is>
      </c>
      <c r="I135" s="245" t="inlineStr"/>
      <c r="J135" s="245" t="inlineStr"/>
      <c r="K135" s="245" t="inlineStr"/>
      <c r="L135" s="245" t="inlineStr">
        <is>
          <t>N.D.</t>
        </is>
      </c>
      <c r="M135" s="245" t="inlineStr">
        <is>
          <t>n/a — Purely Plant in-house CoA (Batch OPM1024, no certificate/report number printed)</t>
        </is>
      </c>
      <c r="N135" s="245" t="inlineStr">
        <is>
          <t>23.04.2025</t>
        </is>
      </c>
      <c r="O135" s="245" t="inlineStr">
        <is>
          <t>Purely Plant GmbH (in-house)</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OPM1024</t>
        </is>
      </c>
      <c r="C136" s="245" t="inlineStr"/>
      <c r="D136" s="245" t="inlineStr"/>
      <c r="E136" s="245" t="inlineStr">
        <is>
          <t>Purely Plant in-house</t>
        </is>
      </c>
      <c r="F136" s="245" t="inlineStr"/>
      <c r="G136" s="245" t="inlineStr">
        <is>
          <t>4</t>
        </is>
      </c>
      <c r="H136" s="245" t="inlineStr">
        <is>
          <t>Total Δ9-THC</t>
        </is>
      </c>
      <c r="I136" s="245" t="inlineStr"/>
      <c r="J136" s="245" t="inlineStr"/>
      <c r="K136" s="245" t="inlineStr"/>
      <c r="L136" s="245" t="inlineStr">
        <is>
          <t>19.96</t>
        </is>
      </c>
      <c r="M136" s="245" t="inlineStr">
        <is>
          <t>n/a — Purely Plant in-house CoA (Batch OPM1024, no certificate/report number printed)</t>
        </is>
      </c>
      <c r="N136" s="245" t="inlineStr">
        <is>
          <t>23.04.2025</t>
        </is>
      </c>
      <c r="O136" s="245" t="inlineStr">
        <is>
          <t>Purely Plant GmbH (in-house)</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OPM1024</t>
        </is>
      </c>
      <c r="C137" s="245" t="inlineStr"/>
      <c r="D137" s="245" t="inlineStr"/>
      <c r="E137" s="245" t="inlineStr">
        <is>
          <t>Purely Plant in-house</t>
        </is>
      </c>
      <c r="F137" s="245" t="inlineStr"/>
      <c r="G137" s="245" t="inlineStr">
        <is>
          <t>5</t>
        </is>
      </c>
      <c r="H137" s="245" t="inlineStr">
        <is>
          <t>Total CBD</t>
        </is>
      </c>
      <c r="I137" s="245" t="inlineStr"/>
      <c r="J137" s="245" t="inlineStr"/>
      <c r="K137" s="245" t="inlineStr"/>
      <c r="L137" s="245" t="inlineStr">
        <is>
          <t>0.05</t>
        </is>
      </c>
      <c r="M137" s="245" t="inlineStr">
        <is>
          <t>n/a — Purely Plant in-house CoA (Batch OPM1024, no certificate/report number printed)</t>
        </is>
      </c>
      <c r="N137" s="245" t="inlineStr">
        <is>
          <t>23.04.2025</t>
        </is>
      </c>
      <c r="O137" s="245" t="inlineStr">
        <is>
          <t>Purely Plant GmbH (in-house)</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OPM1024</t>
        </is>
      </c>
      <c r="C138" s="245" t="inlineStr"/>
      <c r="D138" s="245" t="inlineStr"/>
      <c r="E138" s="245" t="inlineStr">
        <is>
          <t>Purely Plant in-house</t>
        </is>
      </c>
      <c r="F138" s="245" t="inlineStr"/>
      <c r="G138" s="245" t="inlineStr">
        <is>
          <t>9.1</t>
        </is>
      </c>
      <c r="H138" s="245" t="inlineStr">
        <is>
          <t>TAMC</t>
        </is>
      </c>
      <c r="I138" s="245" t="inlineStr"/>
      <c r="J138" s="245" t="inlineStr"/>
      <c r="K138" s="245" t="inlineStr"/>
      <c r="L138" s="245" t="inlineStr">
        <is>
          <t>1.3·10^4</t>
        </is>
      </c>
      <c r="M138" s="245" t="inlineStr">
        <is>
          <t>n/a — Purely Plant in-house CoA (Batch OPM1024, no certificate/report number printed)</t>
        </is>
      </c>
      <c r="N138" s="245" t="inlineStr">
        <is>
          <t>23.04.2025</t>
        </is>
      </c>
      <c r="O138" s="245" t="inlineStr">
        <is>
          <t>Purely Plant GmbH (in-house)</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OPM1024</t>
        </is>
      </c>
      <c r="C139" s="245" t="inlineStr"/>
      <c r="D139" s="245" t="inlineStr"/>
      <c r="E139" s="245" t="inlineStr">
        <is>
          <t>Purely Plant in-house</t>
        </is>
      </c>
      <c r="F139" s="245" t="inlineStr"/>
      <c r="G139" s="245" t="inlineStr">
        <is>
          <t>9.2</t>
        </is>
      </c>
      <c r="H139" s="245" t="inlineStr">
        <is>
          <t>TYMC</t>
        </is>
      </c>
      <c r="I139" s="245" t="inlineStr"/>
      <c r="J139" s="245" t="inlineStr"/>
      <c r="K139" s="245" t="inlineStr"/>
      <c r="L139" s="245" t="inlineStr">
        <is>
          <t>7·10^2</t>
        </is>
      </c>
      <c r="M139" s="245" t="inlineStr">
        <is>
          <t>n/a — Purely Plant in-house CoA (Batch OPM1024, no certificate/report number printed)</t>
        </is>
      </c>
      <c r="N139" s="245" t="inlineStr">
        <is>
          <t>23.04.2025</t>
        </is>
      </c>
      <c r="O139" s="245" t="inlineStr">
        <is>
          <t>Purely Plant GmbH (in-house)</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OPM1024</t>
        </is>
      </c>
      <c r="C140" s="245" t="inlineStr"/>
      <c r="D140" s="245" t="inlineStr"/>
      <c r="E140" s="245" t="inlineStr">
        <is>
          <t>Purely Plant in-house</t>
        </is>
      </c>
      <c r="F140" s="245" t="inlineStr"/>
      <c r="G140" s="245" t="inlineStr">
        <is>
          <t>9.3</t>
        </is>
      </c>
      <c r="H140" s="245" t="inlineStr">
        <is>
          <t>Bile-tolerant GNB</t>
        </is>
      </c>
      <c r="I140" s="245" t="inlineStr"/>
      <c r="J140" s="245" t="inlineStr"/>
      <c r="K140" s="245" t="inlineStr"/>
      <c r="L140" s="245" t="inlineStr">
        <is>
          <t>&lt;10²&gt;10³</t>
        </is>
      </c>
      <c r="M140" s="245" t="inlineStr">
        <is>
          <t>n/a — Purely Plant in-house CoA (Batch OPM1024, no certificate/report number printed)</t>
        </is>
      </c>
      <c r="N140" s="245" t="inlineStr">
        <is>
          <t>23.04.2025</t>
        </is>
      </c>
      <c r="O140" s="245" t="inlineStr">
        <is>
          <t>Purely Plant GmbH (in-house)</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OPM1024</t>
        </is>
      </c>
      <c r="C141" s="245" t="inlineStr"/>
      <c r="D141" s="245" t="inlineStr"/>
      <c r="E141" s="245" t="inlineStr">
        <is>
          <t>Purely Plant in-house</t>
        </is>
      </c>
      <c r="F141" s="245" t="inlineStr"/>
      <c r="G141" s="245" t="inlineStr">
        <is>
          <t>9.4</t>
        </is>
      </c>
      <c r="H141" s="245" t="inlineStr">
        <is>
          <t>Salmonella</t>
        </is>
      </c>
      <c r="I141" s="245" t="inlineStr"/>
      <c r="J141" s="245" t="inlineStr"/>
      <c r="K141" s="245" t="inlineStr"/>
      <c r="L141" s="245" t="inlineStr">
        <is>
          <t>Absent</t>
        </is>
      </c>
      <c r="M141" s="245" t="inlineStr">
        <is>
          <t>n/a — Purely Plant in-house CoA (Batch OPM1024, no certificate/report number printed)</t>
        </is>
      </c>
      <c r="N141" s="245" t="inlineStr">
        <is>
          <t>23.04.2025</t>
        </is>
      </c>
      <c r="O141" s="245" t="inlineStr">
        <is>
          <t>Purely Plant GmbH (in-house)</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OPM1024</t>
        </is>
      </c>
      <c r="C142" s="245" t="inlineStr"/>
      <c r="D142" s="245" t="inlineStr"/>
      <c r="E142" s="245" t="inlineStr">
        <is>
          <t>Purely Plant in-house</t>
        </is>
      </c>
      <c r="F142" s="245" t="inlineStr"/>
      <c r="G142" s="245" t="inlineStr">
        <is>
          <t>9.5</t>
        </is>
      </c>
      <c r="H142" s="245" t="inlineStr">
        <is>
          <t>E. coli</t>
        </is>
      </c>
      <c r="I142" s="245" t="inlineStr"/>
      <c r="J142" s="245" t="inlineStr"/>
      <c r="K142" s="245" t="inlineStr"/>
      <c r="L142" s="245" t="inlineStr">
        <is>
          <t>Absent</t>
        </is>
      </c>
      <c r="M142" s="245" t="inlineStr">
        <is>
          <t>n/a — Purely Plant in-house CoA (Batch OPM1024, no certificate/report number printed)</t>
        </is>
      </c>
      <c r="N142" s="245" t="inlineStr">
        <is>
          <t>23.04.2025</t>
        </is>
      </c>
      <c r="O142" s="245" t="inlineStr">
        <is>
          <t>Purely Plant GmbH (in-house)</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P060212</t>
        </is>
      </c>
      <c r="C143" s="245" t="inlineStr">
        <is>
          <t>P060212</t>
        </is>
      </c>
      <c r="D143" s="245" t="inlineStr"/>
      <c r="E143" s="245" t="inlineStr">
        <is>
          <t>IPH microbiology</t>
        </is>
      </c>
      <c r="F143" s="245" t="inlineStr"/>
      <c r="G143" s="245" t="inlineStr">
        <is>
          <t>9.1</t>
        </is>
      </c>
      <c r="H143" s="245" t="inlineStr">
        <is>
          <t>TAMC</t>
        </is>
      </c>
      <c r="I143" s="245" t="inlineStr"/>
      <c r="J143" s="245" t="inlineStr"/>
      <c r="K143" s="245" t="inlineStr"/>
      <c r="L143" s="245" t="inlineStr">
        <is>
          <t>1×10⁴</t>
        </is>
      </c>
      <c r="M143" s="245" t="inlineStr">
        <is>
          <t>306-0550-26</t>
        </is>
      </c>
      <c r="N143" s="245" t="inlineStr">
        <is>
          <t>28.04.2026</t>
        </is>
      </c>
      <c r="O143" s="245" t="inlineStr">
        <is>
          <t>IPH — Institute of Public Health</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P060212</t>
        </is>
      </c>
      <c r="C144" s="245" t="inlineStr">
        <is>
          <t>P060212</t>
        </is>
      </c>
      <c r="D144" s="245" t="inlineStr"/>
      <c r="E144" s="245" t="inlineStr">
        <is>
          <t>IPH microbiology</t>
        </is>
      </c>
      <c r="F144" s="245" t="inlineStr"/>
      <c r="G144" s="245" t="inlineStr">
        <is>
          <t>9.2</t>
        </is>
      </c>
      <c r="H144" s="245" t="inlineStr">
        <is>
          <t>TYMC</t>
        </is>
      </c>
      <c r="I144" s="245" t="inlineStr"/>
      <c r="J144" s="245" t="inlineStr"/>
      <c r="K144" s="245" t="inlineStr"/>
      <c r="L144" s="245" t="inlineStr">
        <is>
          <t>6.7×10³</t>
        </is>
      </c>
      <c r="M144" s="245" t="inlineStr">
        <is>
          <t>306-0550-26</t>
        </is>
      </c>
      <c r="N144" s="245" t="inlineStr">
        <is>
          <t>28.04.2026</t>
        </is>
      </c>
      <c r="O144" s="245" t="inlineStr">
        <is>
          <t>IPH — Institute of Public Health</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P060212</t>
        </is>
      </c>
      <c r="C145" s="245" t="inlineStr">
        <is>
          <t>P060212</t>
        </is>
      </c>
      <c r="D145" s="245" t="inlineStr"/>
      <c r="E145" s="245" t="inlineStr">
        <is>
          <t>IPH microbiology</t>
        </is>
      </c>
      <c r="F145" s="245" t="inlineStr"/>
      <c r="G145" s="245" t="inlineStr">
        <is>
          <t>9.3</t>
        </is>
      </c>
      <c r="H145" s="245" t="inlineStr">
        <is>
          <t>Bile-tolerant GNB</t>
        </is>
      </c>
      <c r="I145" s="245" t="inlineStr"/>
      <c r="J145" s="245" t="inlineStr"/>
      <c r="K145" s="245" t="inlineStr"/>
      <c r="L145" s="245" t="inlineStr">
        <is>
          <t>&lt; 10³ и &gt;10²</t>
        </is>
      </c>
      <c r="M145" s="245" t="inlineStr">
        <is>
          <t>306-0550-26</t>
        </is>
      </c>
      <c r="N145" s="245" t="inlineStr">
        <is>
          <t>28.04.2026</t>
        </is>
      </c>
      <c r="O145" s="245" t="inlineStr">
        <is>
          <t>IPH — Institute of Public Health</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P060212</t>
        </is>
      </c>
      <c r="C146" s="245" t="inlineStr">
        <is>
          <t>P060212</t>
        </is>
      </c>
      <c r="D146" s="245" t="inlineStr"/>
      <c r="E146" s="245" t="inlineStr">
        <is>
          <t>IPH microbiology</t>
        </is>
      </c>
      <c r="F146" s="245" t="inlineStr"/>
      <c r="G146" s="245" t="inlineStr">
        <is>
          <t>9.4</t>
        </is>
      </c>
      <c r="H146" s="245" t="inlineStr">
        <is>
          <t>Salmonella</t>
        </is>
      </c>
      <c r="I146" s="245" t="inlineStr"/>
      <c r="J146" s="245" t="inlineStr"/>
      <c r="K146" s="245" t="inlineStr"/>
      <c r="L146" s="245" t="inlineStr">
        <is>
          <t>Отсутна/g</t>
        </is>
      </c>
      <c r="M146" s="245" t="inlineStr">
        <is>
          <t>306-0550-26</t>
        </is>
      </c>
      <c r="N146" s="245" t="inlineStr">
        <is>
          <t>28.04.2026</t>
        </is>
      </c>
      <c r="O146" s="245" t="inlineStr">
        <is>
          <t>IPH — Institute of Public Health</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P060212</t>
        </is>
      </c>
      <c r="C147" s="245" t="inlineStr">
        <is>
          <t>P060212</t>
        </is>
      </c>
      <c r="D147" s="245" t="inlineStr"/>
      <c r="E147" s="245" t="inlineStr">
        <is>
          <t>IPH microbiology</t>
        </is>
      </c>
      <c r="F147" s="245" t="inlineStr"/>
      <c r="G147" s="245" t="inlineStr">
        <is>
          <t>9.5</t>
        </is>
      </c>
      <c r="H147" s="245" t="inlineStr">
        <is>
          <t>E. coli</t>
        </is>
      </c>
      <c r="I147" s="245" t="inlineStr"/>
      <c r="J147" s="245" t="inlineStr"/>
      <c r="K147" s="245" t="inlineStr"/>
      <c r="L147" s="245" t="inlineStr">
        <is>
          <t>Отсутна/25 g</t>
        </is>
      </c>
      <c r="M147" s="245" t="inlineStr">
        <is>
          <t>306-0550-26</t>
        </is>
      </c>
      <c r="N147" s="245" t="inlineStr">
        <is>
          <t>28.04.2026</t>
        </is>
      </c>
      <c r="O147" s="245" t="inlineStr">
        <is>
          <t>IPH — Institute of Public Health</t>
        </is>
      </c>
      <c r="P147" s="250" t="inlineStr">
        <is>
          <t>For information. This result is in the release register and on the tracker; no certificate of quality for the lot cites it. Where the lot appears in the two checks above, that is why.</t>
        </is>
      </c>
    </row>
  </sheetData>
  <autoFilter ref="A1:P14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42"/>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v44</t>
        </is>
      </c>
    </row>
    <row r="3" ht="39" customHeight="1" s="70">
      <c r="A3" s="255" t="inlineStr">
        <is>
          <t>What it is</t>
        </is>
      </c>
      <c r="B3" s="256" t="inlineStr">
        <is>
          <t>Built 17.09.2026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v44</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55" t="inlineStr">
        <is>
          <t>v42</t>
        </is>
      </c>
      <c r="B69" s="256"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55" t="inlineStr">
        <is>
          <t>v26</t>
        </is>
      </c>
      <c r="B70"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55" t="inlineStr">
        <is>
          <t>v34</t>
        </is>
      </c>
      <c r="B71"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55" t="inlineStr">
        <is>
          <t>v35</t>
        </is>
      </c>
      <c r="B72"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55" t="inlineStr">
        <is>
          <t>v37</t>
        </is>
      </c>
      <c r="B73"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55" t="inlineStr">
        <is>
          <t>v40</t>
        </is>
      </c>
      <c r="B74" s="256"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55" t="inlineStr">
        <is>
          <t>v36</t>
        </is>
      </c>
      <c r="B75"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55" t="inlineStr">
        <is>
          <t>v33</t>
        </is>
      </c>
      <c r="B76"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55" t="inlineStr">
        <is>
          <t>v32</t>
        </is>
      </c>
      <c r="B77"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55" t="inlineStr">
        <is>
          <t>v31</t>
        </is>
      </c>
      <c r="B78"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55" t="inlineStr">
        <is>
          <t>v30</t>
        </is>
      </c>
      <c r="B79"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55" t="inlineStr">
        <is>
          <t>v29 · 15.09.2026, later the same day</t>
        </is>
      </c>
      <c r="B80"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55" t="inlineStr">
        <is>
          <t>v29</t>
        </is>
      </c>
      <c r="B81"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55" t="inlineStr">
        <is>
          <t>v28</t>
        </is>
      </c>
      <c r="B82"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55" t="inlineStr">
        <is>
          <t>v27</t>
        </is>
      </c>
      <c r="B83"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53"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32" t="n">
        <v>1</v>
      </c>
      <c r="B88" s="232" t="inlineStr">
        <is>
          <t>31.07.2026</t>
        </is>
      </c>
      <c r="C88" s="233" t="inlineStr">
        <is>
          <t>BG1024</t>
        </is>
      </c>
      <c r="D88" s="232" t="inlineStr">
        <is>
          <t>Blue Gelato</t>
        </is>
      </c>
      <c r="E88" s="263" t="n">
        <v>43.87</v>
      </c>
      <c r="F88" s="232" t="inlineStr">
        <is>
          <t>19–22%</t>
        </is>
      </c>
      <c r="G88" s="264" t="n">
        <v>0.218</v>
      </c>
      <c r="H88" s="232" t="inlineStr">
        <is>
          <t>—</t>
        </is>
      </c>
      <c r="I88" s="232" t="inlineStr">
        <is>
          <t>BG1024</t>
        </is>
      </c>
      <c r="J88" s="232" t="inlineStr">
        <is>
          <t>✓ COMPLETE</t>
        </is>
      </c>
      <c r="K88" s="235" t="inlineStr">
        <is>
          <t>—</t>
        </is>
      </c>
      <c r="L88" s="264" t="n">
        <v>0.218</v>
      </c>
      <c r="M88" s="232" t="inlineStr">
        <is>
          <t>ППК25050</t>
        </is>
      </c>
      <c r="N88" s="264" t="n">
        <v>0</v>
      </c>
      <c r="O88" s="239" t="inlineStr">
        <is>
          <t>yes — all 12 determinations covered</t>
        </is>
      </c>
    </row>
    <row r="89">
      <c r="A89" s="232" t="n">
        <v>1</v>
      </c>
      <c r="B89" s="232" t="inlineStr">
        <is>
          <t>31.07.2026</t>
        </is>
      </c>
      <c r="C89" s="233" t="inlineStr">
        <is>
          <t>BSS1024</t>
        </is>
      </c>
      <c r="D89" s="232" t="inlineStr">
        <is>
          <t>Blue Sunset Sherbet</t>
        </is>
      </c>
      <c r="E89" s="263" t="n">
        <v>50.2</v>
      </c>
      <c r="F89" s="232" t="inlineStr">
        <is>
          <t>19–22%</t>
        </is>
      </c>
      <c r="G89" s="264" t="n">
        <v>0.21</v>
      </c>
      <c r="H89" s="232" t="inlineStr">
        <is>
          <t>—</t>
        </is>
      </c>
      <c r="I89" s="232" t="inlineStr">
        <is>
          <t>BSS1024</t>
        </is>
      </c>
      <c r="J89" s="232" t="inlineStr">
        <is>
          <t>✓ COMPLETE</t>
        </is>
      </c>
      <c r="K89" s="235" t="inlineStr">
        <is>
          <t>—</t>
        </is>
      </c>
      <c r="L89" s="264" t="n">
        <v>0.2103</v>
      </c>
      <c r="M89" s="232" t="inlineStr">
        <is>
          <t>ППК25051</t>
        </is>
      </c>
      <c r="N89" s="264" t="n">
        <v>0.0003000000000000114</v>
      </c>
      <c r="O89" s="239" t="inlineStr">
        <is>
          <t>yes — all 12 determinations covered</t>
        </is>
      </c>
    </row>
    <row r="90">
      <c r="A90" s="232" t="n">
        <v>1</v>
      </c>
      <c r="B90" s="232" t="inlineStr">
        <is>
          <t>31.07.2026</t>
        </is>
      </c>
      <c r="C90" s="233" t="inlineStr">
        <is>
          <t>CC012601/1</t>
        </is>
      </c>
      <c r="D90" s="232" t="inlineStr">
        <is>
          <t>Cash Cow</t>
        </is>
      </c>
      <c r="E90" s="263" t="n">
        <v>9.15</v>
      </c>
      <c r="F90" s="232" t="inlineStr">
        <is>
          <t>13–16%</t>
        </is>
      </c>
      <c r="G90" s="264" t="n">
        <v>0.1563</v>
      </c>
      <c r="H90" s="232" t="inlineStr">
        <is>
          <t>P060332</t>
        </is>
      </c>
      <c r="I90" s="232" t="inlineStr">
        <is>
          <t>CC012601/1</t>
        </is>
      </c>
      <c r="J90" s="232" t="inlineStr">
        <is>
          <t>❌ 4 MISSING</t>
        </is>
      </c>
      <c r="K90" s="235" t="inlineStr">
        <is>
          <t>#8 LoD; #9 Microbiology (on file 09.09, not recorded); #11 Heavy metals; #12 Pesticides</t>
        </is>
      </c>
      <c r="L90" s="264" t="inlineStr">
        <is>
          <t>— none on the desk —</t>
        </is>
      </c>
      <c r="M90" s="232" t="inlineStr">
        <is>
          <t>—</t>
        </is>
      </c>
      <c r="N90" s="264" t="inlineStr">
        <is>
          <t>—</t>
        </is>
      </c>
      <c r="O90" s="241" t="inlineStr">
        <is>
          <t>no — 4 missing</t>
        </is>
      </c>
    </row>
    <row r="91">
      <c r="A91" s="232" t="n">
        <v>1</v>
      </c>
      <c r="B91" s="232" t="inlineStr">
        <is>
          <t>31.07.2026</t>
        </is>
      </c>
      <c r="C91" s="233" t="inlineStr">
        <is>
          <t>CJ052501/01</t>
        </is>
      </c>
      <c r="D91" s="232" t="inlineStr">
        <is>
          <t>Cap Junky</t>
        </is>
      </c>
      <c r="E91" s="263" t="n">
        <v>64.53</v>
      </c>
      <c r="F91" s="232" t="inlineStr">
        <is>
          <t>19–22%</t>
        </is>
      </c>
      <c r="G91" s="264" t="n">
        <v>0.2029</v>
      </c>
      <c r="H91" s="232" t="inlineStr">
        <is>
          <t>P050162</t>
        </is>
      </c>
      <c r="I91" s="232" t="inlineStr">
        <is>
          <t>CJ052501/01</t>
        </is>
      </c>
      <c r="J91" s="232" t="inlineStr">
        <is>
          <t>✓ COMPLETE</t>
        </is>
      </c>
      <c r="K91" s="235" t="inlineStr">
        <is>
          <t>—</t>
        </is>
      </c>
      <c r="L91" s="264" t="n">
        <v>0.2029</v>
      </c>
      <c r="M91" s="232" t="inlineStr">
        <is>
          <t>None</t>
        </is>
      </c>
      <c r="N91" s="264" t="n">
        <v>0</v>
      </c>
      <c r="O91" s="239" t="inlineStr">
        <is>
          <t>yes — all 12 determinations covered</t>
        </is>
      </c>
    </row>
    <row r="92">
      <c r="A92" s="232" t="n">
        <v>1</v>
      </c>
      <c r="B92" s="232" t="inlineStr">
        <is>
          <t>31.07.2026</t>
        </is>
      </c>
      <c r="C92" s="233" t="inlineStr">
        <is>
          <t>CJ062501/2</t>
        </is>
      </c>
      <c r="D92" s="232" t="inlineStr">
        <is>
          <t>Cap Junky</t>
        </is>
      </c>
      <c r="E92" s="263" t="n">
        <v>146.52</v>
      </c>
      <c r="F92" s="232" t="inlineStr">
        <is>
          <t>16–19%</t>
        </is>
      </c>
      <c r="G92" s="264" t="n">
        <v>0.1656</v>
      </c>
      <c r="H92" s="232" t="inlineStr">
        <is>
          <t>P050212</t>
        </is>
      </c>
      <c r="I92" s="232" t="inlineStr">
        <is>
          <t>CJ062501/2</t>
        </is>
      </c>
      <c r="J92" s="232" t="inlineStr">
        <is>
          <t>✓ COMPLETE</t>
        </is>
      </c>
      <c r="K92" s="235" t="inlineStr">
        <is>
          <t>—</t>
        </is>
      </c>
      <c r="L92" s="264" t="n">
        <v>0.1656</v>
      </c>
      <c r="M92" s="232" t="inlineStr">
        <is>
          <t>ППК25322</t>
        </is>
      </c>
      <c r="N92" s="264" t="n">
        <v>0</v>
      </c>
      <c r="O92" s="239" t="inlineStr">
        <is>
          <t>yes — all 12 determinations covered</t>
        </is>
      </c>
    </row>
    <row r="93">
      <c r="A93" s="232" t="n">
        <v>1</v>
      </c>
      <c r="B93" s="232" t="inlineStr">
        <is>
          <t>31.07.2026</t>
        </is>
      </c>
      <c r="C93" s="233" t="inlineStr">
        <is>
          <t>CJ082501/2</t>
        </is>
      </c>
      <c r="D93" s="232" t="inlineStr">
        <is>
          <t>Cap Junky</t>
        </is>
      </c>
      <c r="E93" s="263" t="n">
        <v>14.75</v>
      </c>
      <c r="F93" s="232" t="inlineStr">
        <is>
          <t>19–22%</t>
        </is>
      </c>
      <c r="G93" s="264" t="n">
        <v>0.2084</v>
      </c>
      <c r="H93" s="232" t="inlineStr">
        <is>
          <t>P060032</t>
        </is>
      </c>
      <c r="I93" s="232" t="inlineStr">
        <is>
          <t>CJ082501/2</t>
        </is>
      </c>
      <c r="J93" s="232" t="inlineStr">
        <is>
          <t>✓ COMPLETE</t>
        </is>
      </c>
      <c r="K93" s="235" t="inlineStr">
        <is>
          <t>—</t>
        </is>
      </c>
      <c r="L93" s="264" t="n">
        <v>0.2084</v>
      </c>
      <c r="M93" s="232" t="inlineStr">
        <is>
          <t>ППК26003</t>
        </is>
      </c>
      <c r="N93" s="264" t="n">
        <v>0</v>
      </c>
      <c r="O93" s="239" t="inlineStr">
        <is>
          <t>yes — all 12 determinations covered</t>
        </is>
      </c>
    </row>
    <row r="94">
      <c r="A94" s="232" t="n">
        <v>1</v>
      </c>
      <c r="B94" s="232" t="inlineStr">
        <is>
          <t>31.07.2026</t>
        </is>
      </c>
      <c r="C94" s="233" t="inlineStr">
        <is>
          <t>FB012602</t>
        </is>
      </c>
      <c r="D94" s="232" t="inlineStr">
        <is>
          <t>Fat Bastard</t>
        </is>
      </c>
      <c r="E94" s="263" t="n">
        <v>75.92</v>
      </c>
      <c r="F94" s="232" t="inlineStr">
        <is>
          <t>19–22%</t>
        </is>
      </c>
      <c r="G94" s="264" t="n">
        <v>0.1977</v>
      </c>
      <c r="H94" s="232" t="inlineStr">
        <is>
          <t>P060352</t>
        </is>
      </c>
      <c r="I94" s="232" t="inlineStr">
        <is>
          <t>FB012602*</t>
        </is>
      </c>
      <c r="J94" s="232" t="inlineStr">
        <is>
          <t>❌ 4 MISSING</t>
        </is>
      </c>
      <c r="K94" s="235" t="inlineStr">
        <is>
          <t>#8 LoD; #9 Microbiology (on file 09.09, not recorded); #11 Heavy metals; #12 Pesticides</t>
        </is>
      </c>
      <c r="L94" s="264" t="inlineStr">
        <is>
          <t>— none on the desk —</t>
        </is>
      </c>
      <c r="M94" s="232" t="inlineStr">
        <is>
          <t>—</t>
        </is>
      </c>
      <c r="N94" s="264" t="inlineStr">
        <is>
          <t>—</t>
        </is>
      </c>
      <c r="O94" s="241" t="inlineStr">
        <is>
          <t>no — 4 missing</t>
        </is>
      </c>
    </row>
    <row r="95">
      <c r="A95" s="232" t="n">
        <v>1</v>
      </c>
      <c r="B95" s="232" t="inlineStr">
        <is>
          <t>31.07.2026</t>
        </is>
      </c>
      <c r="C95" s="233" t="inlineStr">
        <is>
          <t>GG012603</t>
        </is>
      </c>
      <c r="D95" s="232" t="inlineStr">
        <is>
          <t>GG4</t>
        </is>
      </c>
      <c r="E95" s="263" t="n">
        <v>40</v>
      </c>
      <c r="F95" s="232" t="inlineStr">
        <is>
          <t>13–16%</t>
        </is>
      </c>
      <c r="G95" s="264" t="n">
        <v>0.1559</v>
      </c>
      <c r="H95" s="232" t="inlineStr">
        <is>
          <t>P060402</t>
        </is>
      </c>
      <c r="I95" s="232" t="inlineStr">
        <is>
          <t>GG012603</t>
        </is>
      </c>
      <c r="J95" s="232" t="inlineStr">
        <is>
          <t>○ 3 ON FILE, NOT RECORDED</t>
        </is>
      </c>
      <c r="K95" s="235" t="inlineStr">
        <is>
          <t>#9 Microbiology (on file 09.09, not recorded); #11 Heavy metals (on file 09.09, not recorded); #12 Pesticides (on file 09.09, not recorded)</t>
        </is>
      </c>
      <c r="L95" s="265" t="n">
        <v>0.1759</v>
      </c>
      <c r="M95" s="266" t="inlineStr">
        <is>
          <t>ППК26114</t>
        </is>
      </c>
      <c r="N95" s="265" t="n">
        <v>0.02</v>
      </c>
      <c r="O95" s="267" t="inlineStr">
        <is>
          <t>no — 3 on file, not recorded  |  POTENCY: the certificate reads 17.59 %, outside the 13–16% it was delivered under</t>
        </is>
      </c>
    </row>
    <row r="96">
      <c r="A96" s="232" t="n">
        <v>1</v>
      </c>
      <c r="B96" s="232" t="inlineStr">
        <is>
          <t>31.07.2026</t>
        </is>
      </c>
      <c r="C96" s="233" t="inlineStr">
        <is>
          <t>GG1024_01</t>
        </is>
      </c>
      <c r="D96" s="232" t="inlineStr">
        <is>
          <t>Gorilla Glue</t>
        </is>
      </c>
      <c r="E96" s="263" t="n">
        <v>0.87</v>
      </c>
      <c r="F96" s="232" t="inlineStr">
        <is>
          <t>16–19%</t>
        </is>
      </c>
      <c r="G96" s="264" t="n">
        <v>0.17</v>
      </c>
      <c r="H96" s="232" t="inlineStr">
        <is>
          <t>P050092</t>
        </is>
      </c>
      <c r="I96" s="232" t="inlineStr">
        <is>
          <t>GG1024_01</t>
        </is>
      </c>
      <c r="J96" s="232" t="inlineStr">
        <is>
          <t>✓ COMPLETE</t>
        </is>
      </c>
      <c r="K96" s="235" t="inlineStr">
        <is>
          <t>—</t>
        </is>
      </c>
      <c r="L96" s="264" t="n">
        <v>0.1722</v>
      </c>
      <c r="M96" s="232" t="inlineStr">
        <is>
          <t>ППК25104</t>
        </is>
      </c>
      <c r="N96" s="264" t="n">
        <v>0.002199999999999988</v>
      </c>
      <c r="O96" s="239" t="inlineStr">
        <is>
          <t>yes — all 12 determinations covered</t>
        </is>
      </c>
    </row>
    <row r="97">
      <c r="A97" s="232" t="n">
        <v>1</v>
      </c>
      <c r="B97" s="232" t="inlineStr">
        <is>
          <t>31.07.2026</t>
        </is>
      </c>
      <c r="C97" s="233" t="inlineStr">
        <is>
          <t>GP052501</t>
        </is>
      </c>
      <c r="D97" s="232" t="inlineStr">
        <is>
          <t>Grape Pie</t>
        </is>
      </c>
      <c r="E97" s="263" t="n">
        <v>151.14</v>
      </c>
      <c r="F97" s="232" t="inlineStr">
        <is>
          <t>16–19%</t>
        </is>
      </c>
      <c r="G97" s="264" t="n">
        <v>0.1898</v>
      </c>
      <c r="H97" s="232" t="inlineStr">
        <is>
          <t>P050152</t>
        </is>
      </c>
      <c r="I97" s="232" t="inlineStr">
        <is>
          <t>GP052501</t>
        </is>
      </c>
      <c r="J97" s="232" t="inlineStr">
        <is>
          <t>✓ COMPLETE</t>
        </is>
      </c>
      <c r="K97" s="235" t="inlineStr">
        <is>
          <t>—</t>
        </is>
      </c>
      <c r="L97" s="264" t="n">
        <v>0.1898</v>
      </c>
      <c r="M97" s="232" t="inlineStr">
        <is>
          <t>ППК25279</t>
        </is>
      </c>
      <c r="N97" s="264" t="n">
        <v>0</v>
      </c>
      <c r="O97" s="239" t="inlineStr">
        <is>
          <t>yes — all 12 determinations covered</t>
        </is>
      </c>
    </row>
    <row r="98">
      <c r="A98" s="232" t="n">
        <v>1</v>
      </c>
      <c r="B98" s="232" t="inlineStr">
        <is>
          <t>31.07.2026</t>
        </is>
      </c>
      <c r="C98" s="233" t="inlineStr">
        <is>
          <t>GP0824_02</t>
        </is>
      </c>
      <c r="D98" s="232" t="inlineStr">
        <is>
          <t>Grape Pie</t>
        </is>
      </c>
      <c r="E98" s="263" t="n">
        <v>208.46</v>
      </c>
      <c r="F98" s="232" t="inlineStr">
        <is>
          <t>22–25%</t>
        </is>
      </c>
      <c r="G98" s="264" t="n">
        <v>0.2379</v>
      </c>
      <c r="H98" s="232" t="inlineStr">
        <is>
          <t>P050022</t>
        </is>
      </c>
      <c r="I98" s="232" t="inlineStr">
        <is>
          <t>GP0824_02</t>
        </is>
      </c>
      <c r="J98" s="232" t="inlineStr">
        <is>
          <t>✓ COMPLETE</t>
        </is>
      </c>
      <c r="K98" s="235" t="inlineStr">
        <is>
          <t>—</t>
        </is>
      </c>
      <c r="L98" s="264" t="n">
        <v>0.2379</v>
      </c>
      <c r="M98" s="232" t="inlineStr">
        <is>
          <t>ППК25139</t>
        </is>
      </c>
      <c r="N98" s="264" t="n">
        <v>0</v>
      </c>
      <c r="O98" s="239" t="inlineStr">
        <is>
          <t>yes — all 12 determinations covered</t>
        </is>
      </c>
    </row>
    <row r="99">
      <c r="A99" s="232" t="n">
        <v>1</v>
      </c>
      <c r="B99" s="232" t="inlineStr">
        <is>
          <t>31.07.2026</t>
        </is>
      </c>
      <c r="C99" s="233" t="inlineStr">
        <is>
          <t>GP082501/2</t>
        </is>
      </c>
      <c r="D99" s="232" t="inlineStr">
        <is>
          <t>Grape Pie</t>
        </is>
      </c>
      <c r="E99" s="263" t="n">
        <v>22.84</v>
      </c>
      <c r="F99" s="232" t="inlineStr">
        <is>
          <t>13–16%</t>
        </is>
      </c>
      <c r="G99" s="264" t="n">
        <v>0.1483</v>
      </c>
      <c r="H99" s="232" t="inlineStr">
        <is>
          <t>P050322</t>
        </is>
      </c>
      <c r="I99" s="232" t="inlineStr">
        <is>
          <t>GP082501/2</t>
        </is>
      </c>
      <c r="J99" s="232" t="inlineStr">
        <is>
          <t>✓ COMPLETE</t>
        </is>
      </c>
      <c r="K99" s="235" t="inlineStr">
        <is>
          <t>—</t>
        </is>
      </c>
      <c r="L99" s="264" t="n">
        <v>0.1483</v>
      </c>
      <c r="M99" s="232" t="inlineStr">
        <is>
          <t>ППК25381</t>
        </is>
      </c>
      <c r="N99" s="264" t="n">
        <v>0</v>
      </c>
      <c r="O99" s="239" t="inlineStr">
        <is>
          <t>yes — all 12 determinations covered</t>
        </is>
      </c>
    </row>
    <row r="100">
      <c r="A100" s="232" t="n">
        <v>1</v>
      </c>
      <c r="B100" s="232" t="inlineStr">
        <is>
          <t>31.07.2026</t>
        </is>
      </c>
      <c r="C100" s="233" t="inlineStr">
        <is>
          <t>HPA1024</t>
        </is>
      </c>
      <c r="D100" s="232" t="inlineStr">
        <is>
          <t>High Pro Amnesia</t>
        </is>
      </c>
      <c r="E100" s="263" t="n">
        <v>40.83</v>
      </c>
      <c r="F100" s="232" t="inlineStr">
        <is>
          <t>13–16%</t>
        </is>
      </c>
      <c r="G100" s="264" t="n">
        <v>0.1497</v>
      </c>
      <c r="H100" s="232" t="inlineStr">
        <is>
          <t>—</t>
        </is>
      </c>
      <c r="I100" s="232" t="inlineStr">
        <is>
          <t>HPA1024</t>
        </is>
      </c>
      <c r="J100" s="232" t="inlineStr">
        <is>
          <t>❌ 4 MISSING</t>
        </is>
      </c>
      <c r="K100" s="235" t="inlineStr">
        <is>
          <t>#8 LoD; #9 Microbiology; #11 Heavy metals; #12 Pesticides</t>
        </is>
      </c>
      <c r="L100" s="264" t="n">
        <v>0.1497</v>
      </c>
      <c r="M100" s="232" t="inlineStr">
        <is>
          <t>None</t>
        </is>
      </c>
      <c r="N100" s="264" t="n">
        <v>0</v>
      </c>
      <c r="O100" s="241" t="inlineStr">
        <is>
          <t>no — 4 missing</t>
        </is>
      </c>
    </row>
    <row r="101">
      <c r="A101" s="232" t="n">
        <v>1</v>
      </c>
      <c r="B101" s="232" t="inlineStr">
        <is>
          <t>31.07.2026</t>
        </is>
      </c>
      <c r="C101" s="233" t="inlineStr">
        <is>
          <t>HPA1024_01</t>
        </is>
      </c>
      <c r="D101" s="232" t="inlineStr">
        <is>
          <t>High Pro Amnesia</t>
        </is>
      </c>
      <c r="E101" s="263" t="n">
        <v>140.5</v>
      </c>
      <c r="F101" s="232" t="inlineStr">
        <is>
          <t>22–25%</t>
        </is>
      </c>
      <c r="G101" s="264" t="n">
        <v>0.2243</v>
      </c>
      <c r="H101" s="232" t="inlineStr">
        <is>
          <t>P050052</t>
        </is>
      </c>
      <c r="I101" s="232" t="inlineStr">
        <is>
          <t>HPA1024_01</t>
        </is>
      </c>
      <c r="J101" s="232" t="inlineStr">
        <is>
          <t>✓ COMPLETE</t>
        </is>
      </c>
      <c r="K101" s="235" t="inlineStr">
        <is>
          <t>—</t>
        </is>
      </c>
      <c r="L101" s="264" t="n">
        <v>0.2243</v>
      </c>
      <c r="M101" s="232" t="inlineStr">
        <is>
          <t>None</t>
        </is>
      </c>
      <c r="N101" s="264" t="n">
        <v>0</v>
      </c>
      <c r="O101" s="239" t="inlineStr">
        <is>
          <t>yes — all 12 determinations covered</t>
        </is>
      </c>
    </row>
    <row r="102">
      <c r="A102" s="232" t="n">
        <v>1</v>
      </c>
      <c r="B102" s="232" t="inlineStr">
        <is>
          <t>31.07.2026</t>
        </is>
      </c>
      <c r="C102" s="233" t="inlineStr">
        <is>
          <t>J31102501</t>
        </is>
      </c>
      <c r="D102" s="232" t="inlineStr">
        <is>
          <t>Jokerz 31</t>
        </is>
      </c>
      <c r="E102" s="263" t="n">
        <v>23.64</v>
      </c>
      <c r="F102" s="232" t="inlineStr">
        <is>
          <t>19–22%</t>
        </is>
      </c>
      <c r="G102" s="264" t="n">
        <v>0.1914</v>
      </c>
      <c r="H102" s="232" t="inlineStr">
        <is>
          <t>P060152</t>
        </is>
      </c>
      <c r="I102" s="232" t="inlineStr">
        <is>
          <t>J31102501</t>
        </is>
      </c>
      <c r="J102" s="232" t="inlineStr">
        <is>
          <t>○ 3 ON FILE, NOT RECORDED</t>
        </is>
      </c>
      <c r="K102" s="235" t="inlineStr">
        <is>
          <t>#9 Microbiology (on file 09.09, not recorded); #11 Heavy metals (on file 09.09, not recorded); #12 Pesticides (on file 09.09, not recorded)</t>
        </is>
      </c>
      <c r="L102" s="264" t="n">
        <v>0.1914</v>
      </c>
      <c r="M102" s="232" t="inlineStr">
        <is>
          <t>051-1-К/26</t>
        </is>
      </c>
      <c r="N102" s="264" t="n">
        <v>0</v>
      </c>
      <c r="O102" s="241" t="inlineStr">
        <is>
          <t>no — 3 on file, not recorded</t>
        </is>
      </c>
    </row>
    <row r="103">
      <c r="A103" s="232" t="n">
        <v>1</v>
      </c>
      <c r="B103" s="232" t="inlineStr">
        <is>
          <t>31.07.2026</t>
        </is>
      </c>
      <c r="C103" s="233" t="inlineStr">
        <is>
          <t>JD112501</t>
        </is>
      </c>
      <c r="D103" s="232" t="inlineStr">
        <is>
          <t>Jelly Donuts</t>
        </is>
      </c>
      <c r="E103" s="263" t="n">
        <v>41.54</v>
      </c>
      <c r="F103" s="232" t="inlineStr">
        <is>
          <t>19–22%</t>
        </is>
      </c>
      <c r="G103" s="264" t="n">
        <v>0.1964</v>
      </c>
      <c r="H103" s="232" t="inlineStr">
        <is>
          <t>P060212</t>
        </is>
      </c>
      <c r="I103" s="232" t="inlineStr">
        <is>
          <t>JD112501</t>
        </is>
      </c>
      <c r="J103" s="232" t="inlineStr">
        <is>
          <t>✓ COMPLETE</t>
        </is>
      </c>
      <c r="K103" s="235" t="inlineStr">
        <is>
          <t>—</t>
        </is>
      </c>
      <c r="L103" s="264" t="n">
        <v>0.1964</v>
      </c>
      <c r="M103" s="232" t="inlineStr">
        <is>
          <t>ППК26063</t>
        </is>
      </c>
      <c r="N103" s="264" t="n">
        <v>0</v>
      </c>
      <c r="O103" s="239" t="inlineStr">
        <is>
          <t>yes — all 12 determinations covered</t>
        </is>
      </c>
    </row>
    <row r="104">
      <c r="A104" s="232" t="n">
        <v>1</v>
      </c>
      <c r="B104" s="232" t="inlineStr">
        <is>
          <t>31.07.2026</t>
        </is>
      </c>
      <c r="C104" s="233" t="inlineStr">
        <is>
          <t>OPM1024</t>
        </is>
      </c>
      <c r="D104" s="232" t="inlineStr">
        <is>
          <t>Orange Punch Mimosa</t>
        </is>
      </c>
      <c r="E104" s="263" t="n">
        <v>45.46</v>
      </c>
      <c r="F104" s="232" t="inlineStr">
        <is>
          <t>19–22%</t>
        </is>
      </c>
      <c r="G104" s="264" t="n">
        <v>0.1996</v>
      </c>
      <c r="H104" s="232" t="inlineStr">
        <is>
          <t>—</t>
        </is>
      </c>
      <c r="I104" s="232" t="inlineStr">
        <is>
          <t>OPM1024</t>
        </is>
      </c>
      <c r="J104" s="232" t="inlineStr">
        <is>
          <t>❌ 4 MISSING</t>
        </is>
      </c>
      <c r="K104" s="235" t="inlineStr">
        <is>
          <t>#8 LoD; #9 Microbiology; #11 Heavy metals; #12 Pesticides</t>
        </is>
      </c>
      <c r="L104" s="264" t="n">
        <v>0.1996</v>
      </c>
      <c r="M104" s="232" t="inlineStr">
        <is>
          <t>None</t>
        </is>
      </c>
      <c r="N104" s="264" t="n">
        <v>0</v>
      </c>
      <c r="O104" s="241" t="inlineStr">
        <is>
          <t>no — 4 missing</t>
        </is>
      </c>
    </row>
    <row r="105">
      <c r="A105" s="232" t="n">
        <v>1</v>
      </c>
      <c r="B105" s="232" t="inlineStr">
        <is>
          <t>31.07.2026</t>
        </is>
      </c>
      <c r="C105" s="233" t="inlineStr">
        <is>
          <t>OPM1024_02</t>
        </is>
      </c>
      <c r="D105" s="232" t="inlineStr">
        <is>
          <t>Orange Punch Mimosa</t>
        </is>
      </c>
      <c r="E105" s="263" t="n">
        <v>156.14</v>
      </c>
      <c r="F105" s="232" t="inlineStr">
        <is>
          <t>16–19%</t>
        </is>
      </c>
      <c r="G105" s="264" t="n">
        <v>0.1827</v>
      </c>
      <c r="H105" s="232" t="inlineStr">
        <is>
          <t>P050062</t>
        </is>
      </c>
      <c r="I105" s="232" t="inlineStr">
        <is>
          <t>OPM1024_02</t>
        </is>
      </c>
      <c r="J105" s="232" t="inlineStr">
        <is>
          <t>✓ COMPLETE</t>
        </is>
      </c>
      <c r="K105" s="235" t="inlineStr">
        <is>
          <t>—</t>
        </is>
      </c>
      <c r="L105" s="264" t="n">
        <v>0.1827</v>
      </c>
      <c r="M105" s="232" t="inlineStr">
        <is>
          <t>ППК25154</t>
        </is>
      </c>
      <c r="N105" s="264" t="n">
        <v>0</v>
      </c>
      <c r="O105" s="239" t="inlineStr">
        <is>
          <t>yes — all 12 determinations covered</t>
        </is>
      </c>
    </row>
    <row r="106">
      <c r="A106" s="232" t="n">
        <v>1</v>
      </c>
      <c r="B106" s="232" t="inlineStr">
        <is>
          <t>31.07.2026</t>
        </is>
      </c>
      <c r="C106" s="233" t="inlineStr">
        <is>
          <t>OPM122501</t>
        </is>
      </c>
      <c r="D106" s="232" t="inlineStr">
        <is>
          <t>Orange Punch Mimosa</t>
        </is>
      </c>
      <c r="E106" s="263" t="n">
        <v>104.26</v>
      </c>
      <c r="F106" s="232" t="inlineStr">
        <is>
          <t>10–13%</t>
        </is>
      </c>
      <c r="G106" s="264" t="n">
        <v>0.11</v>
      </c>
      <c r="H106" s="232" t="inlineStr">
        <is>
          <t>P060242</t>
        </is>
      </c>
      <c r="I106" s="232" t="inlineStr">
        <is>
          <t>OPM122501</t>
        </is>
      </c>
      <c r="J106" s="232" t="inlineStr">
        <is>
          <t>✓ COMPLETE</t>
        </is>
      </c>
      <c r="K106" s="235" t="inlineStr">
        <is>
          <t>—</t>
        </is>
      </c>
      <c r="L106" s="265" t="n">
        <v>0.0809</v>
      </c>
      <c r="M106" s="266" t="inlineStr">
        <is>
          <t>100-4-К/26</t>
        </is>
      </c>
      <c r="N106" s="265" t="n">
        <v>-0.0291</v>
      </c>
      <c r="O106" s="267" t="inlineStr">
        <is>
          <t>yes — all 12 determinations covered  |  POTENCY: the certificate reads 8.09 %, outside the 10–13% it was delivered under</t>
        </is>
      </c>
    </row>
    <row r="107">
      <c r="A107" s="232" t="n">
        <v>1</v>
      </c>
      <c r="B107" s="232" t="inlineStr">
        <is>
          <t>31.07.2026</t>
        </is>
      </c>
      <c r="C107" s="233" t="inlineStr">
        <is>
          <t>PM092501</t>
        </is>
      </c>
      <c r="D107" s="232" t="inlineStr">
        <is>
          <t>Permanent Marker</t>
        </is>
      </c>
      <c r="E107" s="263" t="n">
        <v>20.23</v>
      </c>
      <c r="F107" s="232" t="inlineStr">
        <is>
          <t>13–16%</t>
        </is>
      </c>
      <c r="G107" s="264" t="n">
        <v>0.1406</v>
      </c>
      <c r="H107" s="232" t="inlineStr">
        <is>
          <t>P060062</t>
        </is>
      </c>
      <c r="I107" s="232" t="inlineStr">
        <is>
          <t>PM092501</t>
        </is>
      </c>
      <c r="J107" s="232" t="inlineStr">
        <is>
          <t>✓ COMPLETE</t>
        </is>
      </c>
      <c r="K107" s="235" t="inlineStr">
        <is>
          <t>—</t>
        </is>
      </c>
      <c r="L107" s="264" t="inlineStr">
        <is>
          <t>— none on the desk —</t>
        </is>
      </c>
      <c r="M107" s="232" t="inlineStr">
        <is>
          <t>—</t>
        </is>
      </c>
      <c r="N107" s="264" t="inlineStr">
        <is>
          <t>—</t>
        </is>
      </c>
      <c r="O107" s="239" t="inlineStr">
        <is>
          <t>yes — all 12 determinations covered</t>
        </is>
      </c>
    </row>
    <row r="108">
      <c r="A108" s="232" t="n">
        <v>1</v>
      </c>
      <c r="B108" s="232" t="inlineStr">
        <is>
          <t>31.07.2026</t>
        </is>
      </c>
      <c r="C108" s="233" t="inlineStr">
        <is>
          <t>SCR012603</t>
        </is>
      </c>
      <c r="D108" s="232" t="inlineStr">
        <is>
          <t>Scrambler</t>
        </is>
      </c>
      <c r="E108" s="263" t="n">
        <v>79.81</v>
      </c>
      <c r="F108" s="232" t="inlineStr">
        <is>
          <t>16–19%</t>
        </is>
      </c>
      <c r="G108" s="264" t="n">
        <v>0.17</v>
      </c>
      <c r="H108" s="232" t="inlineStr">
        <is>
          <t>P060382</t>
        </is>
      </c>
      <c r="I108" s="232" t="inlineStr">
        <is>
          <t>SCR012603</t>
        </is>
      </c>
      <c r="J108" s="232" t="inlineStr">
        <is>
          <t>❌ 4 MISSING</t>
        </is>
      </c>
      <c r="K108" s="235" t="inlineStr">
        <is>
          <t>#8 LoD; #9 Microbiology (on file 09.09, not recorded); #11 Heavy metals; #12 Pesticides</t>
        </is>
      </c>
      <c r="L108" s="264" t="inlineStr">
        <is>
          <t>— none on the desk —</t>
        </is>
      </c>
      <c r="M108" s="232" t="inlineStr">
        <is>
          <t>—</t>
        </is>
      </c>
      <c r="N108" s="264" t="inlineStr">
        <is>
          <t>—</t>
        </is>
      </c>
      <c r="O108" s="241" t="inlineStr">
        <is>
          <t>no — 4 missing</t>
        </is>
      </c>
    </row>
    <row r="109">
      <c r="A109" s="232" t="n">
        <v>2</v>
      </c>
      <c r="B109" s="232" t="inlineStr">
        <is>
          <t>14.08.2026</t>
        </is>
      </c>
      <c r="C109" s="233" t="inlineStr">
        <is>
          <t>ACC102501</t>
        </is>
      </c>
      <c r="D109" s="232" t="inlineStr">
        <is>
          <t>Amnesia Core Cut</t>
        </is>
      </c>
      <c r="E109" s="263" t="n">
        <v>38.88</v>
      </c>
      <c r="F109" s="232" t="inlineStr">
        <is>
          <t>10–13%</t>
        </is>
      </c>
      <c r="G109" s="264" t="n">
        <v>0.1291</v>
      </c>
      <c r="H109" s="232" t="inlineStr">
        <is>
          <t>P060122</t>
        </is>
      </c>
      <c r="I109" s="232" t="inlineStr">
        <is>
          <t>ACC102501</t>
        </is>
      </c>
      <c r="J109" s="232" t="inlineStr">
        <is>
          <t>○ 4 ON FILE, NOT RECORDED</t>
        </is>
      </c>
      <c r="K109" s="235" t="inlineStr">
        <is>
          <t>#8 LoD (on file 09.09, not recorded); #9 Microbiology (on file 09.09, not recorded); #11 Heavy metals (on file 09.09, not recorded); #12 Pesticides (on file 09.09, not recorded)</t>
        </is>
      </c>
      <c r="L109" s="264" t="inlineStr">
        <is>
          <t>— none on the desk —</t>
        </is>
      </c>
      <c r="M109" s="232" t="inlineStr">
        <is>
          <t>—</t>
        </is>
      </c>
      <c r="N109" s="264" t="inlineStr">
        <is>
          <t>—</t>
        </is>
      </c>
      <c r="O109" s="241" t="inlineStr">
        <is>
          <t>no — 4 on file, not recorded</t>
        </is>
      </c>
    </row>
    <row r="110">
      <c r="A110" s="232" t="n">
        <v>2</v>
      </c>
      <c r="B110" s="232" t="inlineStr">
        <is>
          <t>14.08.2026</t>
        </is>
      </c>
      <c r="C110" s="233" t="inlineStr">
        <is>
          <t>BSS052501</t>
        </is>
      </c>
      <c r="D110" s="232" t="inlineStr">
        <is>
          <t>Blue Sunset Sherbet</t>
        </is>
      </c>
      <c r="E110" s="263" t="n">
        <v>345.71</v>
      </c>
      <c r="F110" s="232" t="inlineStr">
        <is>
          <t>19–22%</t>
        </is>
      </c>
      <c r="G110" s="264" t="n">
        <v>0.2047</v>
      </c>
      <c r="H110" s="232" t="inlineStr">
        <is>
          <t>P050192</t>
        </is>
      </c>
      <c r="I110" s="232" t="inlineStr">
        <is>
          <t>BSS052501</t>
        </is>
      </c>
      <c r="J110" s="232" t="inlineStr">
        <is>
          <t>⚠ 1 MISSING</t>
        </is>
      </c>
      <c r="K110" s="235" t="inlineStr">
        <is>
          <t>#8 LoD</t>
        </is>
      </c>
      <c r="L110" s="264" t="n">
        <v>0.2039</v>
      </c>
      <c r="M110" s="232" t="inlineStr">
        <is>
          <t>2025/</t>
        </is>
      </c>
      <c r="N110" s="264" t="n">
        <v>-0.0007999999999999829</v>
      </c>
      <c r="O110" s="241" t="inlineStr">
        <is>
          <t>no — 1 missing</t>
        </is>
      </c>
    </row>
    <row r="111">
      <c r="A111" s="232" t="n">
        <v>2</v>
      </c>
      <c r="B111" s="232" t="inlineStr">
        <is>
          <t>14.08.2026</t>
        </is>
      </c>
      <c r="C111" s="233" t="inlineStr">
        <is>
          <t>CC012603</t>
        </is>
      </c>
      <c r="D111" s="232" t="inlineStr">
        <is>
          <t>Cash Cow</t>
        </is>
      </c>
      <c r="E111" s="263" t="n">
        <v>56.18</v>
      </c>
      <c r="F111" s="232" t="inlineStr">
        <is>
          <t>10–13%</t>
        </is>
      </c>
      <c r="G111" s="264" t="n">
        <v>0.1232</v>
      </c>
      <c r="H111" s="232" t="inlineStr">
        <is>
          <t>P060372</t>
        </is>
      </c>
      <c r="I111" s="232" t="inlineStr">
        <is>
          <t>CC012603</t>
        </is>
      </c>
      <c r="J111" s="232" t="inlineStr">
        <is>
          <t>❌ 4 MISSING</t>
        </is>
      </c>
      <c r="K111" s="235" t="inlineStr">
        <is>
          <t>#8 LoD; #9 Microbiology (on file 09.09, not recorded); #11 Heavy metals; #12 Pesticides</t>
        </is>
      </c>
      <c r="L111" s="264" t="inlineStr">
        <is>
          <t>— none on the desk —</t>
        </is>
      </c>
      <c r="M111" s="232" t="inlineStr">
        <is>
          <t>—</t>
        </is>
      </c>
      <c r="N111" s="264" t="inlineStr">
        <is>
          <t>—</t>
        </is>
      </c>
      <c r="O111" s="241" t="inlineStr">
        <is>
          <t>no — 4 missing</t>
        </is>
      </c>
    </row>
    <row r="112">
      <c r="A112" s="232" t="n">
        <v>2</v>
      </c>
      <c r="B112" s="232" t="inlineStr">
        <is>
          <t>14.08.2026</t>
        </is>
      </c>
      <c r="C112" s="233" t="inlineStr">
        <is>
          <t>CF102501</t>
        </is>
      </c>
      <c r="D112" s="232" t="inlineStr">
        <is>
          <t>Chem Flyer</t>
        </is>
      </c>
      <c r="E112" s="263" t="n">
        <v>48.35</v>
      </c>
      <c r="F112" s="232" t="inlineStr">
        <is>
          <t>7–10%</t>
        </is>
      </c>
      <c r="G112" s="264" t="n">
        <v>0.0983</v>
      </c>
      <c r="H112" s="232" t="inlineStr">
        <is>
          <t>P060132</t>
        </is>
      </c>
      <c r="I112" s="232" t="inlineStr">
        <is>
          <t>CF102501</t>
        </is>
      </c>
      <c r="J112" s="232" t="inlineStr">
        <is>
          <t>○ 4 ON FILE, NOT RECORDED</t>
        </is>
      </c>
      <c r="K112" s="235" t="inlineStr">
        <is>
          <t>#8 LoD (on file 09.09, not recorded); #9 Microbiology (on file 09.09, not recorded); #11 Heavy metals (on file 09.09, not recorded); #12 Pesticides (on file 09.09, not recorded)</t>
        </is>
      </c>
      <c r="L112" s="264" t="inlineStr">
        <is>
          <t>— none on the desk —</t>
        </is>
      </c>
      <c r="M112" s="232" t="inlineStr">
        <is>
          <t>—</t>
        </is>
      </c>
      <c r="N112" s="264" t="inlineStr">
        <is>
          <t>—</t>
        </is>
      </c>
      <c r="O112" s="241" t="inlineStr">
        <is>
          <t>no — 4 on file, not recorded</t>
        </is>
      </c>
    </row>
    <row r="113">
      <c r="A113" s="232" t="n">
        <v>2</v>
      </c>
      <c r="B113" s="232" t="inlineStr">
        <is>
          <t>14.08.2026</t>
        </is>
      </c>
      <c r="C113" s="233" t="inlineStr">
        <is>
          <t>CJ062501/1</t>
        </is>
      </c>
      <c r="D113" s="232" t="inlineStr">
        <is>
          <t>Cap Junky</t>
        </is>
      </c>
      <c r="E113" s="263" t="n">
        <v>77.72</v>
      </c>
      <c r="F113" s="232" t="inlineStr">
        <is>
          <t>19–22%</t>
        </is>
      </c>
      <c r="G113" s="264" t="n">
        <v>0.2151</v>
      </c>
      <c r="H113" s="232" t="inlineStr">
        <is>
          <t>P050222</t>
        </is>
      </c>
      <c r="I113" s="232" t="inlineStr">
        <is>
          <t>CJ062501/1</t>
        </is>
      </c>
      <c r="J113" s="232" t="inlineStr">
        <is>
          <t>✓ COMPLETE</t>
        </is>
      </c>
      <c r="K113" s="235" t="inlineStr">
        <is>
          <t>—</t>
        </is>
      </c>
      <c r="L113" s="264" t="n">
        <v>0.2151</v>
      </c>
      <c r="M113" s="232" t="inlineStr">
        <is>
          <t>ППК25321</t>
        </is>
      </c>
      <c r="N113" s="264" t="n">
        <v>0</v>
      </c>
      <c r="O113" s="239" t="inlineStr">
        <is>
          <t>yes — all 12 determinations covered</t>
        </is>
      </c>
    </row>
    <row r="114">
      <c r="A114" s="232" t="n">
        <v>2</v>
      </c>
      <c r="B114" s="232" t="inlineStr">
        <is>
          <t>14.08.2026</t>
        </is>
      </c>
      <c r="C114" s="233" t="inlineStr">
        <is>
          <t>CJ082501/1</t>
        </is>
      </c>
      <c r="D114" s="232" t="inlineStr">
        <is>
          <t>Cap Junky</t>
        </is>
      </c>
      <c r="E114" s="263" t="n">
        <v>115.6</v>
      </c>
      <c r="F114" s="232" t="inlineStr">
        <is>
          <t>22–25%</t>
        </is>
      </c>
      <c r="G114" s="264" t="n">
        <v>0.2496</v>
      </c>
      <c r="H114" s="232" t="inlineStr">
        <is>
          <t>P060022</t>
        </is>
      </c>
      <c r="I114" s="232" t="inlineStr">
        <is>
          <t>CJ082501/1</t>
        </is>
      </c>
      <c r="J114" s="232" t="inlineStr">
        <is>
          <t>✓ COMPLETE</t>
        </is>
      </c>
      <c r="K114" s="235" t="inlineStr">
        <is>
          <t>—</t>
        </is>
      </c>
      <c r="L114" s="264" t="n">
        <v>0.2496</v>
      </c>
      <c r="M114" s="232" t="inlineStr">
        <is>
          <t>ППК26002</t>
        </is>
      </c>
      <c r="N114" s="264" t="n">
        <v>0</v>
      </c>
      <c r="O114" s="239" t="inlineStr">
        <is>
          <t>yes — all 12 determinations covered</t>
        </is>
      </c>
    </row>
    <row r="115">
      <c r="A115" s="232" t="n">
        <v>2</v>
      </c>
      <c r="B115" s="232" t="inlineStr">
        <is>
          <t>14.08.2026</t>
        </is>
      </c>
      <c r="C115" s="233" t="inlineStr">
        <is>
          <t>CJ092501</t>
        </is>
      </c>
      <c r="D115" s="232" t="inlineStr">
        <is>
          <t>Cap Junky</t>
        </is>
      </c>
      <c r="E115" s="263" t="n">
        <v>28.38</v>
      </c>
      <c r="F115" s="232" t="inlineStr">
        <is>
          <t>22–25%</t>
        </is>
      </c>
      <c r="G115" s="264" t="n">
        <v>0.223</v>
      </c>
      <c r="H115" s="232" t="inlineStr">
        <is>
          <t>P060072</t>
        </is>
      </c>
      <c r="I115" s="232" t="inlineStr">
        <is>
          <t>CJ092501</t>
        </is>
      </c>
      <c r="J115" s="232" t="inlineStr">
        <is>
          <t>✓ COMPLETE</t>
        </is>
      </c>
      <c r="K115" s="235" t="inlineStr">
        <is>
          <t>—</t>
        </is>
      </c>
      <c r="L115" s="264" t="n">
        <v>0.223</v>
      </c>
      <c r="M115" s="232" t="inlineStr">
        <is>
          <t>ППК26007</t>
        </is>
      </c>
      <c r="N115" s="264" t="n">
        <v>0</v>
      </c>
      <c r="O115" s="239" t="inlineStr">
        <is>
          <t>yes — all 12 determinations covered</t>
        </is>
      </c>
    </row>
    <row r="116">
      <c r="A116" s="232" t="n">
        <v>2</v>
      </c>
      <c r="B116" s="232" t="inlineStr">
        <is>
          <t>14.08.2026</t>
        </is>
      </c>
      <c r="C116" s="233" t="inlineStr">
        <is>
          <t>CLE072501</t>
        </is>
      </c>
      <c r="D116" s="232" t="inlineStr">
        <is>
          <t>Clemosa</t>
        </is>
      </c>
      <c r="E116" s="263" t="n">
        <v>27.07</v>
      </c>
      <c r="F116" s="232" t="inlineStr">
        <is>
          <t>7–10%</t>
        </is>
      </c>
      <c r="G116" s="264" t="n">
        <v>0.08019999999999999</v>
      </c>
      <c r="H116" s="232" t="inlineStr">
        <is>
          <t>P050282</t>
        </is>
      </c>
      <c r="I116" s="232" t="inlineStr">
        <is>
          <t>CLE072501</t>
        </is>
      </c>
      <c r="J116" s="232" t="inlineStr">
        <is>
          <t>✓ COMPLETE</t>
        </is>
      </c>
      <c r="K116" s="235" t="inlineStr">
        <is>
          <t>—</t>
        </is>
      </c>
      <c r="L116" s="264" t="n">
        <v>0.08019999999999999</v>
      </c>
      <c r="M116" s="232" t="inlineStr">
        <is>
          <t>ППК25370</t>
        </is>
      </c>
      <c r="N116" s="264" t="n">
        <v>0</v>
      </c>
      <c r="O116" s="239" t="inlineStr">
        <is>
          <t>yes — all 12 determinations covered</t>
        </is>
      </c>
    </row>
    <row r="117">
      <c r="A117" s="232" t="n">
        <v>2</v>
      </c>
      <c r="B117" s="232" t="inlineStr">
        <is>
          <t>14.08.2026</t>
        </is>
      </c>
      <c r="C117" s="233" t="inlineStr">
        <is>
          <t>FB012601/1</t>
        </is>
      </c>
      <c r="D117" s="232" t="inlineStr">
        <is>
          <t>Fat Bastard</t>
        </is>
      </c>
      <c r="E117" s="263" t="n">
        <v>8.85</v>
      </c>
      <c r="F117" s="232" t="inlineStr">
        <is>
          <t>13–16%</t>
        </is>
      </c>
      <c r="G117" s="264" t="n">
        <v>0.1468</v>
      </c>
      <c r="H117" s="232" t="inlineStr">
        <is>
          <t>P060322</t>
        </is>
      </c>
      <c r="I117" s="232" t="inlineStr">
        <is>
          <t>FB012601_1</t>
        </is>
      </c>
      <c r="J117" s="232" t="inlineStr">
        <is>
          <t>✓ COMPLETE</t>
        </is>
      </c>
      <c r="K117" s="235" t="inlineStr">
        <is>
          <t>—</t>
        </is>
      </c>
      <c r="L117" s="264" t="n">
        <v>0.1468</v>
      </c>
      <c r="M117" s="232" t="inlineStr">
        <is>
          <t>ППК26067</t>
        </is>
      </c>
      <c r="N117" s="264" t="n">
        <v>0</v>
      </c>
      <c r="O117" s="239" t="inlineStr">
        <is>
          <t>yes — all 12 determinations covered</t>
        </is>
      </c>
    </row>
    <row r="118">
      <c r="A118" s="232" t="n">
        <v>2</v>
      </c>
      <c r="B118" s="232" t="inlineStr">
        <is>
          <t>14.08.2026</t>
        </is>
      </c>
      <c r="C118" s="233" t="inlineStr">
        <is>
          <t>GG1024</t>
        </is>
      </c>
      <c r="D118" s="232" t="inlineStr">
        <is>
          <t>Gorilla Glue</t>
        </is>
      </c>
      <c r="E118" s="263" t="n">
        <v>44.84</v>
      </c>
      <c r="F118" s="232" t="inlineStr">
        <is>
          <t>13–16%</t>
        </is>
      </c>
      <c r="G118" s="264" t="n">
        <v>0.1334</v>
      </c>
      <c r="H118" s="232" t="inlineStr">
        <is>
          <t>—</t>
        </is>
      </c>
      <c r="I118" s="232" t="inlineStr">
        <is>
          <t>GG1024</t>
        </is>
      </c>
      <c r="J118" s="232" t="inlineStr">
        <is>
          <t>○ 4 ON FILE, NOT RECORDED</t>
        </is>
      </c>
      <c r="K118" s="235" t="inlineStr">
        <is>
          <t>#8 LoD (on file 09.09, not recorded); #9 Microbiology (on file 09.09, not recorded); #11 Heavy metals (on file 09.09, not recorded); #12 Pesticides (on file 09.09, not recorded)</t>
        </is>
      </c>
      <c r="L118" s="264" t="n">
        <v>0.1334</v>
      </c>
      <c r="M118" s="232" t="inlineStr">
        <is>
          <t>None</t>
        </is>
      </c>
      <c r="N118" s="264" t="n">
        <v>0</v>
      </c>
      <c r="O118" s="241" t="inlineStr">
        <is>
          <t>no — 4 on file, not recorded</t>
        </is>
      </c>
    </row>
    <row r="119">
      <c r="A119" s="232" t="n">
        <v>2</v>
      </c>
      <c r="B119" s="232" t="inlineStr">
        <is>
          <t>14.08.2026</t>
        </is>
      </c>
      <c r="C119" s="233" t="inlineStr">
        <is>
          <t>GP072501/2</t>
        </is>
      </c>
      <c r="D119" s="232" t="inlineStr">
        <is>
          <t>Grape Pie</t>
        </is>
      </c>
      <c r="E119" s="263" t="n">
        <v>13.63</v>
      </c>
      <c r="F119" s="232" t="inlineStr">
        <is>
          <t>19–22%</t>
        </is>
      </c>
      <c r="G119" s="264" t="n">
        <v>0.1981</v>
      </c>
      <c r="H119" s="232" t="inlineStr">
        <is>
          <t>P050302</t>
        </is>
      </c>
      <c r="I119" s="232" t="inlineStr">
        <is>
          <t>GP072501/2</t>
        </is>
      </c>
      <c r="J119" s="232" t="inlineStr">
        <is>
          <t>✓ COMPLETE</t>
        </is>
      </c>
      <c r="K119" s="235" t="inlineStr">
        <is>
          <t>—</t>
        </is>
      </c>
      <c r="L119" s="264" t="n">
        <v>0.1981</v>
      </c>
      <c r="M119" s="232" t="inlineStr">
        <is>
          <t>ППК25379</t>
        </is>
      </c>
      <c r="N119" s="264" t="n">
        <v>0</v>
      </c>
      <c r="O119" s="239" t="inlineStr">
        <is>
          <t>yes — all 12 determinations covered</t>
        </is>
      </c>
    </row>
    <row r="120">
      <c r="A120" s="232" t="n">
        <v>2</v>
      </c>
      <c r="B120" s="232" t="inlineStr">
        <is>
          <t>14.08.2026</t>
        </is>
      </c>
      <c r="C120" s="233" t="inlineStr">
        <is>
          <t>GP0824_03</t>
        </is>
      </c>
      <c r="D120" s="232" t="inlineStr">
        <is>
          <t>Grape Pie</t>
        </is>
      </c>
      <c r="E120" s="263" t="n">
        <v>237.67</v>
      </c>
      <c r="F120" s="232" t="inlineStr">
        <is>
          <t>≥ 25%</t>
        </is>
      </c>
      <c r="G120" s="264" t="n">
        <v>0.2545</v>
      </c>
      <c r="H120" s="232" t="inlineStr">
        <is>
          <t>P050072</t>
        </is>
      </c>
      <c r="I120" s="232" t="inlineStr">
        <is>
          <t>GP0824_03</t>
        </is>
      </c>
      <c r="J120" s="232" t="inlineStr">
        <is>
          <t>✓ COMPLETE</t>
        </is>
      </c>
      <c r="K120" s="235" t="inlineStr">
        <is>
          <t>—</t>
        </is>
      </c>
      <c r="L120" s="264" t="n">
        <v>0.2545</v>
      </c>
      <c r="M120" s="232" t="inlineStr">
        <is>
          <t>ППК25175</t>
        </is>
      </c>
      <c r="N120" s="264" t="n">
        <v>0</v>
      </c>
      <c r="O120" s="239" t="inlineStr">
        <is>
          <t>yes — all 12 determinations covered</t>
        </is>
      </c>
    </row>
    <row r="121">
      <c r="A121" s="232" t="n">
        <v>2</v>
      </c>
      <c r="B121" s="232" t="inlineStr">
        <is>
          <t>14.08.2026</t>
        </is>
      </c>
      <c r="C121" s="233" t="inlineStr">
        <is>
          <t>GP082501/1</t>
        </is>
      </c>
      <c r="D121" s="232" t="inlineStr">
        <is>
          <t>Grape Pie</t>
        </is>
      </c>
      <c r="E121" s="263" t="n">
        <v>200.42</v>
      </c>
      <c r="F121" s="232" t="inlineStr">
        <is>
          <t>19–22%</t>
        </is>
      </c>
      <c r="G121" s="264" t="n">
        <v>0.2129</v>
      </c>
      <c r="H121" s="232" t="inlineStr">
        <is>
          <t>P050312</t>
        </is>
      </c>
      <c r="I121" s="232" t="inlineStr">
        <is>
          <t>GP082501/1</t>
        </is>
      </c>
      <c r="J121" s="232" t="inlineStr">
        <is>
          <t>✓ COMPLETE</t>
        </is>
      </c>
      <c r="K121" s="235" t="inlineStr">
        <is>
          <t>—</t>
        </is>
      </c>
      <c r="L121" s="264" t="n">
        <v>0.2129</v>
      </c>
      <c r="M121" s="232" t="inlineStr">
        <is>
          <t>ППК25380</t>
        </is>
      </c>
      <c r="N121" s="264" t="n">
        <v>0</v>
      </c>
      <c r="O121" s="239" t="inlineStr">
        <is>
          <t>yes — all 12 determinations covered</t>
        </is>
      </c>
    </row>
    <row r="122">
      <c r="A122" s="232" t="n">
        <v>2</v>
      </c>
      <c r="B122" s="232" t="inlineStr">
        <is>
          <t>14.08.2026</t>
        </is>
      </c>
      <c r="C122" s="233" t="inlineStr">
        <is>
          <t>GP092501</t>
        </is>
      </c>
      <c r="D122" s="232" t="inlineStr">
        <is>
          <t>Grape Pie</t>
        </is>
      </c>
      <c r="E122" s="263" t="n">
        <v>171.03</v>
      </c>
      <c r="F122" s="232" t="inlineStr">
        <is>
          <t>≥ 25%</t>
        </is>
      </c>
      <c r="G122" s="264" t="n">
        <v>0.2573</v>
      </c>
      <c r="H122" s="232" t="inlineStr">
        <is>
          <t>P060092</t>
        </is>
      </c>
      <c r="I122" s="232" t="inlineStr">
        <is>
          <t>GP092501</t>
        </is>
      </c>
      <c r="J122" s="232" t="inlineStr">
        <is>
          <t>✓ COMPLETE</t>
        </is>
      </c>
      <c r="K122" s="235" t="inlineStr">
        <is>
          <t>—</t>
        </is>
      </c>
      <c r="L122" s="264" t="n">
        <v>0.2573</v>
      </c>
      <c r="M122" s="232" t="inlineStr">
        <is>
          <t>ППК26009</t>
        </is>
      </c>
      <c r="N122" s="264" t="n">
        <v>0</v>
      </c>
      <c r="O122" s="239" t="inlineStr">
        <is>
          <t>yes — all 12 determinations covered</t>
        </is>
      </c>
    </row>
    <row r="123">
      <c r="A123" s="232" t="n">
        <v>2</v>
      </c>
      <c r="B123" s="232" t="inlineStr">
        <is>
          <t>14.08.2026</t>
        </is>
      </c>
      <c r="C123" s="233" t="inlineStr">
        <is>
          <t>GRC102501/2</t>
        </is>
      </c>
      <c r="D123" s="232" t="inlineStr">
        <is>
          <t>Grapes and Cream</t>
        </is>
      </c>
      <c r="E123" s="263" t="n">
        <v>20.17</v>
      </c>
      <c r="F123" s="232" t="inlineStr">
        <is>
          <t>10–13%</t>
        </is>
      </c>
      <c r="G123" s="264" t="n">
        <v>0.1153</v>
      </c>
      <c r="H123" s="232" t="inlineStr">
        <is>
          <t>P060182</t>
        </is>
      </c>
      <c r="I123" s="232" t="inlineStr">
        <is>
          <t>GRC102501 (through its P lot; the desk row is the roll-up GRC102501)</t>
        </is>
      </c>
      <c r="J123" s="232" t="inlineStr">
        <is>
          <t>○ 2 ON FILE, NOT RECORDED</t>
        </is>
      </c>
      <c r="K123" s="235" t="inlineStr">
        <is>
          <t>#11 Heavy metals (on file 09.09, not recorded); #12 Pesticides (on file 09.09, not recorded)</t>
        </is>
      </c>
      <c r="L123" s="264" t="n">
        <v>0.1153</v>
      </c>
      <c r="M123" s="232" t="inlineStr">
        <is>
          <t>None</t>
        </is>
      </c>
      <c r="N123" s="264" t="n">
        <v>0</v>
      </c>
      <c r="O123" s="241" t="inlineStr">
        <is>
          <t>no — 2 on file, not recorded</t>
        </is>
      </c>
    </row>
    <row r="124">
      <c r="A124" s="232" t="n">
        <v>2</v>
      </c>
      <c r="B124" s="232" t="inlineStr">
        <is>
          <t>14.08.2026</t>
        </is>
      </c>
      <c r="C124" s="233" t="inlineStr">
        <is>
          <t>HPA052501</t>
        </is>
      </c>
      <c r="D124" s="232" t="inlineStr">
        <is>
          <t>High Pro Amnesia</t>
        </is>
      </c>
      <c r="E124" s="263" t="n">
        <v>249.95</v>
      </c>
      <c r="F124" s="232" t="inlineStr">
        <is>
          <t>19–22%</t>
        </is>
      </c>
      <c r="G124" s="264" t="n">
        <v>0.2039</v>
      </c>
      <c r="H124" s="232" t="inlineStr">
        <is>
          <t>P050182</t>
        </is>
      </c>
      <c r="I124" s="232" t="inlineStr">
        <is>
          <t>HPA052501</t>
        </is>
      </c>
      <c r="J124" s="232" t="inlineStr">
        <is>
          <t>✓ COMPLETE</t>
        </is>
      </c>
      <c r="K124" s="235" t="inlineStr">
        <is>
          <t>—</t>
        </is>
      </c>
      <c r="L124" s="264" t="n">
        <v>0.2039</v>
      </c>
      <c r="M124" s="232" t="inlineStr">
        <is>
          <t>ППК25278</t>
        </is>
      </c>
      <c r="N124" s="264" t="n">
        <v>0</v>
      </c>
      <c r="O124" s="239" t="inlineStr">
        <is>
          <t>yes — all 12 determinations covered</t>
        </is>
      </c>
    </row>
    <row r="125">
      <c r="A125" s="232" t="n">
        <v>2</v>
      </c>
      <c r="B125" s="232" t="inlineStr">
        <is>
          <t>14.08.2026</t>
        </is>
      </c>
      <c r="C125" s="233" t="inlineStr">
        <is>
          <t>JD012603/01</t>
        </is>
      </c>
      <c r="D125" s="232" t="inlineStr">
        <is>
          <t>Jelly Donuts</t>
        </is>
      </c>
      <c r="E125" s="263" t="n">
        <v>12</v>
      </c>
      <c r="F125" s="232" t="inlineStr">
        <is>
          <t>16–19%</t>
        </is>
      </c>
      <c r="G125" s="264" t="n">
        <v>0.1671</v>
      </c>
      <c r="H125" s="232" t="inlineStr">
        <is>
          <t>P060362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4" t="inlineStr">
        <is>
          <t>— none on the desk —</t>
        </is>
      </c>
      <c r="M125" s="232" t="inlineStr">
        <is>
          <t>—</t>
        </is>
      </c>
      <c r="N125" s="264" t="inlineStr">
        <is>
          <t>—</t>
        </is>
      </c>
      <c r="O125" s="241" t="inlineStr">
        <is>
          <t>no — 3 on file, not recorded</t>
        </is>
      </c>
    </row>
    <row r="126">
      <c r="A126" s="232" t="n">
        <v>2</v>
      </c>
      <c r="B126" s="232" t="inlineStr">
        <is>
          <t>14.08.2026</t>
        </is>
      </c>
      <c r="C126" s="233" t="inlineStr">
        <is>
          <t>JD012603/02</t>
        </is>
      </c>
      <c r="D126" s="232" t="inlineStr">
        <is>
          <t>Jelly Donuts</t>
        </is>
      </c>
      <c r="E126" s="263" t="n">
        <v>46</v>
      </c>
      <c r="F126" s="232" t="inlineStr">
        <is>
          <t>13–16%</t>
        </is>
      </c>
      <c r="G126" s="264" t="n">
        <v>0.133</v>
      </c>
      <c r="H126" s="232" t="inlineStr">
        <is>
          <t>P060412</t>
        </is>
      </c>
      <c r="I126" s="232" t="inlineStr">
        <is>
          <t>JD012603 (through its P lot; the desk row is the roll-up JD012603)</t>
        </is>
      </c>
      <c r="J126" s="232" t="inlineStr">
        <is>
          <t>○ 3 ON FILE, NOT RECORDED</t>
        </is>
      </c>
      <c r="K126" s="235" t="inlineStr">
        <is>
          <t>#9 Microbiology (on file 09.09, not recorded); #11 Heavy metals (on file 09.09, not recorded); #12 Pesticides (on file 09.09, not recorded)</t>
        </is>
      </c>
      <c r="L126" s="265" t="n">
        <v>0.2054</v>
      </c>
      <c r="M126" s="266" t="inlineStr">
        <is>
          <t>ППК26113</t>
        </is>
      </c>
      <c r="N126" s="265" t="n">
        <v>0.07239999999999998</v>
      </c>
      <c r="O126" s="267" t="inlineStr">
        <is>
          <t>no — 3 on file, not recorded  |  POTENCY: the certificate reads 20.54 %, outside the 13–16% it was delivered under</t>
        </is>
      </c>
    </row>
    <row r="127">
      <c r="A127" s="232" t="n">
        <v>2</v>
      </c>
      <c r="B127" s="232" t="inlineStr">
        <is>
          <t>14.08.2026</t>
        </is>
      </c>
      <c r="C127" s="233" t="inlineStr">
        <is>
          <t>JD012603/02V</t>
        </is>
      </c>
      <c r="D127" s="232" t="inlineStr">
        <is>
          <t>Jelly Donuts</t>
        </is>
      </c>
      <c r="E127" s="263" t="n">
        <v>11</v>
      </c>
      <c r="F127" s="232" t="inlineStr">
        <is>
          <t>13–16%</t>
        </is>
      </c>
      <c r="G127" s="264" t="n">
        <v>0.1497</v>
      </c>
      <c r="H127" s="232" t="inlineStr">
        <is>
          <t>P060422</t>
        </is>
      </c>
      <c r="I127" s="232" t="inlineStr">
        <is>
          <t>JD012603 (through its P lot; the desk row is the roll-up JD012603)</t>
        </is>
      </c>
      <c r="J127" s="232" t="inlineStr">
        <is>
          <t>○ 3 ON FILE, NOT RECORDED</t>
        </is>
      </c>
      <c r="K127" s="235" t="inlineStr">
        <is>
          <t>#9 Microbiology (on file 09.09, not recorded); #11 Heavy metals (on file 09.09, not recorded); #12 Pesticides (on file 09.09, not recorded)</t>
        </is>
      </c>
      <c r="L127" s="264" t="n">
        <v>0.1516</v>
      </c>
      <c r="M127" s="232" t="inlineStr">
        <is>
          <t>ППК26111</t>
        </is>
      </c>
      <c r="N127" s="264" t="n">
        <v>0.001899999999999995</v>
      </c>
      <c r="O127" s="241" t="inlineStr">
        <is>
          <t>no — 3 on file, not recorded</t>
        </is>
      </c>
    </row>
    <row r="128">
      <c r="A128" s="232" t="n">
        <v>2</v>
      </c>
      <c r="B128" s="232" t="inlineStr">
        <is>
          <t>14.08.2026</t>
        </is>
      </c>
      <c r="C128" s="233" t="inlineStr">
        <is>
          <t>KC102501</t>
        </is>
      </c>
      <c r="D128" s="232" t="inlineStr">
        <is>
          <t>Kush Crasher</t>
        </is>
      </c>
      <c r="E128" s="263" t="n">
        <v>21.67</v>
      </c>
      <c r="F128" s="232" t="inlineStr">
        <is>
          <t>16–19%</t>
        </is>
      </c>
      <c r="G128" s="264" t="n">
        <v>0.174</v>
      </c>
      <c r="H128" s="232" t="inlineStr">
        <is>
          <t>P060172</t>
        </is>
      </c>
      <c r="I128" s="232" t="inlineStr">
        <is>
          <t>KC102501</t>
        </is>
      </c>
      <c r="J128" s="232" t="inlineStr">
        <is>
          <t>○ 3 ON FILE, NOT RECORDED</t>
        </is>
      </c>
      <c r="K128" s="235" t="inlineStr">
        <is>
          <t>#9 Microbiology (on file 09.09, not recorded); #11 Heavy metals (on file 09.09, not recorded); #12 Pesticides (on file 09.09, not recorded)</t>
        </is>
      </c>
      <c r="L128" s="264" t="n">
        <v>0.1704</v>
      </c>
      <c r="M128" s="232" t="inlineStr">
        <is>
          <t>051-4-К/26</t>
        </is>
      </c>
      <c r="N128" s="264" t="n">
        <v>-0.003599999999999994</v>
      </c>
      <c r="O128" s="241" t="inlineStr">
        <is>
          <t>no — 3 on file, not recorded</t>
        </is>
      </c>
    </row>
    <row r="129">
      <c r="A129" s="232" t="n">
        <v>2</v>
      </c>
      <c r="B129" s="232" t="inlineStr">
        <is>
          <t>14.08.2026</t>
        </is>
      </c>
      <c r="C129" s="233" t="inlineStr">
        <is>
          <t>MB0824_05</t>
        </is>
      </c>
      <c r="D129" s="232" t="inlineStr">
        <is>
          <t>Motor Breath</t>
        </is>
      </c>
      <c r="E129" s="263" t="n">
        <v>244.06</v>
      </c>
      <c r="F129" s="232" t="inlineStr">
        <is>
          <t>16–19%</t>
        </is>
      </c>
      <c r="G129" s="264" t="n">
        <v>0.1682</v>
      </c>
      <c r="H129" s="232" t="inlineStr">
        <is>
          <t>P050112</t>
        </is>
      </c>
      <c r="I129" s="232" t="inlineStr">
        <is>
          <t>MB0824_05</t>
        </is>
      </c>
      <c r="J129" s="232" t="inlineStr">
        <is>
          <t>✓ COMPLETE</t>
        </is>
      </c>
      <c r="K129" s="235" t="inlineStr">
        <is>
          <t>—</t>
        </is>
      </c>
      <c r="L129" s="264" t="n">
        <v>0.1682</v>
      </c>
      <c r="M129" s="232" t="inlineStr">
        <is>
          <t>None</t>
        </is>
      </c>
      <c r="N129" s="264" t="n">
        <v>0</v>
      </c>
      <c r="O129" s="239" t="inlineStr">
        <is>
          <t>yes — all 12 determinations covered</t>
        </is>
      </c>
    </row>
    <row r="130">
      <c r="A130" s="232" t="n">
        <v>2</v>
      </c>
      <c r="B130" s="232" t="inlineStr">
        <is>
          <t>14.08.2026</t>
        </is>
      </c>
      <c r="C130" s="233" t="inlineStr">
        <is>
          <t>OMP1024_01</t>
        </is>
      </c>
      <c r="D130" s="232" t="inlineStr">
        <is>
          <t>Orange Punch Mimosa</t>
        </is>
      </c>
      <c r="E130" s="263" t="n">
        <v>213.59</v>
      </c>
      <c r="F130" s="232" t="inlineStr">
        <is>
          <t>13–16%</t>
        </is>
      </c>
      <c r="G130" s="264" t="n">
        <v>0.1538</v>
      </c>
      <c r="H130" s="232" t="inlineStr">
        <is>
          <t>P050042</t>
        </is>
      </c>
      <c r="I130" s="232" t="inlineStr">
        <is>
          <t>OMP1024_01</t>
        </is>
      </c>
      <c r="J130" s="232" t="inlineStr">
        <is>
          <t>✓ COMPLETE</t>
        </is>
      </c>
      <c r="K130" s="235" t="inlineStr">
        <is>
          <t>—</t>
        </is>
      </c>
      <c r="L130" s="264" t="inlineStr">
        <is>
          <t>— none on the desk —</t>
        </is>
      </c>
      <c r="M130" s="232" t="inlineStr">
        <is>
          <t>—</t>
        </is>
      </c>
      <c r="N130" s="264" t="inlineStr">
        <is>
          <t>—</t>
        </is>
      </c>
      <c r="O130" s="239" t="inlineStr">
        <is>
          <t>yes — all 12 determinations covered</t>
        </is>
      </c>
    </row>
    <row r="131">
      <c r="A131" s="232" t="n">
        <v>2</v>
      </c>
      <c r="B131" s="232" t="inlineStr">
        <is>
          <t>14.08.2026</t>
        </is>
      </c>
      <c r="C131" s="233" t="inlineStr">
        <is>
          <t>OPM092501</t>
        </is>
      </c>
      <c r="D131" s="232" t="inlineStr">
        <is>
          <t>Orange Punch Mimosa</t>
        </is>
      </c>
      <c r="E131" s="263" t="n">
        <v>14.76</v>
      </c>
      <c r="F131" s="232" t="inlineStr">
        <is>
          <t>7–10%</t>
        </is>
      </c>
      <c r="G131" s="264" t="n">
        <v>0.09429999999999999</v>
      </c>
      <c r="H131" s="232" t="inlineStr">
        <is>
          <t>P060042</t>
        </is>
      </c>
      <c r="I131" s="232" t="inlineStr">
        <is>
          <t>OPM092501</t>
        </is>
      </c>
      <c r="J131" s="232" t="inlineStr">
        <is>
          <t>✓ COMPLETE</t>
        </is>
      </c>
      <c r="K131" s="235" t="inlineStr">
        <is>
          <t>—</t>
        </is>
      </c>
      <c r="L131" s="264" t="n">
        <v>0.09429999999999999</v>
      </c>
      <c r="M131" s="232" t="inlineStr">
        <is>
          <t>ППК26008</t>
        </is>
      </c>
      <c r="N131" s="264" t="n">
        <v>0</v>
      </c>
      <c r="O131" s="239" t="inlineStr">
        <is>
          <t>yes — all 12 determinations covered</t>
        </is>
      </c>
    </row>
    <row r="132">
      <c r="A132" s="232" t="n">
        <v>2</v>
      </c>
      <c r="B132" s="232" t="inlineStr">
        <is>
          <t>14.08.2026</t>
        </is>
      </c>
      <c r="C132" s="233" t="inlineStr">
        <is>
          <t>OPM1024_03</t>
        </is>
      </c>
      <c r="D132" s="232" t="inlineStr">
        <is>
          <t>Orange Punch Mimosa</t>
        </is>
      </c>
      <c r="E132" s="263" t="n">
        <v>267.59</v>
      </c>
      <c r="F132" s="232" t="inlineStr">
        <is>
          <t>16–19%</t>
        </is>
      </c>
      <c r="G132" s="264" t="n">
        <v>0.1655</v>
      </c>
      <c r="H132" s="232" t="inlineStr">
        <is>
          <t>P050082</t>
        </is>
      </c>
      <c r="I132" s="232" t="inlineStr">
        <is>
          <t>OPM1024_03</t>
        </is>
      </c>
      <c r="J132" s="232" t="inlineStr">
        <is>
          <t>✓ COMPLETE</t>
        </is>
      </c>
      <c r="K132" s="235" t="inlineStr">
        <is>
          <t>—</t>
        </is>
      </c>
      <c r="L132" s="264" t="n">
        <v>0.1655</v>
      </c>
      <c r="M132" s="232" t="inlineStr">
        <is>
          <t>ППК25210</t>
        </is>
      </c>
      <c r="N132" s="264" t="n">
        <v>0</v>
      </c>
      <c r="O132" s="239" t="inlineStr">
        <is>
          <t>yes — all 12 determinations covered</t>
        </is>
      </c>
    </row>
    <row r="133">
      <c r="A133" s="232" t="n">
        <v>2</v>
      </c>
      <c r="B133" s="232" t="inlineStr">
        <is>
          <t>14.08.2026</t>
        </is>
      </c>
      <c r="C133" s="233" t="inlineStr">
        <is>
          <t>PM112501</t>
        </is>
      </c>
      <c r="D133" s="232" t="inlineStr">
        <is>
          <t>Permanent Marker</t>
        </is>
      </c>
      <c r="E133" s="263" t="n">
        <v>48.09</v>
      </c>
      <c r="F133" s="232" t="inlineStr">
        <is>
          <t>13–16%</t>
        </is>
      </c>
      <c r="G133" s="264" t="n">
        <v>0.13</v>
      </c>
      <c r="H133" s="232" t="inlineStr">
        <is>
          <t>P060232</t>
        </is>
      </c>
      <c r="I133" s="232" t="inlineStr">
        <is>
          <t>PM112501</t>
        </is>
      </c>
      <c r="J133" s="232" t="inlineStr">
        <is>
          <t>○ 3 ON FILE, NOT RECORDED</t>
        </is>
      </c>
      <c r="K133" s="235" t="inlineStr">
        <is>
          <t>#9 Microbiology (on file 09.09, not recorded); #11 Heavy metals (on file 09.09, not recorded); #12 Pesticides (on file 09.09, not recorded)</t>
        </is>
      </c>
      <c r="L133" s="264" t="n">
        <v>0.1333</v>
      </c>
      <c r="M133" s="232" t="inlineStr">
        <is>
          <t>ППК26030</t>
        </is>
      </c>
      <c r="N133" s="264" t="n">
        <v>0.003300000000000001</v>
      </c>
      <c r="O133" s="241" t="inlineStr">
        <is>
          <t>no — 3 on file, not recorded</t>
        </is>
      </c>
    </row>
    <row r="134">
      <c r="A134" s="232" t="n">
        <v>2</v>
      </c>
      <c r="B134" s="232" t="inlineStr">
        <is>
          <t>14.08.2026</t>
        </is>
      </c>
      <c r="C134" s="233" t="inlineStr">
        <is>
          <t>PUM102501</t>
        </is>
      </c>
      <c r="D134" s="232" t="inlineStr">
        <is>
          <t>Pure Michigen</t>
        </is>
      </c>
      <c r="E134" s="263" t="n">
        <v>49.91</v>
      </c>
      <c r="F134" s="232" t="inlineStr">
        <is>
          <t>13–16%</t>
        </is>
      </c>
      <c r="G134" s="264" t="n">
        <v>0.1563</v>
      </c>
      <c r="H134" s="232" t="inlineStr">
        <is>
          <t>P060112</t>
        </is>
      </c>
      <c r="I134" s="232" t="inlineStr">
        <is>
          <t>PUM102501</t>
        </is>
      </c>
      <c r="J134" s="232" t="inlineStr">
        <is>
          <t>○ 4 ON FILE, NOT RECORDED</t>
        </is>
      </c>
      <c r="K134" s="235" t="inlineStr">
        <is>
          <t>#8 LoD (on file 09.09, not recorded); #9 Microbiology (on file 09.09, not recorded); #11 Heavy metals (on file 09.09, not recorded); #12 Pesticides (on file 09.09, not recorded)</t>
        </is>
      </c>
      <c r="L134" s="264" t="inlineStr">
        <is>
          <t>— none on the desk —</t>
        </is>
      </c>
      <c r="M134" s="232" t="inlineStr">
        <is>
          <t>—</t>
        </is>
      </c>
      <c r="N134" s="264" t="inlineStr">
        <is>
          <t>—</t>
        </is>
      </c>
      <c r="O134" s="241" t="inlineStr">
        <is>
          <t>no — 4 on file, not recorded</t>
        </is>
      </c>
    </row>
    <row r="135">
      <c r="A135" s="232" t="n">
        <v>2</v>
      </c>
      <c r="B135" s="232" t="inlineStr">
        <is>
          <t>14.08.2026</t>
        </is>
      </c>
      <c r="C135" s="233" t="inlineStr">
        <is>
          <t>SCR112501</t>
        </is>
      </c>
      <c r="D135" s="232" t="inlineStr">
        <is>
          <t>Scrambler</t>
        </is>
      </c>
      <c r="E135" s="263" t="n">
        <v>23.44</v>
      </c>
      <c r="F135" s="232" t="inlineStr">
        <is>
          <t>16–19%</t>
        </is>
      </c>
      <c r="G135" s="264" t="n">
        <v>0.1713</v>
      </c>
      <c r="H135" s="232" t="inlineStr">
        <is>
          <t>P060282</t>
        </is>
      </c>
      <c r="I135" s="232" t="inlineStr">
        <is>
          <t>SCR112501</t>
        </is>
      </c>
      <c r="J135" s="232" t="inlineStr">
        <is>
          <t>✓ COMPLETE</t>
        </is>
      </c>
      <c r="K135" s="235" t="inlineStr">
        <is>
          <t>—</t>
        </is>
      </c>
      <c r="L135" s="264" t="n">
        <v>0.1713</v>
      </c>
      <c r="M135" s="232" t="inlineStr">
        <is>
          <t>ППК26069</t>
        </is>
      </c>
      <c r="N135" s="264" t="n">
        <v>0</v>
      </c>
      <c r="O135" s="239" t="inlineStr">
        <is>
          <t>yes — all 12 determinations covered</t>
        </is>
      </c>
    </row>
    <row r="136">
      <c r="A136" s="232" t="n">
        <v>2</v>
      </c>
      <c r="B136" s="232" t="inlineStr">
        <is>
          <t>14.08.2026</t>
        </is>
      </c>
      <c r="C136" s="233" t="inlineStr">
        <is>
          <t>SJ092501</t>
        </is>
      </c>
      <c r="D136" s="232" t="inlineStr">
        <is>
          <t>Sleepy Joe</t>
        </is>
      </c>
      <c r="E136" s="263" t="n">
        <v>28.68</v>
      </c>
      <c r="F136" s="232" t="inlineStr">
        <is>
          <t>10–13%</t>
        </is>
      </c>
      <c r="G136" s="264" t="n">
        <v>0.1096</v>
      </c>
      <c r="H136" s="232" t="inlineStr">
        <is>
          <t>—</t>
        </is>
      </c>
      <c r="I136" s="232" t="inlineStr">
        <is>
          <t>SJ0925021 (through the certificates that print this batch (85/2026, 9/0012/26, ППК26006); the desk names the lot SJ0925021)</t>
        </is>
      </c>
      <c r="J136" s="232" t="inlineStr">
        <is>
          <t>✓ COMPLETE</t>
        </is>
      </c>
      <c r="K136" s="235" t="inlineStr">
        <is>
          <t>—</t>
        </is>
      </c>
      <c r="L136" s="264" t="n">
        <v>0.1096</v>
      </c>
      <c r="M136" s="232" t="inlineStr">
        <is>
          <t>ППК26006</t>
        </is>
      </c>
      <c r="N136" s="264" t="n">
        <v>0</v>
      </c>
      <c r="O136" s="239" t="inlineStr">
        <is>
          <t>yes — all 12 determinations covered</t>
        </is>
      </c>
    </row>
    <row r="137">
      <c r="A137" s="232" t="n">
        <v>2</v>
      </c>
      <c r="B137" s="232" t="inlineStr">
        <is>
          <t>14.08.2026</t>
        </is>
      </c>
      <c r="C137" s="233" t="inlineStr">
        <is>
          <t>WC082501</t>
        </is>
      </c>
      <c r="D137" s="232" t="inlineStr">
        <is>
          <t>Wedding Crusher</t>
        </is>
      </c>
      <c r="E137" s="263" t="n">
        <v>82.63</v>
      </c>
      <c r="F137" s="232" t="inlineStr">
        <is>
          <t>19–22%</t>
        </is>
      </c>
      <c r="G137" s="264" t="n">
        <v>0.2167</v>
      </c>
      <c r="H137" s="232" t="inlineStr">
        <is>
          <t>P060012</t>
        </is>
      </c>
      <c r="I137" s="232" t="inlineStr">
        <is>
          <t>WC082501</t>
        </is>
      </c>
      <c r="J137" s="232" t="inlineStr">
        <is>
          <t>✓ COMPLETE</t>
        </is>
      </c>
      <c r="K137" s="235" t="inlineStr">
        <is>
          <t>—</t>
        </is>
      </c>
      <c r="L137" s="264" t="n">
        <v>0.2167</v>
      </c>
      <c r="M137" s="232" t="inlineStr">
        <is>
          <t>ППК26001</t>
        </is>
      </c>
      <c r="N137" s="264" t="n">
        <v>0</v>
      </c>
      <c r="O137" s="239" t="inlineStr">
        <is>
          <t>yes — all 12 determinations covered</t>
        </is>
      </c>
    </row>
    <row r="138">
      <c r="A138" s="232" t="n">
        <v>3</v>
      </c>
      <c r="B138" s="232" t="inlineStr">
        <is>
          <t>28.08.2026</t>
        </is>
      </c>
      <c r="C138" s="233" t="inlineStr">
        <is>
          <t>AB092501</t>
        </is>
      </c>
      <c r="D138" s="232" t="inlineStr">
        <is>
          <t>Appels &amp; Bananas</t>
        </is>
      </c>
      <c r="E138" s="263" t="n">
        <v>24.37</v>
      </c>
      <c r="F138" s="232" t="inlineStr">
        <is>
          <t>16–19%</t>
        </is>
      </c>
      <c r="G138" s="264" t="n">
        <v>0.1693</v>
      </c>
      <c r="H138" s="232" t="inlineStr">
        <is>
          <t>P060052</t>
        </is>
      </c>
      <c r="I138" s="232" t="inlineStr">
        <is>
          <t>AB092501</t>
        </is>
      </c>
      <c r="J138" s="232" t="inlineStr">
        <is>
          <t>✓ COMPLETE</t>
        </is>
      </c>
      <c r="K138" s="235" t="inlineStr">
        <is>
          <t>—</t>
        </is>
      </c>
      <c r="L138" s="264" t="n">
        <v>0.1693</v>
      </c>
      <c r="M138" s="232" t="inlineStr">
        <is>
          <t>ППК26005</t>
        </is>
      </c>
      <c r="N138" s="264" t="n">
        <v>0</v>
      </c>
      <c r="O138" s="239" t="inlineStr">
        <is>
          <t>yes — all 12 determinations covered</t>
        </is>
      </c>
    </row>
    <row r="139">
      <c r="A139" s="232" t="n">
        <v>3</v>
      </c>
      <c r="B139" s="232" t="inlineStr">
        <is>
          <t>28.08.2026</t>
        </is>
      </c>
      <c r="C139" s="233" t="inlineStr">
        <is>
          <t>BSS1024_01/1</t>
        </is>
      </c>
      <c r="D139" s="232" t="inlineStr">
        <is>
          <t>Blue Sunset Sherbet</t>
        </is>
      </c>
      <c r="E139" s="263" t="n">
        <v>251.02</v>
      </c>
      <c r="F139" s="232" t="inlineStr">
        <is>
          <t>22–25%</t>
        </is>
      </c>
      <c r="G139" s="264" t="n">
        <v>0.2342</v>
      </c>
      <c r="H139" s="232" t="inlineStr">
        <is>
          <t>P050122</t>
        </is>
      </c>
      <c r="I139" s="232" t="inlineStr">
        <is>
          <t>BSS1024_01/1</t>
        </is>
      </c>
      <c r="J139" s="232" t="inlineStr">
        <is>
          <t>✓ COMPLETE</t>
        </is>
      </c>
      <c r="K139" s="235" t="inlineStr">
        <is>
          <t>—</t>
        </is>
      </c>
      <c r="L139" s="264" t="inlineStr">
        <is>
          <t>— none on the desk —</t>
        </is>
      </c>
      <c r="M139" s="232" t="inlineStr">
        <is>
          <t>—</t>
        </is>
      </c>
      <c r="N139" s="264" t="inlineStr">
        <is>
          <t>—</t>
        </is>
      </c>
      <c r="O139" s="239" t="inlineStr">
        <is>
          <t>yes — all 12 determinations covered</t>
        </is>
      </c>
    </row>
    <row r="140">
      <c r="A140" s="232" t="n">
        <v>3</v>
      </c>
      <c r="B140" s="232" t="inlineStr">
        <is>
          <t>28.08.2026</t>
        </is>
      </c>
      <c r="C140" s="233" t="inlineStr">
        <is>
          <t>CC112501</t>
        </is>
      </c>
      <c r="D140" s="232" t="inlineStr">
        <is>
          <t>Cash Cow</t>
        </is>
      </c>
      <c r="E140" s="263" t="n">
        <v>13.94</v>
      </c>
      <c r="F140" s="232" t="inlineStr">
        <is>
          <t>13–16%</t>
        </is>
      </c>
      <c r="G140" s="264" t="n">
        <v>0.1335</v>
      </c>
      <c r="H140" s="232" t="inlineStr">
        <is>
          <t>P060272</t>
        </is>
      </c>
      <c r="I140" s="232" t="inlineStr">
        <is>
          <t>CC112501</t>
        </is>
      </c>
      <c r="J140" s="232" t="inlineStr">
        <is>
          <t>✓ COMPLETE</t>
        </is>
      </c>
      <c r="K140" s="235" t="inlineStr">
        <is>
          <t>—</t>
        </is>
      </c>
      <c r="L140" s="264" t="n">
        <v>0.1335</v>
      </c>
      <c r="M140" s="232" t="inlineStr">
        <is>
          <t>ППК26068</t>
        </is>
      </c>
      <c r="N140" s="264" t="n">
        <v>0</v>
      </c>
      <c r="O140" s="239" t="inlineStr">
        <is>
          <t>yes — all 12 determinations covered</t>
        </is>
      </c>
    </row>
    <row r="141">
      <c r="A141" s="232" t="n">
        <v>3</v>
      </c>
      <c r="B141" s="232" t="inlineStr">
        <is>
          <t>28.08.2026</t>
        </is>
      </c>
      <c r="C141" s="233" t="inlineStr">
        <is>
          <t>CJ052501/02</t>
        </is>
      </c>
      <c r="D141" s="232" t="inlineStr">
        <is>
          <t>Cap Junky</t>
        </is>
      </c>
      <c r="E141" s="263" t="n">
        <v>43.95</v>
      </c>
      <c r="F141" s="232" t="inlineStr">
        <is>
          <t>13–16%</t>
        </is>
      </c>
      <c r="G141" s="264" t="n">
        <v>0.1449</v>
      </c>
      <c r="H141" s="232" t="inlineStr">
        <is>
          <t>P050172</t>
        </is>
      </c>
      <c r="I141" s="232" t="inlineStr">
        <is>
          <t>CJ052501/02</t>
        </is>
      </c>
      <c r="J141" s="232" t="inlineStr">
        <is>
          <t>✓ COMPLETE</t>
        </is>
      </c>
      <c r="K141" s="235" t="inlineStr">
        <is>
          <t>—</t>
        </is>
      </c>
      <c r="L141" s="264" t="n">
        <v>0.1493</v>
      </c>
      <c r="M141" s="232" t="inlineStr">
        <is>
          <t>ППК25281</t>
        </is>
      </c>
      <c r="N141" s="264" t="n">
        <v>0.004399999999999995</v>
      </c>
      <c r="O141" s="239" t="inlineStr">
        <is>
          <t>yes — all 12 determinations covered</t>
        </is>
      </c>
    </row>
    <row r="142">
      <c r="A142" s="232" t="n">
        <v>3</v>
      </c>
      <c r="B142" s="232" t="inlineStr">
        <is>
          <t>28.08.2026</t>
        </is>
      </c>
      <c r="C142" s="233" t="inlineStr">
        <is>
          <t>CJ072501</t>
        </is>
      </c>
      <c r="D142" s="232" t="inlineStr">
        <is>
          <t>Cap Junky</t>
        </is>
      </c>
      <c r="E142" s="263" t="n">
        <v>39.72</v>
      </c>
      <c r="F142" s="232" t="inlineStr">
        <is>
          <t>22–25%</t>
        </is>
      </c>
      <c r="G142" s="264" t="n">
        <v>0.237</v>
      </c>
      <c r="H142" s="232" t="inlineStr">
        <is>
          <t>P050252</t>
        </is>
      </c>
      <c r="I142" s="232" t="inlineStr">
        <is>
          <t>CJ072501</t>
        </is>
      </c>
      <c r="J142" s="232" t="inlineStr">
        <is>
          <t>✓ COMPLETE</t>
        </is>
      </c>
      <c r="K142" s="235" t="inlineStr">
        <is>
          <t>—</t>
        </is>
      </c>
      <c r="L142" s="264" t="n">
        <v>0.237</v>
      </c>
      <c r="M142" s="232" t="inlineStr">
        <is>
          <t>ППК25367</t>
        </is>
      </c>
      <c r="N142" s="264" t="n">
        <v>0</v>
      </c>
      <c r="O142" s="239" t="inlineStr">
        <is>
          <t>yes — all 12 determinations covered</t>
        </is>
      </c>
    </row>
    <row r="143">
      <c r="A143" s="232" t="n">
        <v>3</v>
      </c>
      <c r="B143" s="232" t="inlineStr">
        <is>
          <t>28.08.2026</t>
        </is>
      </c>
      <c r="C143" s="233" t="inlineStr">
        <is>
          <t>CJ1024</t>
        </is>
      </c>
      <c r="D143" s="232" t="inlineStr">
        <is>
          <t>Cap Junky</t>
        </is>
      </c>
      <c r="E143" s="263" t="n">
        <v>21.21</v>
      </c>
      <c r="F143" s="232" t="inlineStr">
        <is>
          <t>22–25%</t>
        </is>
      </c>
      <c r="G143" s="264" t="n">
        <v>0.23</v>
      </c>
      <c r="H143" s="232" t="inlineStr">
        <is>
          <t>—</t>
        </is>
      </c>
      <c r="I143" s="232" t="inlineStr">
        <is>
          <t>CJ1024</t>
        </is>
      </c>
      <c r="J143" s="232" t="inlineStr">
        <is>
          <t>✓ COMPLETE</t>
        </is>
      </c>
      <c r="K143" s="235" t="inlineStr">
        <is>
          <t>—</t>
        </is>
      </c>
      <c r="L143" s="264" t="n">
        <v>0.23</v>
      </c>
      <c r="M143" s="232" t="inlineStr">
        <is>
          <t>ППК25052</t>
        </is>
      </c>
      <c r="N143" s="264" t="n">
        <v>0</v>
      </c>
      <c r="O143" s="239" t="inlineStr">
        <is>
          <t>yes — all 12 determinations covered</t>
        </is>
      </c>
    </row>
    <row r="144">
      <c r="A144" s="232" t="n">
        <v>3</v>
      </c>
      <c r="B144" s="232" t="inlineStr">
        <is>
          <t>28.08.2026</t>
        </is>
      </c>
      <c r="C144" s="233" t="inlineStr">
        <is>
          <t>FB012603</t>
        </is>
      </c>
      <c r="D144" s="232" t="inlineStr">
        <is>
          <t>Fat Bastard</t>
        </is>
      </c>
      <c r="E144" s="263" t="n">
        <v>75</v>
      </c>
      <c r="F144" s="232" t="inlineStr">
        <is>
          <t>13–16%</t>
        </is>
      </c>
      <c r="G144" s="264" t="n">
        <v>0.1465</v>
      </c>
      <c r="H144" s="232" t="inlineStr">
        <is>
          <t>P060432</t>
        </is>
      </c>
      <c r="I144" s="232" t="inlineStr">
        <is>
          <t>FB012603</t>
        </is>
      </c>
      <c r="J144" s="232" t="inlineStr">
        <is>
          <t>○ 3 ON FILE, NOT RECORDED</t>
        </is>
      </c>
      <c r="K144" s="235" t="inlineStr">
        <is>
          <t>#10 Mycotoxins (on file 09.09, not recorded); #11 Heavy metals (on file 09.09, not recorded); #12 Pesticides (on file 09.09, not recorded)</t>
        </is>
      </c>
      <c r="L144" s="265" t="n">
        <v>0.2083</v>
      </c>
      <c r="M144" s="266" t="inlineStr">
        <is>
          <t>ППК26112</t>
        </is>
      </c>
      <c r="N144" s="265" t="n">
        <v>0.06179999999999998</v>
      </c>
      <c r="O144" s="267" t="inlineStr">
        <is>
          <t>no — 3 on file, not recorded  |  POTENCY: the certificate reads 20.83 %, outside the 13–16% it was delivered under</t>
        </is>
      </c>
    </row>
    <row r="145">
      <c r="A145" s="232" t="n">
        <v>3</v>
      </c>
      <c r="B145" s="232" t="inlineStr">
        <is>
          <t>28.08.2026</t>
        </is>
      </c>
      <c r="C145" s="233" t="inlineStr">
        <is>
          <t>FB012603V</t>
        </is>
      </c>
      <c r="D145" s="232" t="inlineStr">
        <is>
          <t>Fat Bastard</t>
        </is>
      </c>
      <c r="E145" s="263" t="n">
        <v>16</v>
      </c>
      <c r="F145" s="232" t="inlineStr">
        <is>
          <t>13–16%</t>
        </is>
      </c>
      <c r="G145" s="264" t="n">
        <v>0.156</v>
      </c>
      <c r="H145" s="232" t="inlineStr">
        <is>
          <t>P060392</t>
        </is>
      </c>
      <c r="I145" s="232" t="inlineStr">
        <is>
          <t>FB012603V</t>
        </is>
      </c>
      <c r="J145" s="232" t="inlineStr">
        <is>
          <t>○ 3 ON FILE, NOT RECORDED</t>
        </is>
      </c>
      <c r="K145" s="235" t="inlineStr">
        <is>
          <t>#10 Mycotoxins (on file 09.09, not recorded); #11 Heavy metals (on file 09.09, not recorded); #12 Pesticides (on file 09.09, not recorded)</t>
        </is>
      </c>
      <c r="L145" s="265" t="n">
        <v>0.1829</v>
      </c>
      <c r="M145" s="266" t="inlineStr">
        <is>
          <t>ППК26110</t>
        </is>
      </c>
      <c r="N145" s="265" t="n">
        <v>0.02689999999999999</v>
      </c>
      <c r="O145" s="267" t="inlineStr">
        <is>
          <t>no — 3 on file, not recorded  |  POTENCY: the certificate reads 18.29 %, outside the 13–16% it was delivered under</t>
        </is>
      </c>
    </row>
    <row r="146">
      <c r="A146" s="232" t="n">
        <v>3</v>
      </c>
      <c r="B146" s="232" t="inlineStr">
        <is>
          <t>28.08.2026</t>
        </is>
      </c>
      <c r="C146" s="233" t="inlineStr">
        <is>
          <t>FB112501</t>
        </is>
      </c>
      <c r="D146" s="232" t="inlineStr">
        <is>
          <t>Fat Bastard</t>
        </is>
      </c>
      <c r="E146" s="263" t="n">
        <v>42.1</v>
      </c>
      <c r="F146" s="232" t="inlineStr">
        <is>
          <t>16–19%</t>
        </is>
      </c>
      <c r="G146" s="264" t="n">
        <v>0.1669</v>
      </c>
      <c r="H146" s="232" t="inlineStr">
        <is>
          <t>P060292</t>
        </is>
      </c>
      <c r="I146" s="232" t="inlineStr">
        <is>
          <t>FB112501</t>
        </is>
      </c>
      <c r="J146" s="232" t="inlineStr">
        <is>
          <t>✓ COMPLETE</t>
        </is>
      </c>
      <c r="K146" s="235" t="inlineStr">
        <is>
          <t>—</t>
        </is>
      </c>
      <c r="L146" s="264" t="n">
        <v>0.1669</v>
      </c>
      <c r="M146" s="232" t="inlineStr">
        <is>
          <t>ППК26066</t>
        </is>
      </c>
      <c r="N146" s="264" t="n">
        <v>0</v>
      </c>
      <c r="O146" s="239" t="inlineStr">
        <is>
          <t>yes — all 12 determinations covered</t>
        </is>
      </c>
    </row>
    <row r="147">
      <c r="A147" s="232" t="n">
        <v>3</v>
      </c>
      <c r="B147" s="232" t="inlineStr">
        <is>
          <t>28.08.2026</t>
        </is>
      </c>
      <c r="C147" s="233" t="inlineStr">
        <is>
          <t>GG012601</t>
        </is>
      </c>
      <c r="D147" s="232" t="inlineStr">
        <is>
          <t>GG4</t>
        </is>
      </c>
      <c r="E147" s="263" t="n">
        <v>77.84999999999999</v>
      </c>
      <c r="F147" s="232" t="inlineStr">
        <is>
          <t>13–16%</t>
        </is>
      </c>
      <c r="G147" s="264" t="n">
        <v>0.1535</v>
      </c>
      <c r="H147" s="232" t="inlineStr">
        <is>
          <t>P060302</t>
        </is>
      </c>
      <c r="I147" s="232" t="inlineStr">
        <is>
          <t>GG012601＊</t>
        </is>
      </c>
      <c r="J147" s="232" t="inlineStr">
        <is>
          <t>✓ COMPLETE</t>
        </is>
      </c>
      <c r="K147" s="235" t="inlineStr">
        <is>
          <t>—</t>
        </is>
      </c>
      <c r="L147" s="264" t="n">
        <v>0.1535</v>
      </c>
      <c r="M147" s="232" t="inlineStr">
        <is>
          <t>ППК26062</t>
        </is>
      </c>
      <c r="N147" s="264" t="n">
        <v>0</v>
      </c>
      <c r="O147" s="239" t="inlineStr">
        <is>
          <t>yes — all 12 determinations covered</t>
        </is>
      </c>
    </row>
    <row r="148">
      <c r="A148" s="232" t="n">
        <v>3</v>
      </c>
      <c r="B148" s="232" t="inlineStr">
        <is>
          <t>28.08.2026</t>
        </is>
      </c>
      <c r="C148" s="233" t="inlineStr">
        <is>
          <t>GG1024_02</t>
        </is>
      </c>
      <c r="D148" s="232" t="inlineStr">
        <is>
          <t>Gorilla Glue</t>
        </is>
      </c>
      <c r="E148" s="263" t="n">
        <v>184.89</v>
      </c>
      <c r="F148" s="232" t="inlineStr">
        <is>
          <t>13–16%</t>
        </is>
      </c>
      <c r="G148" s="264" t="n">
        <v>0.1595</v>
      </c>
      <c r="H148" s="232" t="inlineStr">
        <is>
          <t>P050012</t>
        </is>
      </c>
      <c r="I148" s="232" t="inlineStr">
        <is>
          <t>GG1024_02</t>
        </is>
      </c>
      <c r="J148" s="232" t="inlineStr">
        <is>
          <t>✓ COMPLETE</t>
        </is>
      </c>
      <c r="K148" s="235" t="inlineStr">
        <is>
          <t>—</t>
        </is>
      </c>
      <c r="L148" s="264" t="n">
        <v>0.1595</v>
      </c>
      <c r="M148" s="232" t="inlineStr">
        <is>
          <t>ППК25140</t>
        </is>
      </c>
      <c r="N148" s="264" t="n">
        <v>0</v>
      </c>
      <c r="O148" s="239" t="inlineStr">
        <is>
          <t>yes — all 12 determinations covered</t>
        </is>
      </c>
    </row>
    <row r="149">
      <c r="A149" s="232" t="n">
        <v>3</v>
      </c>
      <c r="B149" s="232" t="inlineStr">
        <is>
          <t>28.08.2026</t>
        </is>
      </c>
      <c r="C149" s="233" t="inlineStr">
        <is>
          <t>GG112501</t>
        </is>
      </c>
      <c r="D149" s="232" t="inlineStr">
        <is>
          <t>GG4</t>
        </is>
      </c>
      <c r="E149" s="263" t="n">
        <v>56.19</v>
      </c>
      <c r="F149" s="232" t="inlineStr">
        <is>
          <t>16–19%</t>
        </is>
      </c>
      <c r="G149" s="264" t="n">
        <v>0.1794</v>
      </c>
      <c r="H149" s="232" t="inlineStr">
        <is>
          <t>P060252</t>
        </is>
      </c>
      <c r="I149" s="232" t="inlineStr">
        <is>
          <t>GG112501</t>
        </is>
      </c>
      <c r="J149" s="232" t="inlineStr">
        <is>
          <t>✓ COMPLETE</t>
        </is>
      </c>
      <c r="K149" s="235" t="inlineStr">
        <is>
          <t>—</t>
        </is>
      </c>
      <c r="L149" s="264" t="n">
        <v>0.1794</v>
      </c>
      <c r="M149" s="232" t="inlineStr">
        <is>
          <t>ППК26061</t>
        </is>
      </c>
      <c r="N149" s="264" t="n">
        <v>0</v>
      </c>
      <c r="O149" s="239" t="inlineStr">
        <is>
          <t>yes — all 12 determinations covered</t>
        </is>
      </c>
    </row>
    <row r="150">
      <c r="A150" s="232" t="n">
        <v>3</v>
      </c>
      <c r="B150" s="232" t="inlineStr">
        <is>
          <t>28.08.2026</t>
        </is>
      </c>
      <c r="C150" s="233" t="inlineStr">
        <is>
          <t>GP062501</t>
        </is>
      </c>
      <c r="D150" s="232" t="inlineStr">
        <is>
          <t>Grape Pie</t>
        </is>
      </c>
      <c r="E150" s="263" t="n">
        <v>303.41</v>
      </c>
      <c r="F150" s="232" t="inlineStr">
        <is>
          <t>22–25%</t>
        </is>
      </c>
      <c r="G150" s="264" t="n">
        <v>0.2289</v>
      </c>
      <c r="H150" s="232" t="inlineStr">
        <is>
          <t>P050202</t>
        </is>
      </c>
      <c r="I150" s="232" t="inlineStr">
        <is>
          <t>GP062501</t>
        </is>
      </c>
      <c r="J150" s="232" t="inlineStr">
        <is>
          <t>✓ COMPLETE</t>
        </is>
      </c>
      <c r="K150" s="235" t="inlineStr">
        <is>
          <t>—</t>
        </is>
      </c>
      <c r="L150" s="264" t="n">
        <v>0.2489</v>
      </c>
      <c r="M150" s="232" t="inlineStr">
        <is>
          <t>NGP/QCG/SOP-024-Ver02 F3-Ver.02</t>
        </is>
      </c>
      <c r="N150" s="264" t="n">
        <v>0.02</v>
      </c>
      <c r="O150" s="239" t="inlineStr">
        <is>
          <t>yes — all 12 determinations covered</t>
        </is>
      </c>
    </row>
    <row r="151">
      <c r="A151" s="232" t="n">
        <v>3</v>
      </c>
      <c r="B151" s="232" t="inlineStr">
        <is>
          <t>28.08.2026</t>
        </is>
      </c>
      <c r="C151" s="233" t="inlineStr">
        <is>
          <t>GP072501/1</t>
        </is>
      </c>
      <c r="D151" s="232" t="inlineStr">
        <is>
          <t>Grape Pie</t>
        </is>
      </c>
      <c r="E151" s="263" t="n">
        <v>229.79</v>
      </c>
      <c r="F151" s="232" t="inlineStr">
        <is>
          <t>19–22%</t>
        </is>
      </c>
      <c r="G151" s="264" t="n">
        <v>0.2136</v>
      </c>
      <c r="H151" s="232" t="inlineStr">
        <is>
          <t>P050292</t>
        </is>
      </c>
      <c r="I151" s="232" t="inlineStr">
        <is>
          <t>GP072501/1</t>
        </is>
      </c>
      <c r="J151" s="232" t="inlineStr">
        <is>
          <t>✓ COMPLETE</t>
        </is>
      </c>
      <c r="K151" s="235" t="inlineStr">
        <is>
          <t>—</t>
        </is>
      </c>
      <c r="L151" s="264" t="n">
        <v>0.2136</v>
      </c>
      <c r="M151" s="232" t="inlineStr">
        <is>
          <t>ППК25378</t>
        </is>
      </c>
      <c r="N151" s="264" t="n">
        <v>0</v>
      </c>
      <c r="O151" s="239" t="inlineStr">
        <is>
          <t>yes — all 12 determinations covered</t>
        </is>
      </c>
    </row>
    <row r="152">
      <c r="A152" s="232" t="n">
        <v>3</v>
      </c>
      <c r="B152" s="232" t="inlineStr">
        <is>
          <t>28.08.2026</t>
        </is>
      </c>
      <c r="C152" s="233" t="inlineStr">
        <is>
          <t>GRC102501/1</t>
        </is>
      </c>
      <c r="D152" s="232" t="inlineStr">
        <is>
          <t>Grapes and Cream</t>
        </is>
      </c>
      <c r="E152" s="263" t="n">
        <v>10.69</v>
      </c>
      <c r="F152" s="232" t="inlineStr">
        <is>
          <t>7–10%</t>
        </is>
      </c>
      <c r="G152" s="264" t="n">
        <v>0.07049999999999999</v>
      </c>
      <c r="H152" s="232" t="inlineStr">
        <is>
          <t>P060142</t>
        </is>
      </c>
      <c r="I152" s="232" t="inlineStr">
        <is>
          <t>GRC102501 (through its P lot; the desk row is the roll-up GRC102501)</t>
        </is>
      </c>
      <c r="J152" s="232" t="inlineStr">
        <is>
          <t>○ 2 ON FILE, NOT RECORDED</t>
        </is>
      </c>
      <c r="K152" s="235" t="inlineStr">
        <is>
          <t>#11 Heavy metals (on file 09.09, not recorded); #12 Pesticides (on file 09.09, not recorded)</t>
        </is>
      </c>
      <c r="L152" s="264" t="inlineStr">
        <is>
          <t>— none on the desk —</t>
        </is>
      </c>
      <c r="M152" s="232" t="inlineStr">
        <is>
          <t>—</t>
        </is>
      </c>
      <c r="N152" s="264" t="inlineStr">
        <is>
          <t>—</t>
        </is>
      </c>
      <c r="O152" s="241" t="inlineStr">
        <is>
          <t>no — 2 on file, not recorded</t>
        </is>
      </c>
    </row>
    <row r="153">
      <c r="A153" s="232" t="n">
        <v>3</v>
      </c>
      <c r="B153" s="232" t="inlineStr">
        <is>
          <t>28.08.2026</t>
        </is>
      </c>
      <c r="C153" s="233" t="inlineStr">
        <is>
          <t>J31112501</t>
        </is>
      </c>
      <c r="D153" s="232" t="inlineStr">
        <is>
          <t>Jokerz 31</t>
        </is>
      </c>
      <c r="E153" s="263" t="n">
        <v>86.38</v>
      </c>
      <c r="F153" s="232" t="inlineStr">
        <is>
          <t>≥ 25%</t>
        </is>
      </c>
      <c r="G153" s="264" t="n">
        <v>0.25</v>
      </c>
      <c r="H153" s="232" t="inlineStr">
        <is>
          <t>P060202</t>
        </is>
      </c>
      <c r="I153" s="232" t="inlineStr">
        <is>
          <t>J31112501</t>
        </is>
      </c>
      <c r="J153" s="232" t="inlineStr">
        <is>
          <t>○ 3 ON FILE, NOT RECORDED</t>
        </is>
      </c>
      <c r="K153" s="235" t="inlineStr">
        <is>
          <t>#10 Mycotoxins (on file 09.09, not recorded); #11 Heavy metals (on file 09.09, not recorded); #12 Pesticides (on file 09.09, not recorded)</t>
        </is>
      </c>
      <c r="L153" s="264" t="n">
        <v>0.2527</v>
      </c>
      <c r="M153" s="232" t="inlineStr">
        <is>
          <t>None</t>
        </is>
      </c>
      <c r="N153" s="264" t="n">
        <v>0.002699999999999996</v>
      </c>
      <c r="O153" s="241" t="inlineStr">
        <is>
          <t>no — 3 on file, not recorded</t>
        </is>
      </c>
    </row>
    <row r="154">
      <c r="A154" s="232" t="n">
        <v>3</v>
      </c>
      <c r="B154" s="232" t="inlineStr">
        <is>
          <t>28.08.2026</t>
        </is>
      </c>
      <c r="C154" s="233" t="inlineStr">
        <is>
          <t>J31122501</t>
        </is>
      </c>
      <c r="D154" s="232" t="inlineStr">
        <is>
          <t>Jokerz 31</t>
        </is>
      </c>
      <c r="E154" s="263" t="n">
        <v>136.64</v>
      </c>
      <c r="F154" s="232" t="inlineStr">
        <is>
          <t>19–22%</t>
        </is>
      </c>
      <c r="G154" s="264" t="n">
        <v>0.2177</v>
      </c>
      <c r="H154" s="232" t="inlineStr">
        <is>
          <t>P060262</t>
        </is>
      </c>
      <c r="I154" s="232" t="inlineStr">
        <is>
          <t>J31122501</t>
        </is>
      </c>
      <c r="J154" s="232" t="inlineStr">
        <is>
          <t>⚠ 1 MISSING</t>
        </is>
      </c>
      <c r="K154" s="235" t="inlineStr">
        <is>
          <t>#8 LoD</t>
        </is>
      </c>
      <c r="L154" s="264" t="inlineStr">
        <is>
          <t>— none on the desk —</t>
        </is>
      </c>
      <c r="M154" s="232" t="inlineStr">
        <is>
          <t>—</t>
        </is>
      </c>
      <c r="N154" s="264" t="inlineStr">
        <is>
          <t>—</t>
        </is>
      </c>
      <c r="O154" s="241" t="inlineStr">
        <is>
          <t>no — 1 missing</t>
        </is>
      </c>
    </row>
    <row r="155">
      <c r="A155" s="232" t="n">
        <v>3</v>
      </c>
      <c r="B155" s="232" t="inlineStr">
        <is>
          <t>28.08.2026</t>
        </is>
      </c>
      <c r="C155" s="233" t="inlineStr">
        <is>
          <t>JD012601</t>
        </is>
      </c>
      <c r="D155" s="232" t="inlineStr">
        <is>
          <t>Jelly Donuts</t>
        </is>
      </c>
      <c r="E155" s="263" t="n">
        <v>78.93000000000001</v>
      </c>
      <c r="F155" s="232" t="inlineStr">
        <is>
          <t>16–19%</t>
        </is>
      </c>
      <c r="G155" s="264" t="n">
        <v>0.1816</v>
      </c>
      <c r="H155" s="232" t="inlineStr">
        <is>
          <t>P060312</t>
        </is>
      </c>
      <c r="I155" s="232" t="inlineStr">
        <is>
          <t>JD012601＊</t>
        </is>
      </c>
      <c r="J155" s="232" t="inlineStr">
        <is>
          <t>✓ COMPLETE</t>
        </is>
      </c>
      <c r="K155" s="235" t="inlineStr">
        <is>
          <t>—</t>
        </is>
      </c>
      <c r="L155" s="264" t="n">
        <v>0.1816</v>
      </c>
      <c r="M155" s="232" t="inlineStr">
        <is>
          <t>ППК26064</t>
        </is>
      </c>
      <c r="N155" s="264" t="n">
        <v>0</v>
      </c>
      <c r="O155" s="239" t="inlineStr">
        <is>
          <t>yes — all 12 determinations covered</t>
        </is>
      </c>
    </row>
    <row r="156">
      <c r="A156" s="232" t="n">
        <v>3</v>
      </c>
      <c r="B156" s="232" t="inlineStr">
        <is>
          <t>28.08.2026</t>
        </is>
      </c>
      <c r="C156" s="233" t="inlineStr">
        <is>
          <t>MB0824_04</t>
        </is>
      </c>
      <c r="D156" s="232" t="inlineStr">
        <is>
          <t>Motor Breath</t>
        </is>
      </c>
      <c r="E156" s="263" t="n">
        <v>175.22</v>
      </c>
      <c r="F156" s="232" t="inlineStr">
        <is>
          <t>16–19%</t>
        </is>
      </c>
      <c r="G156" s="264" t="n">
        <v>0.1867</v>
      </c>
      <c r="H156" s="232" t="inlineStr">
        <is>
          <t>P050032</t>
        </is>
      </c>
      <c r="I156" s="232" t="inlineStr">
        <is>
          <t>MB0824_04</t>
        </is>
      </c>
      <c r="J156" s="232" t="inlineStr">
        <is>
          <t>✓ COMPLETE</t>
        </is>
      </c>
      <c r="K156" s="235" t="inlineStr">
        <is>
          <t>—</t>
        </is>
      </c>
      <c r="L156" s="264" t="inlineStr">
        <is>
          <t>— none on the desk —</t>
        </is>
      </c>
      <c r="M156" s="232" t="inlineStr">
        <is>
          <t>—</t>
        </is>
      </c>
      <c r="N156" s="264" t="inlineStr">
        <is>
          <t>—</t>
        </is>
      </c>
      <c r="O156" s="239" t="inlineStr">
        <is>
          <t>yes — all 12 determinations covered</t>
        </is>
      </c>
    </row>
    <row r="157">
      <c r="A157" s="232" t="n">
        <v>3</v>
      </c>
      <c r="B157" s="232" t="inlineStr">
        <is>
          <t>28.08.2026</t>
        </is>
      </c>
      <c r="C157" s="233" t="inlineStr">
        <is>
          <t>OPM052501</t>
        </is>
      </c>
      <c r="D157" s="232" t="inlineStr">
        <is>
          <t>Orange Punch Mimosa</t>
        </is>
      </c>
      <c r="E157" s="263" t="n">
        <v>292.95</v>
      </c>
      <c r="F157" s="232" t="inlineStr">
        <is>
          <t>13–16%</t>
        </is>
      </c>
      <c r="G157" s="264" t="n">
        <v>0.1416</v>
      </c>
      <c r="H157" s="232" t="inlineStr">
        <is>
          <t>P050132</t>
        </is>
      </c>
      <c r="I157" s="232" t="inlineStr">
        <is>
          <t>OPM052501</t>
        </is>
      </c>
      <c r="J157" s="232" t="inlineStr">
        <is>
          <t>✓ COMPLETE</t>
        </is>
      </c>
      <c r="K157" s="235" t="inlineStr">
        <is>
          <t>—</t>
        </is>
      </c>
      <c r="L157" s="264" t="inlineStr">
        <is>
          <t>— none on the desk —</t>
        </is>
      </c>
      <c r="M157" s="232" t="inlineStr">
        <is>
          <t>—</t>
        </is>
      </c>
      <c r="N157" s="264" t="inlineStr">
        <is>
          <t>—</t>
        </is>
      </c>
      <c r="O157" s="239" t="inlineStr">
        <is>
          <t>yes — all 12 determinations covered</t>
        </is>
      </c>
    </row>
    <row r="158">
      <c r="A158" s="232" t="n">
        <v>3</v>
      </c>
      <c r="B158" s="232" t="inlineStr">
        <is>
          <t>28.08.2026</t>
        </is>
      </c>
      <c r="C158" s="233" t="inlineStr">
        <is>
          <t>OPM112501</t>
        </is>
      </c>
      <c r="D158" s="232" t="inlineStr">
        <is>
          <t>Orange Punch Mimosa</t>
        </is>
      </c>
      <c r="E158" s="263" t="n">
        <v>39.37</v>
      </c>
      <c r="F158" s="232" t="inlineStr">
        <is>
          <t>7–10%</t>
        </is>
      </c>
      <c r="G158" s="264" t="n">
        <v>0.08</v>
      </c>
      <c r="H158" s="232" t="inlineStr">
        <is>
          <t>P060222</t>
        </is>
      </c>
      <c r="I158" s="232" t="inlineStr">
        <is>
          <t>OPM112501</t>
        </is>
      </c>
      <c r="J158" s="232" t="inlineStr">
        <is>
          <t>⚠ 3 MISSING</t>
        </is>
      </c>
      <c r="K158" s="235" t="inlineStr">
        <is>
          <t>#10 Mycotoxins; #11 Heavy metals (on file 09.09, not recorded); #12 Pesticides (on file 09.09, not recorded)</t>
        </is>
      </c>
      <c r="L158" s="264" t="inlineStr">
        <is>
          <t>— none on the desk —</t>
        </is>
      </c>
      <c r="M158" s="232" t="inlineStr">
        <is>
          <t>—</t>
        </is>
      </c>
      <c r="N158" s="264" t="inlineStr">
        <is>
          <t>—</t>
        </is>
      </c>
      <c r="O158" s="241" t="inlineStr">
        <is>
          <t>no — 3 missing</t>
        </is>
      </c>
    </row>
    <row r="159">
      <c r="A159" s="232" t="n">
        <v>3</v>
      </c>
      <c r="B159" s="232" t="inlineStr">
        <is>
          <t>28.08.2026</t>
        </is>
      </c>
      <c r="C159" s="233" t="inlineStr">
        <is>
          <t>PM072501</t>
        </is>
      </c>
      <c r="D159" s="232" t="inlineStr">
        <is>
          <t>Permanent Marker</t>
        </is>
      </c>
      <c r="E159" s="263" t="n">
        <v>26.78</v>
      </c>
      <c r="F159" s="232" t="inlineStr">
        <is>
          <t>10–13%</t>
        </is>
      </c>
      <c r="G159" s="264" t="n">
        <v>0.1001</v>
      </c>
      <c r="H159" s="232" t="inlineStr">
        <is>
          <t>P050272</t>
        </is>
      </c>
      <c r="I159" s="232" t="inlineStr">
        <is>
          <t>PM072501</t>
        </is>
      </c>
      <c r="J159" s="232" t="inlineStr">
        <is>
          <t>✓ COMPLETE</t>
        </is>
      </c>
      <c r="K159" s="235" t="inlineStr">
        <is>
          <t>—</t>
        </is>
      </c>
      <c r="L159" s="264" t="inlineStr">
        <is>
          <t>— none on the desk —</t>
        </is>
      </c>
      <c r="M159" s="232" t="inlineStr">
        <is>
          <t>—</t>
        </is>
      </c>
      <c r="N159" s="264" t="inlineStr">
        <is>
          <t>—</t>
        </is>
      </c>
      <c r="O159" s="239" t="inlineStr">
        <is>
          <t>yes — all 12 determinations covered</t>
        </is>
      </c>
    </row>
    <row r="160">
      <c r="A160" s="232" t="n">
        <v>3</v>
      </c>
      <c r="B160" s="232" t="inlineStr">
        <is>
          <t>28.08.2026</t>
        </is>
      </c>
      <c r="C160" s="233" t="inlineStr">
        <is>
          <t>SCR012601</t>
        </is>
      </c>
      <c r="D160" s="232" t="inlineStr">
        <is>
          <t>Scrambler</t>
        </is>
      </c>
      <c r="E160" s="263" t="n">
        <v>90</v>
      </c>
      <c r="F160" s="232" t="inlineStr">
        <is>
          <t>16–19%</t>
        </is>
      </c>
      <c r="G160" s="264" t="n">
        <v>0.1807</v>
      </c>
      <c r="H160" s="232" t="inlineStr">
        <is>
          <t>P060342</t>
        </is>
      </c>
      <c r="I160" s="232" t="inlineStr">
        <is>
          <t>SCR012601*</t>
        </is>
      </c>
      <c r="J160" s="232" t="inlineStr">
        <is>
          <t>❌ 4 MISSING</t>
        </is>
      </c>
      <c r="K160" s="235" t="inlineStr">
        <is>
          <t>#8 LoD; #10 Mycotoxins; #11 Heavy metals; #12 Pesticides</t>
        </is>
      </c>
      <c r="L160" s="264" t="inlineStr">
        <is>
          <t>— none on the desk —</t>
        </is>
      </c>
      <c r="M160" s="232" t="inlineStr">
        <is>
          <t>—</t>
        </is>
      </c>
      <c r="N160" s="264" t="inlineStr">
        <is>
          <t>—</t>
        </is>
      </c>
      <c r="O160" s="241" t="inlineStr">
        <is>
          <t>no — 4 missing</t>
        </is>
      </c>
    </row>
    <row r="161">
      <c r="A161" s="232" t="n">
        <v>3</v>
      </c>
      <c r="B161" s="232" t="inlineStr">
        <is>
          <t>28.08.2026</t>
        </is>
      </c>
      <c r="C161" s="233" t="inlineStr">
        <is>
          <t>SCR022601</t>
        </is>
      </c>
      <c r="D161" s="232" t="inlineStr">
        <is>
          <t>Scrambler</t>
        </is>
      </c>
      <c r="E161" s="263" t="n">
        <v>210</v>
      </c>
      <c r="F161" s="232" t="inlineStr">
        <is>
          <t>16–19%</t>
        </is>
      </c>
      <c r="G161" s="264" t="n">
        <v>0.16</v>
      </c>
      <c r="H161" s="232" t="inlineStr">
        <is>
          <t>P060442</t>
        </is>
      </c>
      <c r="I161" s="232" t="inlineStr">
        <is>
          <t>SCR022601</t>
        </is>
      </c>
      <c r="J161" s="232" t="inlineStr">
        <is>
          <t>○ 3 ON FILE, NOT RECORDED</t>
        </is>
      </c>
      <c r="K161" s="235" t="inlineStr">
        <is>
          <t>#10 Mycotoxins (on file 09.09, not recorded); #11 Heavy metals (on file 09.09, not recorded); #12 Pesticides (on file 09.09, not recorded)</t>
        </is>
      </c>
      <c r="L161" s="264" t="inlineStr">
        <is>
          <t>— none on the desk —</t>
        </is>
      </c>
      <c r="M161" s="232" t="inlineStr">
        <is>
          <t>—</t>
        </is>
      </c>
      <c r="N161" s="264" t="inlineStr">
        <is>
          <t>—</t>
        </is>
      </c>
      <c r="O161" s="241" t="inlineStr">
        <is>
          <t>no — 3 on file, not recorded</t>
        </is>
      </c>
    </row>
    <row r="162">
      <c r="A162" s="232" t="n">
        <v>3</v>
      </c>
      <c r="B162" s="232" t="inlineStr">
        <is>
          <t>28.08.2026</t>
        </is>
      </c>
      <c r="C162" s="233" t="inlineStr">
        <is>
          <t>SJ102501</t>
        </is>
      </c>
      <c r="D162" s="232" t="inlineStr">
        <is>
          <t>Sleepy Joe</t>
        </is>
      </c>
      <c r="E162" s="263" t="n">
        <v>66.37</v>
      </c>
      <c r="F162" s="232" t="inlineStr">
        <is>
          <t>10–13%</t>
        </is>
      </c>
      <c r="G162" s="264" t="n">
        <v>0.112</v>
      </c>
      <c r="H162" s="232" t="inlineStr">
        <is>
          <t>P060162</t>
        </is>
      </c>
      <c r="I162" s="232" t="inlineStr">
        <is>
          <t>SJ102501</t>
        </is>
      </c>
      <c r="J162" s="232" t="inlineStr">
        <is>
          <t>⚠ 3 MISSING</t>
        </is>
      </c>
      <c r="K162" s="235" t="inlineStr">
        <is>
          <t>#10 Mycotoxins; #11 Heavy metals; #12 Pesticides (on file 09.09, not recorded)</t>
        </is>
      </c>
      <c r="L162" s="264" t="n">
        <v>0.112</v>
      </c>
      <c r="M162" s="232" t="inlineStr">
        <is>
          <t>051-3-К/26</t>
        </is>
      </c>
      <c r="N162" s="264" t="n">
        <v>0</v>
      </c>
      <c r="O162" s="241" t="inlineStr">
        <is>
          <t>no — 3 missing</t>
        </is>
      </c>
    </row>
    <row r="163">
      <c r="A163" s="232" t="n">
        <v>3</v>
      </c>
      <c r="B163" s="232" t="inlineStr">
        <is>
          <t>28.08.2026</t>
        </is>
      </c>
      <c r="C163" s="233" t="inlineStr">
        <is>
          <t>SJ112501</t>
        </is>
      </c>
      <c r="D163" s="232" t="inlineStr">
        <is>
          <t>Sleepy Joe</t>
        </is>
      </c>
      <c r="E163" s="263" t="n">
        <v>48.6</v>
      </c>
      <c r="F163" s="232" t="inlineStr">
        <is>
          <t>7–10%</t>
        </is>
      </c>
      <c r="G163" s="264" t="n">
        <v>0.09</v>
      </c>
      <c r="H163" s="232" t="inlineStr">
        <is>
          <t>P060192</t>
        </is>
      </c>
      <c r="I163" s="232" t="inlineStr">
        <is>
          <t>SJ112501</t>
        </is>
      </c>
      <c r="J163" s="232" t="inlineStr">
        <is>
          <t>○ 4 ON FILE, NOT RECORDED</t>
        </is>
      </c>
      <c r="K163" s="235" t="inlineStr">
        <is>
          <t>#9 Microbiology (on file 09.09, not recorded); #10 Mycotoxins (on file 09.09, not recorded); #11 Heavy metals (on file 09.09, not recorded); #12 Pesticides (on file 09.09, not recorded)</t>
        </is>
      </c>
      <c r="L163" s="264" t="inlineStr">
        <is>
          <t>— none on the desk —</t>
        </is>
      </c>
      <c r="M163" s="232" t="inlineStr">
        <is>
          <t>—</t>
        </is>
      </c>
      <c r="N163" s="264" t="inlineStr">
        <is>
          <t>—</t>
        </is>
      </c>
      <c r="O163" s="241" t="inlineStr">
        <is>
          <t>no — 4 on file, not recorded</t>
        </is>
      </c>
    </row>
    <row r="164">
      <c r="A164" s="232" t="n">
        <v>3</v>
      </c>
      <c r="B164" s="232" t="inlineStr">
        <is>
          <t>28.08.2026</t>
        </is>
      </c>
      <c r="C164" s="233" t="inlineStr">
        <is>
          <t>WC072501</t>
        </is>
      </c>
      <c r="D164" s="232" t="inlineStr">
        <is>
          <t>Wedding Crusher</t>
        </is>
      </c>
      <c r="E164" s="263" t="n">
        <v>29.95</v>
      </c>
      <c r="F164" s="232" t="inlineStr">
        <is>
          <t>22–25%</t>
        </is>
      </c>
      <c r="G164" s="264" t="n">
        <v>0.2211</v>
      </c>
      <c r="H164" s="232" t="inlineStr">
        <is>
          <t>P050262</t>
        </is>
      </c>
      <c r="I164" s="232" t="inlineStr">
        <is>
          <t>WC072501</t>
        </is>
      </c>
      <c r="J164" s="232" t="inlineStr">
        <is>
          <t>✓ COMPLETE</t>
        </is>
      </c>
      <c r="K164" s="235" t="inlineStr">
        <is>
          <t>—</t>
        </is>
      </c>
      <c r="L164" s="264" t="n">
        <v>0.2211</v>
      </c>
      <c r="M164" s="232" t="inlineStr">
        <is>
          <t>ППК25369</t>
        </is>
      </c>
      <c r="N164" s="264" t="n">
        <v>0</v>
      </c>
      <c r="O164" s="239" t="inlineStr">
        <is>
          <t>yes — all 12 determinations covered</t>
        </is>
      </c>
    </row>
    <row r="165">
      <c r="A165" s="232" t="n">
        <v>3</v>
      </c>
      <c r="B165" s="232" t="inlineStr">
        <is>
          <t>28.08.2026</t>
        </is>
      </c>
      <c r="C165" s="233" t="inlineStr">
        <is>
          <t>WED102501</t>
        </is>
      </c>
      <c r="D165" s="232" t="inlineStr">
        <is>
          <t>Wedding Cake</t>
        </is>
      </c>
      <c r="E165" s="263" t="n">
        <v>34.41</v>
      </c>
      <c r="F165" s="232" t="inlineStr">
        <is>
          <t>22–25%</t>
        </is>
      </c>
      <c r="G165" s="264" t="n">
        <v>0.2205</v>
      </c>
      <c r="H165" s="232" t="inlineStr">
        <is>
          <t>P060102</t>
        </is>
      </c>
      <c r="I165" s="232" t="inlineStr">
        <is>
          <t>WED102501</t>
        </is>
      </c>
      <c r="J165" s="232" t="inlineStr">
        <is>
          <t>○ 3 ON FILE, NOT RECORDED</t>
        </is>
      </c>
      <c r="K165" s="235" t="inlineStr">
        <is>
          <t>#10 Mycotoxins (on file 09.09, not recorded); #11 Heavy metals (on file 09.09, not recorded); #12 Pesticides (on file 09.09, not recorded)</t>
        </is>
      </c>
      <c r="L165" s="264" t="inlineStr">
        <is>
          <t>— none on the desk —</t>
        </is>
      </c>
      <c r="M165" s="232" t="inlineStr">
        <is>
          <t>—</t>
        </is>
      </c>
      <c r="N165" s="264" t="inlineStr">
        <is>
          <t>—</t>
        </is>
      </c>
      <c r="O165" s="241" t="inlineStr">
        <is>
          <t>no — 3 on file, not recorded</t>
        </is>
      </c>
    </row>
    <row r="167" ht="62" customHeight="1" s="70">
      <c r="A167"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53"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32" t="inlineStr">
        <is>
          <t>041</t>
        </is>
      </c>
      <c r="B172" s="232" t="inlineStr">
        <is>
          <t>Cap Junky</t>
        </is>
      </c>
      <c r="C172" s="232" t="inlineStr">
        <is>
          <t>Cap Junky</t>
        </is>
      </c>
      <c r="D172" s="233" t="inlineStr">
        <is>
          <t>P060022</t>
        </is>
      </c>
      <c r="E172" s="232" t="inlineStr">
        <is>
          <t>December 2025</t>
        </is>
      </c>
      <c r="F172" s="232" t="inlineStr">
        <is>
          <t>July 2026</t>
        </is>
      </c>
      <c r="G172" s="232" t="inlineStr">
        <is>
          <t>CJ082501/1</t>
        </is>
      </c>
      <c r="H172" s="232" t="inlineStr">
        <is>
          <t>✓ COMPLETE</t>
        </is>
      </c>
      <c r="I172" s="235" t="inlineStr"/>
    </row>
    <row r="173">
      <c r="A173" s="232" t="inlineStr">
        <is>
          <t>040</t>
        </is>
      </c>
      <c r="B173" s="232" t="inlineStr">
        <is>
          <t>Orange Punch Mimosa</t>
        </is>
      </c>
      <c r="C173" s="232" t="inlineStr">
        <is>
          <t>Orange Punch Mimosa</t>
        </is>
      </c>
      <c r="D173" s="233" t="inlineStr">
        <is>
          <t>P060042</t>
        </is>
      </c>
      <c r="E173" s="232" t="inlineStr">
        <is>
          <t>December 2026</t>
        </is>
      </c>
      <c r="F173" s="232" t="inlineStr">
        <is>
          <t>July 2026</t>
        </is>
      </c>
      <c r="G173" s="232" t="inlineStr">
        <is>
          <t>OPM092501</t>
        </is>
      </c>
      <c r="H173" s="232" t="inlineStr">
        <is>
          <t>✓ COMPLETE</t>
        </is>
      </c>
      <c r="I173" s="235" t="inlineStr"/>
    </row>
    <row r="174">
      <c r="A174" s="232" t="inlineStr">
        <is>
          <t>039</t>
        </is>
      </c>
      <c r="B174" s="232" t="inlineStr">
        <is>
          <t>Cap Junky</t>
        </is>
      </c>
      <c r="C174" s="232" t="inlineStr">
        <is>
          <t>Cap Junky</t>
        </is>
      </c>
      <c r="D174" s="233" t="inlineStr">
        <is>
          <t>P060072</t>
        </is>
      </c>
      <c r="E174" s="232" t="inlineStr">
        <is>
          <t>December 2026</t>
        </is>
      </c>
      <c r="F174" s="232" t="inlineStr">
        <is>
          <t>July 2026</t>
        </is>
      </c>
      <c r="G174" s="232" t="inlineStr">
        <is>
          <t>CJ092501</t>
        </is>
      </c>
      <c r="H174" s="232" t="inlineStr">
        <is>
          <t>✓ COMPLETE</t>
        </is>
      </c>
      <c r="I174" s="235" t="inlineStr"/>
    </row>
    <row r="175">
      <c r="A175" s="232" t="inlineStr">
        <is>
          <t>038</t>
        </is>
      </c>
      <c r="B175" s="232" t="inlineStr">
        <is>
          <t>Sleepy Joy</t>
        </is>
      </c>
      <c r="C175" s="232" t="inlineStr">
        <is>
          <t>Sleepy Joy</t>
        </is>
      </c>
      <c r="D175" s="233" t="inlineStr">
        <is>
          <t>P060082</t>
        </is>
      </c>
      <c r="E175" s="232" t="inlineStr">
        <is>
          <t>December 2025</t>
        </is>
      </c>
      <c r="F175" s="232" t="inlineStr">
        <is>
          <t>July 2026</t>
        </is>
      </c>
      <c r="G175" s="232" t="inlineStr">
        <is>
          <t>SJ0925021</t>
        </is>
      </c>
      <c r="H175" s="232" t="inlineStr">
        <is>
          <t>✓ COMPLETE</t>
        </is>
      </c>
      <c r="I175" s="235" t="inlineStr">
        <is>
          <t>strain unresolved: Sleepy Joe (delivery sheet) vs Sleepy Joy (certificate register, P060082)</t>
        </is>
      </c>
    </row>
    <row r="176">
      <c r="A176" s="232" t="inlineStr">
        <is>
          <t>037</t>
        </is>
      </c>
      <c r="B176" s="232" t="inlineStr">
        <is>
          <t>Apple and Banana</t>
        </is>
      </c>
      <c r="C176" s="232" t="inlineStr">
        <is>
          <t>Apple and Banana</t>
        </is>
      </c>
      <c r="D176" s="233" t="inlineStr">
        <is>
          <t>P060052</t>
        </is>
      </c>
      <c r="E176" s="232" t="inlineStr">
        <is>
          <t>December 2025</t>
        </is>
      </c>
      <c r="F176" s="232" t="inlineStr">
        <is>
          <t>July 2026</t>
        </is>
      </c>
      <c r="G176" s="232" t="inlineStr">
        <is>
          <t>AB092501</t>
        </is>
      </c>
      <c r="H176" s="232" t="inlineStr">
        <is>
          <t>✓ COMPLETE</t>
        </is>
      </c>
      <c r="I176" s="235" t="inlineStr">
        <is>
          <t>strain unresolved: Appels &amp; Bananas (delivery sheet) vs Apple and Banana (certificate register, P060052)</t>
        </is>
      </c>
    </row>
    <row r="177">
      <c r="A177" s="232" t="inlineStr">
        <is>
          <t>036</t>
        </is>
      </c>
      <c r="B177" s="232" t="inlineStr">
        <is>
          <t>Permanent Market</t>
        </is>
      </c>
      <c r="C177" s="232" t="inlineStr">
        <is>
          <t>Permanent Market</t>
        </is>
      </c>
      <c r="D177" s="233" t="inlineStr">
        <is>
          <t>P060062</t>
        </is>
      </c>
      <c r="E177" s="232" t="inlineStr">
        <is>
          <t>December 2026</t>
        </is>
      </c>
      <c r="F177" s="232" t="inlineStr">
        <is>
          <t>July 2026</t>
        </is>
      </c>
      <c r="G177" s="232" t="inlineStr">
        <is>
          <t>PM092501</t>
        </is>
      </c>
      <c r="H177" s="232" t="inlineStr">
        <is>
          <t>✓ COMPLETE</t>
        </is>
      </c>
      <c r="I177" s="235" t="inlineStr">
        <is>
          <t>strain unresolved: Permanent Marker (delivery sheet) vs Permanent Market (certificate register, P060062 and P050272)</t>
        </is>
      </c>
    </row>
    <row r="178">
      <c r="A178" s="232" t="inlineStr">
        <is>
          <t>035</t>
        </is>
      </c>
      <c r="B178" s="232" t="inlineStr">
        <is>
          <t>Wedding Crasher</t>
        </is>
      </c>
      <c r="C178" s="232" t="inlineStr">
        <is>
          <t>Wedding Crasher</t>
        </is>
      </c>
      <c r="D178" s="233" t="inlineStr">
        <is>
          <t>P060012</t>
        </is>
      </c>
      <c r="E178" s="232" t="inlineStr">
        <is>
          <t>December 2026</t>
        </is>
      </c>
      <c r="F178" s="232" t="inlineStr">
        <is>
          <t>July 2026</t>
        </is>
      </c>
      <c r="G178" s="232" t="inlineStr">
        <is>
          <t>WC082501</t>
        </is>
      </c>
      <c r="H178" s="232" t="inlineStr">
        <is>
          <t>✓ COMPLETE</t>
        </is>
      </c>
      <c r="I178" s="235" t="inlineStr">
        <is>
          <t>strain unresolved: Wedding Crusher (delivery sheet) vs Wedding Crasher (certificate register, P060012 and P050262)</t>
        </is>
      </c>
    </row>
    <row r="179">
      <c r="A179" s="232" t="inlineStr">
        <is>
          <t>034</t>
        </is>
      </c>
      <c r="B179" s="232" t="inlineStr">
        <is>
          <t>Cap Junky</t>
        </is>
      </c>
      <c r="C179" s="232" t="inlineStr">
        <is>
          <t>Cap Junky</t>
        </is>
      </c>
      <c r="D179" s="233" t="inlineStr">
        <is>
          <t>P060032</t>
        </is>
      </c>
      <c r="E179" s="232" t="inlineStr">
        <is>
          <t>December 2025</t>
        </is>
      </c>
      <c r="F179" s="232" t="inlineStr">
        <is>
          <t>July 2026</t>
        </is>
      </c>
      <c r="G179" s="232" t="inlineStr">
        <is>
          <t>CJ082501/2</t>
        </is>
      </c>
      <c r="H179" s="232" t="inlineStr">
        <is>
          <t>✓ COMPLETE</t>
        </is>
      </c>
      <c r="I179" s="235" t="inlineStr"/>
    </row>
    <row r="180">
      <c r="A180" s="232" t="inlineStr">
        <is>
          <t>033</t>
        </is>
      </c>
      <c r="B180" s="232" t="inlineStr">
        <is>
          <t>Grape Pie</t>
        </is>
      </c>
      <c r="C180" s="232" t="inlineStr">
        <is>
          <t>Grape Pie</t>
        </is>
      </c>
      <c r="D180" s="233" t="inlineStr">
        <is>
          <t>P060092</t>
        </is>
      </c>
      <c r="E180" s="232" t="inlineStr">
        <is>
          <t>December 2025</t>
        </is>
      </c>
      <c r="F180" s="232" t="inlineStr">
        <is>
          <t>July 2026</t>
        </is>
      </c>
      <c r="G180" s="232" t="inlineStr">
        <is>
          <t>GP092501</t>
        </is>
      </c>
      <c r="H180" s="232" t="inlineStr">
        <is>
          <t>✓ COMPLETE</t>
        </is>
      </c>
      <c r="I180" s="235" t="inlineStr"/>
    </row>
    <row r="181">
      <c r="A181" s="232" t="inlineStr">
        <is>
          <t>032</t>
        </is>
      </c>
      <c r="B181" s="232" t="inlineStr">
        <is>
          <t>Cap Junky</t>
        </is>
      </c>
      <c r="C181" s="232" t="inlineStr">
        <is>
          <t>Cap Junky</t>
        </is>
      </c>
      <c r="D181" s="233" t="inlineStr">
        <is>
          <t>P050222</t>
        </is>
      </c>
      <c r="E181" s="232" t="inlineStr">
        <is>
          <t>September 2025</t>
        </is>
      </c>
      <c r="F181" s="232" t="inlineStr">
        <is>
          <t>April 2026</t>
        </is>
      </c>
      <c r="G181" s="232" t="inlineStr">
        <is>
          <t>CJ062501/1</t>
        </is>
      </c>
      <c r="H181" s="232" t="inlineStr">
        <is>
          <t>✓ COMPLETE</t>
        </is>
      </c>
      <c r="I181" s="235" t="inlineStr"/>
    </row>
    <row r="182">
      <c r="A182" s="232" t="inlineStr">
        <is>
          <t>031</t>
        </is>
      </c>
      <c r="B182" s="232" t="inlineStr">
        <is>
          <t>Cap Junky</t>
        </is>
      </c>
      <c r="C182" s="232" t="inlineStr">
        <is>
          <t>Cap Junky</t>
        </is>
      </c>
      <c r="D182" s="233" t="inlineStr">
        <is>
          <t>P050252</t>
        </is>
      </c>
      <c r="E182" s="232" t="inlineStr">
        <is>
          <t>October 2025</t>
        </is>
      </c>
      <c r="F182" s="232" t="inlineStr">
        <is>
          <t>May 2026</t>
        </is>
      </c>
      <c r="G182" s="232" t="inlineStr">
        <is>
          <t>CJ072501</t>
        </is>
      </c>
      <c r="H182" s="232" t="inlineStr">
        <is>
          <t>✓ COMPLETE</t>
        </is>
      </c>
      <c r="I182" s="235" t="inlineStr"/>
    </row>
    <row r="183">
      <c r="A183" s="232" t="inlineStr">
        <is>
          <t>030</t>
        </is>
      </c>
      <c r="B183" s="232" t="inlineStr">
        <is>
          <t>Wedding Crasher</t>
        </is>
      </c>
      <c r="C183" s="232" t="inlineStr">
        <is>
          <t>Wedding Crasher</t>
        </is>
      </c>
      <c r="D183" s="233" t="inlineStr">
        <is>
          <t>P050262</t>
        </is>
      </c>
      <c r="E183" s="232" t="inlineStr">
        <is>
          <t>October 2025</t>
        </is>
      </c>
      <c r="F183" s="232" t="inlineStr">
        <is>
          <t>May 2026</t>
        </is>
      </c>
      <c r="G183" s="232" t="inlineStr">
        <is>
          <t>WC072501</t>
        </is>
      </c>
      <c r="H183" s="232" t="inlineStr">
        <is>
          <t>✓ COMPLETE</t>
        </is>
      </c>
      <c r="I183" s="235" t="inlineStr">
        <is>
          <t>strain unresolved: Wedding Crusher (delivery sheet) vs Wedding Crasher (certificate register, P060012 and P050262)</t>
        </is>
      </c>
    </row>
    <row r="184">
      <c r="A184" s="232" t="inlineStr">
        <is>
          <t>029</t>
        </is>
      </c>
      <c r="B184" s="232" t="inlineStr">
        <is>
          <t>Grape Pie</t>
        </is>
      </c>
      <c r="C184" s="232" t="inlineStr">
        <is>
          <t>Grape Pie</t>
        </is>
      </c>
      <c r="D184" s="233" t="inlineStr">
        <is>
          <t>P050152</t>
        </is>
      </c>
      <c r="E184" s="232" t="inlineStr">
        <is>
          <t>August 2025</t>
        </is>
      </c>
      <c r="F184" s="232" t="inlineStr">
        <is>
          <t>March 2026</t>
        </is>
      </c>
      <c r="G184" s="232" t="inlineStr">
        <is>
          <t>GP052501</t>
        </is>
      </c>
      <c r="H184" s="232" t="inlineStr">
        <is>
          <t>✓ COMPLETE</t>
        </is>
      </c>
      <c r="I184" s="235" t="inlineStr"/>
    </row>
    <row r="185">
      <c r="A185" s="232" t="inlineStr">
        <is>
          <t>028</t>
        </is>
      </c>
      <c r="B185" s="232" t="inlineStr">
        <is>
          <t>Cap Junkie</t>
        </is>
      </c>
      <c r="C185" s="238" t="inlineStr">
        <is>
          <t>Cap Junky</t>
        </is>
      </c>
      <c r="D185" s="233" t="inlineStr">
        <is>
          <t>P050212</t>
        </is>
      </c>
      <c r="E185" s="232" t="inlineStr">
        <is>
          <t>September 2025</t>
        </is>
      </c>
      <c r="F185" s="232" t="inlineStr">
        <is>
          <t>April 2026</t>
        </is>
      </c>
      <c r="G185" s="232" t="inlineStr">
        <is>
          <t>CJ062501/2</t>
        </is>
      </c>
      <c r="H185" s="232" t="inlineStr">
        <is>
          <t>✓ COMPLETE</t>
        </is>
      </c>
      <c r="I185" s="235" t="inlineStr">
        <is>
          <t>strain ruled Cap Junky; the register prints Cap Junkie</t>
        </is>
      </c>
    </row>
    <row r="186">
      <c r="A186" s="232" t="inlineStr">
        <is>
          <t>027</t>
        </is>
      </c>
      <c r="B186" s="232" t="inlineStr">
        <is>
          <t>Clemosa a Bud</t>
        </is>
      </c>
      <c r="C186" s="232" t="inlineStr">
        <is>
          <t>Clemosa a Bud</t>
        </is>
      </c>
      <c r="D186" s="233" t="inlineStr">
        <is>
          <t>P050282</t>
        </is>
      </c>
      <c r="E186" s="232" t="inlineStr">
        <is>
          <t>October 2025</t>
        </is>
      </c>
      <c r="F186" s="232" t="inlineStr">
        <is>
          <t>May 2026</t>
        </is>
      </c>
      <c r="G186" s="232" t="inlineStr">
        <is>
          <t>CLE072501</t>
        </is>
      </c>
      <c r="H186" s="232" t="inlineStr">
        <is>
          <t>✓ COMPLETE</t>
        </is>
      </c>
      <c r="I186" s="235" t="inlineStr">
        <is>
          <t>strain unresolved: Clemosa (delivery sheet) vs Clemosa a Bud (certificate register, P050282)</t>
        </is>
      </c>
    </row>
    <row r="187">
      <c r="A187" s="232" t="inlineStr">
        <is>
          <t>026</t>
        </is>
      </c>
      <c r="B187" s="232" t="inlineStr">
        <is>
          <t>Permanent Market</t>
        </is>
      </c>
      <c r="C187" s="232" t="inlineStr">
        <is>
          <t>Permanent Market</t>
        </is>
      </c>
      <c r="D187" s="233" t="inlineStr">
        <is>
          <t>P050272</t>
        </is>
      </c>
      <c r="E187" s="232" t="inlineStr">
        <is>
          <t>October 2025</t>
        </is>
      </c>
      <c r="F187" s="232" t="inlineStr">
        <is>
          <t>May 2026</t>
        </is>
      </c>
      <c r="G187" s="232" t="inlineStr">
        <is>
          <t>PM072501</t>
        </is>
      </c>
      <c r="H187" s="232" t="inlineStr">
        <is>
          <t>✓ COMPLETE</t>
        </is>
      </c>
      <c r="I187" s="235" t="inlineStr">
        <is>
          <t>strain unresolved: Permanent Marker (delivery sheet) vs Permanent Market (certificate register, P060062 and P050272)</t>
        </is>
      </c>
    </row>
    <row r="188">
      <c r="A188" s="232" t="inlineStr">
        <is>
          <t>025</t>
        </is>
      </c>
      <c r="B188" s="232" t="inlineStr">
        <is>
          <t>Motor Breath</t>
        </is>
      </c>
      <c r="C188" s="232" t="inlineStr">
        <is>
          <t>Motor Breath</t>
        </is>
      </c>
      <c r="D188" s="233" t="inlineStr">
        <is>
          <t>P050112</t>
        </is>
      </c>
      <c r="E188" s="232" t="inlineStr">
        <is>
          <t>July 2025</t>
        </is>
      </c>
      <c r="F188" s="232" t="inlineStr">
        <is>
          <t>February 2025</t>
        </is>
      </c>
      <c r="G188" s="232" t="inlineStr">
        <is>
          <t>MB0824_05</t>
        </is>
      </c>
      <c r="H188" s="232" t="inlineStr">
        <is>
          <t>✓ COMPLETE</t>
        </is>
      </c>
      <c r="I188" s="235" t="inlineStr"/>
    </row>
    <row r="189">
      <c r="A189" s="232" t="inlineStr">
        <is>
          <t>024</t>
        </is>
      </c>
      <c r="B189" s="232" t="inlineStr">
        <is>
          <t>Orange Punch Mimosa</t>
        </is>
      </c>
      <c r="C189" s="232" t="inlineStr">
        <is>
          <t>Orange Punch Mimosa</t>
        </is>
      </c>
      <c r="D189" s="233" t="inlineStr">
        <is>
          <t>P050132</t>
        </is>
      </c>
      <c r="E189" s="232" t="inlineStr">
        <is>
          <t>August 2025</t>
        </is>
      </c>
      <c r="F189" s="232" t="inlineStr">
        <is>
          <t>March 2026</t>
        </is>
      </c>
      <c r="G189" s="232" t="inlineStr">
        <is>
          <t>OPM052501</t>
        </is>
      </c>
      <c r="H189" s="232" t="inlineStr">
        <is>
          <t>✓ COMPLETE</t>
        </is>
      </c>
      <c r="I189" s="235" t="inlineStr"/>
    </row>
    <row r="190">
      <c r="A190" s="232" t="inlineStr">
        <is>
          <t>023</t>
        </is>
      </c>
      <c r="B190" s="232" t="inlineStr">
        <is>
          <t>Orange Punch Mimosa</t>
        </is>
      </c>
      <c r="C190" s="232" t="inlineStr">
        <is>
          <t>Orange Punch Mimosa</t>
        </is>
      </c>
      <c r="D190" s="233" t="inlineStr">
        <is>
          <t>P050082</t>
        </is>
      </c>
      <c r="E190" s="232" t="inlineStr">
        <is>
          <t>June 2025</t>
        </is>
      </c>
      <c r="F190" s="232" t="inlineStr">
        <is>
          <t>January 2026</t>
        </is>
      </c>
      <c r="G190" s="232" t="inlineStr">
        <is>
          <t>OPM1024_03</t>
        </is>
      </c>
      <c r="H190" s="232" t="inlineStr">
        <is>
          <t>✓ COMPLETE</t>
        </is>
      </c>
      <c r="I190" s="235" t="inlineStr"/>
    </row>
    <row r="191">
      <c r="A191" s="232" t="inlineStr">
        <is>
          <t>022</t>
        </is>
      </c>
      <c r="B191" s="232" t="inlineStr">
        <is>
          <t>Cap Junky</t>
        </is>
      </c>
      <c r="C191" s="232" t="inlineStr">
        <is>
          <t>Cap Junky</t>
        </is>
      </c>
      <c r="D191" s="233" t="inlineStr">
        <is>
          <t>P050172</t>
        </is>
      </c>
      <c r="E191" s="232" t="inlineStr">
        <is>
          <t>August 2025</t>
        </is>
      </c>
      <c r="F191" s="232" t="inlineStr">
        <is>
          <t>March 2026</t>
        </is>
      </c>
      <c r="G191" s="232" t="inlineStr">
        <is>
          <t>CJ052501/02</t>
        </is>
      </c>
      <c r="H191" s="232" t="inlineStr">
        <is>
          <t>✓ COMPLETE</t>
        </is>
      </c>
      <c r="I191" s="235" t="inlineStr"/>
    </row>
    <row r="192">
      <c r="A192" s="232" t="inlineStr">
        <is>
          <t>020</t>
        </is>
      </c>
      <c r="B192" s="232" t="inlineStr">
        <is>
          <t>Grape Pie</t>
        </is>
      </c>
      <c r="C192" s="232" t="inlineStr">
        <is>
          <t>Grape Pie</t>
        </is>
      </c>
      <c r="D192" s="233" t="inlineStr">
        <is>
          <t>P050312</t>
        </is>
      </c>
      <c r="E192" s="232" t="inlineStr">
        <is>
          <t>November 2025</t>
        </is>
      </c>
      <c r="F192" s="232" t="inlineStr">
        <is>
          <t>June 2026</t>
        </is>
      </c>
      <c r="G192" s="232" t="inlineStr">
        <is>
          <t>GP082501/1</t>
        </is>
      </c>
      <c r="H192" s="232" t="inlineStr">
        <is>
          <t>✓ COMPLETE</t>
        </is>
      </c>
      <c r="I192" s="235" t="inlineStr"/>
    </row>
    <row r="193">
      <c r="A193" s="232" t="inlineStr">
        <is>
          <t>021</t>
        </is>
      </c>
      <c r="B193" s="232" t="inlineStr">
        <is>
          <t>Grape Pie</t>
        </is>
      </c>
      <c r="C193" s="232" t="inlineStr">
        <is>
          <t>Grape Pie</t>
        </is>
      </c>
      <c r="D193" s="233" t="inlineStr">
        <is>
          <t>P050322</t>
        </is>
      </c>
      <c r="E193" s="232" t="inlineStr">
        <is>
          <t>November 2025</t>
        </is>
      </c>
      <c r="F193" s="232" t="inlineStr">
        <is>
          <t>June 2026</t>
        </is>
      </c>
      <c r="G193" s="232" t="inlineStr">
        <is>
          <t>GP082501/2</t>
        </is>
      </c>
      <c r="H193" s="232" t="inlineStr">
        <is>
          <t>✓ COMPLETE</t>
        </is>
      </c>
      <c r="I193" s="235" t="inlineStr"/>
    </row>
    <row r="194">
      <c r="A194" s="232" t="inlineStr">
        <is>
          <t>019</t>
        </is>
      </c>
      <c r="B194" s="232" t="inlineStr">
        <is>
          <t>Grape Pie</t>
        </is>
      </c>
      <c r="C194" s="232" t="inlineStr">
        <is>
          <t>Grape Pie</t>
        </is>
      </c>
      <c r="D194" s="233" t="inlineStr">
        <is>
          <t>P050302</t>
        </is>
      </c>
      <c r="E194" s="232" t="inlineStr">
        <is>
          <t>November 2025</t>
        </is>
      </c>
      <c r="F194" s="232" t="inlineStr">
        <is>
          <t>June 2026</t>
        </is>
      </c>
      <c r="G194" s="232" t="inlineStr">
        <is>
          <t>GP072501/2</t>
        </is>
      </c>
      <c r="H194" s="232" t="inlineStr">
        <is>
          <t>✓ COMPLETE</t>
        </is>
      </c>
      <c r="I194" s="235" t="inlineStr"/>
    </row>
    <row r="195">
      <c r="A195" s="232" t="inlineStr">
        <is>
          <t>018</t>
        </is>
      </c>
      <c r="B195" s="232" t="inlineStr">
        <is>
          <t>Grape Pie</t>
        </is>
      </c>
      <c r="C195" s="232" t="inlineStr">
        <is>
          <t>Grape Pie</t>
        </is>
      </c>
      <c r="D195" s="233" t="inlineStr">
        <is>
          <t>P050292</t>
        </is>
      </c>
      <c r="E195" s="232" t="inlineStr">
        <is>
          <t>November 2025</t>
        </is>
      </c>
      <c r="F195" s="232" t="inlineStr">
        <is>
          <t>June 2026</t>
        </is>
      </c>
      <c r="G195" s="232" t="inlineStr">
        <is>
          <t>GP072501/1</t>
        </is>
      </c>
      <c r="H195" s="232" t="inlineStr">
        <is>
          <t>✓ COMPLETE</t>
        </is>
      </c>
      <c r="I195" s="235" t="inlineStr"/>
    </row>
    <row r="196">
      <c r="A196" s="232" t="inlineStr">
        <is>
          <t>017</t>
        </is>
      </c>
      <c r="B196" s="232" t="inlineStr">
        <is>
          <t>Blue Sunset Sherbet</t>
        </is>
      </c>
      <c r="C196" s="232" t="inlineStr">
        <is>
          <t>Blue Sunset Sherbet</t>
        </is>
      </c>
      <c r="D196" s="233" t="inlineStr">
        <is>
          <t>P050192</t>
        </is>
      </c>
      <c r="E196" s="232" t="inlineStr">
        <is>
          <t>August 2025</t>
        </is>
      </c>
      <c r="F196" s="232" t="inlineStr">
        <is>
          <t>— none printed —</t>
        </is>
      </c>
      <c r="G196" s="232" t="inlineStr">
        <is>
          <t>BSS052501</t>
        </is>
      </c>
      <c r="H196" s="232" t="inlineStr">
        <is>
          <t>⚠ 1 MISSING</t>
        </is>
      </c>
      <c r="I196" s="235" t="inlineStr"/>
    </row>
    <row r="197">
      <c r="A197" s="237" t="inlineStr">
        <is>
          <t>— not read —</t>
        </is>
      </c>
      <c r="B197" s="232" t="inlineStr">
        <is>
          <t>Cup Junkie</t>
        </is>
      </c>
      <c r="C197" s="238" t="inlineStr">
        <is>
          <t>Cap Junky</t>
        </is>
      </c>
      <c r="D197" s="233" t="inlineStr">
        <is>
          <t>P050162</t>
        </is>
      </c>
      <c r="E197" s="232" t="inlineStr">
        <is>
          <t>August 2025</t>
        </is>
      </c>
      <c r="F197" s="232" t="inlineStr">
        <is>
          <t>— none printed —</t>
        </is>
      </c>
      <c r="G197" s="232" t="inlineStr">
        <is>
          <t>CJ052501/01</t>
        </is>
      </c>
      <c r="H197" s="232" t="inlineStr">
        <is>
          <t>✓ COMPLETE</t>
        </is>
      </c>
      <c r="I197" s="235" t="inlineStr">
        <is>
          <t>strain ruled Cap Junky; the register prints Cup Junkie</t>
        </is>
      </c>
    </row>
    <row r="198">
      <c r="A198" s="237" t="inlineStr">
        <is>
          <t>— not read —</t>
        </is>
      </c>
      <c r="B198" s="232" t="inlineStr">
        <is>
          <t>High Pro Amnesia</t>
        </is>
      </c>
      <c r="C198" s="232" t="inlineStr">
        <is>
          <t>High Pro Amnesia</t>
        </is>
      </c>
      <c r="D198" s="233" t="inlineStr">
        <is>
          <t>P050182</t>
        </is>
      </c>
      <c r="E198" s="232" t="inlineStr">
        <is>
          <t>August 2025</t>
        </is>
      </c>
      <c r="F198" s="232" t="inlineStr">
        <is>
          <t>— none printed —</t>
        </is>
      </c>
      <c r="G198" s="232" t="inlineStr">
        <is>
          <t>HPA052501</t>
        </is>
      </c>
      <c r="H198" s="232" t="inlineStr">
        <is>
          <t>✓ COMPLETE</t>
        </is>
      </c>
      <c r="I198" s="235" t="inlineStr"/>
    </row>
    <row r="199">
      <c r="A199" s="237" t="inlineStr">
        <is>
          <t>— not read —</t>
        </is>
      </c>
      <c r="B199" s="232" t="inlineStr">
        <is>
          <t>Blue Sunset Sherbet</t>
        </is>
      </c>
      <c r="C199" s="232" t="inlineStr">
        <is>
          <t>Blue Sunset Sherbet</t>
        </is>
      </c>
      <c r="D199" s="233" t="inlineStr">
        <is>
          <t>P050122</t>
        </is>
      </c>
      <c r="E199" s="232" t="inlineStr">
        <is>
          <t>June 2025</t>
        </is>
      </c>
      <c r="F199" s="232" t="inlineStr">
        <is>
          <t>— none printed —</t>
        </is>
      </c>
      <c r="G199" s="232" t="inlineStr">
        <is>
          <t>BSS1024_01/1</t>
        </is>
      </c>
      <c r="H199" s="232" t="inlineStr">
        <is>
          <t>✓ COMPLETE</t>
        </is>
      </c>
      <c r="I199" s="235" t="inlineStr"/>
    </row>
    <row r="200">
      <c r="A200" s="237" t="inlineStr">
        <is>
          <t>— not read —</t>
        </is>
      </c>
      <c r="B200" s="232" t="inlineStr">
        <is>
          <t>Gorilla Glue</t>
        </is>
      </c>
      <c r="C200" s="232" t="inlineStr">
        <is>
          <t>Gorilla Glue</t>
        </is>
      </c>
      <c r="D200" s="233" t="inlineStr">
        <is>
          <t>P050092</t>
        </is>
      </c>
      <c r="E200" s="232" t="inlineStr">
        <is>
          <t>March 2025</t>
        </is>
      </c>
      <c r="F200" s="232" t="inlineStr">
        <is>
          <t>— none printed —</t>
        </is>
      </c>
      <c r="G200" s="232" t="inlineStr">
        <is>
          <t>GG1024_01</t>
        </is>
      </c>
      <c r="H200" s="232" t="inlineStr">
        <is>
          <t>✓ COMPLETE</t>
        </is>
      </c>
      <c r="I200" s="235" t="inlineStr"/>
    </row>
    <row r="201">
      <c r="A201" s="237" t="inlineStr">
        <is>
          <t>— not read —</t>
        </is>
      </c>
      <c r="B201" s="232" t="inlineStr">
        <is>
          <t>Grape Pie</t>
        </is>
      </c>
      <c r="C201" s="232" t="inlineStr">
        <is>
          <t>Grape Pie</t>
        </is>
      </c>
      <c r="D201" s="233" t="inlineStr">
        <is>
          <t>P050102</t>
        </is>
      </c>
      <c r="E201" s="232" t="inlineStr">
        <is>
          <t>March 2025</t>
        </is>
      </c>
      <c r="F201" s="232" t="inlineStr">
        <is>
          <t>October 2025</t>
        </is>
      </c>
      <c r="G201" s="232" t="inlineStr">
        <is>
          <t>GP0824_01</t>
        </is>
      </c>
      <c r="H201" s="232" t="inlineStr">
        <is>
          <t>✓ COMPLETE</t>
        </is>
      </c>
      <c r="I201" s="235" t="inlineStr"/>
    </row>
    <row r="202">
      <c r="A202" s="237" t="inlineStr">
        <is>
          <t>— not read —</t>
        </is>
      </c>
      <c r="B202" s="232" t="inlineStr">
        <is>
          <t>Grape Pie</t>
        </is>
      </c>
      <c r="C202" s="232" t="inlineStr">
        <is>
          <t>Grape Pie</t>
        </is>
      </c>
      <c r="D202" s="233" t="inlineStr">
        <is>
          <t>P050072</t>
        </is>
      </c>
      <c r="E202" s="232" t="inlineStr">
        <is>
          <t>June 2025</t>
        </is>
      </c>
      <c r="F202" s="232" t="inlineStr">
        <is>
          <t>January 2026</t>
        </is>
      </c>
      <c r="G202" s="232" t="inlineStr">
        <is>
          <t>GP0824_03</t>
        </is>
      </c>
      <c r="H202" s="232" t="inlineStr">
        <is>
          <t>✓ COMPLETE</t>
        </is>
      </c>
      <c r="I202" s="235" t="inlineStr"/>
    </row>
    <row r="203">
      <c r="A203" s="237" t="inlineStr">
        <is>
          <t>— not read —</t>
        </is>
      </c>
      <c r="B203" s="232" t="inlineStr">
        <is>
          <t>Orange Punch Mimosa</t>
        </is>
      </c>
      <c r="C203" s="232" t="inlineStr">
        <is>
          <t>Orange Punch Mimosa</t>
        </is>
      </c>
      <c r="D203" s="233" t="inlineStr">
        <is>
          <t>P050062</t>
        </is>
      </c>
      <c r="E203" s="232" t="inlineStr">
        <is>
          <t>May 2025</t>
        </is>
      </c>
      <c r="F203" s="232" t="inlineStr">
        <is>
          <t>December 2025</t>
        </is>
      </c>
      <c r="G203" s="232" t="inlineStr">
        <is>
          <t>OPM1024_02</t>
        </is>
      </c>
      <c r="H203" s="232" t="inlineStr">
        <is>
          <t>✓ COMPLETE</t>
        </is>
      </c>
      <c r="I203" s="235" t="inlineStr"/>
    </row>
    <row r="204">
      <c r="A204" s="237" t="inlineStr">
        <is>
          <t>— not read —</t>
        </is>
      </c>
      <c r="B204" s="232" t="inlineStr">
        <is>
          <t>High Pro Amnesia</t>
        </is>
      </c>
      <c r="C204" s="232" t="inlineStr">
        <is>
          <t>High Pro Amnesia</t>
        </is>
      </c>
      <c r="D204" s="233" t="inlineStr">
        <is>
          <t>P050052</t>
        </is>
      </c>
      <c r="E204" s="232" t="inlineStr">
        <is>
          <t>May 2025</t>
        </is>
      </c>
      <c r="F204" s="232" t="inlineStr">
        <is>
          <t>December 2025</t>
        </is>
      </c>
      <c r="G204" s="232" t="inlineStr">
        <is>
          <t>HPA1024_01</t>
        </is>
      </c>
      <c r="H204" s="232" t="inlineStr">
        <is>
          <t>✓ COMPLETE</t>
        </is>
      </c>
      <c r="I204" s="235" t="inlineStr"/>
    </row>
    <row r="205">
      <c r="A205" s="237" t="inlineStr">
        <is>
          <t>— not read —</t>
        </is>
      </c>
      <c r="B205" s="232" t="inlineStr">
        <is>
          <t>Grape Pie</t>
        </is>
      </c>
      <c r="C205" s="232" t="inlineStr">
        <is>
          <t>Grape Pie</t>
        </is>
      </c>
      <c r="D205" s="233" t="inlineStr">
        <is>
          <t>P050022</t>
        </is>
      </c>
      <c r="E205" s="232" t="inlineStr">
        <is>
          <t>May 2025</t>
        </is>
      </c>
      <c r="F205" s="232" t="inlineStr">
        <is>
          <t>December 2025</t>
        </is>
      </c>
      <c r="G205" s="232" t="inlineStr">
        <is>
          <t>GP0824_02</t>
        </is>
      </c>
      <c r="H205" s="232" t="inlineStr">
        <is>
          <t>✓ COMPLETE</t>
        </is>
      </c>
      <c r="I205" s="235" t="inlineStr"/>
    </row>
    <row r="206">
      <c r="A206" s="237" t="inlineStr">
        <is>
          <t>— not read —</t>
        </is>
      </c>
      <c r="B206" s="232" t="inlineStr">
        <is>
          <t>Orange Punch Mimosa</t>
        </is>
      </c>
      <c r="C206" s="232" t="inlineStr">
        <is>
          <t>Orange Punch Mimosa</t>
        </is>
      </c>
      <c r="D206" s="233" t="inlineStr">
        <is>
          <t>P050042</t>
        </is>
      </c>
      <c r="E206" s="232" t="inlineStr">
        <is>
          <t>March 2025</t>
        </is>
      </c>
      <c r="F206" s="232" t="inlineStr">
        <is>
          <t>November 2025</t>
        </is>
      </c>
      <c r="G206" s="232" t="inlineStr">
        <is>
          <t>OMP1024_01</t>
        </is>
      </c>
      <c r="H206" s="232" t="inlineStr">
        <is>
          <t>✓ COMPLETE</t>
        </is>
      </c>
      <c r="I206" s="235" t="inlineStr"/>
    </row>
    <row r="207">
      <c r="A207" s="237" t="inlineStr">
        <is>
          <t>— not read —</t>
        </is>
      </c>
      <c r="B207" s="232" t="inlineStr">
        <is>
          <t>Motor Breath</t>
        </is>
      </c>
      <c r="C207" s="232" t="inlineStr">
        <is>
          <t>Motor Breath</t>
        </is>
      </c>
      <c r="D207" s="233" t="inlineStr">
        <is>
          <t>P050032</t>
        </is>
      </c>
      <c r="E207" s="232" t="inlineStr">
        <is>
          <t>April 2025</t>
        </is>
      </c>
      <c r="F207" s="232" t="inlineStr">
        <is>
          <t>November 2025</t>
        </is>
      </c>
      <c r="G207" s="232" t="inlineStr">
        <is>
          <t>MB0824_04</t>
        </is>
      </c>
      <c r="H207" s="232" t="inlineStr">
        <is>
          <t>✓ COMPLETE</t>
        </is>
      </c>
      <c r="I207" s="235" t="inlineStr"/>
    </row>
    <row r="208">
      <c r="A208" s="237" t="inlineStr">
        <is>
          <t>— not read —</t>
        </is>
      </c>
      <c r="B208" s="232" t="inlineStr">
        <is>
          <t>Gorilla Glue</t>
        </is>
      </c>
      <c r="C208" s="232" t="inlineStr">
        <is>
          <t>Gorilla Glue</t>
        </is>
      </c>
      <c r="D208" s="233" t="inlineStr">
        <is>
          <t>P050012</t>
        </is>
      </c>
      <c r="E208" s="232" t="inlineStr">
        <is>
          <t>April 2025</t>
        </is>
      </c>
      <c r="F208" s="232" t="inlineStr">
        <is>
          <t>November 2025</t>
        </is>
      </c>
      <c r="G208" s="232" t="inlineStr">
        <is>
          <t>GG1024_02</t>
        </is>
      </c>
      <c r="H208" s="232" t="inlineStr">
        <is>
          <t>✓ COMPLETE</t>
        </is>
      </c>
      <c r="I208" s="235" t="inlineStr"/>
    </row>
    <row r="209">
      <c r="A209" s="237" t="inlineStr">
        <is>
          <t>— not read —</t>
        </is>
      </c>
      <c r="B209" s="232" t="inlineStr">
        <is>
          <t>Blue Gelato</t>
        </is>
      </c>
      <c r="C209" s="232" t="inlineStr">
        <is>
          <t>Blue Gelato</t>
        </is>
      </c>
      <c r="D209" s="233" t="inlineStr">
        <is>
          <t>BG1024</t>
        </is>
      </c>
      <c r="E209" s="232" t="inlineStr">
        <is>
          <t>January 2025</t>
        </is>
      </c>
      <c r="F209" s="232" t="inlineStr">
        <is>
          <t>June 2025</t>
        </is>
      </c>
      <c r="G209" s="232" t="inlineStr">
        <is>
          <t>BG1024</t>
        </is>
      </c>
      <c r="H209" s="232" t="inlineStr">
        <is>
          <t>✓ COMPLETE</t>
        </is>
      </c>
      <c r="I209" s="235" t="inlineStr"/>
    </row>
    <row r="210">
      <c r="A210" s="237" t="inlineStr">
        <is>
          <t>— not read —</t>
        </is>
      </c>
      <c r="B210" s="232" t="inlineStr">
        <is>
          <t>Blue Sunset Sherbet</t>
        </is>
      </c>
      <c r="C210" s="232" t="inlineStr">
        <is>
          <t>Blue Sunset Sherbet</t>
        </is>
      </c>
      <c r="D210" s="233" t="inlineStr">
        <is>
          <t>BSS1024</t>
        </is>
      </c>
      <c r="E210" s="232" t="inlineStr">
        <is>
          <t>January 2025</t>
        </is>
      </c>
      <c r="F210" s="232" t="inlineStr">
        <is>
          <t>June 2025</t>
        </is>
      </c>
      <c r="G210" s="232" t="inlineStr">
        <is>
          <t>BSS1024</t>
        </is>
      </c>
      <c r="H210" s="232" t="inlineStr">
        <is>
          <t>✓ COMPLETE</t>
        </is>
      </c>
      <c r="I210" s="235" t="inlineStr"/>
    </row>
    <row r="211">
      <c r="A211" s="237" t="inlineStr">
        <is>
          <t>— not read —</t>
        </is>
      </c>
      <c r="B211" s="232" t="inlineStr">
        <is>
          <t>Cap Junky</t>
        </is>
      </c>
      <c r="C211" s="232" t="inlineStr">
        <is>
          <t>Cap Junky</t>
        </is>
      </c>
      <c r="D211" s="233" t="inlineStr">
        <is>
          <t>CJ1024</t>
        </is>
      </c>
      <c r="E211" s="232" t="inlineStr">
        <is>
          <t>January 2025</t>
        </is>
      </c>
      <c r="F211" s="232" t="inlineStr">
        <is>
          <t>June 2025</t>
        </is>
      </c>
      <c r="G211" s="232" t="inlineStr">
        <is>
          <t>CJ1024</t>
        </is>
      </c>
      <c r="H211" s="232" t="inlineStr">
        <is>
          <t>✓ COMPLETE</t>
        </is>
      </c>
      <c r="I211" s="235" t="inlineStr"/>
    </row>
    <row r="212">
      <c r="A212" s="237" t="inlineStr">
        <is>
          <t>— not read —</t>
        </is>
      </c>
      <c r="B212" s="232" t="inlineStr">
        <is>
          <t>Gorilla Glue</t>
        </is>
      </c>
      <c r="C212" s="232" t="inlineStr">
        <is>
          <t>Gorilla Glue</t>
        </is>
      </c>
      <c r="D212" s="233" t="inlineStr">
        <is>
          <t>GG1024</t>
        </is>
      </c>
      <c r="E212" s="232" t="inlineStr">
        <is>
          <t>January 2025</t>
        </is>
      </c>
      <c r="F212" s="232" t="inlineStr">
        <is>
          <t>— none printed —</t>
        </is>
      </c>
      <c r="G212" s="232" t="inlineStr">
        <is>
          <t>GG1024</t>
        </is>
      </c>
      <c r="H212" s="232" t="inlineStr">
        <is>
          <t>○ 4 ON FILE, NOT RECORDED</t>
        </is>
      </c>
      <c r="I212" s="235" t="inlineStr"/>
    </row>
    <row r="213">
      <c r="A213" s="237" t="inlineStr">
        <is>
          <t>— not read —</t>
        </is>
      </c>
      <c r="B213" s="232" t="inlineStr">
        <is>
          <t>Orange Punch Mimosa</t>
        </is>
      </c>
      <c r="C213" s="232" t="inlineStr">
        <is>
          <t>Orange Punch Mimosa</t>
        </is>
      </c>
      <c r="D213" s="233" t="inlineStr">
        <is>
          <t>OPM1024</t>
        </is>
      </c>
      <c r="E213" s="232" t="inlineStr">
        <is>
          <t>January 2025</t>
        </is>
      </c>
      <c r="F213" s="232" t="inlineStr">
        <is>
          <t>June 2025</t>
        </is>
      </c>
      <c r="G213" s="232" t="inlineStr">
        <is>
          <t>OPM1024</t>
        </is>
      </c>
      <c r="H213" s="232" t="inlineStr">
        <is>
          <t>❌ 4 MISSING</t>
        </is>
      </c>
      <c r="I213" s="235" t="inlineStr"/>
    </row>
    <row r="214">
      <c r="A214" s="237" t="inlineStr">
        <is>
          <t>— not read —</t>
        </is>
      </c>
      <c r="B214" s="232" t="inlineStr">
        <is>
          <t>High Pro Amnesia</t>
        </is>
      </c>
      <c r="C214" s="232" t="inlineStr">
        <is>
          <t>High Pro Amnesia</t>
        </is>
      </c>
      <c r="D214" s="233" t="inlineStr">
        <is>
          <t>HPA1024</t>
        </is>
      </c>
      <c r="E214" s="232" t="inlineStr">
        <is>
          <t>January 2025</t>
        </is>
      </c>
      <c r="F214" s="232" t="inlineStr">
        <is>
          <t>— none printed —</t>
        </is>
      </c>
      <c r="G214" s="232" t="inlineStr">
        <is>
          <t>HPA1024</t>
        </is>
      </c>
      <c r="H214" s="232" t="inlineStr">
        <is>
          <t>❌ 4 MISSING</t>
        </is>
      </c>
      <c r="I214" s="235" t="inlineStr"/>
    </row>
    <row r="216" ht="58" customHeight="1" s="70">
      <c r="A216"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53"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68" t="n"/>
      <c r="B222" s="268" t="n"/>
      <c r="C222" s="268"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69" t="n"/>
      <c r="B223" s="269" t="n"/>
      <c r="C223" s="269"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64" t="inlineStr">
        <is>
          <t>⚠ 3 NO RESULT
(3 no cert / 0 cert w/o result)
2 testing instances</t>
        </is>
      </c>
      <c r="D224" s="128" t="inlineStr">
        <is>
          <t>Conforms (no value printed)</t>
        </is>
      </c>
      <c r="E224" s="129" t="inlineStr">
        <is>
          <t>ППК26112, (30.06.2026) [CNP]</t>
        </is>
      </c>
      <c r="F224" s="130" t="inlineStr">
        <is>
          <t>✓</t>
        </is>
      </c>
      <c r="G224" s="128" t="inlineStr">
        <is>
          <t>7.04</t>
        </is>
      </c>
      <c r="H224" s="129" t="inlineStr">
        <is>
          <t>ППК26112, (30.06.2026) [CNP]</t>
        </is>
      </c>
      <c r="I224" s="130" t="inlineStr">
        <is>
          <t>✓</t>
        </is>
      </c>
      <c r="J224" s="128" t="inlineStr">
        <is>
          <t>9.8 × 10³</t>
        </is>
      </c>
      <c r="K224" s="136" t="inlineStr">
        <is>
          <t>2.5 × 10³</t>
        </is>
      </c>
      <c r="L224" s="136" t="inlineStr">
        <is>
          <t>&lt; 10² and &gt; 10</t>
        </is>
      </c>
      <c r="M224" s="136" t="inlineStr">
        <is>
          <t>Absent</t>
        </is>
      </c>
      <c r="N224" s="136" t="inlineStr">
        <is>
          <t>Absent</t>
        </is>
      </c>
      <c r="O224" s="130" t="inlineStr">
        <is>
          <t>✓</t>
        </is>
      </c>
      <c r="P224" s="165" t="inlineStr">
        <is>
          <t>— MISSING —</t>
        </is>
      </c>
      <c r="Q224" s="166" t="inlineStr">
        <is>
          <t>— MISSING —</t>
        </is>
      </c>
      <c r="R224" s="166" t="inlineStr">
        <is>
          <t>— MISSING —</t>
        </is>
      </c>
      <c r="S224" s="167" t="inlineStr">
        <is>
          <t>✗</t>
        </is>
      </c>
      <c r="T224" s="165" t="inlineStr">
        <is>
          <t>— MISSING —</t>
        </is>
      </c>
      <c r="U224" s="166" t="inlineStr">
        <is>
          <t>— MISSING —</t>
        </is>
      </c>
      <c r="V224" s="166" t="inlineStr">
        <is>
          <t>— MISSING —</t>
        </is>
      </c>
      <c r="W224" s="166" t="inlineStr">
        <is>
          <t>— MISSING —</t>
        </is>
      </c>
      <c r="X224" s="167" t="inlineStr">
        <is>
          <t>✗</t>
        </is>
      </c>
      <c r="Y224" s="165" t="inlineStr">
        <is>
          <t>— MISSING —</t>
        </is>
      </c>
      <c r="Z224" s="168" t="inlineStr">
        <is>
          <t>— no certificate —</t>
        </is>
      </c>
      <c r="AA224" s="169" t="inlineStr">
        <is>
          <t>✗</t>
        </is>
      </c>
    </row>
    <row r="225" ht="15.375" customHeight="1" s="70">
      <c r="A225" s="270" t="n"/>
      <c r="B225" s="268" t="n"/>
      <c r="C225" s="268" t="n"/>
      <c r="D225" s="271" t="n"/>
      <c r="E225" s="269" t="n"/>
      <c r="F225" s="272" t="n"/>
      <c r="G225" s="271" t="n"/>
      <c r="H225" s="269" t="n"/>
      <c r="I225" s="272" t="n"/>
      <c r="J225" s="141" t="inlineStr">
        <is>
          <t>537-1068-26, (31.08.2026) [IJZ-MB]</t>
        </is>
      </c>
      <c r="K225" s="120" t="n"/>
      <c r="L225" s="120" t="n"/>
      <c r="M225" s="120" t="n"/>
      <c r="N225" s="121" t="n"/>
      <c r="O225" s="272" t="n"/>
      <c r="P225" s="170" t="inlineStr">
        <is>
          <t>— no certificate —</t>
        </is>
      </c>
      <c r="Q225" s="120" t="n"/>
      <c r="R225" s="121" t="n"/>
      <c r="S225" s="272" t="n"/>
      <c r="T225" s="170" t="inlineStr">
        <is>
          <t>— no certificate —</t>
        </is>
      </c>
      <c r="U225" s="120" t="n"/>
      <c r="V225" s="120" t="n"/>
      <c r="W225" s="121" t="n"/>
      <c r="X225" s="272" t="n"/>
      <c r="Y225" s="271" t="n"/>
      <c r="Z225" s="269" t="n"/>
      <c r="AA225" s="273" t="n"/>
    </row>
    <row r="226" ht="17.625" customHeight="1" s="70">
      <c r="A226" s="270" t="n"/>
      <c r="B226" s="268" t="n"/>
      <c r="C226" s="268" t="n"/>
      <c r="D226" s="145" t="n"/>
      <c r="E226" s="144" t="n"/>
      <c r="F226" s="146" t="n"/>
      <c r="G226" s="145" t="n"/>
      <c r="H226" s="144" t="n"/>
      <c r="I226" s="146" t="n"/>
      <c r="J226" s="145" t="n"/>
      <c r="K226" s="144" t="n"/>
      <c r="L226" s="144" t="n"/>
      <c r="M226" s="144" t="n"/>
      <c r="N226" s="144" t="n"/>
      <c r="O226" s="146" t="n"/>
      <c r="P226" s="145" t="n"/>
      <c r="Q226" s="144" t="n"/>
      <c r="R226" s="144" t="n"/>
      <c r="S226" s="146" t="n"/>
      <c r="T226" s="145" t="n"/>
      <c r="U226" s="144" t="n"/>
      <c r="V226" s="144" t="n"/>
      <c r="W226" s="144" t="n"/>
      <c r="X226" s="146" t="n"/>
      <c r="Y226" s="145" t="n"/>
      <c r="Z226" s="144" t="n"/>
      <c r="AA226" s="157" t="n"/>
    </row>
    <row r="227" ht="13" customHeight="1" s="70">
      <c r="A227" s="274" t="n"/>
      <c r="B227" s="275" t="n"/>
      <c r="C227" s="275" t="n"/>
      <c r="D227" s="160" t="n"/>
      <c r="E227" s="159" t="n"/>
      <c r="F227" s="161" t="n"/>
      <c r="G227" s="160" t="n"/>
      <c r="H227" s="159" t="n"/>
      <c r="I227" s="161" t="n"/>
      <c r="J227" s="160" t="n"/>
      <c r="K227" s="159" t="n"/>
      <c r="L227" s="159" t="n"/>
      <c r="M227" s="159" t="n"/>
      <c r="N227" s="159" t="n"/>
      <c r="O227" s="161" t="n"/>
      <c r="P227" s="160" t="n"/>
      <c r="Q227" s="159" t="n"/>
      <c r="R227" s="159" t="n"/>
      <c r="S227" s="161" t="n"/>
      <c r="T227" s="160" t="n"/>
      <c r="U227" s="159" t="n"/>
      <c r="V227" s="159" t="n"/>
      <c r="W227" s="159" t="n"/>
      <c r="X227" s="161" t="n"/>
      <c r="Y227" s="160" t="n"/>
      <c r="Z227" s="159" t="n"/>
      <c r="AA227" s="163" t="n"/>
    </row>
    <row r="228" ht="21" customHeight="1" s="70">
      <c r="A228" s="125" t="inlineStr">
        <is>
          <t>FB012603V</t>
        </is>
      </c>
      <c r="B228" s="126" t="inlineStr">
        <is>
          <t>P060392</t>
        </is>
      </c>
      <c r="C228" s="164" t="inlineStr">
        <is>
          <t>⚠ 3 NO RESULT
(3 no cert / 0 cert w/o result)
2 testing instances</t>
        </is>
      </c>
      <c r="D228" s="128" t="inlineStr">
        <is>
          <t>Conforms (no value printed)</t>
        </is>
      </c>
      <c r="E228" s="129" t="inlineStr">
        <is>
          <t>ППК26110, (30.06.2026) [CNP]</t>
        </is>
      </c>
      <c r="F228" s="130" t="inlineStr">
        <is>
          <t>✓</t>
        </is>
      </c>
      <c r="G228" s="128" t="inlineStr">
        <is>
          <t>6.36</t>
        </is>
      </c>
      <c r="H228" s="129" t="inlineStr">
        <is>
          <t>ППК26110, (30.06.2026) [CNP]</t>
        </is>
      </c>
      <c r="I228" s="130" t="inlineStr">
        <is>
          <t>✓</t>
        </is>
      </c>
      <c r="J228" s="128" t="inlineStr">
        <is>
          <t>2.9 × 10³</t>
        </is>
      </c>
      <c r="K228" s="136" t="inlineStr">
        <is>
          <t>2.5 × 10³</t>
        </is>
      </c>
      <c r="L228" s="136" t="inlineStr">
        <is>
          <t>&lt; 10</t>
        </is>
      </c>
      <c r="M228" s="136" t="inlineStr">
        <is>
          <t>Absent</t>
        </is>
      </c>
      <c r="N228" s="136" t="inlineStr">
        <is>
          <t>Absent</t>
        </is>
      </c>
      <c r="O228" s="130" t="inlineStr">
        <is>
          <t>✓</t>
        </is>
      </c>
      <c r="P228" s="165" t="inlineStr">
        <is>
          <t>— MISSING —</t>
        </is>
      </c>
      <c r="Q228" s="166" t="inlineStr">
        <is>
          <t>— MISSING —</t>
        </is>
      </c>
      <c r="R228" s="166" t="inlineStr">
        <is>
          <t>— MISSING —</t>
        </is>
      </c>
      <c r="S228" s="167" t="inlineStr">
        <is>
          <t>✗</t>
        </is>
      </c>
      <c r="T228" s="165" t="inlineStr">
        <is>
          <t>— MISSING —</t>
        </is>
      </c>
      <c r="U228" s="166" t="inlineStr">
        <is>
          <t>— MISSING —</t>
        </is>
      </c>
      <c r="V228" s="166" t="inlineStr">
        <is>
          <t>— MISSING —</t>
        </is>
      </c>
      <c r="W228" s="166" t="inlineStr">
        <is>
          <t>— MISSING —</t>
        </is>
      </c>
      <c r="X228" s="167" t="inlineStr">
        <is>
          <t>✗</t>
        </is>
      </c>
      <c r="Y228" s="165" t="inlineStr">
        <is>
          <t>— MISSING —</t>
        </is>
      </c>
      <c r="Z228" s="168" t="inlineStr">
        <is>
          <t>— no certificate —</t>
        </is>
      </c>
      <c r="AA228" s="169" t="inlineStr">
        <is>
          <t>✗</t>
        </is>
      </c>
    </row>
    <row r="229" ht="15.375" customHeight="1" s="70">
      <c r="A229" s="270" t="n"/>
      <c r="B229" s="268" t="n"/>
      <c r="C229" s="268" t="n"/>
      <c r="D229" s="271" t="n"/>
      <c r="E229" s="269" t="n"/>
      <c r="F229" s="272" t="n"/>
      <c r="G229" s="271" t="n"/>
      <c r="H229" s="269" t="n"/>
      <c r="I229" s="272" t="n"/>
      <c r="J229" s="141" t="inlineStr">
        <is>
          <t>538-1069-26, (31.08.2026) [IJZ-MB]</t>
        </is>
      </c>
      <c r="K229" s="120" t="n"/>
      <c r="L229" s="120" t="n"/>
      <c r="M229" s="120" t="n"/>
      <c r="N229" s="121" t="n"/>
      <c r="O229" s="272" t="n"/>
      <c r="P229" s="170" t="inlineStr">
        <is>
          <t>— no certificate —</t>
        </is>
      </c>
      <c r="Q229" s="120" t="n"/>
      <c r="R229" s="121" t="n"/>
      <c r="S229" s="272" t="n"/>
      <c r="T229" s="170" t="inlineStr">
        <is>
          <t>— no certificate —</t>
        </is>
      </c>
      <c r="U229" s="120" t="n"/>
      <c r="V229" s="120" t="n"/>
      <c r="W229" s="121" t="n"/>
      <c r="X229" s="272" t="n"/>
      <c r="Y229" s="271" t="n"/>
      <c r="Z229" s="269" t="n"/>
      <c r="AA229" s="273" t="n"/>
    </row>
    <row r="230" ht="17.625" customHeight="1" s="70">
      <c r="A230" s="270" t="n"/>
      <c r="B230" s="268" t="n"/>
      <c r="C230" s="268" t="n"/>
      <c r="D230" s="145" t="n"/>
      <c r="E230" s="144" t="n"/>
      <c r="F230" s="146" t="n"/>
      <c r="G230" s="145" t="n"/>
      <c r="H230" s="144" t="n"/>
      <c r="I230" s="146" t="n"/>
      <c r="J230" s="145" t="n"/>
      <c r="K230" s="144" t="n"/>
      <c r="L230" s="144" t="n"/>
      <c r="M230" s="144" t="n"/>
      <c r="N230" s="144" t="n"/>
      <c r="O230" s="146" t="n"/>
      <c r="P230" s="145" t="n"/>
      <c r="Q230" s="144" t="n"/>
      <c r="R230" s="144" t="n"/>
      <c r="S230" s="146" t="n"/>
      <c r="T230" s="145" t="n"/>
      <c r="U230" s="144" t="n"/>
      <c r="V230" s="144" t="n"/>
      <c r="W230" s="144" t="n"/>
      <c r="X230" s="146" t="n"/>
      <c r="Y230" s="145" t="n"/>
      <c r="Z230" s="144" t="n"/>
      <c r="AA230" s="157" t="n"/>
    </row>
    <row r="231" ht="13" customHeight="1" s="70">
      <c r="A231" s="274" t="n"/>
      <c r="B231" s="275" t="n"/>
      <c r="C231" s="275" t="n"/>
      <c r="D231" s="160" t="n"/>
      <c r="E231" s="159" t="n"/>
      <c r="F231" s="161" t="n"/>
      <c r="G231" s="160" t="n"/>
      <c r="H231" s="159" t="n"/>
      <c r="I231" s="161" t="n"/>
      <c r="J231" s="160" t="n"/>
      <c r="K231" s="159" t="n"/>
      <c r="L231" s="159" t="n"/>
      <c r="M231" s="159" t="n"/>
      <c r="N231" s="159" t="n"/>
      <c r="O231" s="161" t="n"/>
      <c r="P231" s="160" t="n"/>
      <c r="Q231" s="159" t="n"/>
      <c r="R231" s="159" t="n"/>
      <c r="S231" s="161" t="n"/>
      <c r="T231" s="160" t="n"/>
      <c r="U231" s="159" t="n"/>
      <c r="V231" s="159" t="n"/>
      <c r="W231" s="159" t="n"/>
      <c r="X231" s="161" t="n"/>
      <c r="Y231" s="160" t="n"/>
      <c r="Z231" s="159" t="n"/>
      <c r="AA231" s="163" t="n"/>
    </row>
    <row r="232" ht="21" customHeight="1" s="70">
      <c r="A232" s="125" t="inlineStr">
        <is>
          <t>FB032601</t>
        </is>
      </c>
      <c r="B232" s="126" t="inlineStr">
        <is>
          <t>P060452</t>
        </is>
      </c>
      <c r="C232" s="171" t="inlineStr">
        <is>
          <t>✗ 4 NO RESULT
(4 no cert / 0 cert w/o result)
✗ OUT OF SPECIFICATION: #7</t>
        </is>
      </c>
      <c r="D232" s="177" t="inlineStr">
        <is>
          <t>0.08 % (Does not conform)</t>
        </is>
      </c>
      <c r="E232" s="173" t="inlineStr">
        <is>
          <t>ППК26127, (21.07.2026) [CNP]</t>
        </is>
      </c>
      <c r="F232" s="174" t="inlineStr">
        <is>
          <t>✓</t>
        </is>
      </c>
      <c r="G232" s="172" t="inlineStr">
        <is>
          <t>7.77</t>
        </is>
      </c>
      <c r="H232" s="173" t="inlineStr">
        <is>
          <t>ППК26127, (21.07.2026) [CNP]</t>
        </is>
      </c>
      <c r="I232" s="174" t="inlineStr">
        <is>
          <t>✓</t>
        </is>
      </c>
      <c r="J232" s="165" t="inlineStr">
        <is>
          <t>— MISSING —</t>
        </is>
      </c>
      <c r="K232" s="166" t="inlineStr">
        <is>
          <t>— MISSING —</t>
        </is>
      </c>
      <c r="L232" s="166" t="inlineStr">
        <is>
          <t>— MISSING —</t>
        </is>
      </c>
      <c r="M232" s="166" t="inlineStr">
        <is>
          <t>— MISSING —</t>
        </is>
      </c>
      <c r="N232" s="166" t="inlineStr">
        <is>
          <t>— MISSING —</t>
        </is>
      </c>
      <c r="O232" s="178" t="inlineStr">
        <is>
          <t>✗</t>
        </is>
      </c>
      <c r="P232" s="165" t="inlineStr">
        <is>
          <t>— MISSING —</t>
        </is>
      </c>
      <c r="Q232" s="166" t="inlineStr">
        <is>
          <t>— MISSING —</t>
        </is>
      </c>
      <c r="R232" s="166" t="inlineStr">
        <is>
          <t>— MISSING —</t>
        </is>
      </c>
      <c r="S232" s="178" t="inlineStr">
        <is>
          <t>✗</t>
        </is>
      </c>
      <c r="T232" s="165" t="inlineStr">
        <is>
          <t>— MISSING —</t>
        </is>
      </c>
      <c r="U232" s="166" t="inlineStr">
        <is>
          <t>— MISSING —</t>
        </is>
      </c>
      <c r="V232" s="166" t="inlineStr">
        <is>
          <t>— MISSING —</t>
        </is>
      </c>
      <c r="W232" s="166" t="inlineStr">
        <is>
          <t>— MISSING —</t>
        </is>
      </c>
      <c r="X232" s="178" t="inlineStr">
        <is>
          <t>✗</t>
        </is>
      </c>
      <c r="Y232" s="179" t="inlineStr">
        <is>
          <t>— MISSING —</t>
        </is>
      </c>
      <c r="Z232" s="180" t="inlineStr">
        <is>
          <t>— no certificate —</t>
        </is>
      </c>
      <c r="AA232" s="181" t="inlineStr">
        <is>
          <t>✗</t>
        </is>
      </c>
    </row>
    <row r="233" ht="15.375" customHeight="1" s="70">
      <c r="A233" s="274" t="n"/>
      <c r="B233" s="275" t="n"/>
      <c r="C233" s="275" t="n"/>
      <c r="D233" s="276" t="n"/>
      <c r="E233" s="275" t="n"/>
      <c r="F233" s="277" t="n"/>
      <c r="G233" s="276" t="n"/>
      <c r="H233" s="275" t="n"/>
      <c r="I233" s="277" t="n"/>
      <c r="J233" s="182" t="inlineStr">
        <is>
          <t>— no certificate —</t>
        </is>
      </c>
      <c r="K233" s="278" t="n"/>
      <c r="L233" s="278" t="n"/>
      <c r="M233" s="278" t="n"/>
      <c r="N233" s="279" t="n"/>
      <c r="O233" s="277" t="n"/>
      <c r="P233" s="182" t="inlineStr">
        <is>
          <t>— no certificate —</t>
        </is>
      </c>
      <c r="Q233" s="278" t="n"/>
      <c r="R233" s="279" t="n"/>
      <c r="S233" s="277" t="n"/>
      <c r="T233" s="182" t="inlineStr">
        <is>
          <t>— no certificate —</t>
        </is>
      </c>
      <c r="U233" s="278" t="n"/>
      <c r="V233" s="278" t="n"/>
      <c r="W233" s="279" t="n"/>
      <c r="X233" s="277" t="n"/>
      <c r="Y233" s="276" t="n"/>
      <c r="Z233" s="275" t="n"/>
      <c r="AA233" s="280" t="n"/>
    </row>
    <row r="234" ht="21" customHeight="1" s="70">
      <c r="A234" s="125" t="inlineStr">
        <is>
          <t>GG012603</t>
        </is>
      </c>
      <c r="B234" s="126" t="inlineStr">
        <is>
          <t>P060402</t>
        </is>
      </c>
      <c r="C234" s="164" t="inlineStr">
        <is>
          <t>⚠ 3 NO RESULT
(3 no cert / 0 cert w/o result)
2 testing instances
• 1 document(s) on file, not credited</t>
        </is>
      </c>
      <c r="D234" s="128" t="inlineStr">
        <is>
          <t>0.09 % (Conforms)</t>
        </is>
      </c>
      <c r="E234" s="129" t="inlineStr">
        <is>
          <t>ППК26114, (30.06.2026) [CNP]</t>
        </is>
      </c>
      <c r="F234" s="130" t="inlineStr">
        <is>
          <t>✓</t>
        </is>
      </c>
      <c r="G234" s="128" t="inlineStr">
        <is>
          <t>6.48</t>
        </is>
      </c>
      <c r="H234" s="129" t="inlineStr">
        <is>
          <t>ППК26114, (30.06.2026) [CNP]</t>
        </is>
      </c>
      <c r="I234" s="130" t="inlineStr">
        <is>
          <t>✓</t>
        </is>
      </c>
      <c r="J234" s="165" t="inlineStr">
        <is>
          <t>— MISSING —</t>
        </is>
      </c>
      <c r="K234" s="166" t="inlineStr">
        <is>
          <t>— MISSING —</t>
        </is>
      </c>
      <c r="L234" s="166" t="inlineStr">
        <is>
          <t>— MISSING —</t>
        </is>
      </c>
      <c r="M234" s="166" t="inlineStr">
        <is>
          <t>— MISSING —</t>
        </is>
      </c>
      <c r="N234" s="166" t="inlineStr">
        <is>
          <t>— MISSING —</t>
        </is>
      </c>
      <c r="O234" s="167" t="inlineStr">
        <is>
          <t>✗</t>
        </is>
      </c>
      <c r="P234" s="128" t="inlineStr">
        <is>
          <t>ND</t>
        </is>
      </c>
      <c r="Q234" s="136" t="inlineStr">
        <is>
          <t>ND</t>
        </is>
      </c>
      <c r="R234" s="136" t="inlineStr">
        <is>
          <t>ND</t>
        </is>
      </c>
      <c r="S234" s="130" t="inlineStr">
        <is>
          <t>✓</t>
        </is>
      </c>
      <c r="T234" s="165" t="inlineStr">
        <is>
          <t>— MISSING —</t>
        </is>
      </c>
      <c r="U234" s="166" t="inlineStr">
        <is>
          <t>— MISSING —</t>
        </is>
      </c>
      <c r="V234" s="166" t="inlineStr">
        <is>
          <t>— MISSING —</t>
        </is>
      </c>
      <c r="W234" s="166" t="inlineStr">
        <is>
          <t>— MISSING —</t>
        </is>
      </c>
      <c r="X234" s="167" t="inlineStr">
        <is>
          <t>✗</t>
        </is>
      </c>
      <c r="Y234" s="165" t="inlineStr">
        <is>
          <t>— MISSING —</t>
        </is>
      </c>
      <c r="Z234" s="168" t="inlineStr">
        <is>
          <t>— no certificate —</t>
        </is>
      </c>
      <c r="AA234" s="169" t="inlineStr">
        <is>
          <t>✗</t>
        </is>
      </c>
    </row>
    <row r="235" ht="13" customHeight="1" s="70">
      <c r="A235" s="270" t="n"/>
      <c r="B235" s="268" t="n"/>
      <c r="C235" s="268" t="n"/>
      <c r="D235" s="271" t="n"/>
      <c r="E235" s="269" t="n"/>
      <c r="F235" s="272" t="n"/>
      <c r="G235" s="271" t="n"/>
      <c r="H235" s="269" t="n"/>
      <c r="I235" s="272" t="n"/>
      <c r="J235" s="170" t="inlineStr">
        <is>
          <t>— no certificate —</t>
        </is>
      </c>
      <c r="K235" s="120" t="n"/>
      <c r="L235" s="120" t="n"/>
      <c r="M235" s="120" t="n"/>
      <c r="N235" s="121" t="n"/>
      <c r="O235" s="272" t="n"/>
      <c r="P235" s="141" t="inlineStr">
        <is>
          <t>197-8-М-26, (10.08.2026) [FHM-M]</t>
        </is>
      </c>
      <c r="Q235" s="120" t="n"/>
      <c r="R235" s="121" t="n"/>
      <c r="S235" s="272" t="n"/>
      <c r="T235" s="170" t="inlineStr">
        <is>
          <t>— no certificate —</t>
        </is>
      </c>
      <c r="U235" s="120" t="n"/>
      <c r="V235" s="120" t="n"/>
      <c r="W235" s="121" t="n"/>
      <c r="X235" s="272" t="n"/>
      <c r="Y235" s="271" t="n"/>
      <c r="Z235" s="269" t="n"/>
      <c r="AA235" s="273" t="n"/>
    </row>
    <row r="236" ht="17.625" customHeight="1" s="70">
      <c r="A236" s="270" t="n"/>
      <c r="B236" s="268" t="n"/>
      <c r="C236" s="268" t="n"/>
      <c r="D236" s="145" t="n"/>
      <c r="E236" s="144" t="n"/>
      <c r="F236" s="146" t="n"/>
      <c r="G236" s="152" t="inlineStr">
        <is>
          <t>not on this certificate</t>
        </is>
      </c>
      <c r="H236" s="153" t="inlineStr">
        <is>
          <t>197-8-К-26, (07.08.2026) [FHM-K] · on file, not credited</t>
        </is>
      </c>
      <c r="I236" s="154" t="inlineStr">
        <is>
          <t>•</t>
        </is>
      </c>
      <c r="J236" s="145" t="n"/>
      <c r="K236" s="144" t="n"/>
      <c r="L236" s="144" t="n"/>
      <c r="M236" s="144" t="n"/>
      <c r="N236" s="144" t="n"/>
      <c r="O236" s="146" t="n"/>
      <c r="P236" s="145" t="n"/>
      <c r="Q236" s="144" t="n"/>
      <c r="R236" s="144" t="n"/>
      <c r="S236" s="146" t="n"/>
      <c r="T236" s="145" t="n"/>
      <c r="U236" s="144" t="n"/>
      <c r="V236" s="144" t="n"/>
      <c r="W236" s="144" t="n"/>
      <c r="X236" s="146" t="n"/>
      <c r="Y236" s="145" t="n"/>
      <c r="Z236" s="144" t="n"/>
      <c r="AA236" s="157" t="n"/>
    </row>
    <row r="237" ht="15.375" customHeight="1" s="70">
      <c r="A237" s="274" t="n"/>
      <c r="B237" s="275" t="n"/>
      <c r="C237" s="275" t="n"/>
      <c r="D237" s="160" t="n"/>
      <c r="E237" s="159" t="n"/>
      <c r="F237" s="161" t="n"/>
      <c r="G237" s="276" t="n"/>
      <c r="H237" s="275" t="n"/>
      <c r="I237" s="277" t="n"/>
      <c r="J237" s="160" t="n"/>
      <c r="K237" s="159" t="n"/>
      <c r="L237" s="159" t="n"/>
      <c r="M237" s="159" t="n"/>
      <c r="N237" s="159" t="n"/>
      <c r="O237" s="161" t="n"/>
      <c r="P237" s="160" t="n"/>
      <c r="Q237" s="159" t="n"/>
      <c r="R237" s="159" t="n"/>
      <c r="S237" s="161" t="n"/>
      <c r="T237" s="160" t="n"/>
      <c r="U237" s="159" t="n"/>
      <c r="V237" s="159" t="n"/>
      <c r="W237" s="159" t="n"/>
      <c r="X237" s="161" t="n"/>
      <c r="Y237" s="160" t="n"/>
      <c r="Z237" s="159" t="n"/>
      <c r="AA237" s="163" t="n"/>
    </row>
    <row r="238" ht="21" customHeight="1" s="70">
      <c r="A238" s="125" t="inlineStr">
        <is>
          <t>GG032601</t>
        </is>
      </c>
      <c r="B238" s="126" t="inlineStr">
        <is>
          <t>P060462</t>
        </is>
      </c>
      <c r="C238" s="171" t="inlineStr">
        <is>
          <t>✗ 4 NO RESULT
(4 no cert / 0 cert w/o result)</t>
        </is>
      </c>
      <c r="D238" s="172" t="inlineStr">
        <is>
          <t>Conforms (no value printed)</t>
        </is>
      </c>
      <c r="E238" s="173" t="inlineStr">
        <is>
          <t>ППК26128, (21.07.2026) [CNP]</t>
        </is>
      </c>
      <c r="F238" s="174" t="inlineStr">
        <is>
          <t>✓</t>
        </is>
      </c>
      <c r="G238" s="172" t="inlineStr">
        <is>
          <t>7.88</t>
        </is>
      </c>
      <c r="H238" s="173" t="inlineStr">
        <is>
          <t>ППК26128, (21.07.2026) [CNP]</t>
        </is>
      </c>
      <c r="I238" s="174" t="inlineStr">
        <is>
          <t>✓</t>
        </is>
      </c>
      <c r="J238" s="165" t="inlineStr">
        <is>
          <t>— MISSING —</t>
        </is>
      </c>
      <c r="K238" s="166" t="inlineStr">
        <is>
          <t>— MISSING —</t>
        </is>
      </c>
      <c r="L238" s="166" t="inlineStr">
        <is>
          <t>— MISSING —</t>
        </is>
      </c>
      <c r="M238" s="166" t="inlineStr">
        <is>
          <t>— MISSING —</t>
        </is>
      </c>
      <c r="N238" s="166" t="inlineStr">
        <is>
          <t>— MISSING —</t>
        </is>
      </c>
      <c r="O238" s="178" t="inlineStr">
        <is>
          <t>✗</t>
        </is>
      </c>
      <c r="P238" s="165" t="inlineStr">
        <is>
          <t>— MISSING —</t>
        </is>
      </c>
      <c r="Q238" s="166" t="inlineStr">
        <is>
          <t>— MISSING —</t>
        </is>
      </c>
      <c r="R238" s="166" t="inlineStr">
        <is>
          <t>— MISSING —</t>
        </is>
      </c>
      <c r="S238" s="178" t="inlineStr">
        <is>
          <t>✗</t>
        </is>
      </c>
      <c r="T238" s="165" t="inlineStr">
        <is>
          <t>— MISSING —</t>
        </is>
      </c>
      <c r="U238" s="166" t="inlineStr">
        <is>
          <t>— MISSING —</t>
        </is>
      </c>
      <c r="V238" s="166" t="inlineStr">
        <is>
          <t>— MISSING —</t>
        </is>
      </c>
      <c r="W238" s="166" t="inlineStr">
        <is>
          <t>— MISSING —</t>
        </is>
      </c>
      <c r="X238" s="178" t="inlineStr">
        <is>
          <t>✗</t>
        </is>
      </c>
      <c r="Y238" s="179" t="inlineStr">
        <is>
          <t>— MISSING —</t>
        </is>
      </c>
      <c r="Z238" s="180" t="inlineStr">
        <is>
          <t>— no certificate —</t>
        </is>
      </c>
      <c r="AA238" s="181" t="inlineStr">
        <is>
          <t>✗</t>
        </is>
      </c>
    </row>
    <row r="239" ht="15.375" customHeight="1" s="70">
      <c r="A239" s="274" t="n"/>
      <c r="B239" s="275" t="n"/>
      <c r="C239" s="275" t="n"/>
      <c r="D239" s="276" t="n"/>
      <c r="E239" s="275" t="n"/>
      <c r="F239" s="277" t="n"/>
      <c r="G239" s="276" t="n"/>
      <c r="H239" s="275" t="n"/>
      <c r="I239" s="277" t="n"/>
      <c r="J239" s="182" t="inlineStr">
        <is>
          <t>— no certificate —</t>
        </is>
      </c>
      <c r="K239" s="278" t="n"/>
      <c r="L239" s="278" t="n"/>
      <c r="M239" s="278" t="n"/>
      <c r="N239" s="279" t="n"/>
      <c r="O239" s="277" t="n"/>
      <c r="P239" s="182" t="inlineStr">
        <is>
          <t>— no certificate —</t>
        </is>
      </c>
      <c r="Q239" s="278" t="n"/>
      <c r="R239" s="279" t="n"/>
      <c r="S239" s="277" t="n"/>
      <c r="T239" s="182" t="inlineStr">
        <is>
          <t>— no certificate —</t>
        </is>
      </c>
      <c r="U239" s="278" t="n"/>
      <c r="V239" s="278" t="n"/>
      <c r="W239" s="279" t="n"/>
      <c r="X239" s="277" t="n"/>
      <c r="Y239" s="276" t="n"/>
      <c r="Z239" s="275" t="n"/>
      <c r="AA239" s="280" t="n"/>
    </row>
    <row r="240" ht="21" customHeight="1" s="70">
      <c r="A240" s="125" t="inlineStr">
        <is>
          <t>GG1024</t>
        </is>
      </c>
      <c r="B240" s="126" t="inlineStr">
        <is>
          <t>N/A — no P batch assigned</t>
        </is>
      </c>
      <c r="C240" s="171" t="inlineStr">
        <is>
          <t>✗ 4 NO RESULT
(4 no cert / 0 cert w/o result)
2 testing instances</t>
        </is>
      </c>
      <c r="D240" s="128" t="inlineStr">
        <is>
          <t>Conforms</t>
        </is>
      </c>
      <c r="E240" s="129">
        <f>IFERROR(INDEX('iCoA Register'!$B:$B,MATCH("GG1024|I",'iCoA Register'!$AA:$AA,0)),"iCoA — at issue")&amp;", (11.03.2025) [PP]"</f>
        <v/>
      </c>
      <c r="F240" s="130" t="inlineStr">
        <is>
          <t>✓</t>
        </is>
      </c>
      <c r="G240" s="165" t="inlineStr">
        <is>
          <t>— MISSING —</t>
        </is>
      </c>
      <c r="H240" s="168" t="inlineStr">
        <is>
          <t>— no certificate —</t>
        </is>
      </c>
      <c r="I240" s="167" t="inlineStr">
        <is>
          <t>✗</t>
        </is>
      </c>
      <c r="J240" s="165" t="inlineStr">
        <is>
          <t>— MISSING —</t>
        </is>
      </c>
      <c r="K240" s="166" t="inlineStr">
        <is>
          <t>— MISSING —</t>
        </is>
      </c>
      <c r="L240" s="166" t="inlineStr">
        <is>
          <t>— MISSING —</t>
        </is>
      </c>
      <c r="M240" s="166" t="inlineStr">
        <is>
          <t>— MISSING —</t>
        </is>
      </c>
      <c r="N240" s="166" t="inlineStr">
        <is>
          <t>— MISSING —</t>
        </is>
      </c>
      <c r="O240" s="167" t="inlineStr">
        <is>
          <t>✗</t>
        </is>
      </c>
      <c r="P240" s="128" t="inlineStr">
        <is>
          <t>ND</t>
        </is>
      </c>
      <c r="Q240" s="136" t="inlineStr">
        <is>
          <t>ND</t>
        </is>
      </c>
      <c r="R240" s="136" t="inlineStr">
        <is>
          <t>ND</t>
        </is>
      </c>
      <c r="S240" s="130" t="inlineStr">
        <is>
          <t>✓</t>
        </is>
      </c>
      <c r="T240" s="165" t="inlineStr">
        <is>
          <t>— MISSING —</t>
        </is>
      </c>
      <c r="U240" s="166" t="inlineStr">
        <is>
          <t>— MISSING —</t>
        </is>
      </c>
      <c r="V240" s="166" t="inlineStr">
        <is>
          <t>— MISSING —</t>
        </is>
      </c>
      <c r="W240" s="166" t="inlineStr">
        <is>
          <t>— MISSING —</t>
        </is>
      </c>
      <c r="X240" s="167" t="inlineStr">
        <is>
          <t>✗</t>
        </is>
      </c>
      <c r="Y240" s="165" t="inlineStr">
        <is>
          <t>— MISSING —</t>
        </is>
      </c>
      <c r="Z240" s="168" t="inlineStr">
        <is>
          <t>— no certificate —</t>
        </is>
      </c>
      <c r="AA240" s="169" t="inlineStr">
        <is>
          <t>✗</t>
        </is>
      </c>
    </row>
    <row r="241" ht="13" customHeight="1" s="70">
      <c r="A241" s="270" t="n"/>
      <c r="B241" s="268" t="n"/>
      <c r="C241" s="268" t="n"/>
      <c r="D241" s="271" t="n"/>
      <c r="E241" s="269" t="n"/>
      <c r="F241" s="272" t="n"/>
      <c r="G241" s="271" t="n"/>
      <c r="H241" s="269" t="n"/>
      <c r="I241" s="272" t="n"/>
      <c r="J241" s="170" t="inlineStr">
        <is>
          <t>— no certificate —</t>
        </is>
      </c>
      <c r="K241" s="120" t="n"/>
      <c r="L241" s="120" t="n"/>
      <c r="M241" s="120" t="n"/>
      <c r="N241" s="121" t="n"/>
      <c r="O241" s="272" t="n"/>
      <c r="P241" s="141" t="inlineStr">
        <is>
          <t>220-9-М-26, (11.09.2026) [FHM-M]</t>
        </is>
      </c>
      <c r="Q241" s="120" t="n"/>
      <c r="R241" s="121" t="n"/>
      <c r="S241" s="272" t="n"/>
      <c r="T241" s="170" t="inlineStr">
        <is>
          <t>— no certificate —</t>
        </is>
      </c>
      <c r="U241" s="120" t="n"/>
      <c r="V241" s="120" t="n"/>
      <c r="W241" s="121" t="n"/>
      <c r="X241" s="272" t="n"/>
      <c r="Y241" s="271" t="n"/>
      <c r="Z241" s="269" t="n"/>
      <c r="AA241" s="273" t="n"/>
    </row>
    <row r="242" ht="14" customHeight="1" s="70">
      <c r="A242" s="270" t="n"/>
      <c r="B242" s="268" t="n"/>
      <c r="C242" s="268" t="n"/>
      <c r="D242" s="147" t="inlineStr">
        <is>
          <t>Conforms</t>
        </is>
      </c>
      <c r="E242" s="148" t="inlineStr">
        <is>
          <t>iCoA — at issue (GG1024), (23.04.2025) [PP]</t>
        </is>
      </c>
      <c r="F242" s="149" t="inlineStr">
        <is>
          <t>✓</t>
        </is>
      </c>
      <c r="G242" s="145" t="n"/>
      <c r="H242" s="144" t="n"/>
      <c r="I242" s="146" t="n"/>
      <c r="J242" s="145" t="n"/>
      <c r="K242" s="144" t="n"/>
      <c r="L242" s="144" t="n"/>
      <c r="M242" s="144" t="n"/>
      <c r="N242" s="144" t="n"/>
      <c r="O242" s="146" t="n"/>
      <c r="P242" s="145" t="n"/>
      <c r="Q242" s="144" t="n"/>
      <c r="R242" s="144" t="n"/>
      <c r="S242" s="146" t="n"/>
      <c r="T242" s="145" t="n"/>
      <c r="U242" s="144" t="n"/>
      <c r="V242" s="144" t="n"/>
      <c r="W242" s="144" t="n"/>
      <c r="X242" s="146" t="n"/>
      <c r="Y242" s="145" t="n"/>
      <c r="Z242" s="144" t="n"/>
      <c r="AA242" s="157" t="n"/>
    </row>
    <row r="243" ht="13" customHeight="1" s="70">
      <c r="A243" s="274" t="n"/>
      <c r="B243" s="275" t="n"/>
      <c r="C243" s="275" t="n"/>
      <c r="D243" s="276" t="n"/>
      <c r="E243" s="275" t="n"/>
      <c r="F243" s="277" t="n"/>
      <c r="G243" s="160" t="n"/>
      <c r="H243" s="159" t="n"/>
      <c r="I243" s="161" t="n"/>
      <c r="J243" s="160" t="n"/>
      <c r="K243" s="159" t="n"/>
      <c r="L243" s="159" t="n"/>
      <c r="M243" s="159" t="n"/>
      <c r="N243" s="159" t="n"/>
      <c r="O243" s="161" t="n"/>
      <c r="P243" s="160" t="n"/>
      <c r="Q243" s="159" t="n"/>
      <c r="R243" s="159" t="n"/>
      <c r="S243" s="161" t="n"/>
      <c r="T243" s="160" t="n"/>
      <c r="U243" s="159" t="n"/>
      <c r="V243" s="159" t="n"/>
      <c r="W243" s="159" t="n"/>
      <c r="X243" s="161" t="n"/>
      <c r="Y243" s="160" t="n"/>
      <c r="Z243" s="159" t="n"/>
      <c r="AA243" s="163" t="n"/>
    </row>
    <row r="244" ht="21" customHeight="1" s="70">
      <c r="A244" s="125" t="inlineStr">
        <is>
          <t>GRC102501</t>
        </is>
      </c>
      <c r="B244" s="126" t="inlineStr">
        <is>
          <t>P060142 / P060182</t>
        </is>
      </c>
      <c r="C244" s="164" t="inlineStr">
        <is>
          <t>⚠ 2 NO RESULT
(2 no cert / 0 cert w/o result)
4 testing instances
• 2 document(s) on file, not credited</t>
        </is>
      </c>
      <c r="D244" s="128" t="inlineStr">
        <is>
          <t>Conforms</t>
        </is>
      </c>
      <c r="E244" s="129">
        <f>IFERROR(INDEX('iCoA Register'!$B:$B,MATCH("P060142|I",'iCoA Register'!$AA:$AA,0)),"iCoA — at issue")&amp;", (23.02.2026) [PP]"</f>
        <v/>
      </c>
      <c r="F244" s="130" t="inlineStr">
        <is>
          <t>✓</t>
        </is>
      </c>
      <c r="G244" s="128" t="inlineStr">
        <is>
          <t>7.7</t>
        </is>
      </c>
      <c r="H244" s="129" t="inlineStr">
        <is>
          <t>051-6-ГС-26, (02.03.2026) [FHM-K]</t>
        </is>
      </c>
      <c r="I244" s="130" t="inlineStr">
        <is>
          <t>✓</t>
        </is>
      </c>
      <c r="J244" s="128" t="inlineStr">
        <is>
          <t>10</t>
        </is>
      </c>
      <c r="K244" s="136" t="inlineStr">
        <is>
          <t>&lt; 10</t>
        </is>
      </c>
      <c r="L244" s="136" t="inlineStr">
        <is>
          <t>&lt; 10</t>
        </is>
      </c>
      <c r="M244" s="136" t="inlineStr">
        <is>
          <t>Absent</t>
        </is>
      </c>
      <c r="N244" s="136" t="inlineStr">
        <is>
          <t>Absent</t>
        </is>
      </c>
      <c r="O244" s="130" t="inlineStr">
        <is>
          <t>✓</t>
        </is>
      </c>
      <c r="P244" s="128" t="inlineStr">
        <is>
          <t>ND</t>
        </is>
      </c>
      <c r="Q244" s="136" t="inlineStr">
        <is>
          <t>ND</t>
        </is>
      </c>
      <c r="R244" s="136" t="inlineStr">
        <is>
          <t>ND</t>
        </is>
      </c>
      <c r="S244" s="130" t="inlineStr">
        <is>
          <t>✓</t>
        </is>
      </c>
      <c r="T244" s="165" t="inlineStr">
        <is>
          <t>— MISSING —</t>
        </is>
      </c>
      <c r="U244" s="166" t="inlineStr">
        <is>
          <t>— MISSING —</t>
        </is>
      </c>
      <c r="V244" s="166" t="inlineStr">
        <is>
          <t>— MISSING —</t>
        </is>
      </c>
      <c r="W244" s="166" t="inlineStr">
        <is>
          <t>— MISSING —</t>
        </is>
      </c>
      <c r="X244" s="167" t="inlineStr">
        <is>
          <t>✗</t>
        </is>
      </c>
      <c r="Y244" s="165" t="inlineStr">
        <is>
          <t>— MISSING —</t>
        </is>
      </c>
      <c r="Z244" s="168" t="inlineStr">
        <is>
          <t>— no certificate —</t>
        </is>
      </c>
      <c r="AA244" s="169" t="inlineStr">
        <is>
          <t>✗</t>
        </is>
      </c>
    </row>
    <row r="245" ht="21" customHeight="1" s="70">
      <c r="A245" s="270" t="n"/>
      <c r="B245" s="268" t="n"/>
      <c r="C245" s="268" t="n"/>
      <c r="D245" s="271" t="n"/>
      <c r="E245" s="269" t="n"/>
      <c r="F245" s="272" t="n"/>
      <c r="G245" s="271" t="n"/>
      <c r="H245" s="269" t="n"/>
      <c r="I245" s="272" t="n"/>
      <c r="J245" s="141" t="inlineStr">
        <is>
          <t>550-1081-26, (01.09.2026) [IJZ-MB]</t>
        </is>
      </c>
      <c r="K245" s="120" t="n"/>
      <c r="L245" s="120" t="n"/>
      <c r="M245" s="120" t="n"/>
      <c r="N245" s="121" t="n"/>
      <c r="O245" s="272" t="n"/>
      <c r="P245" s="141" t="inlineStr">
        <is>
          <t>220-14-М-26, (11.09.2026) [FHM-M]</t>
        </is>
      </c>
      <c r="Q245" s="120" t="n"/>
      <c r="R245" s="121" t="n"/>
      <c r="S245" s="272" t="n"/>
      <c r="T245" s="170" t="inlineStr">
        <is>
          <t>— no certificate —</t>
        </is>
      </c>
      <c r="U245" s="120" t="n"/>
      <c r="V245" s="120" t="n"/>
      <c r="W245" s="121" t="n"/>
      <c r="X245" s="272" t="n"/>
      <c r="Y245" s="271" t="n"/>
      <c r="Z245" s="269" t="n"/>
      <c r="AA245" s="273" t="n"/>
    </row>
    <row r="246" ht="17.625" customHeight="1" s="70">
      <c r="A246" s="270" t="n"/>
      <c r="B246" s="268" t="n"/>
      <c r="C246" s="268" t="n"/>
      <c r="D246" s="155" t="inlineStr">
        <is>
          <t>Conforms</t>
        </is>
      </c>
      <c r="E246" s="185">
        <f>IFERROR(INDEX('iCoA Register'!$B:$B,MATCH("P060182|I",'iCoA Register'!$AA:$AA,0)),"iCoA — at issue")&amp;", (14.03.2026) [PP]"</f>
        <v/>
      </c>
      <c r="F246" s="186" t="inlineStr">
        <is>
          <t>✓</t>
        </is>
      </c>
      <c r="G246" s="189" t="inlineStr">
        <is>
          <t>not on this certificate</t>
        </is>
      </c>
      <c r="H246" s="190" t="inlineStr">
        <is>
          <t>051-6-К-26, (04.03.2026) [FHM-K] · on file, not credited</t>
        </is>
      </c>
      <c r="I246" s="191" t="inlineStr">
        <is>
          <t>•</t>
        </is>
      </c>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5.375" customHeight="1" s="70">
      <c r="A247" s="270" t="n"/>
      <c r="B247" s="268" t="n"/>
      <c r="C247" s="268" t="n"/>
      <c r="D247" s="271" t="n"/>
      <c r="E247" s="269" t="n"/>
      <c r="F247" s="272" t="n"/>
      <c r="G247" s="271" t="n"/>
      <c r="H247" s="269" t="n"/>
      <c r="I247" s="272"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70" t="n"/>
      <c r="B248" s="268" t="n"/>
      <c r="C248" s="268" t="n"/>
      <c r="D248" s="145" t="n"/>
      <c r="E248" s="144" t="n"/>
      <c r="F248" s="146" t="n"/>
      <c r="G248" s="145" t="n"/>
      <c r="H248" s="144" t="n"/>
      <c r="I248" s="146" t="n"/>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3" customHeight="1" s="70">
      <c r="A249" s="270" t="n"/>
      <c r="B249" s="268" t="n"/>
      <c r="C249" s="268" t="n"/>
      <c r="D249" s="194" t="n"/>
      <c r="E249" s="193" t="n"/>
      <c r="F249" s="195" t="n"/>
      <c r="G249" s="194" t="n"/>
      <c r="H249" s="193" t="n"/>
      <c r="I249" s="195" t="n"/>
      <c r="J249" s="194" t="n"/>
      <c r="K249" s="193" t="n"/>
      <c r="L249" s="193" t="n"/>
      <c r="M249" s="193" t="n"/>
      <c r="N249" s="193" t="n"/>
      <c r="O249" s="195" t="n"/>
      <c r="P249" s="194" t="n"/>
      <c r="Q249" s="193" t="n"/>
      <c r="R249" s="193" t="n"/>
      <c r="S249" s="195" t="n"/>
      <c r="T249" s="194" t="n"/>
      <c r="U249" s="193" t="n"/>
      <c r="V249" s="193" t="n"/>
      <c r="W249" s="193" t="n"/>
      <c r="X249" s="195" t="n"/>
      <c r="Y249" s="194" t="n"/>
      <c r="Z249" s="193" t="n"/>
      <c r="AA249" s="196" t="n"/>
    </row>
    <row r="250" ht="17.625" customHeight="1" s="70">
      <c r="A250" s="270" t="n"/>
      <c r="B250" s="268" t="n"/>
      <c r="C250" s="268" t="n"/>
      <c r="D250" s="145" t="n"/>
      <c r="E250" s="144" t="n"/>
      <c r="F250" s="146" t="n"/>
      <c r="G250" s="145" t="n"/>
      <c r="H250" s="144" t="n"/>
      <c r="I250" s="146" t="n"/>
      <c r="J250" s="145" t="n"/>
      <c r="K250" s="144" t="n"/>
      <c r="L250" s="144" t="n"/>
      <c r="M250" s="144" t="n"/>
      <c r="N250" s="144" t="n"/>
      <c r="O250" s="146" t="n"/>
      <c r="P250" s="145" t="n"/>
      <c r="Q250" s="144" t="n"/>
      <c r="R250" s="144" t="n"/>
      <c r="S250" s="146" t="n"/>
      <c r="T250" s="145" t="n"/>
      <c r="U250" s="144" t="n"/>
      <c r="V250" s="144" t="n"/>
      <c r="W250" s="144" t="n"/>
      <c r="X250" s="146" t="n"/>
      <c r="Y250" s="145" t="n"/>
      <c r="Z250" s="144" t="n"/>
      <c r="AA250" s="157" t="n"/>
    </row>
    <row r="251" ht="13" customHeight="1" s="70">
      <c r="A251" s="274" t="n"/>
      <c r="B251" s="275" t="n"/>
      <c r="C251" s="275" t="n"/>
      <c r="D251" s="160" t="n"/>
      <c r="E251" s="159" t="n"/>
      <c r="F251" s="161" t="n"/>
      <c r="G251" s="160" t="n"/>
      <c r="H251" s="159" t="n"/>
      <c r="I251" s="161" t="n"/>
      <c r="J251" s="160" t="n"/>
      <c r="K251" s="159" t="n"/>
      <c r="L251" s="159" t="n"/>
      <c r="M251" s="159" t="n"/>
      <c r="N251" s="159" t="n"/>
      <c r="O251" s="161" t="n"/>
      <c r="P251" s="160" t="n"/>
      <c r="Q251" s="159" t="n"/>
      <c r="R251" s="159" t="n"/>
      <c r="S251" s="161" t="n"/>
      <c r="T251" s="160" t="n"/>
      <c r="U251" s="159" t="n"/>
      <c r="V251" s="159" t="n"/>
      <c r="W251" s="159" t="n"/>
      <c r="X251" s="161" t="n"/>
      <c r="Y251" s="160" t="n"/>
      <c r="Z251" s="159" t="n"/>
      <c r="AA251" s="163" t="n"/>
    </row>
    <row r="252" ht="21" customHeight="1" s="70">
      <c r="A252" s="125" t="inlineStr">
        <is>
          <t>HPA1024</t>
        </is>
      </c>
      <c r="B252" s="126" t="inlineStr">
        <is>
          <t>N/A — no P batch assigned</t>
        </is>
      </c>
      <c r="C252" s="171" t="inlineStr">
        <is>
          <t>✗ 4 NO RESULT
(4 no cert / 0 cert w/o result)
2 testing instances
• 2 document(s) on file, not credited</t>
        </is>
      </c>
      <c r="D252" s="128" t="inlineStr">
        <is>
          <t>Conforms</t>
        </is>
      </c>
      <c r="E252" s="129">
        <f>IFERROR(INDEX('iCoA Register'!$B:$B,MATCH("HPA1024|I",'iCoA Register'!$AA:$AA,0)),"iCoA — at issue")&amp;", (11.04.2025) [PP]"</f>
        <v/>
      </c>
      <c r="F252" s="130" t="inlineStr">
        <is>
          <t>✓</t>
        </is>
      </c>
      <c r="G252" s="131" t="inlineStr">
        <is>
          <t>not on this certificate</t>
        </is>
      </c>
      <c r="H252" s="132" t="inlineStr">
        <is>
          <t>197-13-К-26, (07.08.2026) [FHM-K] · on file, not credited</t>
        </is>
      </c>
      <c r="I252" s="133" t="inlineStr">
        <is>
          <t>•</t>
        </is>
      </c>
      <c r="J252" s="131" t="inlineStr">
        <is>
          <t>5.2 × 10⁴ ᴿ</t>
        </is>
      </c>
      <c r="K252" s="197" t="inlineStr">
        <is>
          <t>7 × 10² ᴿ</t>
        </is>
      </c>
      <c r="L252" s="197" t="inlineStr">
        <is>
          <t>&lt; 10 ᴿ</t>
        </is>
      </c>
      <c r="M252" s="197" t="inlineStr">
        <is>
          <t>Absent ᴿ</t>
        </is>
      </c>
      <c r="N252" s="197" t="inlineStr">
        <is>
          <t>Absent ᴿ</t>
        </is>
      </c>
      <c r="O252" s="133" t="inlineStr">
        <is>
          <t>•</t>
        </is>
      </c>
      <c r="P252" s="131" t="inlineStr">
        <is>
          <t>not reported</t>
        </is>
      </c>
      <c r="Q252" s="197" t="inlineStr">
        <is>
          <t>&lt; 2 ᴿ</t>
        </is>
      </c>
      <c r="R252" s="197" t="inlineStr">
        <is>
          <t>not reported</t>
        </is>
      </c>
      <c r="S252" s="133" t="inlineStr">
        <is>
          <t>•</t>
        </is>
      </c>
      <c r="T252" s="131" t="inlineStr">
        <is>
          <t>0.02 ᴿ</t>
        </is>
      </c>
      <c r="U252" s="197" t="inlineStr">
        <is>
          <t>0.013 ᴿ</t>
        </is>
      </c>
      <c r="V252" s="197" t="inlineStr">
        <is>
          <t>0.017 ᴿ</t>
        </is>
      </c>
      <c r="W252" s="197" t="inlineStr">
        <is>
          <t>0.0026 ᴿ</t>
        </is>
      </c>
      <c r="X252" s="133" t="inlineStr">
        <is>
          <t>•</t>
        </is>
      </c>
      <c r="Y252" s="131" t="inlineStr">
        <is>
          <t>ND ᴿ</t>
        </is>
      </c>
      <c r="Z252" s="132">
        <f>IFERROR(INDEX('iCoA Register'!$B:$B,MATCH("HPA1024|I",'iCoA Register'!$AA:$AA,0)),"iCoA — at issue")&amp;", (11.04.2025) [PP] · on file, not credited"</f>
        <v/>
      </c>
      <c r="AA252" s="198" t="inlineStr">
        <is>
          <t>•</t>
        </is>
      </c>
    </row>
    <row r="253" ht="21" customHeight="1" s="70">
      <c r="A253" s="270" t="n"/>
      <c r="B253" s="268" t="n"/>
      <c r="C253" s="268" t="n"/>
      <c r="D253" s="271" t="n"/>
      <c r="E253" s="269" t="n"/>
      <c r="F253" s="272" t="n"/>
      <c r="G253" s="271" t="n"/>
      <c r="H253" s="269" t="n"/>
      <c r="I253" s="272" t="n"/>
      <c r="J253" s="199">
        <f>IFERROR(INDEX('iCoA Register'!$B:$B,MATCH("HPA1024|I",'iCoA Register'!$AA:$AA,0)),"iCoA — at issue")&amp;", (11.04.2025) [PP] · on file, not credited"</f>
        <v/>
      </c>
      <c r="K253" s="120" t="n"/>
      <c r="L253" s="120" t="n"/>
      <c r="M253" s="120" t="n"/>
      <c r="N253" s="121" t="n"/>
      <c r="O253" s="272" t="n"/>
      <c r="P253" s="199">
        <f>IFERROR(INDEX('iCoA Register'!$B:$B,MATCH("HPA1024|I",'iCoA Register'!$AA:$AA,0)),"iCoA — at issue")&amp;", (11.04.2025) [PP] · on file, not credited"</f>
        <v/>
      </c>
      <c r="Q253" s="120" t="n"/>
      <c r="R253" s="121" t="n"/>
      <c r="S253" s="272" t="n"/>
      <c r="T253" s="199">
        <f>IFERROR(INDEX('iCoA Register'!$B:$B,MATCH("HPA1024|I",'iCoA Register'!$AA:$AA,0)),"iCoA — at issue")&amp;", (11.04.2025) [PP] · on file, not credited"</f>
        <v/>
      </c>
      <c r="U253" s="120" t="n"/>
      <c r="V253" s="120" t="n"/>
      <c r="W253" s="121" t="n"/>
      <c r="X253" s="272" t="n"/>
      <c r="Y253" s="271" t="n"/>
      <c r="Z253" s="269" t="n"/>
      <c r="AA253" s="273" t="n"/>
    </row>
    <row r="254" ht="17.625" customHeight="1" s="70">
      <c r="A254" s="270" t="n"/>
      <c r="B254" s="268" t="n"/>
      <c r="C254" s="268" t="n"/>
      <c r="D254" s="147" t="inlineStr">
        <is>
          <t>Conforms</t>
        </is>
      </c>
      <c r="E254" s="148" t="inlineStr">
        <is>
          <t>iCoA — at issue (HPA1024), (23.04.2025) [PP]</t>
        </is>
      </c>
      <c r="F254" s="149" t="inlineStr">
        <is>
          <t>✓</t>
        </is>
      </c>
      <c r="G254" s="145" t="n"/>
      <c r="H254" s="144" t="n"/>
      <c r="I254" s="146" t="n"/>
      <c r="J254" s="145" t="n"/>
      <c r="K254" s="144" t="n"/>
      <c r="L254" s="144" t="n"/>
      <c r="M254" s="144" t="n"/>
      <c r="N254" s="144" t="n"/>
      <c r="O254" s="146" t="n"/>
      <c r="P254" s="155" t="inlineStr">
        <is>
          <t>ND</t>
        </is>
      </c>
      <c r="Q254" s="156" t="inlineStr">
        <is>
          <t>ND</t>
        </is>
      </c>
      <c r="R254" s="156" t="inlineStr">
        <is>
          <t>&lt; LOQ</t>
        </is>
      </c>
      <c r="S254" s="149" t="inlineStr">
        <is>
          <t>✓</t>
        </is>
      </c>
      <c r="T254" s="145" t="n"/>
      <c r="U254" s="144" t="n"/>
      <c r="V254" s="144" t="n"/>
      <c r="W254" s="144" t="n"/>
      <c r="X254" s="146" t="n"/>
      <c r="Y254" s="145" t="n"/>
      <c r="Z254" s="144" t="n"/>
      <c r="AA254" s="157" t="n"/>
    </row>
    <row r="255" ht="13" customHeight="1" s="70">
      <c r="A255" s="274" t="n"/>
      <c r="B255" s="275" t="n"/>
      <c r="C255" s="275" t="n"/>
      <c r="D255" s="276" t="n"/>
      <c r="E255" s="275" t="n"/>
      <c r="F255" s="277" t="n"/>
      <c r="G255" s="160" t="n"/>
      <c r="H255" s="159" t="n"/>
      <c r="I255" s="161" t="n"/>
      <c r="J255" s="160" t="n"/>
      <c r="K255" s="159" t="n"/>
      <c r="L255" s="159" t="n"/>
      <c r="M255" s="159" t="n"/>
      <c r="N255" s="159" t="n"/>
      <c r="O255" s="161" t="n"/>
      <c r="P255" s="162" t="inlineStr">
        <is>
          <t>197-13-М-26, (10.08.2026) [FHM-M]</t>
        </is>
      </c>
      <c r="Q255" s="278" t="n"/>
      <c r="R255" s="279" t="n"/>
      <c r="S255" s="277" t="n"/>
      <c r="T255" s="160" t="n"/>
      <c r="U255" s="159" t="n"/>
      <c r="V255" s="159" t="n"/>
      <c r="W255" s="159" t="n"/>
      <c r="X255" s="161" t="n"/>
      <c r="Y255" s="160" t="n"/>
      <c r="Z255" s="159" t="n"/>
      <c r="AA255" s="163" t="n"/>
    </row>
    <row r="256" ht="21" customHeight="1" s="70">
      <c r="A256" s="125" t="inlineStr">
        <is>
          <t>J31102501</t>
        </is>
      </c>
      <c r="B256" s="126" t="inlineStr">
        <is>
          <t>P060152</t>
        </is>
      </c>
      <c r="C256" s="164" t="inlineStr">
        <is>
          <t>⚠ 3 NO RESULT
(3 no cert / 0 cert w/o result)
3 testing instances
• 3 document(s) on file, not credited</t>
        </is>
      </c>
      <c r="D256" s="128" t="inlineStr">
        <is>
          <t>Conforms</t>
        </is>
      </c>
      <c r="E256" s="129">
        <f>IFERROR(INDEX('iCoA Register'!$B:$B,MATCH("P060152|I",'iCoA Register'!$AA:$AA,0)),"iCoA — at issue")&amp;", (05.03.2026) [PP]"</f>
        <v/>
      </c>
      <c r="F256" s="130" t="inlineStr">
        <is>
          <t>✓</t>
        </is>
      </c>
      <c r="G256" s="128" t="inlineStr">
        <is>
          <t>6.3</t>
        </is>
      </c>
      <c r="H256" s="129" t="inlineStr">
        <is>
          <t>051-1-ГС-26, (02.03.2026) [FHM-K]</t>
        </is>
      </c>
      <c r="I256" s="130" t="inlineStr">
        <is>
          <t>✓</t>
        </is>
      </c>
      <c r="J256" s="165" t="inlineStr">
        <is>
          <t>— MISSING —</t>
        </is>
      </c>
      <c r="K256" s="166" t="inlineStr">
        <is>
          <t>— MISSING —</t>
        </is>
      </c>
      <c r="L256" s="166" t="inlineStr">
        <is>
          <t>— MISSING —</t>
        </is>
      </c>
      <c r="M256" s="166" t="inlineStr">
        <is>
          <t>— MISSING —</t>
        </is>
      </c>
      <c r="N256" s="166" t="inlineStr">
        <is>
          <t>— MISSING —</t>
        </is>
      </c>
      <c r="O256" s="167" t="inlineStr">
        <is>
          <t>✗</t>
        </is>
      </c>
      <c r="P256" s="128" t="inlineStr">
        <is>
          <t>ND</t>
        </is>
      </c>
      <c r="Q256" s="136" t="inlineStr">
        <is>
          <t>ND</t>
        </is>
      </c>
      <c r="R256" s="136" t="inlineStr">
        <is>
          <t>ND</t>
        </is>
      </c>
      <c r="S256" s="130" t="inlineStr">
        <is>
          <t>✓</t>
        </is>
      </c>
      <c r="T256" s="165" t="inlineStr">
        <is>
          <t>— MISSING —</t>
        </is>
      </c>
      <c r="U256" s="166" t="inlineStr">
        <is>
          <t>— MISSING —</t>
        </is>
      </c>
      <c r="V256" s="166" t="inlineStr">
        <is>
          <t>— MISSING —</t>
        </is>
      </c>
      <c r="W256" s="166" t="inlineStr">
        <is>
          <t>— MISSING —</t>
        </is>
      </c>
      <c r="X256" s="167" t="inlineStr">
        <is>
          <t>✗</t>
        </is>
      </c>
      <c r="Y256" s="165" t="inlineStr">
        <is>
          <t>— MISSING —</t>
        </is>
      </c>
      <c r="Z256" s="168" t="inlineStr">
        <is>
          <t>— no certificate —</t>
        </is>
      </c>
      <c r="AA256" s="169" t="inlineStr">
        <is>
          <t>✗</t>
        </is>
      </c>
    </row>
    <row r="257" ht="21" customHeight="1" s="70">
      <c r="A257" s="270" t="n"/>
      <c r="B257" s="268" t="n"/>
      <c r="C257" s="268" t="n"/>
      <c r="D257" s="271" t="n"/>
      <c r="E257" s="269" t="n"/>
      <c r="F257" s="272" t="n"/>
      <c r="G257" s="271" t="n"/>
      <c r="H257" s="269" t="n"/>
      <c r="I257" s="272" t="n"/>
      <c r="J257" s="170" t="inlineStr">
        <is>
          <t>— no certificate —</t>
        </is>
      </c>
      <c r="K257" s="120" t="n"/>
      <c r="L257" s="120" t="n"/>
      <c r="M257" s="120" t="n"/>
      <c r="N257" s="121" t="n"/>
      <c r="O257" s="272" t="n"/>
      <c r="P257" s="141" t="inlineStr">
        <is>
          <t>197-16-М-26, (10.08.2026) [FHM-M]</t>
        </is>
      </c>
      <c r="Q257" s="120" t="n"/>
      <c r="R257" s="121" t="n"/>
      <c r="S257" s="272" t="n"/>
      <c r="T257" s="170" t="inlineStr">
        <is>
          <t>— no certificate —</t>
        </is>
      </c>
      <c r="U257" s="120" t="n"/>
      <c r="V257" s="120" t="n"/>
      <c r="W257" s="121" t="n"/>
      <c r="X257" s="272" t="n"/>
      <c r="Y257" s="271" t="n"/>
      <c r="Z257" s="269" t="n"/>
      <c r="AA257" s="273" t="n"/>
    </row>
    <row r="258" ht="17.625" customHeight="1" s="70">
      <c r="A258" s="270" t="n"/>
      <c r="B258" s="268" t="n"/>
      <c r="C258" s="268" t="n"/>
      <c r="D258" s="145" t="n"/>
      <c r="E258" s="144" t="n"/>
      <c r="F258" s="146" t="n"/>
      <c r="G258" s="189" t="inlineStr">
        <is>
          <t>not on this certificate</t>
        </is>
      </c>
      <c r="H258" s="190" t="inlineStr">
        <is>
          <t>051-1-К-26, (04.03.2026) [FHM-K] · on file, not credited</t>
        </is>
      </c>
      <c r="I258" s="191"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70" t="n"/>
      <c r="B259" s="268" t="n"/>
      <c r="C259" s="268" t="n"/>
      <c r="D259" s="194" t="n"/>
      <c r="E259" s="193" t="n"/>
      <c r="F259" s="195" t="n"/>
      <c r="G259" s="271" t="n"/>
      <c r="H259" s="269" t="n"/>
      <c r="I259" s="272" t="n"/>
      <c r="J259" s="194" t="n"/>
      <c r="K259" s="193" t="n"/>
      <c r="L259" s="193" t="n"/>
      <c r="M259" s="193" t="n"/>
      <c r="N259" s="193" t="n"/>
      <c r="O259" s="195" t="n"/>
      <c r="P259" s="194" t="n"/>
      <c r="Q259" s="193" t="n"/>
      <c r="R259" s="193" t="n"/>
      <c r="S259" s="195" t="n"/>
      <c r="T259" s="194" t="n"/>
      <c r="U259" s="193" t="n"/>
      <c r="V259" s="193" t="n"/>
      <c r="W259" s="193" t="n"/>
      <c r="X259" s="195" t="n"/>
      <c r="Y259" s="194" t="n"/>
      <c r="Z259" s="193" t="n"/>
      <c r="AA259" s="196" t="n"/>
    </row>
    <row r="260" ht="17.625" customHeight="1" s="70">
      <c r="A260" s="270" t="n"/>
      <c r="B260" s="268" t="n"/>
      <c r="C260" s="268" t="n"/>
      <c r="D260" s="145" t="n"/>
      <c r="E260" s="144" t="n"/>
      <c r="F260" s="146" t="n"/>
      <c r="G260" s="152" t="inlineStr">
        <is>
          <t>not on this certificate</t>
        </is>
      </c>
      <c r="H260" s="153" t="inlineStr">
        <is>
          <t>197-16-К-26, (07.08.2026) [FHM-K] · on file, not credited</t>
        </is>
      </c>
      <c r="I260" s="154"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15.375" customHeight="1" s="70">
      <c r="A261" s="274" t="n"/>
      <c r="B261" s="275" t="n"/>
      <c r="C261" s="275" t="n"/>
      <c r="D261" s="160" t="n"/>
      <c r="E261" s="159" t="n"/>
      <c r="F261" s="161" t="n"/>
      <c r="G261" s="276" t="n"/>
      <c r="H261" s="275" t="n"/>
      <c r="I261" s="277" t="n"/>
      <c r="J261" s="160" t="n"/>
      <c r="K261" s="159" t="n"/>
      <c r="L261" s="159" t="n"/>
      <c r="M261" s="159" t="n"/>
      <c r="N261" s="159" t="n"/>
      <c r="O261" s="161" t="n"/>
      <c r="P261" s="160" t="n"/>
      <c r="Q261" s="159" t="n"/>
      <c r="R261" s="159" t="n"/>
      <c r="S261" s="161" t="n"/>
      <c r="T261" s="160" t="n"/>
      <c r="U261" s="159" t="n"/>
      <c r="V261" s="159" t="n"/>
      <c r="W261" s="159" t="n"/>
      <c r="X261" s="161" t="n"/>
      <c r="Y261" s="160" t="n"/>
      <c r="Z261" s="159" t="n"/>
      <c r="AA261" s="163" t="n"/>
    </row>
    <row r="262" ht="21" customHeight="1" s="70">
      <c r="A262" s="125" t="inlineStr">
        <is>
          <t>J31112501</t>
        </is>
      </c>
      <c r="B262" s="126" t="inlineStr">
        <is>
          <t>P060202</t>
        </is>
      </c>
      <c r="C262" s="164" t="inlineStr">
        <is>
          <t>⚠ 3 NO RESULT
(3 no cert / 0 cert w/o result)
7 testing instances
• 6 document(s) on file, not credited</t>
        </is>
      </c>
      <c r="D262" s="128" t="inlineStr">
        <is>
          <t>Conforms</t>
        </is>
      </c>
      <c r="E262" s="129">
        <f>IFERROR(INDEX('iCoA Register'!$B:$B,MATCH("P060202|I",'iCoA Register'!$AA:$AA,0)),"iCoA — at issue")&amp;", (17.04.2026) [PP]"</f>
        <v/>
      </c>
      <c r="F262" s="130" t="inlineStr">
        <is>
          <t>✓</t>
        </is>
      </c>
      <c r="G262" s="128" t="inlineStr">
        <is>
          <t>8.4</t>
        </is>
      </c>
      <c r="H262" s="129" t="inlineStr">
        <is>
          <t>051-5-ГС-26, (02.03.2026) [FHM-K]</t>
        </is>
      </c>
      <c r="I262" s="130" t="inlineStr">
        <is>
          <t>✓</t>
        </is>
      </c>
      <c r="J262" s="128" t="inlineStr">
        <is>
          <t>4.4 × 10²</t>
        </is>
      </c>
      <c r="K262" s="136" t="inlineStr">
        <is>
          <t>8.6 × 10²</t>
        </is>
      </c>
      <c r="L262" s="136" t="inlineStr">
        <is>
          <t>&lt; 10² and &gt; 10</t>
        </is>
      </c>
      <c r="M262" s="136" t="inlineStr">
        <is>
          <t>Absent</t>
        </is>
      </c>
      <c r="N262" s="136" t="inlineStr">
        <is>
          <t>Absent</t>
        </is>
      </c>
      <c r="O262" s="130" t="inlineStr">
        <is>
          <t>✓</t>
        </is>
      </c>
      <c r="P262" s="165" t="inlineStr">
        <is>
          <t>— MISSING —</t>
        </is>
      </c>
      <c r="Q262" s="166" t="inlineStr">
        <is>
          <t>— MISSING —</t>
        </is>
      </c>
      <c r="R262" s="166" t="inlineStr">
        <is>
          <t>— MISSING —</t>
        </is>
      </c>
      <c r="S262" s="167" t="inlineStr">
        <is>
          <t>✗</t>
        </is>
      </c>
      <c r="T262" s="165" t="inlineStr">
        <is>
          <t>— MISSING —</t>
        </is>
      </c>
      <c r="U262" s="166" t="inlineStr">
        <is>
          <t>— MISSING —</t>
        </is>
      </c>
      <c r="V262" s="166" t="inlineStr">
        <is>
          <t>— MISSING —</t>
        </is>
      </c>
      <c r="W262" s="166" t="inlineStr">
        <is>
          <t>— MISSING —</t>
        </is>
      </c>
      <c r="X262" s="167" t="inlineStr">
        <is>
          <t>✗</t>
        </is>
      </c>
      <c r="Y262" s="165" t="inlineStr">
        <is>
          <t>— MISSING —</t>
        </is>
      </c>
      <c r="Z262" s="168" t="inlineStr">
        <is>
          <t>— no certificate —</t>
        </is>
      </c>
      <c r="AA262" s="169" t="inlineStr">
        <is>
          <t>✗</t>
        </is>
      </c>
    </row>
    <row r="263" ht="21" customHeight="1" s="70">
      <c r="A263" s="270" t="n"/>
      <c r="B263" s="268" t="n"/>
      <c r="C263" s="268" t="n"/>
      <c r="D263" s="271" t="n"/>
      <c r="E263" s="269" t="n"/>
      <c r="F263" s="272" t="n"/>
      <c r="G263" s="271" t="n"/>
      <c r="H263" s="269" t="n"/>
      <c r="I263" s="272" t="n"/>
      <c r="J263" s="141" t="inlineStr">
        <is>
          <t>547-1078-26, (31.08.2026) [IJZ-MB]</t>
        </is>
      </c>
      <c r="K263" s="120" t="n"/>
      <c r="L263" s="120" t="n"/>
      <c r="M263" s="120" t="n"/>
      <c r="N263" s="121" t="n"/>
      <c r="O263" s="272" t="n"/>
      <c r="P263" s="170" t="inlineStr">
        <is>
          <t>— no certificate —</t>
        </is>
      </c>
      <c r="Q263" s="120" t="n"/>
      <c r="R263" s="121" t="n"/>
      <c r="S263" s="272" t="n"/>
      <c r="T263" s="170" t="inlineStr">
        <is>
          <t>— no certificate —</t>
        </is>
      </c>
      <c r="U263" s="120" t="n"/>
      <c r="V263" s="120" t="n"/>
      <c r="W263" s="121" t="n"/>
      <c r="X263" s="272" t="n"/>
      <c r="Y263" s="271" t="n"/>
      <c r="Z263" s="269" t="n"/>
      <c r="AA263" s="273" t="n"/>
    </row>
    <row r="264" ht="17.625" customHeight="1" s="70">
      <c r="A264" s="270" t="n"/>
      <c r="B264" s="268" t="n"/>
      <c r="C264" s="268" t="n"/>
      <c r="D264" s="145" t="n"/>
      <c r="E264" s="144" t="n"/>
      <c r="F264" s="146" t="n"/>
      <c r="G264" s="189" t="inlineStr">
        <is>
          <t>not on this certificate</t>
        </is>
      </c>
      <c r="H264" s="190" t="inlineStr">
        <is>
          <t>051-5-К-26, (04.03.2026) [FHM-K] · on file, not credited</t>
        </is>
      </c>
      <c r="I264" s="191"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5.375" customHeight="1" s="70">
      <c r="A265" s="270" t="n"/>
      <c r="B265" s="268" t="n"/>
      <c r="C265" s="268" t="n"/>
      <c r="D265" s="194" t="n"/>
      <c r="E265" s="193" t="n"/>
      <c r="F265" s="195" t="n"/>
      <c r="G265" s="271" t="n"/>
      <c r="H265" s="269" t="n"/>
      <c r="I265" s="272"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0" t="n"/>
      <c r="B266" s="268" t="n"/>
      <c r="C266" s="268" t="n"/>
      <c r="D266" s="145" t="n"/>
      <c r="E266" s="144" t="n"/>
      <c r="F266" s="146" t="n"/>
      <c r="G266" s="189" t="inlineStr">
        <is>
          <t>not on this certificate</t>
        </is>
      </c>
      <c r="H266" s="190" t="inlineStr">
        <is>
          <t>100-1-К-26, (09.04.2026) [FHM-K] · on file, not credited</t>
        </is>
      </c>
      <c r="I266" s="191"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15.375" customHeight="1" s="70">
      <c r="A267" s="270" t="n"/>
      <c r="B267" s="268" t="n"/>
      <c r="C267" s="268" t="n"/>
      <c r="D267" s="194" t="n"/>
      <c r="E267" s="193" t="n"/>
      <c r="F267" s="195" t="n"/>
      <c r="G267" s="271" t="n"/>
      <c r="H267" s="269" t="n"/>
      <c r="I267" s="272"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0" t="n"/>
      <c r="B268" s="268" t="n"/>
      <c r="C268" s="268" t="n"/>
      <c r="D268" s="145" t="n"/>
      <c r="E268" s="144" t="n"/>
      <c r="F268" s="146" t="n"/>
      <c r="G268" s="155" t="inlineStr">
        <is>
          <t>7.6</t>
        </is>
      </c>
      <c r="H268" s="185" t="inlineStr">
        <is>
          <t>100-1-ГС-26,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0" t="n"/>
      <c r="B269" s="268" t="n"/>
      <c r="C269" s="268" t="n"/>
      <c r="D269" s="194" t="n"/>
      <c r="E269" s="193" t="n"/>
      <c r="F269" s="195" t="n"/>
      <c r="G269" s="271" t="n"/>
      <c r="H269" s="269" t="n"/>
      <c r="I269" s="272"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0" t="n"/>
      <c r="B270" s="268" t="n"/>
      <c r="C270" s="268" t="n"/>
      <c r="D270" s="145" t="n"/>
      <c r="E270" s="144" t="n"/>
      <c r="F270" s="146" t="n"/>
      <c r="G270" s="155" t="inlineStr">
        <is>
          <t>10.3 ± 0.2</t>
        </is>
      </c>
      <c r="H270" s="185" t="inlineStr">
        <is>
          <t>100-2-ГС-26, (09.04.2026) [FHM-K]</t>
        </is>
      </c>
      <c r="I270" s="186" t="inlineStr">
        <is>
          <t>✓</t>
        </is>
      </c>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21" customHeight="1" s="70">
      <c r="A271" s="270" t="n"/>
      <c r="B271" s="268" t="n"/>
      <c r="C271" s="268" t="n"/>
      <c r="D271" s="194" t="n"/>
      <c r="E271" s="193" t="n"/>
      <c r="F271" s="195" t="n"/>
      <c r="G271" s="271" t="n"/>
      <c r="H271" s="269" t="n"/>
      <c r="I271" s="272" t="n"/>
      <c r="J271" s="194" t="n"/>
      <c r="K271" s="193" t="n"/>
      <c r="L271" s="193" t="n"/>
      <c r="M271" s="193" t="n"/>
      <c r="N271" s="193" t="n"/>
      <c r="O271" s="195" t="n"/>
      <c r="P271" s="194" t="n"/>
      <c r="Q271" s="193" t="n"/>
      <c r="R271" s="193" t="n"/>
      <c r="S271" s="195" t="n"/>
      <c r="T271" s="194" t="n"/>
      <c r="U271" s="193" t="n"/>
      <c r="V271" s="193" t="n"/>
      <c r="W271" s="193" t="n"/>
      <c r="X271" s="195" t="n"/>
      <c r="Y271" s="194" t="n"/>
      <c r="Z271" s="193" t="n"/>
      <c r="AA271" s="196" t="n"/>
    </row>
    <row r="272" ht="17.625" customHeight="1" s="70">
      <c r="A272" s="270" t="n"/>
      <c r="B272" s="268" t="n"/>
      <c r="C272" s="268" t="n"/>
      <c r="D272" s="145" t="n"/>
      <c r="E272" s="144" t="n"/>
      <c r="F272" s="146" t="n"/>
      <c r="G272" s="155" t="inlineStr">
        <is>
          <t>10.3</t>
        </is>
      </c>
      <c r="H272" s="185" t="inlineStr">
        <is>
          <t>100-3-ГС-26, (09.04.2026) [FHM-K]</t>
        </is>
      </c>
      <c r="I272" s="186" t="inlineStr">
        <is>
          <t>✓</t>
        </is>
      </c>
      <c r="J272" s="145" t="n"/>
      <c r="K272" s="144" t="n"/>
      <c r="L272" s="144" t="n"/>
      <c r="M272" s="144" t="n"/>
      <c r="N272" s="144" t="n"/>
      <c r="O272" s="146" t="n"/>
      <c r="P272" s="145" t="n"/>
      <c r="Q272" s="144" t="n"/>
      <c r="R272" s="144" t="n"/>
      <c r="S272" s="146" t="n"/>
      <c r="T272" s="145" t="n"/>
      <c r="U272" s="144" t="n"/>
      <c r="V272" s="144" t="n"/>
      <c r="W272" s="144" t="n"/>
      <c r="X272" s="146" t="n"/>
      <c r="Y272" s="145" t="n"/>
      <c r="Z272" s="144" t="n"/>
      <c r="AA272" s="157" t="n"/>
    </row>
    <row r="273" ht="21" customHeight="1" s="70">
      <c r="A273" s="270" t="n"/>
      <c r="B273" s="268" t="n"/>
      <c r="C273" s="268" t="n"/>
      <c r="D273" s="194" t="n"/>
      <c r="E273" s="193" t="n"/>
      <c r="F273" s="195" t="n"/>
      <c r="G273" s="271" t="n"/>
      <c r="H273" s="269" t="n"/>
      <c r="I273" s="272" t="n"/>
      <c r="J273" s="194" t="n"/>
      <c r="K273" s="193" t="n"/>
      <c r="L273" s="193" t="n"/>
      <c r="M273" s="193" t="n"/>
      <c r="N273" s="193" t="n"/>
      <c r="O273" s="195" t="n"/>
      <c r="P273" s="194" t="n"/>
      <c r="Q273" s="193" t="n"/>
      <c r="R273" s="193" t="n"/>
      <c r="S273" s="195" t="n"/>
      <c r="T273" s="194" t="n"/>
      <c r="U273" s="193" t="n"/>
      <c r="V273" s="193" t="n"/>
      <c r="W273" s="193" t="n"/>
      <c r="X273" s="195" t="n"/>
      <c r="Y273" s="194" t="n"/>
      <c r="Z273" s="193" t="n"/>
      <c r="AA273" s="196" t="n"/>
    </row>
    <row r="274" ht="17.625" customHeight="1" s="70">
      <c r="A274" s="270" t="n"/>
      <c r="B274" s="268" t="n"/>
      <c r="C274" s="268" t="n"/>
      <c r="D274" s="145" t="n"/>
      <c r="E274" s="144" t="n"/>
      <c r="F274" s="146" t="n"/>
      <c r="G274" s="145" t="n"/>
      <c r="H274" s="144" t="n"/>
      <c r="I274" s="146" t="n"/>
      <c r="J274" s="145" t="n"/>
      <c r="K274" s="144" t="n"/>
      <c r="L274" s="144" t="n"/>
      <c r="M274" s="144" t="n"/>
      <c r="N274" s="144" t="n"/>
      <c r="O274" s="146" t="n"/>
      <c r="P274" s="145" t="n"/>
      <c r="Q274" s="144" t="n"/>
      <c r="R274" s="144" t="n"/>
      <c r="S274" s="146" t="n"/>
      <c r="T274" s="145" t="n"/>
      <c r="U274" s="144" t="n"/>
      <c r="V274" s="144" t="n"/>
      <c r="W274" s="144" t="n"/>
      <c r="X274" s="146" t="n"/>
      <c r="Y274" s="145" t="n"/>
      <c r="Z274" s="144" t="n"/>
      <c r="AA274" s="157" t="n"/>
    </row>
    <row r="275" ht="13" customHeight="1" s="70">
      <c r="A275" s="274" t="n"/>
      <c r="B275" s="275" t="n"/>
      <c r="C275" s="275" t="n"/>
      <c r="D275" s="160" t="n"/>
      <c r="E275" s="159" t="n"/>
      <c r="F275" s="161" t="n"/>
      <c r="G275" s="160" t="n"/>
      <c r="H275" s="159" t="n"/>
      <c r="I275" s="161" t="n"/>
      <c r="J275" s="160" t="n"/>
      <c r="K275" s="159" t="n"/>
      <c r="L275" s="159" t="n"/>
      <c r="M275" s="159" t="n"/>
      <c r="N275" s="159" t="n"/>
      <c r="O275" s="161" t="n"/>
      <c r="P275" s="160" t="n"/>
      <c r="Q275" s="159" t="n"/>
      <c r="R275" s="159" t="n"/>
      <c r="S275" s="161" t="n"/>
      <c r="T275" s="160" t="n"/>
      <c r="U275" s="159" t="n"/>
      <c r="V275" s="159" t="n"/>
      <c r="W275" s="159" t="n"/>
      <c r="X275" s="161" t="n"/>
      <c r="Y275" s="160" t="n"/>
      <c r="Z275" s="159" t="n"/>
      <c r="AA275" s="163" t="n"/>
    </row>
    <row r="276" ht="21" customHeight="1" s="70">
      <c r="A276" s="125" t="inlineStr">
        <is>
          <t>J31122501</t>
        </is>
      </c>
      <c r="B276" s="126" t="inlineStr">
        <is>
          <t>P060262</t>
        </is>
      </c>
      <c r="C276" s="164" t="inlineStr">
        <is>
          <t>⚠ 1 NO RESULT
(1 no cert / 0 cert w/o result)
3 testing instances
• 2 document(s) on file, not credited</t>
        </is>
      </c>
      <c r="D276" s="128" t="inlineStr">
        <is>
          <t>Conforms</t>
        </is>
      </c>
      <c r="E276" s="129">
        <f>IFERROR(INDEX('iCoA Register'!$B:$B,MATCH("P060262|I",'iCoA Register'!$AA:$AA,0)),"iCoA — at issue")&amp;", (14.05.2026) [PP]"</f>
        <v/>
      </c>
      <c r="F276" s="130" t="inlineStr">
        <is>
          <t>✓</t>
        </is>
      </c>
      <c r="G276" s="131" t="inlineStr">
        <is>
          <t>not ingested</t>
        </is>
      </c>
      <c r="H276" s="132" t="inlineStr">
        <is>
          <t>100-2-К-26, (09.04.2026) [FHM-K] · on file, not credited</t>
        </is>
      </c>
      <c r="I276" s="133" t="inlineStr">
        <is>
          <t>•</t>
        </is>
      </c>
      <c r="J276" s="128" t="inlineStr">
        <is>
          <t>1900 ᴿ</t>
        </is>
      </c>
      <c r="K276" s="136" t="inlineStr">
        <is>
          <t>840 ᴿ</t>
        </is>
      </c>
      <c r="L276" s="136" t="inlineStr">
        <is>
          <t>&lt; 10³ and &gt; 10² ᴿ</t>
        </is>
      </c>
      <c r="M276" s="136" t="inlineStr">
        <is>
          <t>Absent ᴿ</t>
        </is>
      </c>
      <c r="N276" s="136" t="inlineStr">
        <is>
          <t>Absent ᴿ</t>
        </is>
      </c>
      <c r="O276" s="130" t="inlineStr">
        <is>
          <t>✓</t>
        </is>
      </c>
      <c r="P276" s="128" t="inlineStr">
        <is>
          <t>not reported</t>
        </is>
      </c>
      <c r="Q276" s="136" t="inlineStr">
        <is>
          <t>Complies ᴿ</t>
        </is>
      </c>
      <c r="R276" s="136" t="inlineStr">
        <is>
          <t>not reported</t>
        </is>
      </c>
      <c r="S276" s="130" t="inlineStr">
        <is>
          <t>✓</t>
        </is>
      </c>
      <c r="T276" s="205" t="inlineStr">
        <is>
          <t>not ingested</t>
        </is>
      </c>
      <c r="U276" s="206" t="inlineStr"/>
      <c r="V276" s="206" t="inlineStr"/>
      <c r="W276" s="206" t="inlineStr"/>
      <c r="X276" s="207" t="inlineStr">
        <is>
          <t>✗</t>
        </is>
      </c>
      <c r="Y276" s="128" t="inlineStr">
        <is>
          <t>ND ᴿ</t>
        </is>
      </c>
      <c r="Z276" s="129" t="inlineStr">
        <is>
          <t>1625-2026, (23.04.2026) [IJZ]</t>
        </is>
      </c>
      <c r="AA276" s="137" t="inlineStr">
        <is>
          <t>✓</t>
        </is>
      </c>
    </row>
    <row r="277" ht="15.375" customHeight="1" s="70">
      <c r="A277" s="270" t="n"/>
      <c r="B277" s="268" t="n"/>
      <c r="C277" s="268" t="n"/>
      <c r="D277" s="271" t="n"/>
      <c r="E277" s="269" t="n"/>
      <c r="F277" s="272" t="n"/>
      <c r="G277" s="271" t="n"/>
      <c r="H277" s="269" t="n"/>
      <c r="I277" s="272" t="n"/>
      <c r="J277" s="141" t="inlineStr">
        <is>
          <t>230-0393-26, (07.04.2026) [IJZ-MB]</t>
        </is>
      </c>
      <c r="K277" s="120" t="n"/>
      <c r="L277" s="120" t="n"/>
      <c r="M277" s="120" t="n"/>
      <c r="N277" s="121" t="n"/>
      <c r="O277" s="272" t="n"/>
      <c r="P277" s="141" t="inlineStr">
        <is>
          <t>1625-2026, (23.04.2026) [IJZ]</t>
        </is>
      </c>
      <c r="Q277" s="120" t="n"/>
      <c r="R277" s="121" t="n"/>
      <c r="S277" s="272" t="n"/>
      <c r="T277" s="208" t="inlineStr">
        <is>
          <t>1625-2026, (23.04.2026) [IJZ]</t>
        </is>
      </c>
      <c r="U277" s="120" t="n"/>
      <c r="V277" s="120" t="n"/>
      <c r="W277" s="121" t="n"/>
      <c r="X277" s="272" t="n"/>
      <c r="Y277" s="271" t="n"/>
      <c r="Z277" s="269" t="n"/>
      <c r="AA277" s="273" t="n"/>
    </row>
    <row r="278" ht="21" customHeight="1" s="70">
      <c r="A278" s="270" t="n"/>
      <c r="B278" s="268" t="n"/>
      <c r="C278" s="268" t="n"/>
      <c r="D278" s="145" t="n"/>
      <c r="E278" s="144" t="n"/>
      <c r="F278" s="146" t="n"/>
      <c r="G278" s="189" t="inlineStr">
        <is>
          <t>not ingested</t>
        </is>
      </c>
      <c r="H278" s="190" t="inlineStr">
        <is>
          <t>100-3-К-26, (09.04.2026) [FHM-K] · on file, not credited</t>
        </is>
      </c>
      <c r="I278" s="191" t="inlineStr">
        <is>
          <t>•</t>
        </is>
      </c>
      <c r="J278" s="155" t="inlineStr">
        <is>
          <t>850 ᴿ</t>
        </is>
      </c>
      <c r="K278" s="156" t="inlineStr">
        <is>
          <t>370 ᴿ</t>
        </is>
      </c>
      <c r="L278" s="156" t="inlineStr">
        <is>
          <t>&lt; 10² and &gt; 10 ᴿ</t>
        </is>
      </c>
      <c r="M278" s="156" t="inlineStr">
        <is>
          <t>Absent ᴿ</t>
        </is>
      </c>
      <c r="N278" s="156" t="inlineStr">
        <is>
          <t>Absent ᴿ</t>
        </is>
      </c>
      <c r="O278" s="186" t="inlineStr">
        <is>
          <t>✓</t>
        </is>
      </c>
      <c r="P278" s="155" t="inlineStr">
        <is>
          <t>not reported</t>
        </is>
      </c>
      <c r="Q278" s="156" t="inlineStr">
        <is>
          <t>2.5 ᴿ</t>
        </is>
      </c>
      <c r="R278" s="156" t="inlineStr">
        <is>
          <t>not reported</t>
        </is>
      </c>
      <c r="S278" s="186" t="inlineStr">
        <is>
          <t>✓</t>
        </is>
      </c>
      <c r="T278" s="155" t="inlineStr">
        <is>
          <t>ND ᴿ</t>
        </is>
      </c>
      <c r="U278" s="156" t="inlineStr">
        <is>
          <t>ND ᴿ</t>
        </is>
      </c>
      <c r="V278" s="156" t="inlineStr">
        <is>
          <t>ND ᴿ</t>
        </is>
      </c>
      <c r="W278" s="156" t="inlineStr">
        <is>
          <t>ND ᴿ</t>
        </is>
      </c>
      <c r="X278" s="186" t="inlineStr">
        <is>
          <t>✓</t>
        </is>
      </c>
      <c r="Y278" s="155" t="inlineStr">
        <is>
          <t>ND ᴿ</t>
        </is>
      </c>
      <c r="Z278" s="185" t="inlineStr">
        <is>
          <t>1628-2026, (23.04.2026) [IJZ]</t>
        </is>
      </c>
      <c r="AA278" s="209" t="inlineStr">
        <is>
          <t>✓</t>
        </is>
      </c>
    </row>
    <row r="279" ht="15.375" customHeight="1" s="70">
      <c r="A279" s="270" t="n"/>
      <c r="B279" s="268" t="n"/>
      <c r="C279" s="268" t="n"/>
      <c r="D279" s="194" t="n"/>
      <c r="E279" s="193" t="n"/>
      <c r="F279" s="195" t="n"/>
      <c r="G279" s="271" t="n"/>
      <c r="H279" s="269" t="n"/>
      <c r="I279" s="272" t="n"/>
      <c r="J279" s="210" t="inlineStr">
        <is>
          <t>231-0394-26, (07.04.2026) [IJZ-MB]</t>
        </is>
      </c>
      <c r="K279" s="281" t="n"/>
      <c r="L279" s="281" t="n"/>
      <c r="M279" s="281" t="n"/>
      <c r="N279" s="282" t="n"/>
      <c r="O279" s="272" t="n"/>
      <c r="P279" s="210" t="inlineStr">
        <is>
          <t>1628-2026, (23.04.2026) [IJZ]</t>
        </is>
      </c>
      <c r="Q279" s="281" t="n"/>
      <c r="R279" s="282" t="n"/>
      <c r="S279" s="272" t="n"/>
      <c r="T279" s="210" t="inlineStr">
        <is>
          <t>1628-2026, (23.04.2026) [IJZ]</t>
        </is>
      </c>
      <c r="U279" s="281" t="n"/>
      <c r="V279" s="281" t="n"/>
      <c r="W279" s="282" t="n"/>
      <c r="X279" s="272" t="n"/>
      <c r="Y279" s="271" t="n"/>
      <c r="Z279" s="269" t="n"/>
      <c r="AA279" s="273" t="n"/>
    </row>
    <row r="280" ht="21" customHeight="1" s="70">
      <c r="A280" s="270" t="n"/>
      <c r="B280" s="268" t="n"/>
      <c r="C280" s="268" t="n"/>
      <c r="D280" s="145" t="n"/>
      <c r="E280" s="144" t="n"/>
      <c r="F280" s="146" t="n"/>
      <c r="G280" s="145" t="n"/>
      <c r="H280" s="144" t="n"/>
      <c r="I280" s="146" t="n"/>
      <c r="J280" s="155" t="inlineStr">
        <is>
          <t>1 × 10³</t>
        </is>
      </c>
      <c r="K280" s="156" t="inlineStr">
        <is>
          <t>1.7 × 10²</t>
        </is>
      </c>
      <c r="L280" s="156" t="inlineStr">
        <is>
          <t>&lt; 10³ and &gt; 10²</t>
        </is>
      </c>
      <c r="M280" s="156" t="inlineStr">
        <is>
          <t>Absent</t>
        </is>
      </c>
      <c r="N280" s="156" t="inlineStr">
        <is>
          <t>Absent</t>
        </is>
      </c>
      <c r="O280" s="149" t="inlineStr">
        <is>
          <t>✓</t>
        </is>
      </c>
      <c r="P280" s="145" t="n"/>
      <c r="Q280" s="144" t="n"/>
      <c r="R280" s="144" t="n"/>
      <c r="S280" s="146" t="n"/>
      <c r="T280" s="145" t="n"/>
      <c r="U280" s="144" t="n"/>
      <c r="V280" s="144" t="n"/>
      <c r="W280" s="144" t="n"/>
      <c r="X280" s="146" t="n"/>
      <c r="Y280" s="145" t="n"/>
      <c r="Z280" s="144" t="n"/>
      <c r="AA280" s="157" t="n"/>
    </row>
    <row r="281" ht="13" customHeight="1" s="70">
      <c r="A281" s="274" t="n"/>
      <c r="B281" s="275" t="n"/>
      <c r="C281" s="275" t="n"/>
      <c r="D281" s="160" t="n"/>
      <c r="E281" s="159" t="n"/>
      <c r="F281" s="161" t="n"/>
      <c r="G281" s="160" t="n"/>
      <c r="H281" s="159" t="n"/>
      <c r="I281" s="161" t="n"/>
      <c r="J281" s="162" t="inlineStr">
        <is>
          <t>544-1075-26, (31.08.2026) [IJZ-MB]</t>
        </is>
      </c>
      <c r="K281" s="278" t="n"/>
      <c r="L281" s="278" t="n"/>
      <c r="M281" s="278" t="n"/>
      <c r="N281" s="279" t="n"/>
      <c r="O281" s="277" t="n"/>
      <c r="P281" s="160" t="n"/>
      <c r="Q281" s="159" t="n"/>
      <c r="R281" s="159" t="n"/>
      <c r="S281" s="161" t="n"/>
      <c r="T281" s="160" t="n"/>
      <c r="U281" s="159" t="n"/>
      <c r="V281" s="159" t="n"/>
      <c r="W281" s="159" t="n"/>
      <c r="X281" s="161" t="n"/>
      <c r="Y281" s="160" t="n"/>
      <c r="Z281" s="159" t="n"/>
      <c r="AA281" s="163" t="n"/>
    </row>
    <row r="282" ht="21" customHeight="1" s="70">
      <c r="A282" s="125" t="inlineStr">
        <is>
          <t>JD012603</t>
        </is>
      </c>
      <c r="B282" s="126" t="inlineStr">
        <is>
          <t>P060362 / P060412 / P060422</t>
        </is>
      </c>
      <c r="C282" s="164" t="inlineStr">
        <is>
          <t>⚠ 3 NO RESULT
(3 no cert / 0 cert w/o result)
5 testing instances
• 1 document(s) on file, not credited</t>
        </is>
      </c>
      <c r="D282" s="128" t="inlineStr">
        <is>
          <t>Conforms (no value printed)</t>
        </is>
      </c>
      <c r="E282" s="129" t="inlineStr">
        <is>
          <t>ППК26111, (30.06.2026) [CNP]</t>
        </is>
      </c>
      <c r="F282" s="130" t="inlineStr">
        <is>
          <t>✓</t>
        </is>
      </c>
      <c r="G282" s="128" t="inlineStr">
        <is>
          <t>7.04</t>
        </is>
      </c>
      <c r="H282" s="129" t="inlineStr">
        <is>
          <t>ППК26111, (30.06.2026) [CNP]</t>
        </is>
      </c>
      <c r="I282" s="130" t="inlineStr">
        <is>
          <t>✓</t>
        </is>
      </c>
      <c r="J282" s="165" t="inlineStr">
        <is>
          <t>— MISSING —</t>
        </is>
      </c>
      <c r="K282" s="166" t="inlineStr">
        <is>
          <t>— MISSING —</t>
        </is>
      </c>
      <c r="L282" s="166" t="inlineStr">
        <is>
          <t>— MISSING —</t>
        </is>
      </c>
      <c r="M282" s="166" t="inlineStr">
        <is>
          <t>— MISSING —</t>
        </is>
      </c>
      <c r="N282" s="166" t="inlineStr">
        <is>
          <t>— MISSING —</t>
        </is>
      </c>
      <c r="O282" s="167" t="inlineStr">
        <is>
          <t>✗</t>
        </is>
      </c>
      <c r="P282" s="128" t="inlineStr">
        <is>
          <t>ND</t>
        </is>
      </c>
      <c r="Q282" s="136" t="inlineStr">
        <is>
          <t>ND</t>
        </is>
      </c>
      <c r="R282" s="136" t="inlineStr">
        <is>
          <t>ND</t>
        </is>
      </c>
      <c r="S282" s="130" t="inlineStr">
        <is>
          <t>✓</t>
        </is>
      </c>
      <c r="T282" s="165" t="inlineStr">
        <is>
          <t>— MISSING —</t>
        </is>
      </c>
      <c r="U282" s="166" t="inlineStr">
        <is>
          <t>— MISSING —</t>
        </is>
      </c>
      <c r="V282" s="166" t="inlineStr">
        <is>
          <t>— MISSING —</t>
        </is>
      </c>
      <c r="W282" s="166" t="inlineStr">
        <is>
          <t>— MISSING —</t>
        </is>
      </c>
      <c r="X282" s="167" t="inlineStr">
        <is>
          <t>✗</t>
        </is>
      </c>
      <c r="Y282" s="165" t="inlineStr">
        <is>
          <t>— MISSING —</t>
        </is>
      </c>
      <c r="Z282" s="168" t="inlineStr">
        <is>
          <t>— no certificate —</t>
        </is>
      </c>
      <c r="AA282" s="169" t="inlineStr">
        <is>
          <t>✗</t>
        </is>
      </c>
    </row>
    <row r="283" ht="15.375" customHeight="1" s="70">
      <c r="A283" s="270" t="n"/>
      <c r="B283" s="268" t="n"/>
      <c r="C283" s="268" t="n"/>
      <c r="D283" s="271" t="n"/>
      <c r="E283" s="269" t="n"/>
      <c r="F283" s="272" t="n"/>
      <c r="G283" s="271" t="n"/>
      <c r="H283" s="269" t="n"/>
      <c r="I283" s="272" t="n"/>
      <c r="J283" s="170" t="inlineStr">
        <is>
          <t>— no certificate —</t>
        </is>
      </c>
      <c r="K283" s="120" t="n"/>
      <c r="L283" s="120" t="n"/>
      <c r="M283" s="120" t="n"/>
      <c r="N283" s="121" t="n"/>
      <c r="O283" s="272" t="n"/>
      <c r="P283" s="141" t="inlineStr">
        <is>
          <t>220-16-М-26, (11.09.2026) [FHM-M]</t>
        </is>
      </c>
      <c r="Q283" s="120" t="n"/>
      <c r="R283" s="121" t="n"/>
      <c r="S283" s="272" t="n"/>
      <c r="T283" s="170" t="inlineStr">
        <is>
          <t>— no certificate —</t>
        </is>
      </c>
      <c r="U283" s="120" t="n"/>
      <c r="V283" s="120" t="n"/>
      <c r="W283" s="121" t="n"/>
      <c r="X283" s="272" t="n"/>
      <c r="Y283" s="271" t="n"/>
      <c r="Z283" s="269" t="n"/>
      <c r="AA283" s="273" t="n"/>
    </row>
    <row r="284" ht="17.625" customHeight="1" s="70">
      <c r="A284" s="270" t="n"/>
      <c r="B284" s="268" t="n"/>
      <c r="C284" s="268" t="n"/>
      <c r="D284" s="189" t="inlineStr">
        <is>
          <t>Conforms (no value printed)</t>
        </is>
      </c>
      <c r="E284" s="190" t="inlineStr">
        <is>
          <t>ППК26113, (30.06.2026) [CNP] · on file, not credited</t>
        </is>
      </c>
      <c r="F284" s="191" t="inlineStr">
        <is>
          <t>•</t>
        </is>
      </c>
      <c r="G284" s="155" t="inlineStr">
        <is>
          <t>7.52</t>
        </is>
      </c>
      <c r="H284" s="185" t="inlineStr">
        <is>
          <t>ППК26113, (30.06.2026) [CNP]</t>
        </is>
      </c>
      <c r="I284" s="186" t="inlineStr">
        <is>
          <t>✓</t>
        </is>
      </c>
      <c r="J284" s="145" t="n"/>
      <c r="K284" s="144" t="n"/>
      <c r="L284" s="144" t="n"/>
      <c r="M284" s="144" t="n"/>
      <c r="N284" s="144" t="n"/>
      <c r="O284" s="146" t="n"/>
      <c r="P284" s="155" t="inlineStr">
        <is>
          <t>ND</t>
        </is>
      </c>
      <c r="Q284" s="156" t="inlineStr">
        <is>
          <t>ND</t>
        </is>
      </c>
      <c r="R284" s="156" t="inlineStr">
        <is>
          <t>ND</t>
        </is>
      </c>
      <c r="S284" s="186" t="inlineStr">
        <is>
          <t>✓</t>
        </is>
      </c>
      <c r="T284" s="145" t="n"/>
      <c r="U284" s="144" t="n"/>
      <c r="V284" s="144" t="n"/>
      <c r="W284" s="144" t="n"/>
      <c r="X284" s="146" t="n"/>
      <c r="Y284" s="145" t="n"/>
      <c r="Z284" s="144" t="n"/>
      <c r="AA284" s="157" t="n"/>
    </row>
    <row r="285" ht="15.375" customHeight="1" s="70">
      <c r="A285" s="270" t="n"/>
      <c r="B285" s="268" t="n"/>
      <c r="C285" s="268" t="n"/>
      <c r="D285" s="271" t="n"/>
      <c r="E285" s="269" t="n"/>
      <c r="F285" s="272" t="n"/>
      <c r="G285" s="271" t="n"/>
      <c r="H285" s="269" t="n"/>
      <c r="I285" s="272" t="n"/>
      <c r="J285" s="194" t="n"/>
      <c r="K285" s="193" t="n"/>
      <c r="L285" s="193" t="n"/>
      <c r="M285" s="193" t="n"/>
      <c r="N285" s="193" t="n"/>
      <c r="O285" s="195" t="n"/>
      <c r="P285" s="210" t="inlineStr">
        <is>
          <t>220-17-М-26, (11.09.2026) [FHM-M]</t>
        </is>
      </c>
      <c r="Q285" s="281" t="n"/>
      <c r="R285" s="282" t="n"/>
      <c r="S285" s="272" t="n"/>
      <c r="T285" s="194" t="n"/>
      <c r="U285" s="193" t="n"/>
      <c r="V285" s="193" t="n"/>
      <c r="W285" s="193" t="n"/>
      <c r="X285" s="195" t="n"/>
      <c r="Y285" s="194" t="n"/>
      <c r="Z285" s="193" t="n"/>
      <c r="AA285" s="196" t="n"/>
    </row>
    <row r="286" ht="17.625" customHeight="1" s="70">
      <c r="A286" s="270" t="n"/>
      <c r="B286" s="268" t="n"/>
      <c r="C286" s="268" t="n"/>
      <c r="D286" s="145" t="n"/>
      <c r="E286" s="144" t="n"/>
      <c r="F286" s="146" t="n"/>
      <c r="G286" s="145" t="n"/>
      <c r="H286" s="144" t="n"/>
      <c r="I286" s="146" t="n"/>
      <c r="J286" s="145" t="n"/>
      <c r="K286" s="144" t="n"/>
      <c r="L286" s="144" t="n"/>
      <c r="M286" s="144" t="n"/>
      <c r="N286" s="144" t="n"/>
      <c r="O286" s="146" t="n"/>
      <c r="P286" s="155" t="inlineStr">
        <is>
          <t>ND</t>
        </is>
      </c>
      <c r="Q286" s="156" t="inlineStr">
        <is>
          <t>ND</t>
        </is>
      </c>
      <c r="R286" s="156" t="inlineStr">
        <is>
          <t>ND</t>
        </is>
      </c>
      <c r="S286" s="186" t="inlineStr">
        <is>
          <t>✓</t>
        </is>
      </c>
      <c r="T286" s="145" t="n"/>
      <c r="U286" s="144" t="n"/>
      <c r="V286" s="144" t="n"/>
      <c r="W286" s="144" t="n"/>
      <c r="X286" s="146" t="n"/>
      <c r="Y286" s="145" t="n"/>
      <c r="Z286" s="144" t="n"/>
      <c r="AA286" s="157" t="n"/>
    </row>
    <row r="287" ht="13" customHeight="1" s="70">
      <c r="A287" s="270" t="n"/>
      <c r="B287" s="268" t="n"/>
      <c r="C287" s="268" t="n"/>
      <c r="D287" s="194" t="n"/>
      <c r="E287" s="193" t="n"/>
      <c r="F287" s="195" t="n"/>
      <c r="G287" s="194" t="n"/>
      <c r="H287" s="193" t="n"/>
      <c r="I287" s="195" t="n"/>
      <c r="J287" s="194" t="n"/>
      <c r="K287" s="193" t="n"/>
      <c r="L287" s="193" t="n"/>
      <c r="M287" s="193" t="n"/>
      <c r="N287" s="193" t="n"/>
      <c r="O287" s="195" t="n"/>
      <c r="P287" s="210" t="inlineStr">
        <is>
          <t>220-18-М-26, (11.09.2026) [FHM-M]</t>
        </is>
      </c>
      <c r="Q287" s="281" t="n"/>
      <c r="R287" s="282" t="n"/>
      <c r="S287" s="272" t="n"/>
      <c r="T287" s="194" t="n"/>
      <c r="U287" s="193" t="n"/>
      <c r="V287" s="193" t="n"/>
      <c r="W287" s="193" t="n"/>
      <c r="X287" s="195" t="n"/>
      <c r="Y287" s="194" t="n"/>
      <c r="Z287" s="193" t="n"/>
      <c r="AA287" s="196" t="n"/>
    </row>
    <row r="288" ht="17.625" customHeight="1" s="70">
      <c r="A288" s="270" t="n"/>
      <c r="B288" s="268" t="n"/>
      <c r="C288" s="268" t="n"/>
      <c r="D288" s="145" t="n"/>
      <c r="E288" s="144" t="n"/>
      <c r="F288" s="146" t="n"/>
      <c r="G288" s="145" t="n"/>
      <c r="H288" s="144" t="n"/>
      <c r="I288" s="146" t="n"/>
      <c r="J288" s="145" t="n"/>
      <c r="K288" s="144" t="n"/>
      <c r="L288" s="144" t="n"/>
      <c r="M288" s="144" t="n"/>
      <c r="N288" s="144" t="n"/>
      <c r="O288" s="146" t="n"/>
      <c r="P288" s="145" t="n"/>
      <c r="Q288" s="144" t="n"/>
      <c r="R288" s="144" t="n"/>
      <c r="S288" s="146" t="n"/>
      <c r="T288" s="145" t="n"/>
      <c r="U288" s="144" t="n"/>
      <c r="V288" s="144" t="n"/>
      <c r="W288" s="144" t="n"/>
      <c r="X288" s="146" t="n"/>
      <c r="Y288" s="145" t="n"/>
      <c r="Z288" s="144" t="n"/>
      <c r="AA288" s="157" t="n"/>
    </row>
    <row r="289" ht="13" customHeight="1" s="70">
      <c r="A289" s="270" t="n"/>
      <c r="B289" s="268" t="n"/>
      <c r="C289" s="268" t="n"/>
      <c r="D289" s="194" t="n"/>
      <c r="E289" s="193" t="n"/>
      <c r="F289" s="195" t="n"/>
      <c r="G289" s="194" t="n"/>
      <c r="H289" s="193" t="n"/>
      <c r="I289" s="195" t="n"/>
      <c r="J289" s="194" t="n"/>
      <c r="K289" s="193" t="n"/>
      <c r="L289" s="193" t="n"/>
      <c r="M289" s="193" t="n"/>
      <c r="N289" s="193" t="n"/>
      <c r="O289" s="195" t="n"/>
      <c r="P289" s="194" t="n"/>
      <c r="Q289" s="193" t="n"/>
      <c r="R289" s="193" t="n"/>
      <c r="S289" s="195" t="n"/>
      <c r="T289" s="194" t="n"/>
      <c r="U289" s="193" t="n"/>
      <c r="V289" s="193" t="n"/>
      <c r="W289" s="193" t="n"/>
      <c r="X289" s="195" t="n"/>
      <c r="Y289" s="194" t="n"/>
      <c r="Z289" s="193" t="n"/>
      <c r="AA289" s="196" t="n"/>
    </row>
    <row r="290" ht="17.625" customHeight="1" s="70">
      <c r="A290" s="270" t="n"/>
      <c r="B290" s="268" t="n"/>
      <c r="C290" s="268" t="n"/>
      <c r="D290" s="145" t="n"/>
      <c r="E290" s="144" t="n"/>
      <c r="F290" s="146" t="n"/>
      <c r="G290" s="145" t="n"/>
      <c r="H290" s="144" t="n"/>
      <c r="I290" s="146" t="n"/>
      <c r="J290" s="145" t="n"/>
      <c r="K290" s="144" t="n"/>
      <c r="L290" s="144" t="n"/>
      <c r="M290" s="144" t="n"/>
      <c r="N290" s="144" t="n"/>
      <c r="O290" s="146" t="n"/>
      <c r="P290" s="145" t="n"/>
      <c r="Q290" s="144" t="n"/>
      <c r="R290" s="144" t="n"/>
      <c r="S290" s="146" t="n"/>
      <c r="T290" s="145" t="n"/>
      <c r="U290" s="144" t="n"/>
      <c r="V290" s="144" t="n"/>
      <c r="W290" s="144" t="n"/>
      <c r="X290" s="146" t="n"/>
      <c r="Y290" s="145" t="n"/>
      <c r="Z290" s="144" t="n"/>
      <c r="AA290" s="157" t="n"/>
    </row>
    <row r="291" ht="13" customHeight="1" s="70">
      <c r="A291" s="274" t="n"/>
      <c r="B291" s="275" t="n"/>
      <c r="C291" s="275" t="n"/>
      <c r="D291" s="160" t="n"/>
      <c r="E291" s="159" t="n"/>
      <c r="F291" s="161" t="n"/>
      <c r="G291" s="160" t="n"/>
      <c r="H291" s="159" t="n"/>
      <c r="I291" s="161" t="n"/>
      <c r="J291" s="160" t="n"/>
      <c r="K291" s="159" t="n"/>
      <c r="L291" s="159" t="n"/>
      <c r="M291" s="159" t="n"/>
      <c r="N291" s="159" t="n"/>
      <c r="O291" s="161" t="n"/>
      <c r="P291" s="160" t="n"/>
      <c r="Q291" s="159" t="n"/>
      <c r="R291" s="159" t="n"/>
      <c r="S291" s="161" t="n"/>
      <c r="T291" s="160" t="n"/>
      <c r="U291" s="159" t="n"/>
      <c r="V291" s="159" t="n"/>
      <c r="W291" s="159" t="n"/>
      <c r="X291" s="161" t="n"/>
      <c r="Y291" s="160" t="n"/>
      <c r="Z291" s="159" t="n"/>
      <c r="AA291" s="163" t="n"/>
    </row>
    <row r="292" ht="21" customHeight="1" s="70">
      <c r="A292" s="125" t="inlineStr">
        <is>
          <t>JD022601</t>
        </is>
      </c>
      <c r="B292" s="126" t="inlineStr">
        <is>
          <t>P060482</t>
        </is>
      </c>
      <c r="C292" s="171" t="inlineStr">
        <is>
          <t>✗ 4 NO RESULT
(4 no cert / 0 cert w/o result)</t>
        </is>
      </c>
      <c r="D292" s="172" t="inlineStr">
        <is>
          <t>Conforms (no value printed)</t>
        </is>
      </c>
      <c r="E292" s="173" t="inlineStr">
        <is>
          <t>ППК26115, (30.06.2026) [CNP]</t>
        </is>
      </c>
      <c r="F292" s="174" t="inlineStr">
        <is>
          <t>✓</t>
        </is>
      </c>
      <c r="G292" s="172" t="inlineStr">
        <is>
          <t>7.73</t>
        </is>
      </c>
      <c r="H292" s="173" t="inlineStr">
        <is>
          <t>ППК26115, (30.06.2026) [CNP]</t>
        </is>
      </c>
      <c r="I292" s="174" t="inlineStr">
        <is>
          <t>✓</t>
        </is>
      </c>
      <c r="J292" s="165" t="inlineStr">
        <is>
          <t>— MISSING —</t>
        </is>
      </c>
      <c r="K292" s="166" t="inlineStr">
        <is>
          <t>— MISSING —</t>
        </is>
      </c>
      <c r="L292" s="166" t="inlineStr">
        <is>
          <t>— MISSING —</t>
        </is>
      </c>
      <c r="M292" s="166" t="inlineStr">
        <is>
          <t>— MISSING —</t>
        </is>
      </c>
      <c r="N292" s="166" t="inlineStr">
        <is>
          <t>— MISSING —</t>
        </is>
      </c>
      <c r="O292" s="178" t="inlineStr">
        <is>
          <t>✗</t>
        </is>
      </c>
      <c r="P292" s="165" t="inlineStr">
        <is>
          <t>— MISSING —</t>
        </is>
      </c>
      <c r="Q292" s="166" t="inlineStr">
        <is>
          <t>— MISSING —</t>
        </is>
      </c>
      <c r="R292" s="166" t="inlineStr">
        <is>
          <t>— MISSING —</t>
        </is>
      </c>
      <c r="S292" s="178" t="inlineStr">
        <is>
          <t>✗</t>
        </is>
      </c>
      <c r="T292" s="165" t="inlineStr">
        <is>
          <t>— MISSING —</t>
        </is>
      </c>
      <c r="U292" s="166" t="inlineStr">
        <is>
          <t>— MISSING —</t>
        </is>
      </c>
      <c r="V292" s="166" t="inlineStr">
        <is>
          <t>— MISSING —</t>
        </is>
      </c>
      <c r="W292" s="166" t="inlineStr">
        <is>
          <t>— MISSING —</t>
        </is>
      </c>
      <c r="X292" s="178" t="inlineStr">
        <is>
          <t>✗</t>
        </is>
      </c>
      <c r="Y292" s="179" t="inlineStr">
        <is>
          <t>— MISSING —</t>
        </is>
      </c>
      <c r="Z292" s="180" t="inlineStr">
        <is>
          <t>— no certificate —</t>
        </is>
      </c>
      <c r="AA292" s="181" t="inlineStr">
        <is>
          <t>✗</t>
        </is>
      </c>
    </row>
    <row r="293" ht="15.375" customHeight="1" s="70">
      <c r="A293" s="274" t="n"/>
      <c r="B293" s="275" t="n"/>
      <c r="C293" s="275" t="n"/>
      <c r="D293" s="276" t="n"/>
      <c r="E293" s="275" t="n"/>
      <c r="F293" s="277" t="n"/>
      <c r="G293" s="276" t="n"/>
      <c r="H293" s="275" t="n"/>
      <c r="I293" s="277" t="n"/>
      <c r="J293" s="182" t="inlineStr">
        <is>
          <t>— no certificate —</t>
        </is>
      </c>
      <c r="K293" s="278" t="n"/>
      <c r="L293" s="278" t="n"/>
      <c r="M293" s="278" t="n"/>
      <c r="N293" s="279" t="n"/>
      <c r="O293" s="277" t="n"/>
      <c r="P293" s="182" t="inlineStr">
        <is>
          <t>— no certificate —</t>
        </is>
      </c>
      <c r="Q293" s="278" t="n"/>
      <c r="R293" s="279" t="n"/>
      <c r="S293" s="277" t="n"/>
      <c r="T293" s="182" t="inlineStr">
        <is>
          <t>— no certificate —</t>
        </is>
      </c>
      <c r="U293" s="278" t="n"/>
      <c r="V293" s="278" t="n"/>
      <c r="W293" s="279" t="n"/>
      <c r="X293" s="277" t="n"/>
      <c r="Y293" s="276" t="n"/>
      <c r="Z293" s="275" t="n"/>
      <c r="AA293" s="280" t="n"/>
    </row>
    <row r="294" ht="21" customHeight="1" s="70">
      <c r="A294" s="125" t="inlineStr">
        <is>
          <t>JD112501</t>
        </is>
      </c>
      <c r="B294" s="126" t="inlineStr">
        <is>
          <t>P060212</t>
        </is>
      </c>
      <c r="C294" s="127" t="inlineStr">
        <is>
          <t>✓ COMPLETE
3 testing instances
• 5 document(s) on file, not credited</t>
        </is>
      </c>
      <c r="D294" s="128" t="inlineStr">
        <is>
          <t>Conforms</t>
        </is>
      </c>
      <c r="E294" s="129">
        <f>IFERROR(INDEX('iCoA Register'!$B:$B,MATCH("P060212|I",'iCoA Register'!$AA:$AA,0)),"iCoA — at issue")&amp;", (21.04.2026) [PP]"</f>
        <v/>
      </c>
      <c r="F294" s="130" t="inlineStr">
        <is>
          <t>✓</t>
        </is>
      </c>
      <c r="G294" s="128" t="inlineStr">
        <is>
          <t>6.69</t>
        </is>
      </c>
      <c r="H294" s="129" t="inlineStr">
        <is>
          <t>ППК26063, (11.05.2026) [CNP]</t>
        </is>
      </c>
      <c r="I294" s="130" t="inlineStr">
        <is>
          <t>✓</t>
        </is>
      </c>
      <c r="J294" s="131" t="inlineStr">
        <is>
          <t>1 × 10⁴</t>
        </is>
      </c>
      <c r="K294" s="197" t="inlineStr">
        <is>
          <t>6.7 × 10³</t>
        </is>
      </c>
      <c r="L294" s="197" t="inlineStr">
        <is>
          <t>&lt; 10³ and &gt; 10²</t>
        </is>
      </c>
      <c r="M294" s="197" t="inlineStr">
        <is>
          <t>Absent</t>
        </is>
      </c>
      <c r="N294" s="197" t="inlineStr">
        <is>
          <t>Absent</t>
        </is>
      </c>
      <c r="O294" s="133" t="inlineStr">
        <is>
          <t>•</t>
        </is>
      </c>
      <c r="P294" s="128" t="inlineStr">
        <is>
          <t>not reported</t>
        </is>
      </c>
      <c r="Q294" s="136" t="inlineStr">
        <is>
          <t>&lt; 2</t>
        </is>
      </c>
      <c r="R294" s="136" t="inlineStr">
        <is>
          <t>not reported</t>
        </is>
      </c>
      <c r="S294" s="130" t="inlineStr">
        <is>
          <t>✓</t>
        </is>
      </c>
      <c r="T294" s="128" t="inlineStr">
        <is>
          <t>0.022</t>
        </is>
      </c>
      <c r="U294" s="136" t="inlineStr">
        <is>
          <t>0.0149</t>
        </is>
      </c>
      <c r="V294" s="136" t="inlineStr">
        <is>
          <t>0.02</t>
        </is>
      </c>
      <c r="W294" s="136" t="inlineStr">
        <is>
          <t>0.0166</t>
        </is>
      </c>
      <c r="X294" s="130" t="inlineStr">
        <is>
          <t>✓</t>
        </is>
      </c>
      <c r="Y294" s="128" t="inlineStr">
        <is>
          <t>≤ LOQ (all 26 compounds)</t>
        </is>
      </c>
      <c r="Z294" s="129" t="inlineStr">
        <is>
          <t>2361-2026, (30.04.2026) [IJZ]</t>
        </is>
      </c>
      <c r="AA294" s="137" t="inlineStr">
        <is>
          <t>✓</t>
        </is>
      </c>
    </row>
    <row r="295" ht="21" customHeight="1" s="70">
      <c r="A295" s="270" t="n"/>
      <c r="B295" s="268" t="n"/>
      <c r="C295" s="268" t="n"/>
      <c r="D295" s="271" t="n"/>
      <c r="E295" s="269" t="n"/>
      <c r="F295" s="272" t="n"/>
      <c r="G295" s="271" t="n"/>
      <c r="H295" s="269" t="n"/>
      <c r="I295" s="272" t="n"/>
      <c r="J295" s="199" t="inlineStr">
        <is>
          <t>306-0550-26, (28.04.2026) [IJZ-MB] · experimental — starred sample, not certifying</t>
        </is>
      </c>
      <c r="K295" s="120" t="n"/>
      <c r="L295" s="120" t="n"/>
      <c r="M295" s="120" t="n"/>
      <c r="N295" s="121" t="n"/>
      <c r="O295" s="272" t="n"/>
      <c r="P295" s="141" t="inlineStr">
        <is>
          <t>2361-2026, (30.04.2026) [IJZ]</t>
        </is>
      </c>
      <c r="Q295" s="120" t="n"/>
      <c r="R295" s="121" t="n"/>
      <c r="S295" s="272" t="n"/>
      <c r="T295" s="141" t="inlineStr">
        <is>
          <t>2361-2026, (30.04.2026) [IJZ]</t>
        </is>
      </c>
      <c r="U295" s="120" t="n"/>
      <c r="V295" s="120" t="n"/>
      <c r="W295" s="121" t="n"/>
      <c r="X295" s="272" t="n"/>
      <c r="Y295" s="271" t="n"/>
      <c r="Z295" s="269" t="n"/>
      <c r="AA295" s="273" t="n"/>
    </row>
    <row r="296" ht="21" customHeight="1" s="70">
      <c r="A296" s="270" t="n"/>
      <c r="B296" s="268" t="n"/>
      <c r="C296" s="268" t="n"/>
      <c r="D296" s="145" t="n"/>
      <c r="E296" s="144" t="n"/>
      <c r="F296" s="146" t="n"/>
      <c r="G296" s="189" t="inlineStr">
        <is>
          <t>6.38</t>
        </is>
      </c>
      <c r="H296" s="190" t="inlineStr">
        <is>
          <t>ППК26065, (11.05.2026) [CNP] · experimental — starred sample, not certifying</t>
        </is>
      </c>
      <c r="I296" s="191" t="inlineStr">
        <is>
          <t>•</t>
        </is>
      </c>
      <c r="J296" s="155" t="inlineStr">
        <is>
          <t>2.6 × 10³</t>
        </is>
      </c>
      <c r="K296" s="156" t="inlineStr">
        <is>
          <t>3.3 × 10³</t>
        </is>
      </c>
      <c r="L296" s="156" t="inlineStr">
        <is>
          <t>&lt; 10³ and &gt; 10² ᴿ</t>
        </is>
      </c>
      <c r="M296" s="156" t="inlineStr">
        <is>
          <t>Absent</t>
        </is>
      </c>
      <c r="N296" s="156" t="inlineStr">
        <is>
          <t>Absent</t>
        </is>
      </c>
      <c r="O296" s="186" t="inlineStr">
        <is>
          <t>✓</t>
        </is>
      </c>
      <c r="P296" s="189" t="inlineStr">
        <is>
          <t>not reported</t>
        </is>
      </c>
      <c r="Q296" s="211" t="inlineStr">
        <is>
          <t>&lt; 2</t>
        </is>
      </c>
      <c r="R296" s="211" t="inlineStr">
        <is>
          <t>not reported</t>
        </is>
      </c>
      <c r="S296" s="191" t="inlineStr">
        <is>
          <t>•</t>
        </is>
      </c>
      <c r="T296" s="189" t="inlineStr">
        <is>
          <t>0.0109</t>
        </is>
      </c>
      <c r="U296" s="211" t="inlineStr">
        <is>
          <t>0.01287</t>
        </is>
      </c>
      <c r="V296" s="211" t="inlineStr">
        <is>
          <t>0.0175</t>
        </is>
      </c>
      <c r="W296" s="211" t="inlineStr">
        <is>
          <t>0.0165</t>
        </is>
      </c>
      <c r="X296" s="191" t="inlineStr">
        <is>
          <t>•</t>
        </is>
      </c>
      <c r="Y296" s="189" t="inlineStr">
        <is>
          <t>≤ LOQ (all 27 compounds)</t>
        </is>
      </c>
      <c r="Z296" s="190" t="inlineStr">
        <is>
          <t>2365-2026, (30.04.2026) [IJZ] · experimental — starred sample, not certifying</t>
        </is>
      </c>
      <c r="AA296" s="212" t="inlineStr">
        <is>
          <t>•</t>
        </is>
      </c>
    </row>
    <row r="297" ht="21" customHeight="1" s="70">
      <c r="A297" s="270" t="n"/>
      <c r="B297" s="268" t="n"/>
      <c r="C297" s="268" t="n"/>
      <c r="D297" s="194" t="n"/>
      <c r="E297" s="193" t="n"/>
      <c r="F297" s="195" t="n"/>
      <c r="G297" s="271" t="n"/>
      <c r="H297" s="269" t="n"/>
      <c r="I297" s="272" t="n"/>
      <c r="J297" s="210" t="inlineStr">
        <is>
          <t>307-0551-26, (28.04.2026) [IJZ-MB]</t>
        </is>
      </c>
      <c r="K297" s="281" t="n"/>
      <c r="L297" s="281" t="n"/>
      <c r="M297" s="281" t="n"/>
      <c r="N297" s="282" t="n"/>
      <c r="O297" s="272" t="n"/>
      <c r="P297" s="213" t="inlineStr">
        <is>
          <t>2365-2026, (30.04.2026) [IJZ] · experimental — starred sample, not certifying</t>
        </is>
      </c>
      <c r="Q297" s="281" t="n"/>
      <c r="R297" s="282" t="n"/>
      <c r="S297" s="272" t="n"/>
      <c r="T297" s="213" t="inlineStr">
        <is>
          <t>2365-2026, (30.04.2026) [IJZ] · experimental — starred sample, not certifying</t>
        </is>
      </c>
      <c r="U297" s="281" t="n"/>
      <c r="V297" s="281" t="n"/>
      <c r="W297" s="282" t="n"/>
      <c r="X297" s="272" t="n"/>
      <c r="Y297" s="271" t="n"/>
      <c r="Z297" s="269" t="n"/>
      <c r="AA297" s="273" t="n"/>
    </row>
    <row r="298" ht="17.625" customHeight="1" s="70">
      <c r="A298" s="270" t="n"/>
      <c r="B298" s="268" t="n"/>
      <c r="C298" s="268" t="n"/>
      <c r="D298" s="145" t="n"/>
      <c r="E298" s="144" t="n"/>
      <c r="F298" s="146" t="n"/>
      <c r="G298" s="152" t="inlineStr">
        <is>
          <t>not on this certificate</t>
        </is>
      </c>
      <c r="H298" s="153" t="inlineStr">
        <is>
          <t>197-15-К-26, (07.08.2026) [FHM-K] · on file, not credited</t>
        </is>
      </c>
      <c r="I298" s="154" t="inlineStr">
        <is>
          <t>•</t>
        </is>
      </c>
      <c r="J298" s="145" t="n"/>
      <c r="K298" s="144" t="n"/>
      <c r="L298" s="144" t="n"/>
      <c r="M298" s="144" t="n"/>
      <c r="N298" s="144" t="n"/>
      <c r="O298" s="146" t="n"/>
      <c r="P298" s="155" t="inlineStr">
        <is>
          <t>ND</t>
        </is>
      </c>
      <c r="Q298" s="156" t="inlineStr">
        <is>
          <t>ND</t>
        </is>
      </c>
      <c r="R298" s="156" t="inlineStr">
        <is>
          <t>ND</t>
        </is>
      </c>
      <c r="S298" s="149" t="inlineStr">
        <is>
          <t>✓</t>
        </is>
      </c>
      <c r="T298" s="145" t="n"/>
      <c r="U298" s="144" t="n"/>
      <c r="V298" s="144" t="n"/>
      <c r="W298" s="144" t="n"/>
      <c r="X298" s="146" t="n"/>
      <c r="Y298" s="145" t="n"/>
      <c r="Z298" s="144" t="n"/>
      <c r="AA298" s="157" t="n"/>
    </row>
    <row r="299" ht="21" customHeight="1" s="70">
      <c r="A299" s="274" t="n"/>
      <c r="B299" s="275" t="n"/>
      <c r="C299" s="275" t="n"/>
      <c r="D299" s="160" t="n"/>
      <c r="E299" s="159" t="n"/>
      <c r="F299" s="161" t="n"/>
      <c r="G299" s="276" t="n"/>
      <c r="H299" s="275" t="n"/>
      <c r="I299" s="277" t="n"/>
      <c r="J299" s="160" t="n"/>
      <c r="K299" s="159" t="n"/>
      <c r="L299" s="159" t="n"/>
      <c r="M299" s="159" t="n"/>
      <c r="N299" s="159" t="n"/>
      <c r="O299" s="161" t="n"/>
      <c r="P299" s="162" t="inlineStr">
        <is>
          <t>197-15-М-26, (10.08.2026) [FHM-M]</t>
        </is>
      </c>
      <c r="Q299" s="278" t="n"/>
      <c r="R299" s="279" t="n"/>
      <c r="S299" s="277" t="n"/>
      <c r="T299" s="160" t="n"/>
      <c r="U299" s="159" t="n"/>
      <c r="V299" s="159" t="n"/>
      <c r="W299" s="159" t="n"/>
      <c r="X299" s="161" t="n"/>
      <c r="Y299" s="160" t="n"/>
      <c r="Z299" s="159" t="n"/>
      <c r="AA299" s="163" t="n"/>
    </row>
    <row r="300" ht="21" customHeight="1" s="70">
      <c r="A300" s="125" t="inlineStr">
        <is>
          <t>KC102501</t>
        </is>
      </c>
      <c r="B300" s="126" t="inlineStr">
        <is>
          <t>P060172</t>
        </is>
      </c>
      <c r="C300" s="164" t="inlineStr">
        <is>
          <t>⚠ 3 NO RESULT
(3 no cert / 0 cert w/o result)
3 testing instances
• 2 document(s) on file, not credited</t>
        </is>
      </c>
      <c r="D300" s="128" t="inlineStr">
        <is>
          <t>Conforms</t>
        </is>
      </c>
      <c r="E300" s="129">
        <f>IFERROR(INDEX('iCoA Register'!$B:$B,MATCH("P060172|I",'iCoA Register'!$AA:$AA,0)),"iCoA — at issue")&amp;", (12.03.2026) [PP]"</f>
        <v/>
      </c>
      <c r="F300" s="130" t="inlineStr">
        <is>
          <t>✓</t>
        </is>
      </c>
      <c r="G300" s="128" t="inlineStr">
        <is>
          <t>8.6</t>
        </is>
      </c>
      <c r="H300" s="129" t="inlineStr">
        <is>
          <t>051-4-ГС-26, (02.03.2026) [FHM-K]</t>
        </is>
      </c>
      <c r="I300" s="130" t="inlineStr">
        <is>
          <t>✓</t>
        </is>
      </c>
      <c r="J300" s="165" t="inlineStr">
        <is>
          <t>— MISSING —</t>
        </is>
      </c>
      <c r="K300" s="166" t="inlineStr">
        <is>
          <t>— MISSING —</t>
        </is>
      </c>
      <c r="L300" s="166" t="inlineStr">
        <is>
          <t>— MISSING —</t>
        </is>
      </c>
      <c r="M300" s="166" t="inlineStr">
        <is>
          <t>— MISSING —</t>
        </is>
      </c>
      <c r="N300" s="166" t="inlineStr">
        <is>
          <t>— MISSING —</t>
        </is>
      </c>
      <c r="O300" s="167" t="inlineStr">
        <is>
          <t>✗</t>
        </is>
      </c>
      <c r="P300" s="128" t="inlineStr">
        <is>
          <t>ND</t>
        </is>
      </c>
      <c r="Q300" s="136" t="inlineStr">
        <is>
          <t>ND</t>
        </is>
      </c>
      <c r="R300" s="136" t="inlineStr">
        <is>
          <t>ND</t>
        </is>
      </c>
      <c r="S300" s="130" t="inlineStr">
        <is>
          <t>✓</t>
        </is>
      </c>
      <c r="T300" s="165" t="inlineStr">
        <is>
          <t>— MISSING —</t>
        </is>
      </c>
      <c r="U300" s="166" t="inlineStr">
        <is>
          <t>— MISSING —</t>
        </is>
      </c>
      <c r="V300" s="166" t="inlineStr">
        <is>
          <t>— MISSING —</t>
        </is>
      </c>
      <c r="W300" s="166" t="inlineStr">
        <is>
          <t>— MISSING —</t>
        </is>
      </c>
      <c r="X300" s="167" t="inlineStr">
        <is>
          <t>✗</t>
        </is>
      </c>
      <c r="Y300" s="165" t="inlineStr">
        <is>
          <t>— MISSING —</t>
        </is>
      </c>
      <c r="Z300" s="168" t="inlineStr">
        <is>
          <t>— no certificate —</t>
        </is>
      </c>
      <c r="AA300" s="169" t="inlineStr">
        <is>
          <t>✗</t>
        </is>
      </c>
    </row>
    <row r="301" ht="21" customHeight="1" s="70">
      <c r="A301" s="270" t="n"/>
      <c r="B301" s="268" t="n"/>
      <c r="C301" s="268" t="n"/>
      <c r="D301" s="271" t="n"/>
      <c r="E301" s="269" t="n"/>
      <c r="F301" s="272" t="n"/>
      <c r="G301" s="271" t="n"/>
      <c r="H301" s="269" t="n"/>
      <c r="I301" s="272" t="n"/>
      <c r="J301" s="170" t="inlineStr">
        <is>
          <t>— no certificate —</t>
        </is>
      </c>
      <c r="K301" s="120" t="n"/>
      <c r="L301" s="120" t="n"/>
      <c r="M301" s="120" t="n"/>
      <c r="N301" s="121" t="n"/>
      <c r="O301" s="272" t="n"/>
      <c r="P301" s="141" t="inlineStr">
        <is>
          <t>220-19-М-26, (11.09.2026) [FHM-M]</t>
        </is>
      </c>
      <c r="Q301" s="120" t="n"/>
      <c r="R301" s="121" t="n"/>
      <c r="S301" s="272" t="n"/>
      <c r="T301" s="170" t="inlineStr">
        <is>
          <t>— no certificate —</t>
        </is>
      </c>
      <c r="U301" s="120" t="n"/>
      <c r="V301" s="120" t="n"/>
      <c r="W301" s="121" t="n"/>
      <c r="X301" s="272" t="n"/>
      <c r="Y301" s="271" t="n"/>
      <c r="Z301" s="269" t="n"/>
      <c r="AA301" s="273" t="n"/>
    </row>
    <row r="302" ht="17.625" customHeight="1" s="70">
      <c r="A302" s="270" t="n"/>
      <c r="B302" s="268" t="n"/>
      <c r="C302" s="268" t="n"/>
      <c r="D302" s="145" t="n"/>
      <c r="E302" s="144" t="n"/>
      <c r="F302" s="146" t="n"/>
      <c r="G302" s="189" t="inlineStr">
        <is>
          <t>not on this certificate</t>
        </is>
      </c>
      <c r="H302" s="190" t="inlineStr">
        <is>
          <t>051-4-К-26, (04.03.2026) [FHM-K] · on file, not credited</t>
        </is>
      </c>
      <c r="I302" s="191" t="inlineStr">
        <is>
          <t>•</t>
        </is>
      </c>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5.375" customHeight="1" s="70">
      <c r="A303" s="270" t="n"/>
      <c r="B303" s="268" t="n"/>
      <c r="C303" s="268" t="n"/>
      <c r="D303" s="194" t="n"/>
      <c r="E303" s="193" t="n"/>
      <c r="F303" s="195" t="n"/>
      <c r="G303" s="271" t="n"/>
      <c r="H303" s="269" t="n"/>
      <c r="I303" s="272" t="n"/>
      <c r="J303" s="194" t="n"/>
      <c r="K303" s="193" t="n"/>
      <c r="L303" s="193" t="n"/>
      <c r="M303" s="193" t="n"/>
      <c r="N303" s="193" t="n"/>
      <c r="O303" s="195" t="n"/>
      <c r="P303" s="194" t="n"/>
      <c r="Q303" s="193" t="n"/>
      <c r="R303" s="193" t="n"/>
      <c r="S303" s="195" t="n"/>
      <c r="T303" s="194" t="n"/>
      <c r="U303" s="193" t="n"/>
      <c r="V303" s="193" t="n"/>
      <c r="W303" s="193" t="n"/>
      <c r="X303" s="195" t="n"/>
      <c r="Y303" s="194" t="n"/>
      <c r="Z303" s="193" t="n"/>
      <c r="AA303" s="196" t="n"/>
    </row>
    <row r="304" ht="17.625" customHeight="1" s="70">
      <c r="A304" s="270" t="n"/>
      <c r="B304" s="268" t="n"/>
      <c r="C304" s="268" t="n"/>
      <c r="D304" s="145" t="n"/>
      <c r="E304" s="144" t="n"/>
      <c r="F304" s="146" t="n"/>
      <c r="G304" s="145" t="n"/>
      <c r="H304" s="144" t="n"/>
      <c r="I304" s="146" t="n"/>
      <c r="J304" s="145" t="n"/>
      <c r="K304" s="144" t="n"/>
      <c r="L304" s="144" t="n"/>
      <c r="M304" s="144" t="n"/>
      <c r="N304" s="144" t="n"/>
      <c r="O304" s="146" t="n"/>
      <c r="P304" s="145" t="n"/>
      <c r="Q304" s="144" t="n"/>
      <c r="R304" s="144" t="n"/>
      <c r="S304" s="146" t="n"/>
      <c r="T304" s="145" t="n"/>
      <c r="U304" s="144" t="n"/>
      <c r="V304" s="144" t="n"/>
      <c r="W304" s="144" t="n"/>
      <c r="X304" s="146" t="n"/>
      <c r="Y304" s="145" t="n"/>
      <c r="Z304" s="144" t="n"/>
      <c r="AA304" s="157" t="n"/>
    </row>
    <row r="305" ht="13" customHeight="1" s="70">
      <c r="A305" s="274" t="n"/>
      <c r="B305" s="275" t="n"/>
      <c r="C305" s="275" t="n"/>
      <c r="D305" s="160" t="n"/>
      <c r="E305" s="159" t="n"/>
      <c r="F305" s="161" t="n"/>
      <c r="G305" s="160" t="n"/>
      <c r="H305" s="159" t="n"/>
      <c r="I305" s="161" t="n"/>
      <c r="J305" s="160" t="n"/>
      <c r="K305" s="159" t="n"/>
      <c r="L305" s="159" t="n"/>
      <c r="M305" s="159" t="n"/>
      <c r="N305" s="159" t="n"/>
      <c r="O305" s="161" t="n"/>
      <c r="P305" s="160" t="n"/>
      <c r="Q305" s="159" t="n"/>
      <c r="R305" s="159" t="n"/>
      <c r="S305" s="161" t="n"/>
      <c r="T305" s="160" t="n"/>
      <c r="U305" s="159" t="n"/>
      <c r="V305" s="159" t="n"/>
      <c r="W305" s="159" t="n"/>
      <c r="X305" s="161" t="n"/>
      <c r="Y305" s="160" t="n"/>
      <c r="Z305" s="159" t="n"/>
      <c r="AA305" s="163" t="n"/>
    </row>
    <row r="306" ht="21" customHeight="1" s="70">
      <c r="A306" s="125" t="inlineStr">
        <is>
          <t>OPM1024</t>
        </is>
      </c>
      <c r="B306" s="126" t="inlineStr">
        <is>
          <t>N/A — no P batch assigned</t>
        </is>
      </c>
      <c r="C306" s="171" t="inlineStr">
        <is>
          <t>✗ 4 NO RESULT
(4 no cert / 0 cert w/o result)
2 testing instances
• 2 document(s) on file, not credited</t>
        </is>
      </c>
      <c r="D306" s="128" t="inlineStr">
        <is>
          <t>Conforms</t>
        </is>
      </c>
      <c r="E306" s="129" t="inlineStr">
        <is>
          <t>iCoA — at issue (OPM1024), (23.04.2025) [PP]</t>
        </is>
      </c>
      <c r="F306" s="130" t="inlineStr">
        <is>
          <t>✓</t>
        </is>
      </c>
      <c r="G306" s="131" t="inlineStr">
        <is>
          <t>not on this certificate</t>
        </is>
      </c>
      <c r="H306" s="132" t="inlineStr">
        <is>
          <t>197-17-К-26, (07.08.2026) [FHM-K] · on file, not credited</t>
        </is>
      </c>
      <c r="I306" s="133" t="inlineStr">
        <is>
          <t>•</t>
        </is>
      </c>
      <c r="J306" s="131" t="inlineStr">
        <is>
          <t>1.3 × 10⁴ ᴿ</t>
        </is>
      </c>
      <c r="K306" s="197" t="inlineStr">
        <is>
          <t>7 × 10² ᴿ</t>
        </is>
      </c>
      <c r="L306" s="197" t="inlineStr">
        <is>
          <t>&lt; 10² &gt; 10³ ᴿ</t>
        </is>
      </c>
      <c r="M306" s="197" t="inlineStr">
        <is>
          <t>Absent ᴿ</t>
        </is>
      </c>
      <c r="N306" s="197" t="inlineStr">
        <is>
          <t>Absent ᴿ</t>
        </is>
      </c>
      <c r="O306" s="133" t="inlineStr">
        <is>
          <t>•</t>
        </is>
      </c>
      <c r="P306" s="131" t="inlineStr">
        <is>
          <t>not reported</t>
        </is>
      </c>
      <c r="Q306" s="197" t="inlineStr">
        <is>
          <t>&lt; 2 ᴿ</t>
        </is>
      </c>
      <c r="R306" s="197" t="inlineStr">
        <is>
          <t>not reported</t>
        </is>
      </c>
      <c r="S306" s="133" t="inlineStr">
        <is>
          <t>•</t>
        </is>
      </c>
      <c r="T306" s="131" t="inlineStr">
        <is>
          <t>0.031 ᴿ</t>
        </is>
      </c>
      <c r="U306" s="197" t="inlineStr">
        <is>
          <t>0.017 ᴿ</t>
        </is>
      </c>
      <c r="V306" s="197" t="inlineStr">
        <is>
          <t>0.045 ᴿ</t>
        </is>
      </c>
      <c r="W306" s="197" t="inlineStr">
        <is>
          <t>0.005 ᴿ</t>
        </is>
      </c>
      <c r="X306" s="133" t="inlineStr">
        <is>
          <t>•</t>
        </is>
      </c>
      <c r="Y306" s="131" t="inlineStr">
        <is>
          <t>ND ᴿ</t>
        </is>
      </c>
      <c r="Z306" s="132">
        <f>IFERROR(INDEX('iCoA Register'!$B:$B,MATCH("OPM1024|I",'iCoA Register'!$AA:$AA,0)),"iCoA — at issue")&amp;", (24.04.2025) [PP] · on file, not credited"</f>
        <v/>
      </c>
      <c r="AA306" s="198" t="inlineStr">
        <is>
          <t>•</t>
        </is>
      </c>
    </row>
    <row r="307" ht="21" customHeight="1" s="70">
      <c r="A307" s="270" t="n"/>
      <c r="B307" s="268" t="n"/>
      <c r="C307" s="268" t="n"/>
      <c r="D307" s="271" t="n"/>
      <c r="E307" s="269" t="n"/>
      <c r="F307" s="272" t="n"/>
      <c r="G307" s="271" t="n"/>
      <c r="H307" s="269" t="n"/>
      <c r="I307" s="272" t="n"/>
      <c r="J307" s="199">
        <f>IFERROR(INDEX('iCoA Register'!$B:$B,MATCH("OPM1024|I",'iCoA Register'!$AA:$AA,0)),"iCoA — at issue")&amp;", (24.04.2025) [PP] · on file, not credited"</f>
        <v/>
      </c>
      <c r="K307" s="120" t="n"/>
      <c r="L307" s="120" t="n"/>
      <c r="M307" s="120" t="n"/>
      <c r="N307" s="121" t="n"/>
      <c r="O307" s="272" t="n"/>
      <c r="P307" s="199">
        <f>IFERROR(INDEX('iCoA Register'!$B:$B,MATCH("OPM1024|I",'iCoA Register'!$AA:$AA,0)),"iCoA — at issue")&amp;", (24.04.2025) [PP] · on file, not credited"</f>
        <v/>
      </c>
      <c r="Q307" s="120" t="n"/>
      <c r="R307" s="121" t="n"/>
      <c r="S307" s="272" t="n"/>
      <c r="T307" s="199">
        <f>IFERROR(INDEX('iCoA Register'!$B:$B,MATCH("OPM1024|I",'iCoA Register'!$AA:$AA,0)),"iCoA — at issue")&amp;", (24.04.2025) [PP] · on file, not credited"</f>
        <v/>
      </c>
      <c r="U307" s="120" t="n"/>
      <c r="V307" s="120" t="n"/>
      <c r="W307" s="121" t="n"/>
      <c r="X307" s="272" t="n"/>
      <c r="Y307" s="271" t="n"/>
      <c r="Z307" s="269" t="n"/>
      <c r="AA307" s="273" t="n"/>
    </row>
    <row r="308" ht="17.625" customHeight="1" s="70">
      <c r="A308" s="270" t="n"/>
      <c r="B308" s="268" t="n"/>
      <c r="C308" s="268" t="n"/>
      <c r="D308" s="147" t="inlineStr">
        <is>
          <t>Conforms</t>
        </is>
      </c>
      <c r="E308" s="148">
        <f>IFERROR(INDEX('iCoA Register'!$B:$B,MATCH("OPM1024|I",'iCoA Register'!$AA:$AA,0)),"iCoA — at issue")&amp;", (24.04.2025) [PP]"</f>
        <v/>
      </c>
      <c r="F308" s="149" t="inlineStr">
        <is>
          <t>✓</t>
        </is>
      </c>
      <c r="G308" s="145" t="n"/>
      <c r="H308" s="144" t="n"/>
      <c r="I308" s="146" t="n"/>
      <c r="J308" s="145" t="n"/>
      <c r="K308" s="144" t="n"/>
      <c r="L308" s="144" t="n"/>
      <c r="M308" s="144" t="n"/>
      <c r="N308" s="144" t="n"/>
      <c r="O308" s="146" t="n"/>
      <c r="P308" s="155" t="inlineStr">
        <is>
          <t>ND</t>
        </is>
      </c>
      <c r="Q308" s="156" t="inlineStr">
        <is>
          <t>ND</t>
        </is>
      </c>
      <c r="R308" s="156" t="inlineStr">
        <is>
          <t>ND</t>
        </is>
      </c>
      <c r="S308" s="149" t="inlineStr">
        <is>
          <t>✓</t>
        </is>
      </c>
      <c r="T308" s="145" t="n"/>
      <c r="U308" s="144" t="n"/>
      <c r="V308" s="144" t="n"/>
      <c r="W308" s="144" t="n"/>
      <c r="X308" s="146" t="n"/>
      <c r="Y308" s="145" t="n"/>
      <c r="Z308" s="144" t="n"/>
      <c r="AA308" s="157" t="n"/>
    </row>
    <row r="309" ht="13" customHeight="1" s="70">
      <c r="A309" s="274" t="n"/>
      <c r="B309" s="275" t="n"/>
      <c r="C309" s="275" t="n"/>
      <c r="D309" s="276" t="n"/>
      <c r="E309" s="275" t="n"/>
      <c r="F309" s="277" t="n"/>
      <c r="G309" s="160" t="n"/>
      <c r="H309" s="159" t="n"/>
      <c r="I309" s="161" t="n"/>
      <c r="J309" s="160" t="n"/>
      <c r="K309" s="159" t="n"/>
      <c r="L309" s="159" t="n"/>
      <c r="M309" s="159" t="n"/>
      <c r="N309" s="159" t="n"/>
      <c r="O309" s="161" t="n"/>
      <c r="P309" s="162" t="inlineStr">
        <is>
          <t>197-17-М-26, (10.08.2026) [FHM-M]</t>
        </is>
      </c>
      <c r="Q309" s="278" t="n"/>
      <c r="R309" s="279" t="n"/>
      <c r="S309" s="277" t="n"/>
      <c r="T309" s="160" t="n"/>
      <c r="U309" s="159" t="n"/>
      <c r="V309" s="159" t="n"/>
      <c r="W309" s="159" t="n"/>
      <c r="X309" s="161" t="n"/>
      <c r="Y309" s="160" t="n"/>
      <c r="Z309" s="159" t="n"/>
      <c r="AA309" s="163" t="n"/>
    </row>
    <row r="310" ht="21" customHeight="1" s="70">
      <c r="A310" s="125" t="inlineStr">
        <is>
          <t>OPM112501</t>
        </is>
      </c>
      <c r="B310" s="126" t="inlineStr">
        <is>
          <t>P060222</t>
        </is>
      </c>
      <c r="C310" s="164" t="inlineStr">
        <is>
          <t>⚠ 3 NO RESULT
(3 no cert / 0 cert w/o result)
2 testing instances
• 1 document(s) on file, not credited</t>
        </is>
      </c>
      <c r="D310" s="128" t="inlineStr">
        <is>
          <t>Conforms</t>
        </is>
      </c>
      <c r="E310" s="129">
        <f>IFERROR(INDEX('iCoA Register'!$B:$B,MATCH("P060222|I",'iCoA Register'!$AA:$AA,0)),"iCoA — at issue")&amp;", (24.04.2026) [PP]"</f>
        <v/>
      </c>
      <c r="F310" s="130" t="inlineStr">
        <is>
          <t>✓</t>
        </is>
      </c>
      <c r="G310" s="128" t="inlineStr">
        <is>
          <t>8.06 ᴿ</t>
        </is>
      </c>
      <c r="H310" s="129" t="inlineStr">
        <is>
          <t>ППК26031, (05.03.2026) [CNP]</t>
        </is>
      </c>
      <c r="I310" s="130" t="inlineStr">
        <is>
          <t>✓</t>
        </is>
      </c>
      <c r="J310" s="128" t="inlineStr">
        <is>
          <t>&lt; 10</t>
        </is>
      </c>
      <c r="K310" s="136" t="inlineStr">
        <is>
          <t>10</t>
        </is>
      </c>
      <c r="L310" s="136" t="inlineStr">
        <is>
          <t>&lt; 10</t>
        </is>
      </c>
      <c r="M310" s="136" t="inlineStr">
        <is>
          <t>Absent</t>
        </is>
      </c>
      <c r="N310" s="136" t="inlineStr">
        <is>
          <t>Absent</t>
        </is>
      </c>
      <c r="O310" s="130" t="inlineStr">
        <is>
          <t>✓</t>
        </is>
      </c>
      <c r="P310" s="165" t="inlineStr">
        <is>
          <t>— MISSING —</t>
        </is>
      </c>
      <c r="Q310" s="166" t="inlineStr">
        <is>
          <t>— MISSING —</t>
        </is>
      </c>
      <c r="R310" s="166" t="inlineStr">
        <is>
          <t>— MISSING —</t>
        </is>
      </c>
      <c r="S310" s="167" t="inlineStr">
        <is>
          <t>✗</t>
        </is>
      </c>
      <c r="T310" s="165" t="inlineStr">
        <is>
          <t>— MISSING —</t>
        </is>
      </c>
      <c r="U310" s="166" t="inlineStr">
        <is>
          <t>— MISSING —</t>
        </is>
      </c>
      <c r="V310" s="166" t="inlineStr">
        <is>
          <t>— MISSING —</t>
        </is>
      </c>
      <c r="W310" s="166" t="inlineStr">
        <is>
          <t>— MISSING —</t>
        </is>
      </c>
      <c r="X310" s="167" t="inlineStr">
        <is>
          <t>✗</t>
        </is>
      </c>
      <c r="Y310" s="165" t="inlineStr">
        <is>
          <t>— MISSING —</t>
        </is>
      </c>
      <c r="Z310" s="168" t="inlineStr">
        <is>
          <t>— no certificate —</t>
        </is>
      </c>
      <c r="AA310" s="169" t="inlineStr">
        <is>
          <t>✗</t>
        </is>
      </c>
    </row>
    <row r="311" ht="13" customHeight="1" s="70">
      <c r="A311" s="270" t="n"/>
      <c r="B311" s="268" t="n"/>
      <c r="C311" s="268" t="n"/>
      <c r="D311" s="271" t="n"/>
      <c r="E311" s="269" t="n"/>
      <c r="F311" s="272" t="n"/>
      <c r="G311" s="271" t="n"/>
      <c r="H311" s="269" t="n"/>
      <c r="I311" s="272" t="n"/>
      <c r="J311" s="141" t="inlineStr">
        <is>
          <t>546-1077-26, (31.08.2026) [IJZ-MB]</t>
        </is>
      </c>
      <c r="K311" s="120" t="n"/>
      <c r="L311" s="120" t="n"/>
      <c r="M311" s="120" t="n"/>
      <c r="N311" s="121" t="n"/>
      <c r="O311" s="272" t="n"/>
      <c r="P311" s="170" t="inlineStr">
        <is>
          <t>— no certificate —</t>
        </is>
      </c>
      <c r="Q311" s="120" t="n"/>
      <c r="R311" s="121" t="n"/>
      <c r="S311" s="272" t="n"/>
      <c r="T311" s="170" t="inlineStr">
        <is>
          <t>— no certificate —</t>
        </is>
      </c>
      <c r="U311" s="120" t="n"/>
      <c r="V311" s="120" t="n"/>
      <c r="W311" s="121" t="n"/>
      <c r="X311" s="272" t="n"/>
      <c r="Y311" s="271" t="n"/>
      <c r="Z311" s="269" t="n"/>
      <c r="AA311" s="273" t="n"/>
    </row>
    <row r="312" ht="17.625" customHeight="1" s="70">
      <c r="A312" s="270" t="n"/>
      <c r="B312" s="268" t="n"/>
      <c r="C312" s="268" t="n"/>
      <c r="D312" s="145" t="n"/>
      <c r="E312" s="144" t="n"/>
      <c r="F312" s="146" t="n"/>
      <c r="G312" s="145" t="n"/>
      <c r="H312" s="144" t="n"/>
      <c r="I312" s="146" t="n"/>
      <c r="J312" s="145" t="n"/>
      <c r="K312" s="144" t="n"/>
      <c r="L312" s="144" t="n"/>
      <c r="M312" s="144" t="n"/>
      <c r="N312" s="144" t="n"/>
      <c r="O312" s="146" t="n"/>
      <c r="P312" s="145" t="n"/>
      <c r="Q312" s="144" t="n"/>
      <c r="R312" s="144" t="n"/>
      <c r="S312" s="146" t="n"/>
      <c r="T312" s="145" t="n"/>
      <c r="U312" s="144" t="n"/>
      <c r="V312" s="144" t="n"/>
      <c r="W312" s="144" t="n"/>
      <c r="X312" s="146" t="n"/>
      <c r="Y312" s="145" t="n"/>
      <c r="Z312" s="144" t="n"/>
      <c r="AA312" s="157" t="n"/>
    </row>
    <row r="313" ht="13" customHeight="1" s="70">
      <c r="A313" s="274" t="n"/>
      <c r="B313" s="275" t="n"/>
      <c r="C313" s="275" t="n"/>
      <c r="D313" s="160" t="n"/>
      <c r="E313" s="159" t="n"/>
      <c r="F313" s="161" t="n"/>
      <c r="G313" s="160" t="n"/>
      <c r="H313" s="159" t="n"/>
      <c r="I313" s="161" t="n"/>
      <c r="J313" s="160" t="n"/>
      <c r="K313" s="159" t="n"/>
      <c r="L313" s="159" t="n"/>
      <c r="M313" s="159" t="n"/>
      <c r="N313" s="159" t="n"/>
      <c r="O313" s="161" t="n"/>
      <c r="P313" s="160" t="n"/>
      <c r="Q313" s="159" t="n"/>
      <c r="R313" s="159" t="n"/>
      <c r="S313" s="161" t="n"/>
      <c r="T313" s="160" t="n"/>
      <c r="U313" s="159" t="n"/>
      <c r="V313" s="159" t="n"/>
      <c r="W313" s="159" t="n"/>
      <c r="X313" s="161" t="n"/>
      <c r="Y313" s="160" t="n"/>
      <c r="Z313" s="159" t="n"/>
      <c r="AA313" s="163" t="n"/>
    </row>
    <row r="314" ht="30" customHeight="1" s="70">
      <c r="A314" s="125" t="inlineStr">
        <is>
          <t>BSS052501</t>
        </is>
      </c>
      <c r="B314" s="126" t="inlineStr">
        <is>
          <t>P050192</t>
        </is>
      </c>
      <c r="C314" s="164" t="inlineStr">
        <is>
          <t>⚠ 1 NO RESULT
(0 no cert / 1 cert w/o result)
3 testing instances
• 1 document(s) on file, not credited</t>
        </is>
      </c>
      <c r="D314" s="128" t="inlineStr">
        <is>
          <t>Conforms</t>
        </is>
      </c>
      <c r="E314" s="129">
        <f>IFERROR(INDEX('iCoA Register'!$B:$B,MATCH("P050192|I",'iCoA Register'!$AA:$AA,0)),"iCoA — at issue")&amp;", (10.10.2025) [PP]"</f>
        <v/>
      </c>
      <c r="F314" s="130" t="inlineStr">
        <is>
          <t>✓</t>
        </is>
      </c>
      <c r="G314" s="131" t="inlineStr">
        <is>
          <t>8.19 (avg of 4 weighings 51-1,51-2,52-1,52-2) ᴿ</t>
        </is>
      </c>
      <c r="H314" s="132">
        <f>IFERROR(INDEX('iCoA Register'!$B:$B,MATCH("P050192|I",'iCoA Register'!$AA:$AA,0)),"iCoA — at issue")&amp;", (10.10.2025) [PP] · on file, not credited"</f>
        <v/>
      </c>
      <c r="I314" s="133" t="inlineStr">
        <is>
          <t>•</t>
        </is>
      </c>
      <c r="J314" s="128" t="inlineStr">
        <is>
          <t>200</t>
        </is>
      </c>
      <c r="K314" s="136" t="inlineStr">
        <is>
          <t>200</t>
        </is>
      </c>
      <c r="L314" s="136" t="inlineStr">
        <is>
          <t>&lt; 10² &gt; 10</t>
        </is>
      </c>
      <c r="M314" s="136" t="inlineStr">
        <is>
          <t>Absent</t>
        </is>
      </c>
      <c r="N314" s="136" t="inlineStr">
        <is>
          <t>Absent</t>
        </is>
      </c>
      <c r="O314" s="130" t="inlineStr">
        <is>
          <t>✓</t>
        </is>
      </c>
      <c r="P314" s="205" t="inlineStr">
        <is>
          <t>not on this certificate</t>
        </is>
      </c>
      <c r="Q314" s="206" t="inlineStr"/>
      <c r="R314" s="206" t="inlineStr"/>
      <c r="S314" s="207" t="inlineStr">
        <is>
          <t>✗</t>
        </is>
      </c>
      <c r="T314" s="128" t="inlineStr">
        <is>
          <t>0.024</t>
        </is>
      </c>
      <c r="U314" s="136" t="inlineStr">
        <is>
          <t>0.004</t>
        </is>
      </c>
      <c r="V314" s="136" t="inlineStr">
        <is>
          <t>0.025</t>
        </is>
      </c>
      <c r="W314" s="136" t="inlineStr">
        <is>
          <t>0.0036</t>
        </is>
      </c>
      <c r="X314" s="130" t="inlineStr">
        <is>
          <t>✓</t>
        </is>
      </c>
      <c r="Y314" s="128" t="inlineStr">
        <is>
          <t>&lt; LOQ</t>
        </is>
      </c>
      <c r="Z314" s="129" t="inlineStr">
        <is>
          <t>10802_2845-2 EN, (17.11.2025) [DFL]</t>
        </is>
      </c>
      <c r="AA314" s="137" t="inlineStr">
        <is>
          <t>✓</t>
        </is>
      </c>
    </row>
    <row r="315" ht="24.375" customHeight="1" s="70">
      <c r="A315" s="270" t="n"/>
      <c r="B315" s="268" t="n"/>
      <c r="C315" s="268" t="n"/>
      <c r="D315" s="271" t="n"/>
      <c r="E315" s="269" t="n"/>
      <c r="F315" s="272" t="n"/>
      <c r="G315" s="271" t="n"/>
      <c r="H315" s="269" t="n"/>
      <c r="I315" s="272" t="n"/>
      <c r="J315" s="141" t="inlineStr">
        <is>
          <t>1157-2058-25, (24.11.2025) [IJZ-MB]</t>
        </is>
      </c>
      <c r="K315" s="120" t="n"/>
      <c r="L315" s="120" t="n"/>
      <c r="M315" s="120" t="n"/>
      <c r="N315" s="121" t="n"/>
      <c r="O315" s="272" t="n"/>
      <c r="P315" s="208" t="inlineStr">
        <is>
          <t>5661-2025, (01.12.2025) [IJZ]</t>
        </is>
      </c>
      <c r="Q315" s="120" t="n"/>
      <c r="R315" s="121" t="n"/>
      <c r="S315" s="272" t="n"/>
      <c r="T315" s="141" t="inlineStr">
        <is>
          <t>5661-2025, (01.12.2025) [IJZ]</t>
        </is>
      </c>
      <c r="U315" s="120" t="n"/>
      <c r="V315" s="120" t="n"/>
      <c r="W315" s="121" t="n"/>
      <c r="X315" s="272" t="n"/>
      <c r="Y315" s="271" t="n"/>
      <c r="Z315" s="269" t="n"/>
      <c r="AA315" s="273" t="n"/>
    </row>
    <row r="316" ht="21" customHeight="1" s="70">
      <c r="A316" s="270" t="n"/>
      <c r="B316" s="268" t="n"/>
      <c r="C316" s="268" t="n"/>
      <c r="D316" s="145" t="n"/>
      <c r="E316" s="144" t="n"/>
      <c r="F316" s="146" t="n"/>
      <c r="G316" s="200" t="inlineStr">
        <is>
          <t>not on this certificate</t>
        </is>
      </c>
      <c r="H316" s="201" t="inlineStr">
        <is>
          <t>NGP-QCG-SOP-024 F3, (28.11.2025) [NGP]</t>
        </is>
      </c>
      <c r="I316" s="202" t="inlineStr">
        <is>
          <t>✗</t>
        </is>
      </c>
      <c r="J316" s="155" t="inlineStr">
        <is>
          <t>5.4 × 10²</t>
        </is>
      </c>
      <c r="K316" s="156" t="inlineStr">
        <is>
          <t>3.7 × 10²</t>
        </is>
      </c>
      <c r="L316" s="156" t="inlineStr">
        <is>
          <t>&lt; 10</t>
        </is>
      </c>
      <c r="M316" s="156" t="inlineStr">
        <is>
          <t>Absent</t>
        </is>
      </c>
      <c r="N316" s="156" t="inlineStr">
        <is>
          <t>Absent</t>
        </is>
      </c>
      <c r="O316" s="186" t="inlineStr">
        <is>
          <t>✓</t>
        </is>
      </c>
      <c r="P316" s="155" t="inlineStr">
        <is>
          <t>ND *</t>
        </is>
      </c>
      <c r="Q316" s="156" t="inlineStr">
        <is>
          <t>not reported</t>
        </is>
      </c>
      <c r="R316" s="156" t="inlineStr">
        <is>
          <t>&lt; LOQ **</t>
        </is>
      </c>
      <c r="S316" s="186" t="inlineStr">
        <is>
          <t>✓</t>
        </is>
      </c>
      <c r="T316" s="145" t="n"/>
      <c r="U316" s="144" t="n"/>
      <c r="V316" s="144" t="n"/>
      <c r="W316" s="144" t="n"/>
      <c r="X316" s="146" t="n"/>
      <c r="Y316" s="155" t="inlineStr">
        <is>
          <t>&lt; LOQ</t>
        </is>
      </c>
      <c r="Z316" s="185" t="inlineStr">
        <is>
          <t>10802_2845-2 MK, (17.11.2025) [DFL]</t>
        </is>
      </c>
      <c r="AA316" s="209" t="inlineStr">
        <is>
          <t>✓</t>
        </is>
      </c>
    </row>
    <row r="317" ht="13" customHeight="1" s="70">
      <c r="A317" s="270" t="n"/>
      <c r="B317" s="268" t="n"/>
      <c r="C317" s="268" t="n"/>
      <c r="D317" s="194" t="n"/>
      <c r="E317" s="193" t="n"/>
      <c r="F317" s="195" t="n"/>
      <c r="G317" s="271" t="n"/>
      <c r="H317" s="269" t="n"/>
      <c r="I317" s="272" t="n"/>
      <c r="J317" s="210" t="inlineStr">
        <is>
          <t>548-1079-26, (31.08.2026) [IJZ-MB]</t>
        </is>
      </c>
      <c r="K317" s="281" t="n"/>
      <c r="L317" s="281" t="n"/>
      <c r="M317" s="281" t="n"/>
      <c r="N317" s="282" t="n"/>
      <c r="O317" s="272" t="n"/>
      <c r="P317" s="210" t="inlineStr">
        <is>
          <t>276-31-М-25, (04.12.2025) [FHM-M]</t>
        </is>
      </c>
      <c r="Q317" s="281" t="n"/>
      <c r="R317" s="282" t="n"/>
      <c r="S317" s="272" t="n"/>
      <c r="T317" s="194" t="n"/>
      <c r="U317" s="193" t="n"/>
      <c r="V317" s="193" t="n"/>
      <c r="W317" s="193" t="n"/>
      <c r="X317" s="195" t="n"/>
      <c r="Y317" s="271" t="n"/>
      <c r="Z317" s="269" t="n"/>
      <c r="AA317" s="273" t="n"/>
    </row>
    <row r="318" ht="17.625" customHeight="1" s="70">
      <c r="A318" s="270" t="n"/>
      <c r="B318" s="268" t="n"/>
      <c r="C318" s="268" t="n"/>
      <c r="D318" s="145" t="n"/>
      <c r="E318" s="144" t="n"/>
      <c r="F318" s="146" t="n"/>
      <c r="G318" s="145" t="n"/>
      <c r="H318" s="144" t="n"/>
      <c r="I318" s="146" t="n"/>
      <c r="J318" s="145" t="n"/>
      <c r="K318" s="144" t="n"/>
      <c r="L318" s="144" t="n"/>
      <c r="M318" s="144" t="n"/>
      <c r="N318" s="144" t="n"/>
      <c r="O318" s="146" t="n"/>
      <c r="P318" s="155" t="inlineStr">
        <is>
          <t>ND</t>
        </is>
      </c>
      <c r="Q318" s="156" t="inlineStr">
        <is>
          <t>ND</t>
        </is>
      </c>
      <c r="R318" s="156" t="inlineStr">
        <is>
          <t>ND</t>
        </is>
      </c>
      <c r="S318" s="149" t="inlineStr">
        <is>
          <t>✓</t>
        </is>
      </c>
      <c r="T318" s="145" t="n"/>
      <c r="U318" s="144" t="n"/>
      <c r="V318" s="144" t="n"/>
      <c r="W318" s="144" t="n"/>
      <c r="X318" s="146" t="n"/>
      <c r="Y318" s="225" t="inlineStr">
        <is>
          <t>not on this certificate</t>
        </is>
      </c>
      <c r="Z318" s="226" t="inlineStr">
        <is>
          <t>5661-2025, (01.12.2025) [IJZ]</t>
        </is>
      </c>
      <c r="AA318" s="227" t="inlineStr">
        <is>
          <t>✗</t>
        </is>
      </c>
    </row>
    <row r="319" ht="13" customHeight="1" s="70">
      <c r="A319" s="274" t="n"/>
      <c r="B319" s="275" t="n"/>
      <c r="C319" s="275" t="n"/>
      <c r="D319" s="160" t="n"/>
      <c r="E319" s="159" t="n"/>
      <c r="F319" s="161" t="n"/>
      <c r="G319" s="160" t="n"/>
      <c r="H319" s="159" t="n"/>
      <c r="I319" s="161" t="n"/>
      <c r="J319" s="160" t="n"/>
      <c r="K319" s="159" t="n"/>
      <c r="L319" s="159" t="n"/>
      <c r="M319" s="159" t="n"/>
      <c r="N319" s="159" t="n"/>
      <c r="O319" s="161" t="n"/>
      <c r="P319" s="162" t="inlineStr">
        <is>
          <t>220-2-М-26, (11.09.2026) [FHM-M]</t>
        </is>
      </c>
      <c r="Q319" s="278" t="n"/>
      <c r="R319" s="279" t="n"/>
      <c r="S319" s="277" t="n"/>
      <c r="T319" s="160" t="n"/>
      <c r="U319" s="159" t="n"/>
      <c r="V319" s="159" t="n"/>
      <c r="W319" s="159" t="n"/>
      <c r="X319" s="161" t="n"/>
      <c r="Y319" s="276" t="n"/>
      <c r="Z319" s="275" t="n"/>
      <c r="AA319" s="280" t="n"/>
    </row>
    <row r="320" ht="21" customHeight="1" s="70">
      <c r="A320" s="125" t="inlineStr">
        <is>
          <t>GP062501</t>
        </is>
      </c>
      <c r="B320" s="126" t="inlineStr">
        <is>
          <t>P050202</t>
        </is>
      </c>
      <c r="C320" s="127" t="inlineStr">
        <is>
          <t>✓ COMPLETE
6 testing instances
• 4 document(s) on file, not credited
· stability above A.C.: #6</t>
        </is>
      </c>
      <c r="D320" s="128" t="inlineStr">
        <is>
          <t>Conforms</t>
        </is>
      </c>
      <c r="E320" s="129">
        <f>IFERROR(INDEX('iCoA Register'!$B:$B,MATCH("P050202|I",'iCoA Register'!$AA:$AA,0)),"iCoA — at issue")&amp;", (30.10.2025) [PP]"</f>
        <v/>
      </c>
      <c r="F320" s="130" t="inlineStr">
        <is>
          <t>✓</t>
        </is>
      </c>
      <c r="G320" s="128" t="inlineStr">
        <is>
          <t>8.19</t>
        </is>
      </c>
      <c r="H320" s="129" t="inlineStr">
        <is>
          <t>NGP-QCG-SOP-024 F3, (28.11.2025) [NGP]</t>
        </is>
      </c>
      <c r="I320" s="130" t="inlineStr">
        <is>
          <t>✓</t>
        </is>
      </c>
      <c r="J320" s="128" t="inlineStr">
        <is>
          <t>1.3 × 10⁴</t>
        </is>
      </c>
      <c r="K320" s="136" t="inlineStr">
        <is>
          <t>4.2 × 10³</t>
        </is>
      </c>
      <c r="L320" s="136" t="inlineStr">
        <is>
          <t>&lt; 10³ and &gt; 10² ᴿ</t>
        </is>
      </c>
      <c r="M320" s="136" t="inlineStr">
        <is>
          <t>Absent</t>
        </is>
      </c>
      <c r="N320" s="136" t="inlineStr">
        <is>
          <t>Absent</t>
        </is>
      </c>
      <c r="O320" s="130" t="inlineStr">
        <is>
          <t>✓</t>
        </is>
      </c>
      <c r="P320" s="128" t="inlineStr">
        <is>
          <t>not reported</t>
        </is>
      </c>
      <c r="Q320" s="136" t="inlineStr">
        <is>
          <t>&lt; 2</t>
        </is>
      </c>
      <c r="R320" s="136" t="inlineStr">
        <is>
          <t>not reported</t>
        </is>
      </c>
      <c r="S320" s="130" t="inlineStr">
        <is>
          <t>✓</t>
        </is>
      </c>
      <c r="T320" s="128" t="inlineStr">
        <is>
          <t>0.077</t>
        </is>
      </c>
      <c r="U320" s="136" t="inlineStr">
        <is>
          <t>0.014</t>
        </is>
      </c>
      <c r="V320" s="136" t="inlineStr">
        <is>
          <t>0.024</t>
        </is>
      </c>
      <c r="W320" s="136" t="inlineStr">
        <is>
          <t>0.011</t>
        </is>
      </c>
      <c r="X320" s="130" t="inlineStr">
        <is>
          <t>✓</t>
        </is>
      </c>
      <c r="Y320" s="128" t="inlineStr">
        <is>
          <t>≤ LOQ (all 28 compounds)</t>
        </is>
      </c>
      <c r="Z320" s="129" t="inlineStr">
        <is>
          <t>4762-2025, (08.10.2025) [IJZ]</t>
        </is>
      </c>
      <c r="AA320" s="137" t="inlineStr">
        <is>
          <t>✓</t>
        </is>
      </c>
    </row>
    <row r="321" ht="13" customHeight="1" s="70">
      <c r="A321" s="270" t="n"/>
      <c r="B321" s="268" t="n"/>
      <c r="C321" s="268" t="n"/>
      <c r="D321" s="271" t="n"/>
      <c r="E321" s="269" t="n"/>
      <c r="F321" s="272" t="n"/>
      <c r="G321" s="271" t="n"/>
      <c r="H321" s="269" t="n"/>
      <c r="I321" s="272" t="n"/>
      <c r="J321" s="141" t="inlineStr">
        <is>
          <t>1009-1813-25, (08.10.2025) [IJZ-MB]</t>
        </is>
      </c>
      <c r="K321" s="120" t="n"/>
      <c r="L321" s="120" t="n"/>
      <c r="M321" s="120" t="n"/>
      <c r="N321" s="121" t="n"/>
      <c r="O321" s="272" t="n"/>
      <c r="P321" s="141" t="inlineStr">
        <is>
          <t>4762-2025, (08.10.2025) [IJZ]</t>
        </is>
      </c>
      <c r="Q321" s="120" t="n"/>
      <c r="R321" s="121" t="n"/>
      <c r="S321" s="272" t="n"/>
      <c r="T321" s="141" t="inlineStr">
        <is>
          <t>4762-2025, (08.10.2025) [IJZ]</t>
        </is>
      </c>
      <c r="U321" s="120" t="n"/>
      <c r="V321" s="120" t="n"/>
      <c r="W321" s="121" t="n"/>
      <c r="X321" s="272" t="n"/>
      <c r="Y321" s="271" t="n"/>
      <c r="Z321" s="269" t="n"/>
      <c r="AA321" s="273" t="n"/>
    </row>
    <row r="322" ht="17.625" customHeight="1" s="70">
      <c r="A322" s="270" t="n"/>
      <c r="B322" s="268" t="n"/>
      <c r="C322" s="268" t="n"/>
      <c r="D322" s="145" t="n"/>
      <c r="E322" s="144" t="n"/>
      <c r="F322" s="146" t="n"/>
      <c r="G322" s="217" t="inlineStr">
        <is>
          <t>5.83</t>
        </is>
      </c>
      <c r="H322" s="218" t="inlineStr">
        <is>
          <t>ППК26036, (05.03.2026) [CNP]</t>
        </is>
      </c>
      <c r="I322" s="219" t="inlineStr">
        <is>
          <t>✓</t>
        </is>
      </c>
      <c r="J322" s="155" t="inlineStr">
        <is>
          <t>600</t>
        </is>
      </c>
      <c r="K322" s="156" t="inlineStr">
        <is>
          <t>400</t>
        </is>
      </c>
      <c r="L322" s="156" t="inlineStr">
        <is>
          <t>&lt; 10</t>
        </is>
      </c>
      <c r="M322" s="156" t="inlineStr">
        <is>
          <t>Absent</t>
        </is>
      </c>
      <c r="N322" s="156" t="inlineStr">
        <is>
          <t>Absent</t>
        </is>
      </c>
      <c r="O322" s="186" t="inlineStr">
        <is>
          <t>✓</t>
        </is>
      </c>
      <c r="P322" s="145" t="n"/>
      <c r="Q322" s="144" t="n"/>
      <c r="R322" s="144" t="n"/>
      <c r="S322" s="146" t="n"/>
      <c r="T322" s="145" t="n"/>
      <c r="U322" s="144" t="n"/>
      <c r="V322" s="144" t="n"/>
      <c r="W322" s="144" t="n"/>
      <c r="X322" s="146" t="n"/>
      <c r="Y322" s="145" t="n"/>
      <c r="Z322" s="144" t="n"/>
      <c r="AA322" s="157" t="n"/>
    </row>
    <row r="323" ht="13" customHeight="1" s="70">
      <c r="A323" s="270" t="n"/>
      <c r="B323" s="268" t="n"/>
      <c r="C323" s="268" t="n"/>
      <c r="D323" s="194" t="n"/>
      <c r="E323" s="193" t="n"/>
      <c r="F323" s="195" t="n"/>
      <c r="G323" s="271" t="n"/>
      <c r="H323" s="269" t="n"/>
      <c r="I323" s="272" t="n"/>
      <c r="J323" s="210" t="inlineStr">
        <is>
          <t>1155-2056-25, (24.11.2025) [IJZ-MB]</t>
        </is>
      </c>
      <c r="K323" s="281" t="n"/>
      <c r="L323" s="281" t="n"/>
      <c r="M323" s="281" t="n"/>
      <c r="N323" s="282" t="n"/>
      <c r="O323" s="272" t="n"/>
      <c r="P323" s="194" t="n"/>
      <c r="Q323" s="193" t="n"/>
      <c r="R323" s="193" t="n"/>
      <c r="S323" s="195" t="n"/>
      <c r="T323" s="194" t="n"/>
      <c r="U323" s="193" t="n"/>
      <c r="V323" s="193" t="n"/>
      <c r="W323" s="193" t="n"/>
      <c r="X323" s="195" t="n"/>
      <c r="Y323" s="194" t="n"/>
      <c r="Z323" s="193" t="n"/>
      <c r="AA323" s="196" t="n"/>
    </row>
    <row r="324" ht="17.625" customHeight="1" s="70">
      <c r="A324" s="270" t="n"/>
      <c r="B324" s="268" t="n"/>
      <c r="C324" s="268" t="n"/>
      <c r="D324" s="145" t="n"/>
      <c r="E324" s="144" t="n"/>
      <c r="F324" s="146" t="n"/>
      <c r="G324" s="217" t="inlineStr">
        <is>
          <t>5.38</t>
        </is>
      </c>
      <c r="H324" s="218" t="inlineStr">
        <is>
          <t>ППК26037, (05.03.2026) [CNP]</t>
        </is>
      </c>
      <c r="I324" s="219" t="inlineStr">
        <is>
          <t>✓</t>
        </is>
      </c>
      <c r="J324" s="155" t="inlineStr">
        <is>
          <t>&lt; 10</t>
        </is>
      </c>
      <c r="K324" s="156" t="inlineStr">
        <is>
          <t>&lt; 10</t>
        </is>
      </c>
      <c r="L324" s="156" t="inlineStr">
        <is>
          <t>&lt; 10</t>
        </is>
      </c>
      <c r="M324" s="156" t="inlineStr">
        <is>
          <t>Absent</t>
        </is>
      </c>
      <c r="N324" s="156" t="inlineStr">
        <is>
          <t>Absent</t>
        </is>
      </c>
      <c r="O324" s="186" t="inlineStr">
        <is>
          <t>✓</t>
        </is>
      </c>
      <c r="P324" s="145" t="n"/>
      <c r="Q324" s="144" t="n"/>
      <c r="R324" s="144" t="n"/>
      <c r="S324" s="146" t="n"/>
      <c r="T324" s="145" t="n"/>
      <c r="U324" s="144" t="n"/>
      <c r="V324" s="144" t="n"/>
      <c r="W324" s="144" t="n"/>
      <c r="X324" s="146" t="n"/>
      <c r="Y324" s="145" t="n"/>
      <c r="Z324" s="144" t="n"/>
      <c r="AA324" s="157" t="n"/>
    </row>
    <row r="325" ht="13" customHeight="1" s="70">
      <c r="A325" s="270" t="n"/>
      <c r="B325" s="268" t="n"/>
      <c r="C325" s="268" t="n"/>
      <c r="D325" s="194" t="n"/>
      <c r="E325" s="193" t="n"/>
      <c r="F325" s="195" t="n"/>
      <c r="G325" s="271" t="n"/>
      <c r="H325" s="269" t="n"/>
      <c r="I325" s="272" t="n"/>
      <c r="J325" s="210" t="inlineStr">
        <is>
          <t>557-1088-26, (01.09.2026) [IJZ-MB]</t>
        </is>
      </c>
      <c r="K325" s="281" t="n"/>
      <c r="L325" s="281" t="n"/>
      <c r="M325" s="281" t="n"/>
      <c r="N325" s="282" t="n"/>
      <c r="O325" s="272" t="n"/>
      <c r="P325" s="194" t="n"/>
      <c r="Q325" s="193" t="n"/>
      <c r="R325" s="193" t="n"/>
      <c r="S325" s="195" t="n"/>
      <c r="T325" s="194" t="n"/>
      <c r="U325" s="193" t="n"/>
      <c r="V325" s="193" t="n"/>
      <c r="W325" s="193" t="n"/>
      <c r="X325" s="195" t="n"/>
      <c r="Y325" s="194" t="n"/>
      <c r="Z325" s="193" t="n"/>
      <c r="AA325" s="196" t="n"/>
    </row>
    <row r="326" ht="17.625" customHeight="1" s="70">
      <c r="A326" s="270" t="n"/>
      <c r="B326" s="268" t="n"/>
      <c r="C326" s="268" t="n"/>
      <c r="D326" s="145" t="n"/>
      <c r="E326" s="144" t="n"/>
      <c r="F326" s="146" t="n"/>
      <c r="G326" s="217" t="inlineStr">
        <is>
          <t>6.85</t>
        </is>
      </c>
      <c r="H326" s="218" t="inlineStr">
        <is>
          <t>ППК26057, (11.05.2026) [CNP]</t>
        </is>
      </c>
      <c r="I326" s="219"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0" t="n"/>
      <c r="B327" s="268" t="n"/>
      <c r="C327" s="268" t="n"/>
      <c r="D327" s="194" t="n"/>
      <c r="E327" s="193" t="n"/>
      <c r="F327" s="195" t="n"/>
      <c r="G327" s="271" t="n"/>
      <c r="H327" s="269" t="n"/>
      <c r="I327" s="272"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0" t="n"/>
      <c r="B328" s="268" t="n"/>
      <c r="C328" s="268" t="n"/>
      <c r="D328" s="145" t="n"/>
      <c r="E328" s="144" t="n"/>
      <c r="F328" s="146" t="n"/>
      <c r="G328" s="217" t="inlineStr">
        <is>
          <t>6.60</t>
        </is>
      </c>
      <c r="H328" s="218" t="inlineStr">
        <is>
          <t>ППК26058, (11.05.2026) [CNP]</t>
        </is>
      </c>
      <c r="I328" s="219" t="inlineStr">
        <is>
          <t>✓</t>
        </is>
      </c>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0" t="n"/>
      <c r="B329" s="268" t="n"/>
      <c r="C329" s="268" t="n"/>
      <c r="D329" s="194" t="n"/>
      <c r="E329" s="193" t="n"/>
      <c r="F329" s="195" t="n"/>
      <c r="G329" s="271" t="n"/>
      <c r="H329" s="269" t="n"/>
      <c r="I329" s="272" t="n"/>
      <c r="J329" s="194" t="n"/>
      <c r="K329" s="193" t="n"/>
      <c r="L329" s="193" t="n"/>
      <c r="M329" s="193" t="n"/>
      <c r="N329" s="193" t="n"/>
      <c r="O329" s="195" t="n"/>
      <c r="P329" s="194" t="n"/>
      <c r="Q329" s="193" t="n"/>
      <c r="R329" s="193" t="n"/>
      <c r="S329" s="195" t="n"/>
      <c r="T329" s="194" t="n"/>
      <c r="U329" s="193" t="n"/>
      <c r="V329" s="193" t="n"/>
      <c r="W329" s="193" t="n"/>
      <c r="X329" s="195" t="n"/>
      <c r="Y329" s="194" t="n"/>
      <c r="Z329" s="193" t="n"/>
      <c r="AA329" s="196" t="n"/>
    </row>
    <row r="330" ht="17.625" customHeight="1" s="70">
      <c r="A330" s="270" t="n"/>
      <c r="B330" s="268" t="n"/>
      <c r="C330" s="268" t="n"/>
      <c r="D330" s="145" t="n"/>
      <c r="E330" s="144" t="n"/>
      <c r="F330" s="146" t="n"/>
      <c r="G330" s="145" t="n"/>
      <c r="H330" s="144" t="n"/>
      <c r="I330" s="146" t="n"/>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74" t="n"/>
      <c r="B331" s="275" t="n"/>
      <c r="C331" s="275" t="n"/>
      <c r="D331" s="160" t="n"/>
      <c r="E331" s="159" t="n"/>
      <c r="F331" s="161" t="n"/>
      <c r="G331" s="160" t="n"/>
      <c r="H331" s="159" t="n"/>
      <c r="I331" s="161" t="n"/>
      <c r="J331" s="160" t="n"/>
      <c r="K331" s="159" t="n"/>
      <c r="L331" s="159" t="n"/>
      <c r="M331" s="159" t="n"/>
      <c r="N331" s="159" t="n"/>
      <c r="O331" s="161" t="n"/>
      <c r="P331" s="160" t="n"/>
      <c r="Q331" s="159" t="n"/>
      <c r="R331" s="159" t="n"/>
      <c r="S331" s="161" t="n"/>
      <c r="T331" s="160" t="n"/>
      <c r="U331" s="159" t="n"/>
      <c r="V331" s="159" t="n"/>
      <c r="W331" s="159" t="n"/>
      <c r="X331" s="161" t="n"/>
      <c r="Y331" s="160" t="n"/>
      <c r="Z331" s="159" t="n"/>
      <c r="AA331" s="163" t="n"/>
    </row>
    <row r="332" ht="21" customHeight="1" s="70">
      <c r="A332" s="125" t="inlineStr">
        <is>
          <t>CC012601/1</t>
        </is>
      </c>
      <c r="B332" s="126" t="inlineStr">
        <is>
          <t>P060332</t>
        </is>
      </c>
      <c r="C332" s="171" t="inlineStr">
        <is>
          <t>✗ 4 NO RESULT
(4 no cert / 0 cert w/o result)
• 1 document(s) on file, not credited</t>
        </is>
      </c>
      <c r="D332" s="172" t="inlineStr">
        <is>
          <t>Conforms</t>
        </is>
      </c>
      <c r="E332" s="173">
        <f>IFERROR(INDEX('iCoA Register'!$B:$B,MATCH("P060332|I",'iCoA Register'!$AA:$AA,0)),"iCoA — at issue")&amp;", (22.05.2026) [PP]"</f>
        <v/>
      </c>
      <c r="F332" s="174" t="inlineStr">
        <is>
          <t>✓</t>
        </is>
      </c>
      <c r="G332" s="228" t="inlineStr">
        <is>
          <t>not on this certificate</t>
        </is>
      </c>
      <c r="H332" s="229" t="inlineStr">
        <is>
          <t>197-6-К-26, (07.08.2026) [FHM-K] · on file, not credited</t>
        </is>
      </c>
      <c r="I332" s="230"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4" t="n"/>
      <c r="B333" s="275" t="n"/>
      <c r="C333" s="275" t="n"/>
      <c r="D333" s="276" t="n"/>
      <c r="E333" s="275" t="n"/>
      <c r="F333" s="277" t="n"/>
      <c r="G333" s="276" t="n"/>
      <c r="H333" s="275" t="n"/>
      <c r="I333" s="277" t="n"/>
      <c r="J333" s="182" t="inlineStr">
        <is>
          <t>— no certificate —</t>
        </is>
      </c>
      <c r="K333" s="278" t="n"/>
      <c r="L333" s="278" t="n"/>
      <c r="M333" s="278" t="n"/>
      <c r="N333" s="279" t="n"/>
      <c r="O333" s="277" t="n"/>
      <c r="P333" s="162" t="inlineStr">
        <is>
          <t>197-6-М-26, (10.08.2026) [FHM-M]</t>
        </is>
      </c>
      <c r="Q333" s="278" t="n"/>
      <c r="R333" s="279" t="n"/>
      <c r="S333" s="277" t="n"/>
      <c r="T333" s="182" t="inlineStr">
        <is>
          <t>— no certificate —</t>
        </is>
      </c>
      <c r="U333" s="278" t="n"/>
      <c r="V333" s="278" t="n"/>
      <c r="W333" s="279" t="n"/>
      <c r="X333" s="277" t="n"/>
      <c r="Y333" s="276" t="n"/>
      <c r="Z333" s="275" t="n"/>
      <c r="AA333" s="280" t="n"/>
    </row>
    <row r="334" ht="21" customHeight="1" s="70">
      <c r="A334" s="125" t="inlineStr">
        <is>
          <t>FB012602*</t>
        </is>
      </c>
      <c r="B334" s="126" t="inlineStr">
        <is>
          <t>P060352</t>
        </is>
      </c>
      <c r="C334" s="171" t="inlineStr">
        <is>
          <t>✗ 4 NO RESULT
(4 no cert / 0 cert w/o result)
• 1 document(s) on file, not credited</t>
        </is>
      </c>
      <c r="D334" s="172" t="inlineStr">
        <is>
          <t>Conforms</t>
        </is>
      </c>
      <c r="E334" s="173">
        <f>IFERROR(INDEX('iCoA Register'!$B:$B,MATCH("P060352|I",'iCoA Register'!$AA:$AA,0)),"iCoA — at issue")&amp;", (23.05.2026) [PP]"</f>
        <v/>
      </c>
      <c r="F334" s="174" t="inlineStr">
        <is>
          <t>✓</t>
        </is>
      </c>
      <c r="G334" s="228" t="inlineStr">
        <is>
          <t>not on this certificate</t>
        </is>
      </c>
      <c r="H334" s="229" t="inlineStr">
        <is>
          <t>197-7-К-26, (07.08.2026) [FHM-K] · on file, not credited</t>
        </is>
      </c>
      <c r="I334" s="230"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4" t="n"/>
      <c r="B335" s="275" t="n"/>
      <c r="C335" s="275" t="n"/>
      <c r="D335" s="276" t="n"/>
      <c r="E335" s="275" t="n"/>
      <c r="F335" s="277" t="n"/>
      <c r="G335" s="276" t="n"/>
      <c r="H335" s="275" t="n"/>
      <c r="I335" s="277" t="n"/>
      <c r="J335" s="182" t="inlineStr">
        <is>
          <t>— no certificate —</t>
        </is>
      </c>
      <c r="K335" s="278" t="n"/>
      <c r="L335" s="278" t="n"/>
      <c r="M335" s="278" t="n"/>
      <c r="N335" s="279" t="n"/>
      <c r="O335" s="277" t="n"/>
      <c r="P335" s="162" t="inlineStr">
        <is>
          <t>197-7-М-26, (10.08.2026) [FHM-M]</t>
        </is>
      </c>
      <c r="Q335" s="278" t="n"/>
      <c r="R335" s="279" t="n"/>
      <c r="S335" s="277" t="n"/>
      <c r="T335" s="182" t="inlineStr">
        <is>
          <t>— no certificate —</t>
        </is>
      </c>
      <c r="U335" s="278" t="n"/>
      <c r="V335" s="278" t="n"/>
      <c r="W335" s="279" t="n"/>
      <c r="X335" s="277" t="n"/>
      <c r="Y335" s="276" t="n"/>
      <c r="Z335" s="275" t="n"/>
      <c r="AA335" s="280" t="n"/>
    </row>
    <row r="336" ht="21" customHeight="1" s="70">
      <c r="A336" s="125" t="inlineStr">
        <is>
          <t>SCR012603</t>
        </is>
      </c>
      <c r="B336" s="126" t="inlineStr">
        <is>
          <t>P060382</t>
        </is>
      </c>
      <c r="C336" s="171" t="inlineStr">
        <is>
          <t>✗ 4 NO RESULT
(4 no cert / 0 cert w/o result)
• 1 document(s) on file, not credited</t>
        </is>
      </c>
      <c r="D336" s="172" t="inlineStr">
        <is>
          <t>Conforms</t>
        </is>
      </c>
      <c r="E336" s="173">
        <f>IFERROR(INDEX('iCoA Register'!$B:$B,MATCH("P060382|I",'iCoA Register'!$AA:$AA,0)),"iCoA — at issue")&amp;", (25.05.2026) [PP]"</f>
        <v/>
      </c>
      <c r="F336" s="174" t="inlineStr">
        <is>
          <t>✓</t>
        </is>
      </c>
      <c r="G336" s="228" t="inlineStr">
        <is>
          <t>not on this certificate</t>
        </is>
      </c>
      <c r="H336" s="229" t="inlineStr">
        <is>
          <t>197-21-К-26, (07.08.2026) [FHM-K] · on file, not credited</t>
        </is>
      </c>
      <c r="I336" s="230"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28" t="inlineStr">
        <is>
          <t>ND</t>
        </is>
      </c>
      <c r="Q336" s="136" t="inlineStr">
        <is>
          <t>ND</t>
        </is>
      </c>
      <c r="R336" s="136" t="inlineStr">
        <is>
          <t>ND</t>
        </is>
      </c>
      <c r="S336" s="174"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4" t="n"/>
      <c r="B337" s="275" t="n"/>
      <c r="C337" s="275" t="n"/>
      <c r="D337" s="276" t="n"/>
      <c r="E337" s="275" t="n"/>
      <c r="F337" s="277" t="n"/>
      <c r="G337" s="276" t="n"/>
      <c r="H337" s="275" t="n"/>
      <c r="I337" s="277" t="n"/>
      <c r="J337" s="182" t="inlineStr">
        <is>
          <t>— no certificate —</t>
        </is>
      </c>
      <c r="K337" s="278" t="n"/>
      <c r="L337" s="278" t="n"/>
      <c r="M337" s="278" t="n"/>
      <c r="N337" s="279" t="n"/>
      <c r="O337" s="277" t="n"/>
      <c r="P337" s="162" t="inlineStr">
        <is>
          <t>197-21-М-26, (10.08.2026) [FHM-M]</t>
        </is>
      </c>
      <c r="Q337" s="278" t="n"/>
      <c r="R337" s="279" t="n"/>
      <c r="S337" s="277" t="n"/>
      <c r="T337" s="182" t="inlineStr">
        <is>
          <t>— no certificate —</t>
        </is>
      </c>
      <c r="U337" s="278" t="n"/>
      <c r="V337" s="278" t="n"/>
      <c r="W337" s="279" t="n"/>
      <c r="X337" s="277" t="n"/>
      <c r="Y337" s="276" t="n"/>
      <c r="Z337" s="275" t="n"/>
      <c r="AA337" s="280" t="n"/>
    </row>
    <row r="338" ht="21" customHeight="1" s="70">
      <c r="A338" s="125" t="inlineStr">
        <is>
          <t>— not recorded — (P160012)</t>
        </is>
      </c>
      <c r="B338" s="126" t="inlineStr">
        <is>
          <t>P160012</t>
        </is>
      </c>
      <c r="C338" s="171" t="inlineStr">
        <is>
          <t>✗ 4 NO RESULT
(4 no cert / 0 cert w/o result)</t>
        </is>
      </c>
      <c r="D338" s="172" t="inlineStr">
        <is>
          <t>0.42 % (Conforms)</t>
        </is>
      </c>
      <c r="E338" s="173" t="inlineStr">
        <is>
          <t>ППК26117, (06.07.2026) [CNP]</t>
        </is>
      </c>
      <c r="F338" s="174" t="inlineStr">
        <is>
          <t>✓</t>
        </is>
      </c>
      <c r="G338" s="172" t="inlineStr">
        <is>
          <t>6.31</t>
        </is>
      </c>
      <c r="H338" s="173" t="inlineStr">
        <is>
          <t>ППК26117,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3" customHeight="1" s="70">
      <c r="A339" s="274" t="n"/>
      <c r="B339" s="275" t="n"/>
      <c r="C339" s="275" t="n"/>
      <c r="D339" s="276" t="n"/>
      <c r="E339" s="275" t="n"/>
      <c r="F339" s="277" t="n"/>
      <c r="G339" s="276" t="n"/>
      <c r="H339" s="275" t="n"/>
      <c r="I339" s="277" t="n"/>
      <c r="J339" s="182" t="inlineStr">
        <is>
          <t>— no certificate —</t>
        </is>
      </c>
      <c r="K339" s="278" t="n"/>
      <c r="L339" s="278" t="n"/>
      <c r="M339" s="278" t="n"/>
      <c r="N339" s="279" t="n"/>
      <c r="O339" s="277" t="n"/>
      <c r="P339" s="182" t="inlineStr">
        <is>
          <t>— no certificate —</t>
        </is>
      </c>
      <c r="Q339" s="278" t="n"/>
      <c r="R339" s="279" t="n"/>
      <c r="S339" s="277" t="n"/>
      <c r="T339" s="182" t="inlineStr">
        <is>
          <t>— no certificate —</t>
        </is>
      </c>
      <c r="U339" s="278" t="n"/>
      <c r="V339" s="278" t="n"/>
      <c r="W339" s="279" t="n"/>
      <c r="X339" s="277" t="n"/>
      <c r="Y339" s="276" t="n"/>
      <c r="Z339" s="275" t="n"/>
      <c r="AA339" s="280" t="n"/>
    </row>
    <row r="340" ht="21" customHeight="1" s="70">
      <c r="A340" s="125" t="inlineStr">
        <is>
          <t>— not recorded — (P160022)</t>
        </is>
      </c>
      <c r="B340" s="126" t="inlineStr">
        <is>
          <t>P160022</t>
        </is>
      </c>
      <c r="C340" s="171" t="inlineStr">
        <is>
          <t>✗ 4 NO RESULT
(4 no cert / 0 cert w/o result)</t>
        </is>
      </c>
      <c r="D340" s="172" t="inlineStr">
        <is>
          <t>Conforms (no value printed)</t>
        </is>
      </c>
      <c r="E340" s="173" t="inlineStr">
        <is>
          <t>ППК26118, (06.07.2026) [CNP]</t>
        </is>
      </c>
      <c r="F340" s="174" t="inlineStr">
        <is>
          <t>✓</t>
        </is>
      </c>
      <c r="G340" s="172" t="inlineStr">
        <is>
          <t>6.67</t>
        </is>
      </c>
      <c r="H340" s="173" t="inlineStr">
        <is>
          <t>ППК26118,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5.375" customHeight="1" s="70">
      <c r="A341" s="274" t="n"/>
      <c r="B341" s="275" t="n"/>
      <c r="C341" s="275" t="n"/>
      <c r="D341" s="276" t="n"/>
      <c r="E341" s="275" t="n"/>
      <c r="F341" s="277" t="n"/>
      <c r="G341" s="276" t="n"/>
      <c r="H341" s="275" t="n"/>
      <c r="I341" s="277" t="n"/>
      <c r="J341" s="182" t="inlineStr">
        <is>
          <t>— no certificate —</t>
        </is>
      </c>
      <c r="K341" s="278" t="n"/>
      <c r="L341" s="278" t="n"/>
      <c r="M341" s="278" t="n"/>
      <c r="N341" s="279" t="n"/>
      <c r="O341" s="277" t="n"/>
      <c r="P341" s="182" t="inlineStr">
        <is>
          <t>— no certificate —</t>
        </is>
      </c>
      <c r="Q341" s="278" t="n"/>
      <c r="R341" s="279" t="n"/>
      <c r="S341" s="277" t="n"/>
      <c r="T341" s="182" t="inlineStr">
        <is>
          <t>— no certificate —</t>
        </is>
      </c>
      <c r="U341" s="278" t="n"/>
      <c r="V341" s="278" t="n"/>
      <c r="W341" s="279" t="n"/>
      <c r="X341" s="277" t="n"/>
      <c r="Y341" s="276" t="n"/>
      <c r="Z341" s="275" t="n"/>
      <c r="AA341" s="280" t="n"/>
    </row>
    <row r="342" ht="21" customHeight="1" s="70">
      <c r="A342" s="125" t="inlineStr">
        <is>
          <t>— not recorded — (P160032)</t>
        </is>
      </c>
      <c r="B342" s="126" t="inlineStr">
        <is>
          <t>P160032</t>
        </is>
      </c>
      <c r="C342" s="171" t="inlineStr">
        <is>
          <t>✗ 4 NO RESULT
(4 no cert / 0 cert w/o result)</t>
        </is>
      </c>
      <c r="D342" s="172" t="inlineStr">
        <is>
          <t>Conforms (no value printed)</t>
        </is>
      </c>
      <c r="E342" s="173" t="inlineStr">
        <is>
          <t>ППК26119, (06.07.2026) [CNP]</t>
        </is>
      </c>
      <c r="F342" s="174" t="inlineStr">
        <is>
          <t>✓</t>
        </is>
      </c>
      <c r="G342" s="172" t="inlineStr">
        <is>
          <t>6.78</t>
        </is>
      </c>
      <c r="H342" s="173" t="inlineStr">
        <is>
          <t>ППК26119, (06.07.2026) [CNP]</t>
        </is>
      </c>
      <c r="I342" s="174" t="inlineStr">
        <is>
          <t>✓</t>
        </is>
      </c>
      <c r="J342" s="165" t="inlineStr">
        <is>
          <t>— MISSING —</t>
        </is>
      </c>
      <c r="K342" s="166" t="inlineStr">
        <is>
          <t>— MISSING —</t>
        </is>
      </c>
      <c r="L342" s="166" t="inlineStr">
        <is>
          <t>— MISSING —</t>
        </is>
      </c>
      <c r="M342" s="166" t="inlineStr">
        <is>
          <t>— MISSING —</t>
        </is>
      </c>
      <c r="N342" s="166" t="inlineStr">
        <is>
          <t>— MISSING —</t>
        </is>
      </c>
      <c r="O342" s="178" t="inlineStr">
        <is>
          <t>✗</t>
        </is>
      </c>
      <c r="P342" s="165" t="inlineStr">
        <is>
          <t>— MISSING —</t>
        </is>
      </c>
      <c r="Q342" s="166" t="inlineStr">
        <is>
          <t>— MISSING —</t>
        </is>
      </c>
      <c r="R342" s="166" t="inlineStr">
        <is>
          <t>— MISSING —</t>
        </is>
      </c>
      <c r="S342" s="178" t="inlineStr">
        <is>
          <t>✗</t>
        </is>
      </c>
      <c r="T342" s="165" t="inlineStr">
        <is>
          <t>— MISSING —</t>
        </is>
      </c>
      <c r="U342" s="166" t="inlineStr">
        <is>
          <t>— MISSING —</t>
        </is>
      </c>
      <c r="V342" s="166" t="inlineStr">
        <is>
          <t>— MISSING —</t>
        </is>
      </c>
      <c r="W342" s="166" t="inlineStr">
        <is>
          <t>— MISSING —</t>
        </is>
      </c>
      <c r="X342" s="178" t="inlineStr">
        <is>
          <t>✗</t>
        </is>
      </c>
      <c r="Y342" s="179" t="inlineStr">
        <is>
          <t>— MISSING —</t>
        </is>
      </c>
      <c r="Z342" s="180" t="inlineStr">
        <is>
          <t>— no certificate —</t>
        </is>
      </c>
      <c r="AA342" s="181" t="inlineStr">
        <is>
          <t>✗</t>
        </is>
      </c>
    </row>
    <row r="343" ht="15.375" customHeight="1" s="70">
      <c r="A343" s="274" t="n"/>
      <c r="B343" s="275" t="n"/>
      <c r="C343" s="275" t="n"/>
      <c r="D343" s="276" t="n"/>
      <c r="E343" s="275" t="n"/>
      <c r="F343" s="277" t="n"/>
      <c r="G343" s="276" t="n"/>
      <c r="H343" s="275" t="n"/>
      <c r="I343" s="277" t="n"/>
      <c r="J343" s="182" t="inlineStr">
        <is>
          <t>— no certificate —</t>
        </is>
      </c>
      <c r="K343" s="278" t="n"/>
      <c r="L343" s="278" t="n"/>
      <c r="M343" s="278" t="n"/>
      <c r="N343" s="279" t="n"/>
      <c r="O343" s="277" t="n"/>
      <c r="P343" s="182" t="inlineStr">
        <is>
          <t>— no certificate —</t>
        </is>
      </c>
      <c r="Q343" s="278" t="n"/>
      <c r="R343" s="279" t="n"/>
      <c r="S343" s="277" t="n"/>
      <c r="T343" s="182" t="inlineStr">
        <is>
          <t>— no certificate —</t>
        </is>
      </c>
      <c r="U343" s="278" t="n"/>
      <c r="V343" s="278" t="n"/>
      <c r="W343" s="279" t="n"/>
      <c r="X343" s="277" t="n"/>
      <c r="Y343" s="276" t="n"/>
      <c r="Z343" s="275" t="n"/>
      <c r="AA343" s="280" t="n"/>
    </row>
    <row r="344" ht="21" customHeight="1" s="70">
      <c r="A344" s="125" t="inlineStr">
        <is>
          <t>PM112501</t>
        </is>
      </c>
      <c r="B344" s="126" t="inlineStr">
        <is>
          <t>P060232</t>
        </is>
      </c>
      <c r="C344" s="164" t="inlineStr">
        <is>
          <t>⚠ 3 NO RESULT
(3 no cert / 0 cert w/o result)
2 testing instances
• 1 document(s) on file, not credited</t>
        </is>
      </c>
      <c r="D344" s="128" t="inlineStr">
        <is>
          <t>Conforms</t>
        </is>
      </c>
      <c r="E344" s="129">
        <f>IFERROR(INDEX('iCoA Register'!$B:$B,MATCH("P060232|I",'iCoA Register'!$AA:$AA,0)),"iCoA — at issue")&amp;", (27.04.2026) [PP]"</f>
        <v/>
      </c>
      <c r="F344" s="130" t="inlineStr">
        <is>
          <t>✓</t>
        </is>
      </c>
      <c r="G344" s="128" t="inlineStr">
        <is>
          <t>8.61</t>
        </is>
      </c>
      <c r="H344" s="129" t="inlineStr">
        <is>
          <t>ППК26030, (05.03.2026) [CNP]</t>
        </is>
      </c>
      <c r="I344" s="130" t="inlineStr">
        <is>
          <t>✓</t>
        </is>
      </c>
      <c r="J344" s="165" t="inlineStr">
        <is>
          <t>— MISSING —</t>
        </is>
      </c>
      <c r="K344" s="166" t="inlineStr">
        <is>
          <t>— MISSING —</t>
        </is>
      </c>
      <c r="L344" s="166" t="inlineStr">
        <is>
          <t>— MISSING —</t>
        </is>
      </c>
      <c r="M344" s="166" t="inlineStr">
        <is>
          <t>— MISSING —</t>
        </is>
      </c>
      <c r="N344" s="166" t="inlineStr">
        <is>
          <t>— MISSING —</t>
        </is>
      </c>
      <c r="O344" s="167" t="inlineStr">
        <is>
          <t>✗</t>
        </is>
      </c>
      <c r="P344" s="128" t="inlineStr">
        <is>
          <t>ND</t>
        </is>
      </c>
      <c r="Q344" s="136" t="inlineStr">
        <is>
          <t>ND</t>
        </is>
      </c>
      <c r="R344" s="136" t="inlineStr">
        <is>
          <t>ND</t>
        </is>
      </c>
      <c r="S344" s="130"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13" customHeight="1" s="70">
      <c r="A345" s="270" t="n"/>
      <c r="B345" s="268" t="n"/>
      <c r="C345" s="268" t="n"/>
      <c r="D345" s="271" t="n"/>
      <c r="E345" s="269" t="n"/>
      <c r="F345" s="272" t="n"/>
      <c r="G345" s="271" t="n"/>
      <c r="H345" s="269" t="n"/>
      <c r="I345" s="272" t="n"/>
      <c r="J345" s="170" t="inlineStr">
        <is>
          <t>— no certificate —</t>
        </is>
      </c>
      <c r="K345" s="120" t="n"/>
      <c r="L345" s="120" t="n"/>
      <c r="M345" s="120" t="n"/>
      <c r="N345" s="121" t="n"/>
      <c r="O345" s="272" t="n"/>
      <c r="P345" s="141" t="inlineStr">
        <is>
          <t>220-24-М-26, (11.09.2026) [FHM-M]</t>
        </is>
      </c>
      <c r="Q345" s="120" t="n"/>
      <c r="R345" s="121" t="n"/>
      <c r="S345" s="272" t="n"/>
      <c r="T345" s="170" t="inlineStr">
        <is>
          <t>— no certificate —</t>
        </is>
      </c>
      <c r="U345" s="120" t="n"/>
      <c r="V345" s="120" t="n"/>
      <c r="W345" s="121" t="n"/>
      <c r="X345" s="272" t="n"/>
      <c r="Y345" s="271" t="n"/>
      <c r="Z345" s="269" t="n"/>
      <c r="AA345" s="273" t="n"/>
    </row>
    <row r="346" ht="17.625" customHeight="1" s="70">
      <c r="A346" s="270" t="n"/>
      <c r="B346" s="268" t="n"/>
      <c r="C346" s="268"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74" t="n"/>
      <c r="B347" s="275" t="n"/>
      <c r="C347" s="275"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SCR022601</t>
        </is>
      </c>
      <c r="B348" s="126" t="inlineStr">
        <is>
          <t>P060442</t>
        </is>
      </c>
      <c r="C348" s="164" t="inlineStr">
        <is>
          <t>⚠ 3 NO RESULT
(3 no cert / 0 cert w/o result)
2 testing instances</t>
        </is>
      </c>
      <c r="D348" s="128" t="inlineStr">
        <is>
          <t>Conforms ᴿ</t>
        </is>
      </c>
      <c r="E348" s="129" t="inlineStr">
        <is>
          <t>ППК26116, (06.07.2026) [CNP]</t>
        </is>
      </c>
      <c r="F348" s="130" t="inlineStr">
        <is>
          <t>✓</t>
        </is>
      </c>
      <c r="G348" s="128" t="inlineStr">
        <is>
          <t>7.06 ᴿ</t>
        </is>
      </c>
      <c r="H348" s="129" t="inlineStr">
        <is>
          <t>ППК26116, (06.07.2026) [CNP]</t>
        </is>
      </c>
      <c r="I348" s="130" t="inlineStr">
        <is>
          <t>✓</t>
        </is>
      </c>
      <c r="J348" s="128" t="inlineStr">
        <is>
          <t>1.7 × 10³</t>
        </is>
      </c>
      <c r="K348" s="136" t="inlineStr">
        <is>
          <t>5.6 × 10²</t>
        </is>
      </c>
      <c r="L348" s="136" t="inlineStr">
        <is>
          <t>&lt; 10</t>
        </is>
      </c>
      <c r="M348" s="136" t="inlineStr">
        <is>
          <t>Absent</t>
        </is>
      </c>
      <c r="N348" s="136" t="inlineStr">
        <is>
          <t>Absent</t>
        </is>
      </c>
      <c r="O348" s="130"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13" customHeight="1" s="70">
      <c r="A349" s="270" t="n"/>
      <c r="B349" s="268" t="n"/>
      <c r="C349" s="268" t="n"/>
      <c r="D349" s="271" t="n"/>
      <c r="E349" s="269" t="n"/>
      <c r="F349" s="272" t="n"/>
      <c r="G349" s="271" t="n"/>
      <c r="H349" s="269" t="n"/>
      <c r="I349" s="272" t="n"/>
      <c r="J349" s="141" t="inlineStr">
        <is>
          <t>536-1067-26, (31.08.2026) [IJZ-MB]</t>
        </is>
      </c>
      <c r="K349" s="120" t="n"/>
      <c r="L349" s="120" t="n"/>
      <c r="M349" s="120" t="n"/>
      <c r="N349" s="121" t="n"/>
      <c r="O349" s="272" t="n"/>
      <c r="P349" s="170" t="inlineStr">
        <is>
          <t>— no certificate —</t>
        </is>
      </c>
      <c r="Q349" s="120" t="n"/>
      <c r="R349" s="121" t="n"/>
      <c r="S349" s="272" t="n"/>
      <c r="T349" s="170" t="inlineStr">
        <is>
          <t>— no certificate —</t>
        </is>
      </c>
      <c r="U349" s="120" t="n"/>
      <c r="V349" s="120" t="n"/>
      <c r="W349" s="121" t="n"/>
      <c r="X349" s="272" t="n"/>
      <c r="Y349" s="271" t="n"/>
      <c r="Z349" s="269" t="n"/>
      <c r="AA349" s="273" t="n"/>
    </row>
    <row r="350" ht="17.625" customHeight="1" s="70">
      <c r="A350" s="270" t="n"/>
      <c r="B350" s="268" t="n"/>
      <c r="C350" s="268" t="n"/>
      <c r="D350" s="145" t="n"/>
      <c r="E350" s="144" t="n"/>
      <c r="F350" s="146" t="n"/>
      <c r="G350" s="145" t="n"/>
      <c r="H350" s="144" t="n"/>
      <c r="I350" s="146" t="n"/>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3" customHeight="1" s="70">
      <c r="A351" s="274" t="n"/>
      <c r="B351" s="275" t="n"/>
      <c r="C351" s="275" t="n"/>
      <c r="D351" s="160" t="n"/>
      <c r="E351" s="159" t="n"/>
      <c r="F351" s="161" t="n"/>
      <c r="G351" s="160" t="n"/>
      <c r="H351" s="159" t="n"/>
      <c r="I351" s="161" t="n"/>
      <c r="J351" s="160" t="n"/>
      <c r="K351" s="159" t="n"/>
      <c r="L351" s="159" t="n"/>
      <c r="M351" s="159" t="n"/>
      <c r="N351" s="159" t="n"/>
      <c r="O351" s="161" t="n"/>
      <c r="P351" s="160" t="n"/>
      <c r="Q351" s="159" t="n"/>
      <c r="R351" s="159" t="n"/>
      <c r="S351" s="161" t="n"/>
      <c r="T351" s="160" t="n"/>
      <c r="U351" s="159" t="n"/>
      <c r="V351" s="159" t="n"/>
      <c r="W351" s="159" t="n"/>
      <c r="X351" s="161" t="n"/>
      <c r="Y351" s="160" t="n"/>
      <c r="Z351" s="159" t="n"/>
      <c r="AA351" s="163" t="n"/>
    </row>
    <row r="352" ht="21" customHeight="1" s="70">
      <c r="A352" s="125" t="inlineStr">
        <is>
          <t>SJ102501</t>
        </is>
      </c>
      <c r="B352" s="126" t="inlineStr">
        <is>
          <t>P060162</t>
        </is>
      </c>
      <c r="C352" s="164" t="inlineStr">
        <is>
          <t>⚠ 3 NO RESULT
(3 no cert / 0 cert w/o result)
3 testing instances
• 2 document(s) on file, not credited</t>
        </is>
      </c>
      <c r="D352" s="128" t="inlineStr">
        <is>
          <t>Conforms</t>
        </is>
      </c>
      <c r="E352" s="129">
        <f>IFERROR(INDEX('iCoA Register'!$B:$B,MATCH("P060162|I",'iCoA Register'!$AA:$AA,0)),"iCoA — at issue")&amp;", (09.03.2026) [PP]"</f>
        <v/>
      </c>
      <c r="F352" s="130" t="inlineStr">
        <is>
          <t>✓</t>
        </is>
      </c>
      <c r="G352" s="128" t="inlineStr">
        <is>
          <t>7.8</t>
        </is>
      </c>
      <c r="H352" s="129" t="inlineStr">
        <is>
          <t>051-3-ГС-26, (02.03.2026) [FHM-K]</t>
        </is>
      </c>
      <c r="I352" s="130" t="inlineStr">
        <is>
          <t>✓</t>
        </is>
      </c>
      <c r="J352" s="128" t="inlineStr">
        <is>
          <t>5.2 × 10²</t>
        </is>
      </c>
      <c r="K352" s="136" t="inlineStr">
        <is>
          <t>4.3 × 10²</t>
        </is>
      </c>
      <c r="L352" s="136" t="inlineStr">
        <is>
          <t>&lt; 10</t>
        </is>
      </c>
      <c r="M352" s="136" t="inlineStr">
        <is>
          <t>Absent</t>
        </is>
      </c>
      <c r="N352" s="136" t="inlineStr">
        <is>
          <t>Absent</t>
        </is>
      </c>
      <c r="O352" s="130" t="inlineStr">
        <is>
          <t>✓</t>
        </is>
      </c>
      <c r="P352" s="165" t="inlineStr">
        <is>
          <t>— MISSING —</t>
        </is>
      </c>
      <c r="Q352" s="166" t="inlineStr">
        <is>
          <t>— MISSING —</t>
        </is>
      </c>
      <c r="R352" s="166" t="inlineStr">
        <is>
          <t>— MISSING —</t>
        </is>
      </c>
      <c r="S352" s="167" t="inlineStr">
        <is>
          <t>✗</t>
        </is>
      </c>
      <c r="T352" s="165" t="inlineStr">
        <is>
          <t>— MISSING —</t>
        </is>
      </c>
      <c r="U352" s="166" t="inlineStr">
        <is>
          <t>— MISSING —</t>
        </is>
      </c>
      <c r="V352" s="166" t="inlineStr">
        <is>
          <t>— MISSING —</t>
        </is>
      </c>
      <c r="W352" s="166" t="inlineStr">
        <is>
          <t>— MISSING —</t>
        </is>
      </c>
      <c r="X352" s="167" t="inlineStr">
        <is>
          <t>✗</t>
        </is>
      </c>
      <c r="Y352" s="165" t="inlineStr">
        <is>
          <t>— MISSING —</t>
        </is>
      </c>
      <c r="Z352" s="168" t="inlineStr">
        <is>
          <t>— no certificate —</t>
        </is>
      </c>
      <c r="AA352" s="169" t="inlineStr">
        <is>
          <t>✗</t>
        </is>
      </c>
    </row>
    <row r="353" ht="21" customHeight="1" s="70">
      <c r="A353" s="270" t="n"/>
      <c r="B353" s="268" t="n"/>
      <c r="C353" s="268" t="n"/>
      <c r="D353" s="271" t="n"/>
      <c r="E353" s="269" t="n"/>
      <c r="F353" s="272" t="n"/>
      <c r="G353" s="271" t="n"/>
      <c r="H353" s="269" t="n"/>
      <c r="I353" s="272" t="n"/>
      <c r="J353" s="141" t="inlineStr">
        <is>
          <t>549-1080-26, (31.08.2026) [IJZ-MB]</t>
        </is>
      </c>
      <c r="K353" s="120" t="n"/>
      <c r="L353" s="120" t="n"/>
      <c r="M353" s="120" t="n"/>
      <c r="N353" s="121" t="n"/>
      <c r="O353" s="272" t="n"/>
      <c r="P353" s="170" t="inlineStr">
        <is>
          <t>— no certificate —</t>
        </is>
      </c>
      <c r="Q353" s="120" t="n"/>
      <c r="R353" s="121" t="n"/>
      <c r="S353" s="272" t="n"/>
      <c r="T353" s="170" t="inlineStr">
        <is>
          <t>— no certificate —</t>
        </is>
      </c>
      <c r="U353" s="120" t="n"/>
      <c r="V353" s="120" t="n"/>
      <c r="W353" s="121" t="n"/>
      <c r="X353" s="272" t="n"/>
      <c r="Y353" s="271" t="n"/>
      <c r="Z353" s="269" t="n"/>
      <c r="AA353" s="273" t="n"/>
    </row>
    <row r="354" ht="17.625" customHeight="1" s="70">
      <c r="A354" s="270" t="n"/>
      <c r="B354" s="268" t="n"/>
      <c r="C354" s="268" t="n"/>
      <c r="D354" s="145" t="n"/>
      <c r="E354" s="144" t="n"/>
      <c r="F354" s="146" t="n"/>
      <c r="G354" s="189" t="inlineStr">
        <is>
          <t>not on this certificate</t>
        </is>
      </c>
      <c r="H354" s="190" t="inlineStr">
        <is>
          <t>051-3-К-26, (04.03.2026) [FHM-K] · on file, not credited</t>
        </is>
      </c>
      <c r="I354" s="191" t="inlineStr">
        <is>
          <t>•</t>
        </is>
      </c>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5.375" customHeight="1" s="70">
      <c r="A355" s="270" t="n"/>
      <c r="B355" s="268" t="n"/>
      <c r="C355" s="268" t="n"/>
      <c r="D355" s="194" t="n"/>
      <c r="E355" s="193" t="n"/>
      <c r="F355" s="195" t="n"/>
      <c r="G355" s="271" t="n"/>
      <c r="H355" s="269" t="n"/>
      <c r="I355" s="272" t="n"/>
      <c r="J355" s="194" t="n"/>
      <c r="K355" s="193" t="n"/>
      <c r="L355" s="193" t="n"/>
      <c r="M355" s="193" t="n"/>
      <c r="N355" s="193" t="n"/>
      <c r="O355" s="195" t="n"/>
      <c r="P355" s="194" t="n"/>
      <c r="Q355" s="193" t="n"/>
      <c r="R355" s="193" t="n"/>
      <c r="S355" s="195" t="n"/>
      <c r="T355" s="194" t="n"/>
      <c r="U355" s="193" t="n"/>
      <c r="V355" s="193" t="n"/>
      <c r="W355" s="193" t="n"/>
      <c r="X355" s="195" t="n"/>
      <c r="Y355" s="194" t="n"/>
      <c r="Z355" s="193" t="n"/>
      <c r="AA355" s="196" t="n"/>
    </row>
    <row r="356" ht="17.625" customHeight="1" s="70">
      <c r="A356" s="270" t="n"/>
      <c r="B356" s="268" t="n"/>
      <c r="C356" s="268" t="n"/>
      <c r="D356" s="145" t="n"/>
      <c r="E356" s="144" t="n"/>
      <c r="F356" s="146" t="n"/>
      <c r="G356" s="145" t="n"/>
      <c r="H356" s="144" t="n"/>
      <c r="I356" s="146" t="n"/>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3" customHeight="1" s="70">
      <c r="A357" s="274" t="n"/>
      <c r="B357" s="275" t="n"/>
      <c r="C357" s="275" t="n"/>
      <c r="D357" s="160" t="n"/>
      <c r="E357" s="159" t="n"/>
      <c r="F357" s="161" t="n"/>
      <c r="G357" s="160" t="n"/>
      <c r="H357" s="159" t="n"/>
      <c r="I357" s="161" t="n"/>
      <c r="J357" s="160" t="n"/>
      <c r="K357" s="159" t="n"/>
      <c r="L357" s="159" t="n"/>
      <c r="M357" s="159" t="n"/>
      <c r="N357" s="159" t="n"/>
      <c r="O357" s="161" t="n"/>
      <c r="P357" s="160" t="n"/>
      <c r="Q357" s="159" t="n"/>
      <c r="R357" s="159" t="n"/>
      <c r="S357" s="161" t="n"/>
      <c r="T357" s="160" t="n"/>
      <c r="U357" s="159" t="n"/>
      <c r="V357" s="159" t="n"/>
      <c r="W357" s="159" t="n"/>
      <c r="X357" s="161" t="n"/>
      <c r="Y357" s="160" t="n"/>
      <c r="Z357" s="159" t="n"/>
      <c r="AA357" s="163" t="n"/>
    </row>
    <row r="358" ht="21" customHeight="1" s="70">
      <c r="A358" s="125" t="inlineStr">
        <is>
          <t>SJ112501</t>
        </is>
      </c>
      <c r="B358" s="126" t="inlineStr">
        <is>
          <t>P060192</t>
        </is>
      </c>
      <c r="C358" s="171" t="inlineStr">
        <is>
          <t>✗ 4 NO RESULT
(4 no cert / 0 cert w/o result)
3 testing instances
• 2 document(s) on file, not credited</t>
        </is>
      </c>
      <c r="D358" s="128" t="inlineStr">
        <is>
          <t>Conforms</t>
        </is>
      </c>
      <c r="E358" s="129">
        <f>IFERROR(INDEX('iCoA Register'!$B:$B,MATCH("P060192|I",'iCoA Register'!$AA:$AA,0)),"iCoA — at issue")&amp;", (31.03.2026) [PP]"</f>
        <v/>
      </c>
      <c r="F358" s="130" t="inlineStr">
        <is>
          <t>✓</t>
        </is>
      </c>
      <c r="G358" s="128" t="inlineStr">
        <is>
          <t>6.7</t>
        </is>
      </c>
      <c r="H358" s="129" t="inlineStr">
        <is>
          <t>051-2-ГС-26, (02.03.2026) [FHM-K]</t>
        </is>
      </c>
      <c r="I358" s="130" t="inlineStr">
        <is>
          <t>✓</t>
        </is>
      </c>
      <c r="J358" s="165" t="inlineStr">
        <is>
          <t>— MISSING —</t>
        </is>
      </c>
      <c r="K358" s="166" t="inlineStr">
        <is>
          <t>— MISSING —</t>
        </is>
      </c>
      <c r="L358" s="166" t="inlineStr">
        <is>
          <t>— MISSING —</t>
        </is>
      </c>
      <c r="M358" s="166" t="inlineStr">
        <is>
          <t>— MISSING —</t>
        </is>
      </c>
      <c r="N358" s="166" t="inlineStr">
        <is>
          <t>— MISSING —</t>
        </is>
      </c>
      <c r="O358" s="167" t="inlineStr">
        <is>
          <t>✗</t>
        </is>
      </c>
      <c r="P358" s="165" t="inlineStr">
        <is>
          <t>— MISSING —</t>
        </is>
      </c>
      <c r="Q358" s="166" t="inlineStr">
        <is>
          <t>— MISSING —</t>
        </is>
      </c>
      <c r="R358" s="166" t="inlineStr">
        <is>
          <t>— MISSING —</t>
        </is>
      </c>
      <c r="S358" s="167" t="inlineStr">
        <is>
          <t>✗</t>
        </is>
      </c>
      <c r="T358" s="165" t="inlineStr">
        <is>
          <t>— MISSING —</t>
        </is>
      </c>
      <c r="U358" s="166" t="inlineStr">
        <is>
          <t>— MISSING —</t>
        </is>
      </c>
      <c r="V358" s="166" t="inlineStr">
        <is>
          <t>— MISSING —</t>
        </is>
      </c>
      <c r="W358" s="166" t="inlineStr">
        <is>
          <t>— MISSING —</t>
        </is>
      </c>
      <c r="X358" s="167" t="inlineStr">
        <is>
          <t>✗</t>
        </is>
      </c>
      <c r="Y358" s="165" t="inlineStr">
        <is>
          <t>— MISSING —</t>
        </is>
      </c>
      <c r="Z358" s="168" t="inlineStr">
        <is>
          <t>— no certificate —</t>
        </is>
      </c>
      <c r="AA358" s="169" t="inlineStr">
        <is>
          <t>✗</t>
        </is>
      </c>
    </row>
    <row r="359" ht="21" customHeight="1" s="70">
      <c r="A359" s="270" t="n"/>
      <c r="B359" s="268" t="n"/>
      <c r="C359" s="268" t="n"/>
      <c r="D359" s="271" t="n"/>
      <c r="E359" s="269" t="n"/>
      <c r="F359" s="272" t="n"/>
      <c r="G359" s="271" t="n"/>
      <c r="H359" s="269" t="n"/>
      <c r="I359" s="272" t="n"/>
      <c r="J359" s="170" t="inlineStr">
        <is>
          <t>— no certificate —</t>
        </is>
      </c>
      <c r="K359" s="120" t="n"/>
      <c r="L359" s="120" t="n"/>
      <c r="M359" s="120" t="n"/>
      <c r="N359" s="121" t="n"/>
      <c r="O359" s="272" t="n"/>
      <c r="P359" s="170" t="inlineStr">
        <is>
          <t>— no certificate —</t>
        </is>
      </c>
      <c r="Q359" s="120" t="n"/>
      <c r="R359" s="121" t="n"/>
      <c r="S359" s="272" t="n"/>
      <c r="T359" s="170" t="inlineStr">
        <is>
          <t>— no certificate —</t>
        </is>
      </c>
      <c r="U359" s="120" t="n"/>
      <c r="V359" s="120" t="n"/>
      <c r="W359" s="121" t="n"/>
      <c r="X359" s="272" t="n"/>
      <c r="Y359" s="271" t="n"/>
      <c r="Z359" s="269" t="n"/>
      <c r="AA359" s="273" t="n"/>
    </row>
    <row r="360" ht="17.625" customHeight="1" s="70">
      <c r="A360" s="270" t="n"/>
      <c r="B360" s="268" t="n"/>
      <c r="C360" s="268" t="n"/>
      <c r="D360" s="145" t="n"/>
      <c r="E360" s="144" t="n"/>
      <c r="F360" s="146" t="n"/>
      <c r="G360" s="189" t="inlineStr">
        <is>
          <t>not on this certificate</t>
        </is>
      </c>
      <c r="H360" s="190" t="inlineStr">
        <is>
          <t>051-2-К-26, (04.03.2026) [FHM-K] · on file, not credited</t>
        </is>
      </c>
      <c r="I360" s="191" t="inlineStr">
        <is>
          <t>•</t>
        </is>
      </c>
      <c r="J360" s="145" t="n"/>
      <c r="K360" s="144" t="n"/>
      <c r="L360" s="144" t="n"/>
      <c r="M360" s="144" t="n"/>
      <c r="N360" s="144" t="n"/>
      <c r="O360" s="146" t="n"/>
      <c r="P360" s="145" t="n"/>
      <c r="Q360" s="144" t="n"/>
      <c r="R360" s="144" t="n"/>
      <c r="S360" s="146" t="n"/>
      <c r="T360" s="145" t="n"/>
      <c r="U360" s="144" t="n"/>
      <c r="V360" s="144" t="n"/>
      <c r="W360" s="144" t="n"/>
      <c r="X360" s="146" t="n"/>
      <c r="Y360" s="145" t="n"/>
      <c r="Z360" s="144" t="n"/>
      <c r="AA360" s="157" t="n"/>
    </row>
    <row r="361" ht="15.375" customHeight="1" s="70">
      <c r="A361" s="270" t="n"/>
      <c r="B361" s="268" t="n"/>
      <c r="C361" s="268" t="n"/>
      <c r="D361" s="194" t="n"/>
      <c r="E361" s="193" t="n"/>
      <c r="F361" s="195" t="n"/>
      <c r="G361" s="271" t="n"/>
      <c r="H361" s="269" t="n"/>
      <c r="I361" s="272" t="n"/>
      <c r="J361" s="194" t="n"/>
      <c r="K361" s="193" t="n"/>
      <c r="L361" s="193" t="n"/>
      <c r="M361" s="193" t="n"/>
      <c r="N361" s="193" t="n"/>
      <c r="O361" s="195" t="n"/>
      <c r="P361" s="194" t="n"/>
      <c r="Q361" s="193" t="n"/>
      <c r="R361" s="193" t="n"/>
      <c r="S361" s="195" t="n"/>
      <c r="T361" s="194" t="n"/>
      <c r="U361" s="193" t="n"/>
      <c r="V361" s="193" t="n"/>
      <c r="W361" s="193" t="n"/>
      <c r="X361" s="195" t="n"/>
      <c r="Y361" s="194" t="n"/>
      <c r="Z361" s="193" t="n"/>
      <c r="AA361" s="196" t="n"/>
    </row>
    <row r="362" ht="17.625" customHeight="1" s="70">
      <c r="A362" s="270" t="n"/>
      <c r="B362" s="268" t="n"/>
      <c r="C362" s="268" t="n"/>
      <c r="D362" s="145" t="n"/>
      <c r="E362" s="144" t="n"/>
      <c r="F362" s="146" t="n"/>
      <c r="G362" s="145" t="n"/>
      <c r="H362" s="144" t="n"/>
      <c r="I362" s="146" t="n"/>
      <c r="J362" s="145" t="n"/>
      <c r="K362" s="144" t="n"/>
      <c r="L362" s="144" t="n"/>
      <c r="M362" s="144" t="n"/>
      <c r="N362" s="144" t="n"/>
      <c r="O362" s="146" t="n"/>
      <c r="P362" s="145" t="n"/>
      <c r="Q362" s="144" t="n"/>
      <c r="R362" s="144" t="n"/>
      <c r="S362" s="146" t="n"/>
      <c r="T362" s="145" t="n"/>
      <c r="U362" s="144" t="n"/>
      <c r="V362" s="144" t="n"/>
      <c r="W362" s="144" t="n"/>
      <c r="X362" s="146" t="n"/>
      <c r="Y362" s="145" t="n"/>
      <c r="Z362" s="144" t="n"/>
      <c r="AA362" s="157" t="n"/>
    </row>
    <row r="363" ht="13" customHeight="1" s="70">
      <c r="A363" s="274" t="n"/>
      <c r="B363" s="275" t="n"/>
      <c r="C363" s="275" t="n"/>
      <c r="D363" s="160" t="n"/>
      <c r="E363" s="159" t="n"/>
      <c r="F363" s="161" t="n"/>
      <c r="G363" s="160" t="n"/>
      <c r="H363" s="159" t="n"/>
      <c r="I363" s="161" t="n"/>
      <c r="J363" s="160" t="n"/>
      <c r="K363" s="159" t="n"/>
      <c r="L363" s="159" t="n"/>
      <c r="M363" s="159" t="n"/>
      <c r="N363" s="159" t="n"/>
      <c r="O363" s="161" t="n"/>
      <c r="P363" s="160" t="n"/>
      <c r="Q363" s="159" t="n"/>
      <c r="R363" s="159" t="n"/>
      <c r="S363" s="161" t="n"/>
      <c r="T363" s="160" t="n"/>
      <c r="U363" s="159" t="n"/>
      <c r="V363" s="159" t="n"/>
      <c r="W363" s="159" t="n"/>
      <c r="X363" s="161" t="n"/>
      <c r="Y363" s="160" t="n"/>
      <c r="Z363" s="159" t="n"/>
      <c r="AA363" s="163" t="n"/>
    </row>
    <row r="364" ht="62" customHeight="1" s="70">
      <c r="A36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1" t="n"/>
    </row>
    <row r="367" ht="20" customHeight="1" s="70">
      <c r="A367" s="253" t="inlineStr">
        <is>
          <t>RECONCILIATION 09.09</t>
        </is>
      </c>
    </row>
    <row r="368">
      <c r="A368" s="283" t="inlineStr">
        <is>
          <t>THE PASS THIS BUILD READ</t>
        </is>
      </c>
      <c r="B368" s="283" t="inlineStr"/>
      <c r="C368" s="283" t="inlineStr"/>
      <c r="D368" s="283" t="inlineStr"/>
      <c r="E368" s="283" t="inlineStr"/>
    </row>
    <row r="370">
      <c r="A370" s="284" t="inlineStr">
        <is>
          <t>Source</t>
        </is>
      </c>
      <c r="B370" s="285" t="inlineStr">
        <is>
          <t>CoQ_Analysis_Master_v20_owner.xlsx</t>
        </is>
      </c>
      <c r="D370" s="286" t="inlineStr">
        <is>
          <t>the owner's workbook of 09.09.2026, vendored beside this one; the three sheets it was read from are Cell Resolution 09.09, Coverage Update 09.09 and Identity Problem 09.09</t>
        </is>
      </c>
    </row>
    <row r="371">
      <c r="A371" s="284" t="inlineStr">
        <is>
          <t>Certificates it read</t>
        </is>
      </c>
      <c r="B371" s="285" t="inlineStr">
        <is>
          <t>387</t>
        </is>
      </c>
      <c r="D371" s="286" t="inlineStr">
        <is>
          <t>eCoA_DATABASE, name for name</t>
        </is>
      </c>
    </row>
    <row r="372">
      <c r="A372" s="284" t="inlineStr">
        <is>
          <t>Determinations it resolved</t>
        </is>
      </c>
      <c r="B372" s="285" t="inlineStr">
        <is>
          <t>600</t>
        </is>
      </c>
      <c r="D372" s="286" t="inlineStr">
        <is>
          <t>50 lots of Tranches 1 and 2 x 12</t>
        </is>
      </c>
    </row>
    <row r="374">
      <c r="A374" s="283" t="inlineStr">
        <is>
          <t>WHAT IT CLOSED ON BATCH COVERAGE</t>
        </is>
      </c>
      <c r="B374" s="283" t="inlineStr"/>
      <c r="C374" s="283" t="inlineStr"/>
      <c r="D374" s="283" t="inlineStr"/>
      <c r="E374" s="283" t="inlineStr"/>
    </row>
    <row r="376">
      <c r="A376" s="284" t="inlineStr">
        <is>
          <t>Parameters closed</t>
        </is>
      </c>
      <c r="B376" s="285" t="inlineStr">
        <is>
          <t>85</t>
        </is>
      </c>
      <c r="D376" s="286" t="inlineStr">
        <is>
          <t>a certificate on file that this sheet still marked missing</t>
        </is>
      </c>
    </row>
    <row r="377">
      <c r="A377" s="284" t="inlineStr">
        <is>
          <t>Lots affected</t>
        </is>
      </c>
      <c r="B377" s="285" t="inlineStr">
        <is>
          <t>28</t>
        </is>
      </c>
    </row>
    <row r="378">
      <c r="A378" s="284" t="inlineStr">
        <is>
          <t>Closures not applied</t>
        </is>
      </c>
      <c r="B378" s="285" t="inlineStr">
        <is>
          <t>36</t>
        </is>
      </c>
      <c r="D378" s="286" t="inlineStr">
        <is>
          <t>already covered, or the lot has no row on Batch Coverage — listed below</t>
        </is>
      </c>
    </row>
    <row r="380">
      <c r="A380" s="283" t="inlineStr">
        <is>
          <t>WHAT THE TWO RECORDS SAY ABOUT THE SAME 600 CELLS</t>
        </is>
      </c>
      <c r="B380" s="283" t="inlineStr"/>
      <c r="C380" s="283" t="inlineStr"/>
      <c r="D380" s="283" t="inlineStr"/>
      <c r="E380" s="283" t="inlineStr"/>
    </row>
    <row r="382">
      <c r="A382" s="284" t="inlineStr">
        <is>
          <t>agree</t>
        </is>
      </c>
      <c r="B382" s="285" t="inlineStr">
        <is>
          <t>157</t>
        </is>
      </c>
      <c r="D382" s="286" t="inlineStr">
        <is>
          <t>both hold a value and it is the same value</t>
        </is>
      </c>
    </row>
    <row r="383">
      <c r="A383" s="284" t="inlineStr">
        <is>
          <t>values</t>
        </is>
      </c>
      <c r="B383" s="285" t="inlineStr">
        <is>
          <t>221</t>
        </is>
      </c>
      <c r="D383" s="286" t="inlineStr">
        <is>
          <t>both hold a value and the values differ — a finding</t>
        </is>
      </c>
    </row>
    <row r="384">
      <c r="A384" s="284" t="inlineStr">
        <is>
          <t>order</t>
        </is>
      </c>
      <c r="B384" s="285" t="inlineStr">
        <is>
          <t>4</t>
        </is>
      </c>
      <c r="D384" s="286" t="inlineStr">
        <is>
          <t>the same values against different analytes — a finding</t>
        </is>
      </c>
    </row>
    <row r="385">
      <c r="A385" s="284" t="inlineStr">
        <is>
          <t>fill</t>
        </is>
      </c>
      <c r="B385" s="285" t="inlineStr">
        <is>
          <t>17</t>
        </is>
      </c>
      <c r="D385" s="286" t="inlineStr">
        <is>
          <t>the desk held nothing and the pass holds a printable result</t>
        </is>
      </c>
    </row>
    <row r="386">
      <c r="A386" s="284" t="inlineStr">
        <is>
          <t>ambiguous</t>
        </is>
      </c>
      <c r="B386" s="285" t="inlineStr">
        <is>
          <t>18</t>
        </is>
      </c>
      <c r="D386" s="286" t="inlineStr">
        <is>
          <t>the pass holds a list of values it does not label</t>
        </is>
      </c>
    </row>
    <row r="387">
      <c r="A387" s="284" t="inlineStr">
        <is>
          <t>basis note</t>
        </is>
      </c>
      <c r="B387" s="285" t="inlineStr">
        <is>
          <t>25</t>
        </is>
      </c>
      <c r="D387" s="286" t="inlineStr">
        <is>
          <t>the pass names where identity comes from, not a result</t>
        </is>
      </c>
    </row>
    <row r="388">
      <c r="A388" s="284" t="inlineStr">
        <is>
          <t>none</t>
        </is>
      </c>
      <c r="B388" s="285" t="inlineStr">
        <is>
          <t>20</t>
        </is>
      </c>
      <c r="D388" s="286" t="inlineStr">
        <is>
          <t>neither record holds anything</t>
        </is>
      </c>
    </row>
    <row r="389">
      <c r="A389" s="284" t="inlineStr">
        <is>
          <t>not comparable</t>
        </is>
      </c>
      <c r="B389" s="285" t="inlineStr">
        <is>
          <t>115</t>
        </is>
      </c>
      <c r="D389" s="286" t="inlineStr">
        <is>
          <t>the two records hold different numbers of lines</t>
        </is>
      </c>
    </row>
    <row r="390">
      <c r="A390" s="284" t="inlineStr">
        <is>
          <t>no desk lot</t>
        </is>
      </c>
      <c r="B390" s="285" t="inlineStr">
        <is>
          <t>23</t>
        </is>
      </c>
      <c r="D390" s="286" t="inlineStr">
        <is>
          <t>the desk carries no initial-release CoQ for the batch</t>
        </is>
      </c>
    </row>
    <row r="392">
      <c r="A392" s="283" t="inlineStr">
        <is>
          <t>THE DISAGREEMENTS</t>
        </is>
      </c>
      <c r="B392" s="283" t="inlineStr"/>
      <c r="C392" s="283" t="inlineStr"/>
      <c r="D392" s="283" t="inlineStr"/>
      <c r="E392" s="283" t="inlineStr"/>
    </row>
    <row r="394">
      <c r="A394" s="283" t="inlineStr">
        <is>
          <t>Batch</t>
        </is>
      </c>
      <c r="B394" s="283" t="inlineStr">
        <is>
          <t>Determination</t>
        </is>
      </c>
      <c r="C394" s="283" t="inlineStr">
        <is>
          <t>Kind</t>
        </is>
      </c>
      <c r="D394" s="283" t="inlineStr">
        <is>
          <t>The desk holds</t>
        </is>
      </c>
      <c r="E394" s="283" t="inlineStr">
        <is>
          <t>The 09.09 pass reads</t>
        </is>
      </c>
    </row>
    <row r="395">
      <c r="A395" s="285" t="inlineStr">
        <is>
          <t>BG1024</t>
        </is>
      </c>
      <c r="B395" s="285" t="inlineStr">
        <is>
          <t>#1</t>
        </is>
      </c>
      <c r="C395" s="287" t="inlineStr">
        <is>
          <t>different values</t>
        </is>
      </c>
      <c r="D395" s="285" t="inlineStr">
        <is>
          <t>Conforms | Одговара</t>
        </is>
      </c>
      <c r="E395" s="285" t="inlineStr">
        <is>
          <t>Conforms</t>
        </is>
      </c>
    </row>
    <row r="396">
      <c r="A396" s="285" t="inlineStr">
        <is>
          <t>BG1024</t>
        </is>
      </c>
      <c r="B396" s="285" t="inlineStr">
        <is>
          <t>#2</t>
        </is>
      </c>
      <c r="C396" s="287" t="inlineStr">
        <is>
          <t>different values</t>
        </is>
      </c>
      <c r="D396" s="285" t="inlineStr">
        <is>
          <t>Conforms | Одговара</t>
        </is>
      </c>
      <c r="E396" s="285" t="inlineStr">
        <is>
          <t>Conforms</t>
        </is>
      </c>
    </row>
    <row r="397">
      <c r="A397" s="285" t="inlineStr">
        <is>
          <t>BG1024</t>
        </is>
      </c>
      <c r="B397" s="285" t="inlineStr">
        <is>
          <t>#7</t>
        </is>
      </c>
      <c r="C397" s="287" t="inlineStr">
        <is>
          <t>different values</t>
        </is>
      </c>
      <c r="D397" s="285" t="inlineStr">
        <is>
          <t>Conforms | Одговара</t>
        </is>
      </c>
      <c r="E397" s="285" t="inlineStr">
        <is>
          <t>Conforms</t>
        </is>
      </c>
    </row>
    <row r="398">
      <c r="A398" s="285" t="inlineStr">
        <is>
          <t>BG1024</t>
        </is>
      </c>
      <c r="B398" s="285" t="inlineStr">
        <is>
          <t>#9</t>
        </is>
      </c>
      <c r="C398" s="287" t="inlineStr">
        <is>
          <t>different values</t>
        </is>
      </c>
      <c r="D398" s="285" t="inlineStr">
        <is>
          <t>1.6 × 10⁴; 1 × 10⁴; &lt; 10² and &gt; 10; Absent | Отсутна; Absent | Отсутна</t>
        </is>
      </c>
      <c r="E398" s="285" t="inlineStr">
        <is>
          <t>1,6 x 10⁴ CFU/g; 1 x 10⁴ CFU/g; &lt; 10² и &gt; 10 CFU/g; Одговара; Одговара</t>
        </is>
      </c>
    </row>
    <row r="399">
      <c r="A399" s="285" t="inlineStr">
        <is>
          <t>BSS1024</t>
        </is>
      </c>
      <c r="B399" s="285" t="inlineStr">
        <is>
          <t>#1</t>
        </is>
      </c>
      <c r="C399" s="287" t="inlineStr">
        <is>
          <t>different values</t>
        </is>
      </c>
      <c r="D399" s="285" t="inlineStr">
        <is>
          <t>Conforms | Одговара</t>
        </is>
      </c>
      <c r="E399" s="285" t="inlineStr">
        <is>
          <t>Conforms</t>
        </is>
      </c>
    </row>
    <row r="400">
      <c r="A400" s="285" t="inlineStr">
        <is>
          <t>BSS1024</t>
        </is>
      </c>
      <c r="B400" s="285" t="inlineStr">
        <is>
          <t>#2</t>
        </is>
      </c>
      <c r="C400" s="287" t="inlineStr">
        <is>
          <t>different values</t>
        </is>
      </c>
      <c r="D400" s="285" t="inlineStr">
        <is>
          <t>Conforms | Одговара</t>
        </is>
      </c>
      <c r="E400" s="285" t="inlineStr">
        <is>
          <t>Conforms</t>
        </is>
      </c>
    </row>
    <row r="401">
      <c r="A401" s="285" t="inlineStr">
        <is>
          <t>BSS1024</t>
        </is>
      </c>
      <c r="B401" s="285" t="inlineStr">
        <is>
          <t>#7</t>
        </is>
      </c>
      <c r="C401" s="287" t="inlineStr">
        <is>
          <t>different values</t>
        </is>
      </c>
      <c r="D401" s="285" t="inlineStr">
        <is>
          <t>Conforms | Одговара</t>
        </is>
      </c>
      <c r="E401" s="285" t="inlineStr">
        <is>
          <t>Conforms</t>
        </is>
      </c>
    </row>
    <row r="402">
      <c r="A402" s="285" t="inlineStr">
        <is>
          <t>BSS1024</t>
        </is>
      </c>
      <c r="B402" s="285" t="inlineStr">
        <is>
          <t>#9</t>
        </is>
      </c>
      <c r="C402" s="287" t="inlineStr">
        <is>
          <t>different values</t>
        </is>
      </c>
      <c r="D402" s="285" t="inlineStr">
        <is>
          <t>1.5 × 10⁴; 2.2 × 10³; &lt; 10² and &gt; 10; Absent | Отсутна; Absent | Отсутна</t>
        </is>
      </c>
      <c r="E402" s="285" t="inlineStr">
        <is>
          <t>1,5 x 10⁴ CFU/g; 2,2 x 10³ CFU/g; &lt; 10² и &gt; 10 CFU/g; Одговара; Одговара</t>
        </is>
      </c>
    </row>
    <row r="403">
      <c r="A403" s="285" t="inlineStr">
        <is>
          <t>BSS1024</t>
        </is>
      </c>
      <c r="B403" s="285" t="inlineStr">
        <is>
          <t>#11</t>
        </is>
      </c>
      <c r="C403" s="288" t="inlineStr">
        <is>
          <t>same values,
other order</t>
        </is>
      </c>
      <c r="D403" s="285" t="inlineStr">
        <is>
          <t>0.071; 0.014; 0.081; 0.014</t>
        </is>
      </c>
      <c r="E403" s="285" t="inlineStr">
        <is>
          <t>0,081 mg/kg(l); 0,071 mg/kg(l); 0,014 mg/kg(l); 0,014 mg/kg(l)</t>
        </is>
      </c>
    </row>
    <row r="404">
      <c r="A404" s="285" t="inlineStr">
        <is>
          <t>CJ052501/01</t>
        </is>
      </c>
      <c r="B404" s="285" t="inlineStr">
        <is>
          <t>#1</t>
        </is>
      </c>
      <c r="C404" s="287" t="inlineStr">
        <is>
          <t>different values</t>
        </is>
      </c>
      <c r="D404" s="285" t="inlineStr">
        <is>
          <t>Conforms | Одговара</t>
        </is>
      </c>
      <c r="E404" s="285" t="inlineStr">
        <is>
          <t>Conforms</t>
        </is>
      </c>
    </row>
    <row r="405">
      <c r="A405" s="285" t="inlineStr">
        <is>
          <t>CJ052501/01</t>
        </is>
      </c>
      <c r="B405" s="285" t="inlineStr">
        <is>
          <t>#2</t>
        </is>
      </c>
      <c r="C405" s="287" t="inlineStr">
        <is>
          <t>different values</t>
        </is>
      </c>
      <c r="D405" s="285" t="inlineStr">
        <is>
          <t>Conforms | Одговара</t>
        </is>
      </c>
      <c r="E405" s="285" t="inlineStr">
        <is>
          <t>Conforms</t>
        </is>
      </c>
    </row>
    <row r="406">
      <c r="A406" s="285" t="inlineStr">
        <is>
          <t>CJ052501/01</t>
        </is>
      </c>
      <c r="B406" s="285" t="inlineStr">
        <is>
          <t>#3</t>
        </is>
      </c>
      <c r="C406" s="287" t="inlineStr">
        <is>
          <t>different values</t>
        </is>
      </c>
      <c r="D406" s="285" t="inlineStr">
        <is>
          <t>Conforms | Одговара</t>
        </is>
      </c>
      <c r="E406" s="285" t="inlineStr">
        <is>
          <t>Conforms (ImB spec.)</t>
        </is>
      </c>
    </row>
    <row r="407">
      <c r="A407" s="285" t="inlineStr">
        <is>
          <t>CJ052501/01</t>
        </is>
      </c>
      <c r="B407" s="285" t="inlineStr">
        <is>
          <t>#7</t>
        </is>
      </c>
      <c r="C407" s="287" t="inlineStr">
        <is>
          <t>different values</t>
        </is>
      </c>
      <c r="D407" s="285" t="inlineStr">
        <is>
          <t>Conforms | Одговара</t>
        </is>
      </c>
      <c r="E407" s="285" t="inlineStr">
        <is>
          <t>Conforms</t>
        </is>
      </c>
    </row>
    <row r="408">
      <c r="A408" s="285" t="inlineStr">
        <is>
          <t>CJ052501/01</t>
        </is>
      </c>
      <c r="B408" s="285" t="inlineStr">
        <is>
          <t>#9</t>
        </is>
      </c>
      <c r="C408" s="287" t="inlineStr">
        <is>
          <t>different values</t>
        </is>
      </c>
      <c r="D408" s="285" t="inlineStr">
        <is>
          <t>2.8 × 10⁴; 1.7 × 10⁴; &lt; 10³ and &gt; 10²; Absent | Отсутна; Absent | Отсутна</t>
        </is>
      </c>
      <c r="E408" s="285" t="inlineStr">
        <is>
          <t>2.8×10⁴; 1.7×10⁴; &lt;10³ and &gt;10² ᴿ; Одговара; Одговара</t>
        </is>
      </c>
    </row>
    <row r="409">
      <c r="A409" s="285" t="inlineStr">
        <is>
          <t>CJ052501/01</t>
        </is>
      </c>
      <c r="B409" s="285" t="inlineStr">
        <is>
          <t>#12</t>
        </is>
      </c>
      <c r="C409" s="287" t="inlineStr">
        <is>
          <t>different values</t>
        </is>
      </c>
      <c r="D409" s="285" t="inlineStr">
        <is>
          <t>ND</t>
        </is>
      </c>
      <c r="E409" s="285" t="inlineStr">
        <is>
          <t>≤ LOQ (all 24 compounds)</t>
        </is>
      </c>
    </row>
    <row r="410">
      <c r="A410" s="285" t="inlineStr">
        <is>
          <t>CJ082501/2</t>
        </is>
      </c>
      <c r="B410" s="285" t="inlineStr">
        <is>
          <t>#1</t>
        </is>
      </c>
      <c r="C410" s="287" t="inlineStr">
        <is>
          <t>different values</t>
        </is>
      </c>
      <c r="D410" s="285" t="inlineStr">
        <is>
          <t>Conforms | Одговара</t>
        </is>
      </c>
      <c r="E410" s="285" t="inlineStr">
        <is>
          <t>Conforms</t>
        </is>
      </c>
    </row>
    <row r="411">
      <c r="A411" s="285" t="inlineStr">
        <is>
          <t>CJ082501/2</t>
        </is>
      </c>
      <c r="B411" s="285" t="inlineStr">
        <is>
          <t>#2</t>
        </is>
      </c>
      <c r="C411" s="287" t="inlineStr">
        <is>
          <t>different values</t>
        </is>
      </c>
      <c r="D411" s="285" t="inlineStr">
        <is>
          <t>Conforms | Одговара</t>
        </is>
      </c>
      <c r="E411" s="285" t="inlineStr">
        <is>
          <t>Conforms</t>
        </is>
      </c>
    </row>
    <row r="412">
      <c r="A412" s="285" t="inlineStr">
        <is>
          <t>CJ082501/2</t>
        </is>
      </c>
      <c r="B412" s="285" t="inlineStr">
        <is>
          <t>#3</t>
        </is>
      </c>
      <c r="C412" s="287" t="inlineStr">
        <is>
          <t>different values</t>
        </is>
      </c>
      <c r="D412" s="285" t="inlineStr">
        <is>
          <t>Conforms | Одговара</t>
        </is>
      </c>
      <c r="E412" s="285" t="inlineStr">
        <is>
          <t>Conforms (ImB spec.)</t>
        </is>
      </c>
    </row>
    <row r="413">
      <c r="A413" s="285" t="inlineStr">
        <is>
          <t>CJ082501/2</t>
        </is>
      </c>
      <c r="B413" s="285" t="inlineStr">
        <is>
          <t>#7</t>
        </is>
      </c>
      <c r="C413" s="287" t="inlineStr">
        <is>
          <t>different values</t>
        </is>
      </c>
      <c r="D413" s="285" t="inlineStr">
        <is>
          <t>Conforms | Одговара</t>
        </is>
      </c>
      <c r="E413" s="285" t="inlineStr">
        <is>
          <t>Conforms</t>
        </is>
      </c>
    </row>
    <row r="414">
      <c r="A414" s="285" t="inlineStr">
        <is>
          <t>CJ082501/2</t>
        </is>
      </c>
      <c r="B414" s="285" t="inlineStr">
        <is>
          <t>#9</t>
        </is>
      </c>
      <c r="C414" s="287" t="inlineStr">
        <is>
          <t>different values</t>
        </is>
      </c>
      <c r="D414" s="285" t="inlineStr">
        <is>
          <t>9.5 × 10²; 1.2 × 10³; &lt; 10; Absent | Отсутна; Absent | Отсутна</t>
        </is>
      </c>
      <c r="E414" s="285" t="inlineStr">
        <is>
          <t>9.5×10²; 1.2×10³; &lt;10; Одговара; Одговара</t>
        </is>
      </c>
    </row>
    <row r="415">
      <c r="A415" s="285" t="inlineStr">
        <is>
          <t>CJ082501/2</t>
        </is>
      </c>
      <c r="B415" s="285" t="inlineStr">
        <is>
          <t>#12</t>
        </is>
      </c>
      <c r="C415" s="287" t="inlineStr">
        <is>
          <t>different values</t>
        </is>
      </c>
      <c r="D415" s="285" t="inlineStr">
        <is>
          <t>ND</t>
        </is>
      </c>
      <c r="E415" s="285" t="inlineStr">
        <is>
          <t>≤ LOQ (all 29 compounds)</t>
        </is>
      </c>
    </row>
    <row r="416">
      <c r="A416" s="285" t="inlineStr">
        <is>
          <t>FB012602</t>
        </is>
      </c>
      <c r="B416" s="285" t="inlineStr">
        <is>
          <t>#1</t>
        </is>
      </c>
      <c r="C416" s="287" t="inlineStr">
        <is>
          <t>different values</t>
        </is>
      </c>
      <c r="D416" s="285" t="inlineStr">
        <is>
          <t>Conforms | Одговара</t>
        </is>
      </c>
      <c r="E416" s="285" t="inlineStr">
        <is>
          <t>Conforms</t>
        </is>
      </c>
    </row>
    <row r="417">
      <c r="A417" s="285" t="inlineStr">
        <is>
          <t>FB012602</t>
        </is>
      </c>
      <c r="B417" s="285" t="inlineStr">
        <is>
          <t>#2</t>
        </is>
      </c>
      <c r="C417" s="287" t="inlineStr">
        <is>
          <t>different values</t>
        </is>
      </c>
      <c r="D417" s="285" t="inlineStr">
        <is>
          <t>Conforms | Одговара</t>
        </is>
      </c>
      <c r="E417" s="285" t="inlineStr">
        <is>
          <t>Conforms</t>
        </is>
      </c>
    </row>
    <row r="418">
      <c r="A418" s="285" t="inlineStr">
        <is>
          <t>FB012602</t>
        </is>
      </c>
      <c r="B418" s="285" t="inlineStr">
        <is>
          <t>#7</t>
        </is>
      </c>
      <c r="C418" s="287" t="inlineStr">
        <is>
          <t>different values</t>
        </is>
      </c>
      <c r="D418" s="285" t="inlineStr">
        <is>
          <t>Conforms | Одговара</t>
        </is>
      </c>
      <c r="E418" s="285" t="inlineStr">
        <is>
          <t>Conforms</t>
        </is>
      </c>
    </row>
    <row r="419">
      <c r="A419" s="285" t="inlineStr">
        <is>
          <t>FB012602</t>
        </is>
      </c>
      <c r="B419" s="285" t="inlineStr">
        <is>
          <t>#9</t>
        </is>
      </c>
      <c r="C419" s="287" t="inlineStr">
        <is>
          <t>different values</t>
        </is>
      </c>
      <c r="D419" s="285" t="inlineStr">
        <is>
          <t>6.3 × 10⁴; 2.2 × 10⁴; &lt; 10; Absent | Отсутна; Absent | Отсутна</t>
        </is>
      </c>
      <c r="E419" s="285" t="inlineStr">
        <is>
          <t>6,3 x 10⁴ CFU/g CFU/g; 2,2 x 10⁴ CFU/g CFU/g; &lt; 10 CFU/g CFU/g; Отсутна /g; Отсутна /25 g</t>
        </is>
      </c>
    </row>
    <row r="420">
      <c r="A420" s="285" t="inlineStr">
        <is>
          <t>GG012603</t>
        </is>
      </c>
      <c r="B420" s="285" t="inlineStr">
        <is>
          <t>#9</t>
        </is>
      </c>
      <c r="C420" s="287" t="inlineStr">
        <is>
          <t>different values</t>
        </is>
      </c>
      <c r="D420" s="285" t="inlineStr">
        <is>
          <t>5 × 10³; 4.1 × 10³; &lt; 10; Absent | Отсутна; Absent | Отсутна</t>
        </is>
      </c>
      <c r="E420" s="285" t="inlineStr">
        <is>
          <t>5 x 10³ CFU/g CFU/g; 4,1 x 10³ CFU/g CFU/g; &lt; 10 CFU/g CFU/g; Отсутна /g; Отсутна /25 g</t>
        </is>
      </c>
    </row>
    <row r="421">
      <c r="A421" s="285" t="inlineStr">
        <is>
          <t>GG1024_01</t>
        </is>
      </c>
      <c r="B421" s="285" t="inlineStr">
        <is>
          <t>#1</t>
        </is>
      </c>
      <c r="C421" s="287" t="inlineStr">
        <is>
          <t>different values</t>
        </is>
      </c>
      <c r="D421" s="285" t="inlineStr">
        <is>
          <t>Conforms | Одговара</t>
        </is>
      </c>
      <c r="E421" s="285" t="inlineStr">
        <is>
          <t>Conforms</t>
        </is>
      </c>
    </row>
    <row r="422">
      <c r="A422" s="285" t="inlineStr">
        <is>
          <t>GG1024_01</t>
        </is>
      </c>
      <c r="B422" s="285" t="inlineStr">
        <is>
          <t>#2</t>
        </is>
      </c>
      <c r="C422" s="287" t="inlineStr">
        <is>
          <t>different values</t>
        </is>
      </c>
      <c r="D422" s="285" t="inlineStr">
        <is>
          <t>Conforms | Одговара</t>
        </is>
      </c>
      <c r="E422" s="285" t="inlineStr">
        <is>
          <t>Conforms</t>
        </is>
      </c>
    </row>
    <row r="423">
      <c r="A423" s="285" t="inlineStr">
        <is>
          <t>GG1024_01</t>
        </is>
      </c>
      <c r="B423" s="285" t="inlineStr">
        <is>
          <t>#3</t>
        </is>
      </c>
      <c r="C423" s="287" t="inlineStr">
        <is>
          <t>different values</t>
        </is>
      </c>
      <c r="D423" s="285" t="inlineStr">
        <is>
          <t>Conforms | Одговара</t>
        </is>
      </c>
      <c r="E423" s="285" t="inlineStr">
        <is>
          <t>Conforms (ImB spec.)</t>
        </is>
      </c>
    </row>
    <row r="424">
      <c r="A424" s="285" t="inlineStr">
        <is>
          <t>GG1024_01</t>
        </is>
      </c>
      <c r="B424" s="285" t="inlineStr">
        <is>
          <t>#7</t>
        </is>
      </c>
      <c r="C424" s="287" t="inlineStr">
        <is>
          <t>different values</t>
        </is>
      </c>
      <c r="D424" s="285" t="inlineStr">
        <is>
          <t>Conforms | Одговара</t>
        </is>
      </c>
      <c r="E424" s="285" t="inlineStr">
        <is>
          <t>Conforms</t>
        </is>
      </c>
    </row>
    <row r="425">
      <c r="A425" s="285" t="inlineStr">
        <is>
          <t>GG1024_01</t>
        </is>
      </c>
      <c r="B425" s="285" t="inlineStr">
        <is>
          <t>#9</t>
        </is>
      </c>
      <c r="C425" s="287" t="inlineStr">
        <is>
          <t>different values</t>
        </is>
      </c>
      <c r="D425" s="285" t="inlineStr">
        <is>
          <t>5.1 × 10⁴; 4.2 × 10⁴; &lt; 10; Absent | Отсутна; Absent | Отсутна</t>
        </is>
      </c>
      <c r="E425" s="285" t="inlineStr">
        <is>
          <t>5.1 x 10⁴; 4.2 x 10⁴; &lt;10; Одговара; Одговара</t>
        </is>
      </c>
    </row>
    <row r="426">
      <c r="A426" s="285" t="inlineStr">
        <is>
          <t>GG1024_01</t>
        </is>
      </c>
      <c r="B426" s="285" t="inlineStr">
        <is>
          <t>#12</t>
        </is>
      </c>
      <c r="C426" s="287" t="inlineStr">
        <is>
          <t>different values</t>
        </is>
      </c>
      <c r="D426" s="285" t="inlineStr">
        <is>
          <t>ND</t>
        </is>
      </c>
      <c r="E426" s="285" t="inlineStr">
        <is>
          <t>≤ LOQ (all 27 compounds)</t>
        </is>
      </c>
    </row>
    <row r="427">
      <c r="A427" s="285" t="inlineStr">
        <is>
          <t>GP052501</t>
        </is>
      </c>
      <c r="B427" s="285" t="inlineStr">
        <is>
          <t>#1</t>
        </is>
      </c>
      <c r="C427" s="287" t="inlineStr">
        <is>
          <t>different values</t>
        </is>
      </c>
      <c r="D427" s="285" t="inlineStr">
        <is>
          <t>Conforms | Одговара</t>
        </is>
      </c>
      <c r="E427" s="285" t="inlineStr">
        <is>
          <t>Conforms</t>
        </is>
      </c>
    </row>
    <row r="428">
      <c r="A428" s="285" t="inlineStr">
        <is>
          <t>GP052501</t>
        </is>
      </c>
      <c r="B428" s="285" t="inlineStr">
        <is>
          <t>#2</t>
        </is>
      </c>
      <c r="C428" s="287" t="inlineStr">
        <is>
          <t>different values</t>
        </is>
      </c>
      <c r="D428" s="285" t="inlineStr">
        <is>
          <t>Conforms | Одговара</t>
        </is>
      </c>
      <c r="E428" s="285" t="inlineStr">
        <is>
          <t>Conforms</t>
        </is>
      </c>
    </row>
    <row r="429">
      <c r="A429" s="285" t="inlineStr">
        <is>
          <t>GP052501</t>
        </is>
      </c>
      <c r="B429" s="285" t="inlineStr">
        <is>
          <t>#3</t>
        </is>
      </c>
      <c r="C429" s="287" t="inlineStr">
        <is>
          <t>different values</t>
        </is>
      </c>
      <c r="D429" s="285" t="inlineStr">
        <is>
          <t>Conforms | Одговара</t>
        </is>
      </c>
      <c r="E429" s="285" t="inlineStr">
        <is>
          <t>Conforms (ImB spec.)</t>
        </is>
      </c>
    </row>
    <row r="430">
      <c r="A430" s="285" t="inlineStr">
        <is>
          <t>GP052501</t>
        </is>
      </c>
      <c r="B430" s="285" t="inlineStr">
        <is>
          <t>#7</t>
        </is>
      </c>
      <c r="C430" s="287" t="inlineStr">
        <is>
          <t>different values</t>
        </is>
      </c>
      <c r="D430" s="285" t="inlineStr">
        <is>
          <t>Conforms | Одговара</t>
        </is>
      </c>
      <c r="E430" s="285" t="inlineStr">
        <is>
          <t>Conforms</t>
        </is>
      </c>
    </row>
    <row r="431">
      <c r="A431" s="285" t="inlineStr">
        <is>
          <t>GP052501</t>
        </is>
      </c>
      <c r="B431" s="285" t="inlineStr">
        <is>
          <t>#9</t>
        </is>
      </c>
      <c r="C431" s="287" t="inlineStr">
        <is>
          <t>different values</t>
        </is>
      </c>
      <c r="D431" s="285" t="inlineStr">
        <is>
          <t>2.1 × 10⁴; 3.6 × 10⁴; &lt; 10² and &gt; 10¹; Absent | Отсутна; Absent | Отсутна</t>
        </is>
      </c>
      <c r="E431" s="285" t="inlineStr">
        <is>
          <t>2.1×10⁴ ᴿ; 3.6 x 10⁴; &lt;10² и &gt;10¹; Одговара; Одговара</t>
        </is>
      </c>
    </row>
    <row r="432">
      <c r="A432" s="285" t="inlineStr">
        <is>
          <t>GP052501</t>
        </is>
      </c>
      <c r="B432" s="285" t="inlineStr">
        <is>
          <t>#12</t>
        </is>
      </c>
      <c r="C432" s="287" t="inlineStr">
        <is>
          <t>different values</t>
        </is>
      </c>
      <c r="D432" s="285" t="inlineStr">
        <is>
          <t>ND</t>
        </is>
      </c>
      <c r="E432" s="285" t="inlineStr">
        <is>
          <t>≤ LOQ (all 29 compounds)</t>
        </is>
      </c>
    </row>
    <row r="433">
      <c r="A433" s="285" t="inlineStr">
        <is>
          <t>GP0824_02</t>
        </is>
      </c>
      <c r="B433" s="285" t="inlineStr">
        <is>
          <t>#1</t>
        </is>
      </c>
      <c r="C433" s="287" t="inlineStr">
        <is>
          <t>different values</t>
        </is>
      </c>
      <c r="D433" s="285" t="inlineStr">
        <is>
          <t>Conforms | Одговара</t>
        </is>
      </c>
      <c r="E433" s="285" t="inlineStr">
        <is>
          <t>Conforms</t>
        </is>
      </c>
    </row>
    <row r="434">
      <c r="A434" s="285" t="inlineStr">
        <is>
          <t>GP0824_02</t>
        </is>
      </c>
      <c r="B434" s="285" t="inlineStr">
        <is>
          <t>#2</t>
        </is>
      </c>
      <c r="C434" s="287" t="inlineStr">
        <is>
          <t>different values</t>
        </is>
      </c>
      <c r="D434" s="285" t="inlineStr">
        <is>
          <t>Conforms | Одговара</t>
        </is>
      </c>
      <c r="E434" s="285" t="inlineStr">
        <is>
          <t>Conforms</t>
        </is>
      </c>
    </row>
    <row r="435">
      <c r="A435" s="285" t="inlineStr">
        <is>
          <t>GP0824_02</t>
        </is>
      </c>
      <c r="B435" s="285" t="inlineStr">
        <is>
          <t>#3</t>
        </is>
      </c>
      <c r="C435" s="287" t="inlineStr">
        <is>
          <t>different values</t>
        </is>
      </c>
      <c r="D435" s="285" t="inlineStr">
        <is>
          <t>Conforms | Одговара</t>
        </is>
      </c>
      <c r="E435" s="285" t="inlineStr">
        <is>
          <t>Conforms (ImB spec.)</t>
        </is>
      </c>
    </row>
    <row r="436">
      <c r="A436" s="285" t="inlineStr">
        <is>
          <t>GP0824_02</t>
        </is>
      </c>
      <c r="B436" s="285" t="inlineStr">
        <is>
          <t>#7</t>
        </is>
      </c>
      <c r="C436" s="287" t="inlineStr">
        <is>
          <t>different values</t>
        </is>
      </c>
      <c r="D436" s="285" t="inlineStr">
        <is>
          <t>Conforms | Одговара</t>
        </is>
      </c>
      <c r="E436" s="285" t="inlineStr">
        <is>
          <t>Conforms</t>
        </is>
      </c>
    </row>
    <row r="437">
      <c r="A437" s="285" t="inlineStr">
        <is>
          <t>GP0824_02</t>
        </is>
      </c>
      <c r="B437" s="285" t="inlineStr">
        <is>
          <t>#9</t>
        </is>
      </c>
      <c r="C437" s="287" t="inlineStr">
        <is>
          <t>different values</t>
        </is>
      </c>
      <c r="D437" s="285" t="inlineStr">
        <is>
          <t>700; &lt; 10; &lt; 10² and &gt; 10; Absent | Отсутна; Absent | Отсутна</t>
        </is>
      </c>
      <c r="E437" s="285" t="inlineStr">
        <is>
          <t>700; 10; &lt;10^2 и &gt;10; Одговара; Одговара</t>
        </is>
      </c>
    </row>
    <row r="438">
      <c r="A438" s="285" t="inlineStr">
        <is>
          <t>GP0824_02</t>
        </is>
      </c>
      <c r="B438" s="285" t="inlineStr">
        <is>
          <t>#12</t>
        </is>
      </c>
      <c r="C438" s="287" t="inlineStr">
        <is>
          <t>different values</t>
        </is>
      </c>
      <c r="D438" s="285" t="inlineStr">
        <is>
          <t>ND</t>
        </is>
      </c>
      <c r="E438" s="285" t="inlineStr">
        <is>
          <t>≤ LOQ (all 29 compounds)</t>
        </is>
      </c>
    </row>
    <row r="439">
      <c r="A439" s="285" t="inlineStr">
        <is>
          <t>GP082501/2</t>
        </is>
      </c>
      <c r="B439" s="285" t="inlineStr">
        <is>
          <t>#1</t>
        </is>
      </c>
      <c r="C439" s="287" t="inlineStr">
        <is>
          <t>different values</t>
        </is>
      </c>
      <c r="D439" s="285" t="inlineStr">
        <is>
          <t>Conforms | Одговара</t>
        </is>
      </c>
      <c r="E439" s="285" t="inlineStr">
        <is>
          <t>Conforms</t>
        </is>
      </c>
    </row>
    <row r="440">
      <c r="A440" s="285" t="inlineStr">
        <is>
          <t>GP082501/2</t>
        </is>
      </c>
      <c r="B440" s="285" t="inlineStr">
        <is>
          <t>#2</t>
        </is>
      </c>
      <c r="C440" s="287" t="inlineStr">
        <is>
          <t>different values</t>
        </is>
      </c>
      <c r="D440" s="285" t="inlineStr">
        <is>
          <t>Conforms | Одговара</t>
        </is>
      </c>
      <c r="E440" s="285" t="inlineStr">
        <is>
          <t>Conforms</t>
        </is>
      </c>
    </row>
    <row r="441">
      <c r="A441" s="285" t="inlineStr">
        <is>
          <t>GP082501/2</t>
        </is>
      </c>
      <c r="B441" s="285" t="inlineStr">
        <is>
          <t>#3</t>
        </is>
      </c>
      <c r="C441" s="287" t="inlineStr">
        <is>
          <t>different values</t>
        </is>
      </c>
      <c r="D441" s="285" t="inlineStr">
        <is>
          <t>Conforms | Одговара</t>
        </is>
      </c>
      <c r="E441" s="285" t="inlineStr">
        <is>
          <t>Conforms (ImB spec.)</t>
        </is>
      </c>
    </row>
    <row r="442">
      <c r="A442" s="285" t="inlineStr">
        <is>
          <t>GP082501/2</t>
        </is>
      </c>
      <c r="B442" s="285" t="inlineStr">
        <is>
          <t>#7</t>
        </is>
      </c>
      <c r="C442" s="287" t="inlineStr">
        <is>
          <t>different values</t>
        </is>
      </c>
      <c r="D442" s="285" t="inlineStr">
        <is>
          <t>Conforms | Одговара</t>
        </is>
      </c>
      <c r="E442" s="285" t="inlineStr">
        <is>
          <t>Conforms</t>
        </is>
      </c>
    </row>
    <row r="443">
      <c r="A443" s="285" t="inlineStr">
        <is>
          <t>GP082501/2</t>
        </is>
      </c>
      <c r="B443" s="285" t="inlineStr">
        <is>
          <t>#9</t>
        </is>
      </c>
      <c r="C443" s="287" t="inlineStr">
        <is>
          <t>different values</t>
        </is>
      </c>
      <c r="D443" s="285" t="inlineStr">
        <is>
          <t>3.2 × 10³; 5.8 × 10³; &lt; 10⁴ and &gt; 10³; Absent | Отсутна; Absent | Отсутна</t>
        </is>
      </c>
      <c r="E443" s="285" t="inlineStr">
        <is>
          <t>3.2 x 10³; 5.8 x 10³; &lt;10^4 и &gt;10^3; Одговара; Одговара</t>
        </is>
      </c>
    </row>
    <row r="444">
      <c r="A444" s="285" t="inlineStr">
        <is>
          <t>GP082501/2</t>
        </is>
      </c>
      <c r="B444" s="285" t="inlineStr">
        <is>
          <t>#12</t>
        </is>
      </c>
      <c r="C444" s="287" t="inlineStr">
        <is>
          <t>different values</t>
        </is>
      </c>
      <c r="D444" s="285" t="inlineStr">
        <is>
          <t>ND</t>
        </is>
      </c>
      <c r="E444" s="285" t="inlineStr">
        <is>
          <t>≤ LOQ (all 29 compounds)</t>
        </is>
      </c>
    </row>
    <row r="445">
      <c r="A445" s="285" t="inlineStr">
        <is>
          <t>HPA1024</t>
        </is>
      </c>
      <c r="B445" s="285" t="inlineStr">
        <is>
          <t>#1</t>
        </is>
      </c>
      <c r="C445" s="287" t="inlineStr">
        <is>
          <t>different values</t>
        </is>
      </c>
      <c r="D445" s="285" t="inlineStr">
        <is>
          <t>Conforms | Одговара</t>
        </is>
      </c>
      <c r="E445" s="285" t="inlineStr">
        <is>
          <t>Conforms</t>
        </is>
      </c>
    </row>
    <row r="446">
      <c r="A446" s="285" t="inlineStr">
        <is>
          <t>HPA1024</t>
        </is>
      </c>
      <c r="B446" s="285" t="inlineStr">
        <is>
          <t>#2</t>
        </is>
      </c>
      <c r="C446" s="287" t="inlineStr">
        <is>
          <t>different values</t>
        </is>
      </c>
      <c r="D446" s="285" t="inlineStr">
        <is>
          <t>Conforms | Одговара</t>
        </is>
      </c>
      <c r="E446" s="285" t="inlineStr">
        <is>
          <t>Conforms</t>
        </is>
      </c>
    </row>
    <row r="447">
      <c r="A447" s="285" t="inlineStr">
        <is>
          <t>HPA1024</t>
        </is>
      </c>
      <c r="B447" s="285" t="inlineStr">
        <is>
          <t>#4</t>
        </is>
      </c>
      <c r="C447" s="287" t="inlineStr">
        <is>
          <t>different values</t>
        </is>
      </c>
      <c r="D447" s="285" t="inlineStr">
        <is>
          <t>14.97</t>
        </is>
      </c>
      <c r="E447" s="285" t="inlineStr">
        <is>
          <t>19.68 %w/w</t>
        </is>
      </c>
    </row>
    <row r="448">
      <c r="A448" s="285" t="inlineStr">
        <is>
          <t>HPA1024</t>
        </is>
      </c>
      <c r="B448" s="285" t="inlineStr">
        <is>
          <t>#5</t>
        </is>
      </c>
      <c r="C448" s="287" t="inlineStr">
        <is>
          <t>different values</t>
        </is>
      </c>
      <c r="D448" s="285" t="inlineStr">
        <is>
          <t>0.04</t>
        </is>
      </c>
      <c r="E448" s="285" t="inlineStr">
        <is>
          <t>&lt; LOQ %w/w</t>
        </is>
      </c>
    </row>
    <row r="449">
      <c r="A449" s="285" t="inlineStr">
        <is>
          <t>HPA1024</t>
        </is>
      </c>
      <c r="B449" s="285" t="inlineStr">
        <is>
          <t>#7</t>
        </is>
      </c>
      <c r="C449" s="287" t="inlineStr">
        <is>
          <t>different values</t>
        </is>
      </c>
      <c r="D449" s="285" t="inlineStr">
        <is>
          <t>Conforms | Одговара</t>
        </is>
      </c>
      <c r="E449" s="285" t="inlineStr">
        <is>
          <t>Conforms</t>
        </is>
      </c>
    </row>
    <row r="450">
      <c r="A450" s="285" t="inlineStr">
        <is>
          <t>HPA1024</t>
        </is>
      </c>
      <c r="B450" s="285" t="inlineStr">
        <is>
          <t>#9</t>
        </is>
      </c>
      <c r="C450" s="287" t="inlineStr">
        <is>
          <t>different values</t>
        </is>
      </c>
      <c r="D450" s="285" t="inlineStr">
        <is>
          <t>5.2 × 10⁴; 7 × 10²; &lt; 10; Absent | Отсутна; Absent | Отсутна</t>
        </is>
      </c>
      <c r="E450" s="285" t="inlineStr">
        <is>
          <t>5.2·10⁴ CFU/g CFU/g; 7·10² CFU/g CFU/g; &lt;10 CFU/g CFU/g; Absent; Absent</t>
        </is>
      </c>
    </row>
    <row r="451">
      <c r="A451" s="285" t="inlineStr">
        <is>
          <t>HPA1024</t>
        </is>
      </c>
      <c r="B451" s="285" t="inlineStr">
        <is>
          <t>#11</t>
        </is>
      </c>
      <c r="C451" s="288" t="inlineStr">
        <is>
          <t>same values,
other order</t>
        </is>
      </c>
      <c r="D451" s="285" t="inlineStr">
        <is>
          <t>0.02; 0.013; 0.017; 0.0026</t>
        </is>
      </c>
      <c r="E451" s="285" t="inlineStr">
        <is>
          <t>0.013 mg/kg mg/kg; 0.02 mg/kg mg/kg; 0.0026 mg/kg mg/kg; 0.017 mg/kg mg/kg</t>
        </is>
      </c>
    </row>
    <row r="452">
      <c r="A452" s="285" t="inlineStr">
        <is>
          <t>HPA1024_01</t>
        </is>
      </c>
      <c r="B452" s="285" t="inlineStr">
        <is>
          <t>#1</t>
        </is>
      </c>
      <c r="C452" s="287" t="inlineStr">
        <is>
          <t>different values</t>
        </is>
      </c>
      <c r="D452" s="285" t="inlineStr">
        <is>
          <t>Conforms | Одговара</t>
        </is>
      </c>
      <c r="E452" s="285" t="inlineStr">
        <is>
          <t>Conforms</t>
        </is>
      </c>
    </row>
    <row r="453">
      <c r="A453" s="285" t="inlineStr">
        <is>
          <t>HPA1024_01</t>
        </is>
      </c>
      <c r="B453" s="285" t="inlineStr">
        <is>
          <t>#2</t>
        </is>
      </c>
      <c r="C453" s="287" t="inlineStr">
        <is>
          <t>different values</t>
        </is>
      </c>
      <c r="D453" s="285" t="inlineStr">
        <is>
          <t>Conforms | Одговара</t>
        </is>
      </c>
      <c r="E453" s="285" t="inlineStr">
        <is>
          <t>Conforms</t>
        </is>
      </c>
    </row>
    <row r="454">
      <c r="A454" s="285" t="inlineStr">
        <is>
          <t>HPA1024_01</t>
        </is>
      </c>
      <c r="B454" s="285" t="inlineStr">
        <is>
          <t>#3</t>
        </is>
      </c>
      <c r="C454" s="287" t="inlineStr">
        <is>
          <t>different values</t>
        </is>
      </c>
      <c r="D454" s="285" t="inlineStr">
        <is>
          <t>Conforms | Одговара</t>
        </is>
      </c>
      <c r="E454" s="285" t="inlineStr">
        <is>
          <t>Conforms (ImB spec.)</t>
        </is>
      </c>
    </row>
    <row r="455">
      <c r="A455" s="285" t="inlineStr">
        <is>
          <t>HPA1024_01</t>
        </is>
      </c>
      <c r="B455" s="285" t="inlineStr">
        <is>
          <t>#7</t>
        </is>
      </c>
      <c r="C455" s="287" t="inlineStr">
        <is>
          <t>different values</t>
        </is>
      </c>
      <c r="D455" s="285" t="inlineStr">
        <is>
          <t>Conforms | Одговара</t>
        </is>
      </c>
      <c r="E455" s="285" t="inlineStr">
        <is>
          <t>Conforms</t>
        </is>
      </c>
    </row>
    <row r="456">
      <c r="A456" s="285" t="inlineStr">
        <is>
          <t>HPA1024_01</t>
        </is>
      </c>
      <c r="B456" s="285" t="inlineStr">
        <is>
          <t>#9</t>
        </is>
      </c>
      <c r="C456" s="287" t="inlineStr">
        <is>
          <t>different values</t>
        </is>
      </c>
      <c r="D456" s="285" t="inlineStr">
        <is>
          <t>9.6 × 10³; 1.5 × 10⁴; &lt; 10; Absent | Отсутна; Absent | Отсутна</t>
        </is>
      </c>
      <c r="E456" s="285" t="inlineStr">
        <is>
          <t>9.6 x 10³; 1.5 x 10⁴; &lt;10; Одговара; Одговара</t>
        </is>
      </c>
    </row>
    <row r="457">
      <c r="A457" s="285" t="inlineStr">
        <is>
          <t>HPA1024_01</t>
        </is>
      </c>
      <c r="B457" s="285" t="inlineStr">
        <is>
          <t>#12</t>
        </is>
      </c>
      <c r="C457" s="287" t="inlineStr">
        <is>
          <t>different values</t>
        </is>
      </c>
      <c r="D457" s="285" t="inlineStr">
        <is>
          <t>ND</t>
        </is>
      </c>
      <c r="E457" s="285" t="inlineStr">
        <is>
          <t>≤ LOQ (all 23 compounds)</t>
        </is>
      </c>
    </row>
    <row r="458">
      <c r="A458" s="285" t="inlineStr">
        <is>
          <t>J31102501</t>
        </is>
      </c>
      <c r="B458" s="285" t="inlineStr">
        <is>
          <t>#1</t>
        </is>
      </c>
      <c r="C458" s="287" t="inlineStr">
        <is>
          <t>different values</t>
        </is>
      </c>
      <c r="D458" s="285" t="inlineStr">
        <is>
          <t>Conforms | Одговара</t>
        </is>
      </c>
      <c r="E458" s="285" t="inlineStr">
        <is>
          <t>Conforms</t>
        </is>
      </c>
    </row>
    <row r="459">
      <c r="A459" s="285" t="inlineStr">
        <is>
          <t>J31102501</t>
        </is>
      </c>
      <c r="B459" s="285" t="inlineStr">
        <is>
          <t>#2</t>
        </is>
      </c>
      <c r="C459" s="287" t="inlineStr">
        <is>
          <t>different values</t>
        </is>
      </c>
      <c r="D459" s="285" t="inlineStr">
        <is>
          <t>Conforms | Одговара</t>
        </is>
      </c>
      <c r="E459" s="285" t="inlineStr">
        <is>
          <t>Conforms</t>
        </is>
      </c>
    </row>
    <row r="460">
      <c r="A460" s="285" t="inlineStr">
        <is>
          <t>J31102501</t>
        </is>
      </c>
      <c r="B460" s="285" t="inlineStr">
        <is>
          <t>#3</t>
        </is>
      </c>
      <c r="C460" s="287" t="inlineStr">
        <is>
          <t>different values</t>
        </is>
      </c>
      <c r="D460" s="285" t="inlineStr">
        <is>
          <t>Conforms | Одговара</t>
        </is>
      </c>
      <c r="E460" s="285" t="inlineStr">
        <is>
          <t>Conforms (ImB spec.) ᴿ</t>
        </is>
      </c>
    </row>
    <row r="461">
      <c r="A461" s="285" t="inlineStr">
        <is>
          <t>J31102501</t>
        </is>
      </c>
      <c r="B461" s="285" t="inlineStr">
        <is>
          <t>#7</t>
        </is>
      </c>
      <c r="C461" s="287" t="inlineStr">
        <is>
          <t>different values</t>
        </is>
      </c>
      <c r="D461" s="285" t="inlineStr">
        <is>
          <t>Conforms | Одговара</t>
        </is>
      </c>
      <c r="E461" s="285" t="inlineStr">
        <is>
          <t>Conforms</t>
        </is>
      </c>
    </row>
    <row r="462">
      <c r="A462" s="285" t="inlineStr">
        <is>
          <t>J31102501</t>
        </is>
      </c>
      <c r="B462" s="285" t="inlineStr">
        <is>
          <t>#9</t>
        </is>
      </c>
      <c r="C462" s="287" t="inlineStr">
        <is>
          <t>different values</t>
        </is>
      </c>
      <c r="D462" s="285" t="inlineStr">
        <is>
          <t>1.6 × 10²; 1.9 × 10²; &lt; 10; Absent | Отсутна; Absent | Отсутна</t>
        </is>
      </c>
      <c r="E462" s="285" t="inlineStr">
        <is>
          <t>1,6 x 10² CFU/g CFU/g; 1,9 x 10² CFU/g CFU/g; &lt; 10 CFU/g CFU/g; Одговара; Одговара</t>
        </is>
      </c>
    </row>
    <row r="463">
      <c r="A463" s="285" t="inlineStr">
        <is>
          <t>JD112501</t>
        </is>
      </c>
      <c r="B463" s="285" t="inlineStr">
        <is>
          <t>#1</t>
        </is>
      </c>
      <c r="C463" s="287" t="inlineStr">
        <is>
          <t>different values</t>
        </is>
      </c>
      <c r="D463" s="285" t="inlineStr">
        <is>
          <t>Conforms | Одговара</t>
        </is>
      </c>
      <c r="E463" s="285" t="inlineStr">
        <is>
          <t>Conforms</t>
        </is>
      </c>
    </row>
    <row r="464">
      <c r="A464" s="285" t="inlineStr">
        <is>
          <t>JD112501</t>
        </is>
      </c>
      <c r="B464" s="285" t="inlineStr">
        <is>
          <t>#2</t>
        </is>
      </c>
      <c r="C464" s="287" t="inlineStr">
        <is>
          <t>different values</t>
        </is>
      </c>
      <c r="D464" s="285" t="inlineStr">
        <is>
          <t>Conforms | Одговара</t>
        </is>
      </c>
      <c r="E464" s="285" t="inlineStr">
        <is>
          <t>Conforms</t>
        </is>
      </c>
    </row>
    <row r="465">
      <c r="A465" s="285" t="inlineStr">
        <is>
          <t>JD112501</t>
        </is>
      </c>
      <c r="B465" s="285" t="inlineStr">
        <is>
          <t>#6</t>
        </is>
      </c>
      <c r="C465" s="287" t="inlineStr">
        <is>
          <t>different values</t>
        </is>
      </c>
      <c r="D465" s="285" t="inlineStr">
        <is>
          <t>&lt; LOQ %</t>
        </is>
      </c>
      <c r="E465" s="285" t="inlineStr">
        <is>
          <t>BLQ %</t>
        </is>
      </c>
    </row>
    <row r="466">
      <c r="A466" s="285" t="inlineStr">
        <is>
          <t>JD112501</t>
        </is>
      </c>
      <c r="B466" s="285" t="inlineStr">
        <is>
          <t>#7</t>
        </is>
      </c>
      <c r="C466" s="287" t="inlineStr">
        <is>
          <t>different values</t>
        </is>
      </c>
      <c r="D466" s="285" t="inlineStr">
        <is>
          <t>Conforms | Одговара</t>
        </is>
      </c>
      <c r="E466" s="285" t="inlineStr">
        <is>
          <t>Conforms</t>
        </is>
      </c>
    </row>
    <row r="467">
      <c r="A467" s="285" t="inlineStr">
        <is>
          <t>JD112501</t>
        </is>
      </c>
      <c r="B467" s="285" t="inlineStr">
        <is>
          <t>#9</t>
        </is>
      </c>
      <c r="C467" s="287" t="inlineStr">
        <is>
          <t>different values</t>
        </is>
      </c>
      <c r="D467" s="285" t="inlineStr">
        <is>
          <t>2,6 × 10³; 3,3 × 10³; &lt; 10³ and &gt; 10²; Absent | Отсутна; Absent | Отсутна</t>
        </is>
      </c>
      <c r="E467" s="285" t="inlineStr">
        <is>
          <t>1 x 10⁴ CFU/g CFU/g; 6,7 x 10³ CFU/g CFU/g; &lt; 10³ и &gt;10² CFU/g CFU/g; Отсутна/g; Отсутна/25 g</t>
        </is>
      </c>
    </row>
    <row r="468">
      <c r="A468" s="285" t="inlineStr">
        <is>
          <t>OPM1024</t>
        </is>
      </c>
      <c r="B468" s="285" t="inlineStr">
        <is>
          <t>#1</t>
        </is>
      </c>
      <c r="C468" s="287" t="inlineStr">
        <is>
          <t>different values</t>
        </is>
      </c>
      <c r="D468" s="285" t="inlineStr">
        <is>
          <t>Conforms | Одговара</t>
        </is>
      </c>
      <c r="E468" s="285" t="inlineStr">
        <is>
          <t>Confirms</t>
        </is>
      </c>
    </row>
    <row r="469">
      <c r="A469" s="285" t="inlineStr">
        <is>
          <t>OPM1024</t>
        </is>
      </c>
      <c r="B469" s="285" t="inlineStr">
        <is>
          <t>#2</t>
        </is>
      </c>
      <c r="C469" s="287" t="inlineStr">
        <is>
          <t>different values</t>
        </is>
      </c>
      <c r="D469" s="285" t="inlineStr">
        <is>
          <t>Conforms | Одговара</t>
        </is>
      </c>
      <c r="E469" s="285" t="inlineStr">
        <is>
          <t>Conforms</t>
        </is>
      </c>
    </row>
    <row r="470">
      <c r="A470" s="285" t="inlineStr">
        <is>
          <t>OPM1024</t>
        </is>
      </c>
      <c r="B470" s="285" t="inlineStr">
        <is>
          <t>#4</t>
        </is>
      </c>
      <c r="C470" s="287" t="inlineStr">
        <is>
          <t>different values</t>
        </is>
      </c>
      <c r="D470" s="285" t="inlineStr">
        <is>
          <t>19.96</t>
        </is>
      </c>
      <c r="E470" s="285" t="inlineStr">
        <is>
          <t>20.03 %w/w</t>
        </is>
      </c>
    </row>
    <row r="471">
      <c r="A471" s="285" t="inlineStr">
        <is>
          <t>OPM1024</t>
        </is>
      </c>
      <c r="B471" s="285" t="inlineStr">
        <is>
          <t>#5</t>
        </is>
      </c>
      <c r="C471" s="287" t="inlineStr">
        <is>
          <t>different values</t>
        </is>
      </c>
      <c r="D471" s="285" t="inlineStr">
        <is>
          <t>0.05</t>
        </is>
      </c>
      <c r="E471" s="285" t="inlineStr">
        <is>
          <t>&lt; LOQ %w/w</t>
        </is>
      </c>
    </row>
    <row r="472">
      <c r="A472" s="285" t="inlineStr">
        <is>
          <t>OPM1024</t>
        </is>
      </c>
      <c r="B472" s="285" t="inlineStr">
        <is>
          <t>#7</t>
        </is>
      </c>
      <c r="C472" s="287" t="inlineStr">
        <is>
          <t>different values</t>
        </is>
      </c>
      <c r="D472" s="285" t="inlineStr">
        <is>
          <t>Conforms | Одговара</t>
        </is>
      </c>
      <c r="E472" s="285" t="inlineStr">
        <is>
          <t>Confirms</t>
        </is>
      </c>
    </row>
    <row r="473">
      <c r="A473" s="285" t="inlineStr">
        <is>
          <t>OPM1024</t>
        </is>
      </c>
      <c r="B473" s="285" t="inlineStr">
        <is>
          <t>#9</t>
        </is>
      </c>
      <c r="C473" s="287" t="inlineStr">
        <is>
          <t>different values</t>
        </is>
      </c>
      <c r="D473" s="285" t="inlineStr">
        <is>
          <t>1.3 × 10⁴; 7 × 10²; &lt; 10² &gt; 10³; Absent | Отсутна; Absent | Отсутна</t>
        </is>
      </c>
      <c r="E473" s="285" t="inlineStr">
        <is>
          <t>1.3·10⁴ CFU/g CFU/g; 7·10² CFU/g CFU/g; &lt;10²&gt;10³CFU/g CFU/g; Absent; Absent</t>
        </is>
      </c>
    </row>
    <row r="474">
      <c r="A474" s="285" t="inlineStr">
        <is>
          <t>OPM1024</t>
        </is>
      </c>
      <c r="B474" s="285" t="inlineStr">
        <is>
          <t>#11</t>
        </is>
      </c>
      <c r="C474" s="288" t="inlineStr">
        <is>
          <t>same values,
other order</t>
        </is>
      </c>
      <c r="D474" s="285" t="inlineStr">
        <is>
          <t>0.031; 0.017; 0.045; 0.005</t>
        </is>
      </c>
      <c r="E474" s="285" t="inlineStr">
        <is>
          <t>0.017 mg/kg mg/kg; 0.031 mg/kg mg/kg; 0.005 mg/kg mg/kg; 0.045 mg/kg mg/kg</t>
        </is>
      </c>
    </row>
    <row r="475">
      <c r="A475" s="285" t="inlineStr">
        <is>
          <t>OPM1024_02</t>
        </is>
      </c>
      <c r="B475" s="285" t="inlineStr">
        <is>
          <t>#1</t>
        </is>
      </c>
      <c r="C475" s="287" t="inlineStr">
        <is>
          <t>different values</t>
        </is>
      </c>
      <c r="D475" s="285" t="inlineStr">
        <is>
          <t>Conforms | Одговара</t>
        </is>
      </c>
      <c r="E475" s="285" t="inlineStr">
        <is>
          <t>Conforms</t>
        </is>
      </c>
    </row>
    <row r="476">
      <c r="A476" s="285" t="inlineStr">
        <is>
          <t>OPM1024_02</t>
        </is>
      </c>
      <c r="B476" s="285" t="inlineStr">
        <is>
          <t>#2</t>
        </is>
      </c>
      <c r="C476" s="287" t="inlineStr">
        <is>
          <t>different values</t>
        </is>
      </c>
      <c r="D476" s="285" t="inlineStr">
        <is>
          <t>Conforms | Одговара</t>
        </is>
      </c>
      <c r="E476" s="285" t="inlineStr">
        <is>
          <t>Conforms</t>
        </is>
      </c>
    </row>
    <row r="477">
      <c r="A477" s="285" t="inlineStr">
        <is>
          <t>OPM1024_02</t>
        </is>
      </c>
      <c r="B477" s="285" t="inlineStr">
        <is>
          <t>#3</t>
        </is>
      </c>
      <c r="C477" s="287" t="inlineStr">
        <is>
          <t>different values</t>
        </is>
      </c>
      <c r="D477" s="285" t="inlineStr">
        <is>
          <t>Conforms | Одговара</t>
        </is>
      </c>
      <c r="E477" s="285" t="inlineStr">
        <is>
          <t>Conforms (ImB spec.)</t>
        </is>
      </c>
    </row>
    <row r="478">
      <c r="A478" s="285" t="inlineStr">
        <is>
          <t>OPM1024_02</t>
        </is>
      </c>
      <c r="B478" s="285" t="inlineStr">
        <is>
          <t>#7</t>
        </is>
      </c>
      <c r="C478" s="287" t="inlineStr">
        <is>
          <t>different values</t>
        </is>
      </c>
      <c r="D478" s="285" t="inlineStr">
        <is>
          <t>Conforms | Одговара</t>
        </is>
      </c>
      <c r="E478" s="285" t="inlineStr">
        <is>
          <t>Conforms</t>
        </is>
      </c>
    </row>
    <row r="479">
      <c r="A479" s="285" t="inlineStr">
        <is>
          <t>OPM1024_02</t>
        </is>
      </c>
      <c r="B479" s="285" t="inlineStr">
        <is>
          <t>#9</t>
        </is>
      </c>
      <c r="C479" s="287" t="inlineStr">
        <is>
          <t>different values</t>
        </is>
      </c>
      <c r="D479" s="285" t="inlineStr">
        <is>
          <t>3.4 × 10³; 3.6 × 10³; &lt; 10; Absent | Отсутна; Absent | Отсутна</t>
        </is>
      </c>
      <c r="E479" s="285" t="inlineStr">
        <is>
          <t>3.4 x 10³; 3.6 x 10³; &lt;10; Одговара; Одговара</t>
        </is>
      </c>
    </row>
    <row r="480">
      <c r="A480" s="285" t="inlineStr">
        <is>
          <t>OPM1024_02</t>
        </is>
      </c>
      <c r="B480" s="285" t="inlineStr">
        <is>
          <t>#12</t>
        </is>
      </c>
      <c r="C480" s="287" t="inlineStr">
        <is>
          <t>different values</t>
        </is>
      </c>
      <c r="D480" s="285" t="inlineStr">
        <is>
          <t>ND</t>
        </is>
      </c>
      <c r="E480" s="285" t="inlineStr">
        <is>
          <t>FINDS: delta HCH &lt;0.01</t>
        </is>
      </c>
    </row>
    <row r="481">
      <c r="A481" s="285" t="inlineStr">
        <is>
          <t>OPM122501</t>
        </is>
      </c>
      <c r="B481" s="285" t="inlineStr">
        <is>
          <t>#1</t>
        </is>
      </c>
      <c r="C481" s="287" t="inlineStr">
        <is>
          <t>different values</t>
        </is>
      </c>
      <c r="D481" s="285" t="inlineStr">
        <is>
          <t>Conforms | Одговара</t>
        </is>
      </c>
      <c r="E481" s="285" t="inlineStr">
        <is>
          <t>Conforms</t>
        </is>
      </c>
    </row>
    <row r="482">
      <c r="A482" s="285" t="inlineStr">
        <is>
          <t>OPM122501</t>
        </is>
      </c>
      <c r="B482" s="285" t="inlineStr">
        <is>
          <t>#2</t>
        </is>
      </c>
      <c r="C482" s="287" t="inlineStr">
        <is>
          <t>different values</t>
        </is>
      </c>
      <c r="D482" s="285" t="inlineStr">
        <is>
          <t>Conforms | Одговара</t>
        </is>
      </c>
      <c r="E482" s="285" t="inlineStr">
        <is>
          <t>Conforms</t>
        </is>
      </c>
    </row>
    <row r="483">
      <c r="A483" s="285" t="inlineStr">
        <is>
          <t>OPM122501</t>
        </is>
      </c>
      <c r="B483" s="285" t="inlineStr">
        <is>
          <t>#3</t>
        </is>
      </c>
      <c r="C483" s="287" t="inlineStr">
        <is>
          <t>different values</t>
        </is>
      </c>
      <c r="D483" s="285" t="inlineStr">
        <is>
          <t>Conforms | Одговара</t>
        </is>
      </c>
      <c r="E483" s="285" t="inlineStr">
        <is>
          <t>Conforms (ImB spec.) ᴿ</t>
        </is>
      </c>
    </row>
    <row r="484">
      <c r="A484" s="285" t="inlineStr">
        <is>
          <t>OPM122501</t>
        </is>
      </c>
      <c r="B484" s="285" t="inlineStr">
        <is>
          <t>#7</t>
        </is>
      </c>
      <c r="C484" s="287" t="inlineStr">
        <is>
          <t>different values</t>
        </is>
      </c>
      <c r="D484" s="285" t="inlineStr">
        <is>
          <t>Conforms | Одговара</t>
        </is>
      </c>
      <c r="E484" s="285" t="inlineStr">
        <is>
          <t>Conforms</t>
        </is>
      </c>
    </row>
    <row r="485">
      <c r="A485" s="285" t="inlineStr">
        <is>
          <t>OPM122501</t>
        </is>
      </c>
      <c r="B485" s="285" t="inlineStr">
        <is>
          <t>#9</t>
        </is>
      </c>
      <c r="C485" s="287" t="inlineStr">
        <is>
          <t>different values</t>
        </is>
      </c>
      <c r="D485" s="285" t="inlineStr">
        <is>
          <t>120; 100; &lt; 10; Absent | Отсутна; Absent | Отсутна</t>
        </is>
      </c>
      <c r="E485" s="285" t="inlineStr">
        <is>
          <t>120; 100; &lt;10; Одговара; Одговара</t>
        </is>
      </c>
    </row>
    <row r="486">
      <c r="A486" s="285" t="inlineStr">
        <is>
          <t>OPM122501</t>
        </is>
      </c>
      <c r="B486" s="285" t="inlineStr">
        <is>
          <t>#12</t>
        </is>
      </c>
      <c r="C486" s="287" t="inlineStr">
        <is>
          <t>different values</t>
        </is>
      </c>
      <c r="D486" s="285" t="inlineStr">
        <is>
          <t>ND</t>
        </is>
      </c>
      <c r="E486" s="285" t="inlineStr">
        <is>
          <t>≤ LOQ (all 25 compounds)</t>
        </is>
      </c>
    </row>
    <row r="487">
      <c r="A487" s="285" t="inlineStr">
        <is>
          <t>PM092501</t>
        </is>
      </c>
      <c r="B487" s="285" t="inlineStr">
        <is>
          <t>#1</t>
        </is>
      </c>
      <c r="C487" s="287" t="inlineStr">
        <is>
          <t>different values</t>
        </is>
      </c>
      <c r="D487" s="285" t="inlineStr">
        <is>
          <t>Conforms | Одговара</t>
        </is>
      </c>
      <c r="E487" s="285" t="inlineStr">
        <is>
          <t>Conforms</t>
        </is>
      </c>
    </row>
    <row r="488">
      <c r="A488" s="285" t="inlineStr">
        <is>
          <t>PM092501</t>
        </is>
      </c>
      <c r="B488" s="285" t="inlineStr">
        <is>
          <t>#2</t>
        </is>
      </c>
      <c r="C488" s="287" t="inlineStr">
        <is>
          <t>different values</t>
        </is>
      </c>
      <c r="D488" s="285" t="inlineStr">
        <is>
          <t>Conforms | Одговара</t>
        </is>
      </c>
      <c r="E488" s="285" t="inlineStr">
        <is>
          <t>Conforms</t>
        </is>
      </c>
    </row>
    <row r="489">
      <c r="A489" s="285" t="inlineStr">
        <is>
          <t>PM092501</t>
        </is>
      </c>
      <c r="B489" s="285" t="inlineStr">
        <is>
          <t>#3</t>
        </is>
      </c>
      <c r="C489" s="287" t="inlineStr">
        <is>
          <t>different values</t>
        </is>
      </c>
      <c r="D489" s="285" t="inlineStr">
        <is>
          <t>Conforms | Одговара</t>
        </is>
      </c>
      <c r="E489" s="285" t="inlineStr">
        <is>
          <t>Conforms (ImB spec.) ᴿ</t>
        </is>
      </c>
    </row>
    <row r="490">
      <c r="A490" s="285" t="inlineStr">
        <is>
          <t>PM092501</t>
        </is>
      </c>
      <c r="B490" s="285" t="inlineStr">
        <is>
          <t>#6</t>
        </is>
      </c>
      <c r="C490" s="287" t="inlineStr">
        <is>
          <t>different values</t>
        </is>
      </c>
      <c r="D490" s="285" t="inlineStr">
        <is>
          <t>&lt; LOQ ᴰ</t>
        </is>
      </c>
      <c r="E490" s="285" t="inlineStr">
        <is>
          <t>BLQ ᴰ</t>
        </is>
      </c>
    </row>
    <row r="491">
      <c r="A491" s="285" t="inlineStr">
        <is>
          <t>PM092501</t>
        </is>
      </c>
      <c r="B491" s="285" t="inlineStr">
        <is>
          <t>#7</t>
        </is>
      </c>
      <c r="C491" s="287" t="inlineStr">
        <is>
          <t>different values</t>
        </is>
      </c>
      <c r="D491" s="285" t="inlineStr">
        <is>
          <t>Conforms | Одговара</t>
        </is>
      </c>
      <c r="E491" s="285" t="inlineStr">
        <is>
          <t>Conforms</t>
        </is>
      </c>
    </row>
    <row r="492">
      <c r="A492" s="285" t="inlineStr">
        <is>
          <t>PM092501</t>
        </is>
      </c>
      <c r="B492" s="285" t="inlineStr">
        <is>
          <t>#9</t>
        </is>
      </c>
      <c r="C492" s="287" t="inlineStr">
        <is>
          <t>different values</t>
        </is>
      </c>
      <c r="D492" s="285" t="inlineStr">
        <is>
          <t>2 × 10³; 2.2 × 10³; &lt; 10; Absent | Отсутна; Absent | Отсутна</t>
        </is>
      </c>
      <c r="E492" s="285" t="inlineStr">
        <is>
          <t>2×10³; 2.2×10³; &lt;10; Одговара; Одговара</t>
        </is>
      </c>
    </row>
    <row r="493">
      <c r="A493" s="285" t="inlineStr">
        <is>
          <t>PM092501</t>
        </is>
      </c>
      <c r="B493" s="285" t="inlineStr">
        <is>
          <t>#12</t>
        </is>
      </c>
      <c r="C493" s="287" t="inlineStr">
        <is>
          <t>different values</t>
        </is>
      </c>
      <c r="D493" s="285" t="inlineStr">
        <is>
          <t>ND</t>
        </is>
      </c>
      <c r="E493" s="285" t="inlineStr">
        <is>
          <t>≤ LOQ (all 28 compounds)</t>
        </is>
      </c>
    </row>
    <row r="494">
      <c r="A494" s="285" t="inlineStr">
        <is>
          <t>SCR012603</t>
        </is>
      </c>
      <c r="B494" s="285" t="inlineStr">
        <is>
          <t>#1</t>
        </is>
      </c>
      <c r="C494" s="287" t="inlineStr">
        <is>
          <t>different values</t>
        </is>
      </c>
      <c r="D494" s="285" t="inlineStr">
        <is>
          <t>Conforms | Одговара</t>
        </is>
      </c>
      <c r="E494" s="285" t="inlineStr">
        <is>
          <t>Conforms</t>
        </is>
      </c>
    </row>
    <row r="495">
      <c r="A495" s="285" t="inlineStr">
        <is>
          <t>SCR012603</t>
        </is>
      </c>
      <c r="B495" s="285" t="inlineStr">
        <is>
          <t>#2</t>
        </is>
      </c>
      <c r="C495" s="287" t="inlineStr">
        <is>
          <t>different values</t>
        </is>
      </c>
      <c r="D495" s="285" t="inlineStr">
        <is>
          <t>Conforms | Одговара</t>
        </is>
      </c>
      <c r="E495" s="285" t="inlineStr">
        <is>
          <t>Conforms</t>
        </is>
      </c>
    </row>
    <row r="496">
      <c r="A496" s="285" t="inlineStr">
        <is>
          <t>SCR012603</t>
        </is>
      </c>
      <c r="B496" s="285" t="inlineStr">
        <is>
          <t>#7</t>
        </is>
      </c>
      <c r="C496" s="287" t="inlineStr">
        <is>
          <t>different values</t>
        </is>
      </c>
      <c r="D496" s="285" t="inlineStr">
        <is>
          <t>Conforms | Одговара</t>
        </is>
      </c>
      <c r="E496" s="285" t="inlineStr">
        <is>
          <t>Conforms</t>
        </is>
      </c>
    </row>
    <row r="497">
      <c r="A497" s="285" t="inlineStr">
        <is>
          <t>SCR012603</t>
        </is>
      </c>
      <c r="B497" s="285" t="inlineStr">
        <is>
          <t>#9</t>
        </is>
      </c>
      <c r="C497" s="287" t="inlineStr">
        <is>
          <t>different values</t>
        </is>
      </c>
      <c r="D497" s="285" t="inlineStr">
        <is>
          <t>5.4 × 10⁴; 1.8 × 10⁴; &lt; 10; Absent | Отсутна; Absent | Отсутна</t>
        </is>
      </c>
      <c r="E497" s="285" t="inlineStr">
        <is>
          <t>5,4 x 10⁴ CFU/g CFU/g; 1,8 x 10⁴ CFU/g CFU/g; &lt; 10 CFU/g CFU/g; Отсутна /g; Отсутна /25 g</t>
        </is>
      </c>
    </row>
    <row r="498">
      <c r="A498" s="285" t="inlineStr">
        <is>
          <t>ACC102501</t>
        </is>
      </c>
      <c r="B498" s="285" t="inlineStr">
        <is>
          <t>#9</t>
        </is>
      </c>
      <c r="C498" s="287" t="inlineStr">
        <is>
          <t>different values</t>
        </is>
      </c>
      <c r="D498" s="285" t="inlineStr">
        <is>
          <t>1 × 10³; 1.6 × 10³; &lt; 10; Absent | Отсутна; Absent | Отсутна</t>
        </is>
      </c>
      <c r="E498" s="285" t="inlineStr">
        <is>
          <t>1 x 10³ CFU/g CFU/g; 1,6 x 10³ CFU/g CFU/g; &lt; 10 CFU/g CFU/g; Одговара; Одговара</t>
        </is>
      </c>
    </row>
    <row r="499">
      <c r="A499" s="285" t="inlineStr">
        <is>
          <t>BSS052501</t>
        </is>
      </c>
      <c r="B499" s="285" t="inlineStr">
        <is>
          <t>#1</t>
        </is>
      </c>
      <c r="C499" s="287" t="inlineStr">
        <is>
          <t>different values</t>
        </is>
      </c>
      <c r="D499" s="285" t="inlineStr">
        <is>
          <t>Conforms | Одговара</t>
        </is>
      </c>
      <c r="E499" s="285" t="inlineStr">
        <is>
          <t>Conforms</t>
        </is>
      </c>
    </row>
    <row r="500">
      <c r="A500" s="285" t="inlineStr">
        <is>
          <t>BSS052501</t>
        </is>
      </c>
      <c r="B500" s="285" t="inlineStr">
        <is>
          <t>#2</t>
        </is>
      </c>
      <c r="C500" s="287" t="inlineStr">
        <is>
          <t>different values</t>
        </is>
      </c>
      <c r="D500" s="285" t="inlineStr">
        <is>
          <t>Conforms | Одговара</t>
        </is>
      </c>
      <c r="E500" s="285" t="inlineStr">
        <is>
          <t>Conforms</t>
        </is>
      </c>
    </row>
    <row r="501">
      <c r="A501" s="285" t="inlineStr">
        <is>
          <t>BSS052501</t>
        </is>
      </c>
      <c r="B501" s="285" t="inlineStr">
        <is>
          <t>#7</t>
        </is>
      </c>
      <c r="C501" s="287" t="inlineStr">
        <is>
          <t>different values</t>
        </is>
      </c>
      <c r="D501" s="285" t="inlineStr">
        <is>
          <t>Conforms | Одговара</t>
        </is>
      </c>
      <c r="E501" s="285" t="inlineStr">
        <is>
          <t>Conforms</t>
        </is>
      </c>
    </row>
    <row r="502">
      <c r="A502" s="285" t="inlineStr">
        <is>
          <t>BSS052501</t>
        </is>
      </c>
      <c r="B502" s="285" t="inlineStr">
        <is>
          <t>#9</t>
        </is>
      </c>
      <c r="C502" s="287" t="inlineStr">
        <is>
          <t>different values</t>
        </is>
      </c>
      <c r="D502" s="285" t="inlineStr">
        <is>
          <t>200; 200; &lt; 10² and &gt; 10; Absent | Отсутна; Absent | Отсутна</t>
        </is>
      </c>
      <c r="E502" s="285" t="inlineStr">
        <is>
          <t>200 CFU/g CFU/g; 200 CFU/g CFU/g; &lt; 10² и &gt;10 CFU/g CFU/g; Одговара /g; Одговара /25 g</t>
        </is>
      </c>
    </row>
    <row r="503">
      <c r="A503" s="285" t="inlineStr">
        <is>
          <t>BSS052501</t>
        </is>
      </c>
      <c r="B503" s="285" t="inlineStr">
        <is>
          <t>#12</t>
        </is>
      </c>
      <c r="C503" s="287" t="inlineStr">
        <is>
          <t>different values</t>
        </is>
      </c>
      <c r="D503" s="285" t="inlineStr">
        <is>
          <t>Not found any pesticide above LOQ (≤LOQ) — COMPLIES with Ph. Eur.</t>
        </is>
      </c>
      <c r="E503" s="285" t="inlineStr">
        <is>
          <t>≤ LOQ (0.01 mg/kg) mg/kg</t>
        </is>
      </c>
    </row>
    <row r="504">
      <c r="A504" s="285" t="inlineStr">
        <is>
          <t>CC012603</t>
        </is>
      </c>
      <c r="B504" s="285" t="inlineStr">
        <is>
          <t>#9</t>
        </is>
      </c>
      <c r="C504" s="287" t="inlineStr">
        <is>
          <t>different values</t>
        </is>
      </c>
      <c r="D504" s="285" t="inlineStr">
        <is>
          <t>2.7 × 10³; 1.6 × 10¹; &lt; 10; Absent | Отсутна; Absent | Отсутна</t>
        </is>
      </c>
      <c r="E504" s="285" t="inlineStr">
        <is>
          <t>2,7 x 10³ CFU/g CFU/g; 1,6 x 10⁴ CFU/g CFU/g; &lt; 10 CFU/g CFU/g; Отсутна /g; Отсутна /25 g</t>
        </is>
      </c>
    </row>
    <row r="505">
      <c r="A505" s="285" t="inlineStr">
        <is>
          <t>CF102501</t>
        </is>
      </c>
      <c r="B505" s="285" t="inlineStr">
        <is>
          <t>#9</t>
        </is>
      </c>
      <c r="C505" s="287" t="inlineStr">
        <is>
          <t>different values</t>
        </is>
      </c>
      <c r="D505" s="285" t="inlineStr">
        <is>
          <t>3.1 × 10⁴; 3.9 × 10⁴; &lt; 10³ and &gt; 10²; Absent | Отсутна; Absent | Отсутна</t>
        </is>
      </c>
      <c r="E505" s="285" t="inlineStr">
        <is>
          <t>3,1 x 10⁴ CFU/g CFU/g; 3,9 x 10⁴ CFU/g CFU/g; &lt; 10³ и 10² CFU/g CFU/g; Одговара; Одговара</t>
        </is>
      </c>
    </row>
    <row r="506">
      <c r="A506" s="285" t="inlineStr">
        <is>
          <t>CF102501</t>
        </is>
      </c>
      <c r="B506" s="285" t="inlineStr">
        <is>
          <t>#11</t>
        </is>
      </c>
      <c r="C506" s="288" t="inlineStr">
        <is>
          <t>same values,
other order</t>
        </is>
      </c>
      <c r="D506" s="285" t="inlineStr">
        <is>
          <t>0.07; ND; 0.0942; ND</t>
        </is>
      </c>
      <c r="E506" s="285" t="inlineStr">
        <is>
          <t>0,07 mg/kg(l); 0,0942 mg/kg(l); н.д. mg/kg(l); н.д. mg/kg(l)</t>
        </is>
      </c>
    </row>
    <row r="507">
      <c r="A507" s="285" t="inlineStr">
        <is>
          <t>CJ062501/1</t>
        </is>
      </c>
      <c r="B507" s="285" t="inlineStr">
        <is>
          <t>#1</t>
        </is>
      </c>
      <c r="C507" s="287" t="inlineStr">
        <is>
          <t>different values</t>
        </is>
      </c>
      <c r="D507" s="285" t="inlineStr">
        <is>
          <t>Conforms | Одговара</t>
        </is>
      </c>
      <c r="E507" s="285" t="inlineStr">
        <is>
          <t>Conforms</t>
        </is>
      </c>
    </row>
    <row r="508">
      <c r="A508" s="285" t="inlineStr">
        <is>
          <t>CJ062501/1</t>
        </is>
      </c>
      <c r="B508" s="285" t="inlineStr">
        <is>
          <t>#2</t>
        </is>
      </c>
      <c r="C508" s="287" t="inlineStr">
        <is>
          <t>different values</t>
        </is>
      </c>
      <c r="D508" s="285" t="inlineStr">
        <is>
          <t>Conforms | Одговара</t>
        </is>
      </c>
      <c r="E508" s="285" t="inlineStr">
        <is>
          <t>Conforms</t>
        </is>
      </c>
    </row>
    <row r="509">
      <c r="A509" s="285" t="inlineStr">
        <is>
          <t>CJ062501/1</t>
        </is>
      </c>
      <c r="B509" s="285" t="inlineStr">
        <is>
          <t>#3</t>
        </is>
      </c>
      <c r="C509" s="287" t="inlineStr">
        <is>
          <t>different values</t>
        </is>
      </c>
      <c r="D509" s="285" t="inlineStr">
        <is>
          <t>Conforms | Одговара</t>
        </is>
      </c>
      <c r="E509" s="285" t="inlineStr">
        <is>
          <t>Conforms (ImB spec.)</t>
        </is>
      </c>
    </row>
    <row r="510">
      <c r="A510" s="285" t="inlineStr">
        <is>
          <t>CJ062501/1</t>
        </is>
      </c>
      <c r="B510" s="285" t="inlineStr">
        <is>
          <t>#7</t>
        </is>
      </c>
      <c r="C510" s="287" t="inlineStr">
        <is>
          <t>different values</t>
        </is>
      </c>
      <c r="D510" s="285" t="inlineStr">
        <is>
          <t>Conforms | Одговара</t>
        </is>
      </c>
      <c r="E510" s="285" t="inlineStr">
        <is>
          <t>Conforms</t>
        </is>
      </c>
    </row>
    <row r="511">
      <c r="A511" s="285" t="inlineStr">
        <is>
          <t>CJ062501/1</t>
        </is>
      </c>
      <c r="B511" s="285" t="inlineStr">
        <is>
          <t>#9</t>
        </is>
      </c>
      <c r="C511" s="287" t="inlineStr">
        <is>
          <t>different values</t>
        </is>
      </c>
      <c r="D511" s="285" t="inlineStr">
        <is>
          <t>&lt; 10; 20; &lt; 10; Absent | Отсутна; Absent | Отсутна</t>
        </is>
      </c>
      <c r="E511" s="285" t="inlineStr">
        <is>
          <t>&lt;10; 20; &lt;10; Одговара; Одговара</t>
        </is>
      </c>
    </row>
    <row r="512">
      <c r="A512" s="285" t="inlineStr">
        <is>
          <t>CJ062501/1</t>
        </is>
      </c>
      <c r="B512" s="285" t="inlineStr">
        <is>
          <t>#12</t>
        </is>
      </c>
      <c r="C512" s="287" t="inlineStr">
        <is>
          <t>different values</t>
        </is>
      </c>
      <c r="D512" s="285" t="inlineStr">
        <is>
          <t>ND</t>
        </is>
      </c>
      <c r="E512" s="285" t="inlineStr">
        <is>
          <t>≤ LOQ (all 29 compounds)</t>
        </is>
      </c>
    </row>
    <row r="513">
      <c r="A513" s="285" t="inlineStr">
        <is>
          <t>CJ082501/1</t>
        </is>
      </c>
      <c r="B513" s="285" t="inlineStr">
        <is>
          <t>#1</t>
        </is>
      </c>
      <c r="C513" s="287" t="inlineStr">
        <is>
          <t>different values</t>
        </is>
      </c>
      <c r="D513" s="285" t="inlineStr">
        <is>
          <t>Conforms | Одговара</t>
        </is>
      </c>
      <c r="E513" s="285" t="inlineStr">
        <is>
          <t>Conforms</t>
        </is>
      </c>
    </row>
    <row r="514">
      <c r="A514" s="285" t="inlineStr">
        <is>
          <t>CJ082501/1</t>
        </is>
      </c>
      <c r="B514" s="285" t="inlineStr">
        <is>
          <t>#2</t>
        </is>
      </c>
      <c r="C514" s="287" t="inlineStr">
        <is>
          <t>different values</t>
        </is>
      </c>
      <c r="D514" s="285" t="inlineStr">
        <is>
          <t>Conforms | Одговара</t>
        </is>
      </c>
      <c r="E514" s="285" t="inlineStr">
        <is>
          <t>Conforms</t>
        </is>
      </c>
    </row>
    <row r="515">
      <c r="A515" s="285" t="inlineStr">
        <is>
          <t>CJ082501/1</t>
        </is>
      </c>
      <c r="B515" s="285" t="inlineStr">
        <is>
          <t>#3</t>
        </is>
      </c>
      <c r="C515" s="287" t="inlineStr">
        <is>
          <t>different values</t>
        </is>
      </c>
      <c r="D515" s="285" t="inlineStr">
        <is>
          <t>Conforms | Одговара</t>
        </is>
      </c>
      <c r="E515" s="285" t="inlineStr">
        <is>
          <t>Conforms (ImB spec.)</t>
        </is>
      </c>
    </row>
    <row r="516">
      <c r="A516" s="285" t="inlineStr">
        <is>
          <t>CJ082501/1</t>
        </is>
      </c>
      <c r="B516" s="285" t="inlineStr">
        <is>
          <t>#7</t>
        </is>
      </c>
      <c r="C516" s="287" t="inlineStr">
        <is>
          <t>different values</t>
        </is>
      </c>
      <c r="D516" s="285" t="inlineStr">
        <is>
          <t>Conforms | Одговара</t>
        </is>
      </c>
      <c r="E516" s="285" t="inlineStr">
        <is>
          <t>Conforms</t>
        </is>
      </c>
    </row>
    <row r="517">
      <c r="A517" s="285" t="inlineStr">
        <is>
          <t>CJ082501/1</t>
        </is>
      </c>
      <c r="B517" s="285" t="inlineStr">
        <is>
          <t>#9</t>
        </is>
      </c>
      <c r="C517" s="287" t="inlineStr">
        <is>
          <t>different values</t>
        </is>
      </c>
      <c r="D517" s="285" t="inlineStr">
        <is>
          <t>1.5 × 10²; 1.3 × 10²; &lt; 10; Absent | Отсутна; Absent | Отсутна</t>
        </is>
      </c>
      <c r="E517" s="285" t="inlineStr">
        <is>
          <t>1,5 x 10² CFU/g CFU/g; 1,3 x 10² CFU/g CFU/g; &lt; 10 CFU/g CFU/g; Одговара /g; Одговара /25 g</t>
        </is>
      </c>
    </row>
    <row r="518">
      <c r="A518" s="285" t="inlineStr">
        <is>
          <t>CJ082501/1</t>
        </is>
      </c>
      <c r="B518" s="285" t="inlineStr">
        <is>
          <t>#12</t>
        </is>
      </c>
      <c r="C518" s="287" t="inlineStr">
        <is>
          <t>different values</t>
        </is>
      </c>
      <c r="D518" s="285" t="inlineStr">
        <is>
          <t>ND</t>
        </is>
      </c>
      <c r="E518" s="285" t="inlineStr">
        <is>
          <t>≤ LOQ (all 26 compounds)</t>
        </is>
      </c>
    </row>
    <row r="519">
      <c r="A519" s="285" t="inlineStr">
        <is>
          <t>CJ092501</t>
        </is>
      </c>
      <c r="B519" s="285" t="inlineStr">
        <is>
          <t>#1</t>
        </is>
      </c>
      <c r="C519" s="287" t="inlineStr">
        <is>
          <t>different values</t>
        </is>
      </c>
      <c r="D519" s="285" t="inlineStr">
        <is>
          <t>Conforms | Одговара</t>
        </is>
      </c>
      <c r="E519" s="285" t="inlineStr">
        <is>
          <t>Conforms</t>
        </is>
      </c>
    </row>
    <row r="520">
      <c r="A520" s="285" t="inlineStr">
        <is>
          <t>CJ092501</t>
        </is>
      </c>
      <c r="B520" s="285" t="inlineStr">
        <is>
          <t>#2</t>
        </is>
      </c>
      <c r="C520" s="287" t="inlineStr">
        <is>
          <t>different values</t>
        </is>
      </c>
      <c r="D520" s="285" t="inlineStr">
        <is>
          <t>Conforms | Одговара</t>
        </is>
      </c>
      <c r="E520" s="285" t="inlineStr">
        <is>
          <t>Conforms</t>
        </is>
      </c>
    </row>
    <row r="521">
      <c r="A521" s="285" t="inlineStr">
        <is>
          <t>CJ092501</t>
        </is>
      </c>
      <c r="B521" s="285" t="inlineStr">
        <is>
          <t>#3</t>
        </is>
      </c>
      <c r="C521" s="287" t="inlineStr">
        <is>
          <t>different values</t>
        </is>
      </c>
      <c r="D521" s="285" t="inlineStr">
        <is>
          <t>Conforms | Одговара</t>
        </is>
      </c>
      <c r="E521" s="285" t="inlineStr">
        <is>
          <t>Conforms (ImB spec.)</t>
        </is>
      </c>
    </row>
    <row r="522">
      <c r="A522" s="285" t="inlineStr">
        <is>
          <t>CJ092501</t>
        </is>
      </c>
      <c r="B522" s="285" t="inlineStr">
        <is>
          <t>#7</t>
        </is>
      </c>
      <c r="C522" s="287" t="inlineStr">
        <is>
          <t>different values</t>
        </is>
      </c>
      <c r="D522" s="285" t="inlineStr">
        <is>
          <t>Conforms | Одговара</t>
        </is>
      </c>
      <c r="E522" s="285" t="inlineStr">
        <is>
          <t>Conforms</t>
        </is>
      </c>
    </row>
    <row r="523">
      <c r="A523" s="285" t="inlineStr">
        <is>
          <t>CJ092501</t>
        </is>
      </c>
      <c r="B523" s="285" t="inlineStr">
        <is>
          <t>#9</t>
        </is>
      </c>
      <c r="C523" s="287" t="inlineStr">
        <is>
          <t>different values</t>
        </is>
      </c>
      <c r="D523" s="285" t="inlineStr">
        <is>
          <t>&lt; 10; &lt; 10; &lt; 10; Absent | Отсутна; Absent | Отсутна</t>
        </is>
      </c>
      <c r="E523" s="285" t="inlineStr">
        <is>
          <t>&lt;10; &lt;10; &lt;10; Одговара; Одговара</t>
        </is>
      </c>
    </row>
    <row r="524">
      <c r="A524" s="285" t="inlineStr">
        <is>
          <t>CJ092501</t>
        </is>
      </c>
      <c r="B524" s="285" t="inlineStr">
        <is>
          <t>#12</t>
        </is>
      </c>
      <c r="C524" s="287" t="inlineStr">
        <is>
          <t>different values</t>
        </is>
      </c>
      <c r="D524" s="285" t="inlineStr">
        <is>
          <t>ND</t>
        </is>
      </c>
      <c r="E524" s="285" t="inlineStr">
        <is>
          <t>≤ LOQ (all 29 compounds)</t>
        </is>
      </c>
    </row>
    <row r="525">
      <c r="A525" s="285" t="inlineStr">
        <is>
          <t>CLE072501</t>
        </is>
      </c>
      <c r="B525" s="285" t="inlineStr">
        <is>
          <t>#1</t>
        </is>
      </c>
      <c r="C525" s="287" t="inlineStr">
        <is>
          <t>different values</t>
        </is>
      </c>
      <c r="D525" s="285" t="inlineStr">
        <is>
          <t>Conforms | Одговара</t>
        </is>
      </c>
      <c r="E525" s="285" t="inlineStr">
        <is>
          <t>Conforms</t>
        </is>
      </c>
    </row>
    <row r="526">
      <c r="A526" s="285" t="inlineStr">
        <is>
          <t>CLE072501</t>
        </is>
      </c>
      <c r="B526" s="285" t="inlineStr">
        <is>
          <t>#2</t>
        </is>
      </c>
      <c r="C526" s="287" t="inlineStr">
        <is>
          <t>different values</t>
        </is>
      </c>
      <c r="D526" s="285" t="inlineStr">
        <is>
          <t>Conforms | Одговара</t>
        </is>
      </c>
      <c r="E526" s="285" t="inlineStr">
        <is>
          <t>Conforms</t>
        </is>
      </c>
    </row>
    <row r="527">
      <c r="A527" s="285" t="inlineStr">
        <is>
          <t>CLE072501</t>
        </is>
      </c>
      <c r="B527" s="285" t="inlineStr">
        <is>
          <t>#3</t>
        </is>
      </c>
      <c r="C527" s="287" t="inlineStr">
        <is>
          <t>different values</t>
        </is>
      </c>
      <c r="D527" s="285" t="inlineStr">
        <is>
          <t>Conforms | Одговара</t>
        </is>
      </c>
      <c r="E527" s="285" t="inlineStr">
        <is>
          <t>Conforms (ImB spec.)</t>
        </is>
      </c>
    </row>
    <row r="528">
      <c r="A528" s="285" t="inlineStr">
        <is>
          <t>CLE072501</t>
        </is>
      </c>
      <c r="B528" s="285" t="inlineStr">
        <is>
          <t>#6</t>
        </is>
      </c>
      <c r="C528" s="287" t="inlineStr">
        <is>
          <t>different values</t>
        </is>
      </c>
      <c r="D528" s="285" t="inlineStr">
        <is>
          <t>&lt; LOQ ᴰ</t>
        </is>
      </c>
      <c r="E528" s="285" t="inlineStr">
        <is>
          <t>BLQ ᴰ</t>
        </is>
      </c>
    </row>
    <row r="529">
      <c r="A529" s="285" t="inlineStr">
        <is>
          <t>CLE072501</t>
        </is>
      </c>
      <c r="B529" s="285" t="inlineStr">
        <is>
          <t>#7</t>
        </is>
      </c>
      <c r="C529" s="287" t="inlineStr">
        <is>
          <t>different values</t>
        </is>
      </c>
      <c r="D529" s="285" t="inlineStr">
        <is>
          <t>Conforms | Одговара</t>
        </is>
      </c>
      <c r="E529" s="285" t="inlineStr">
        <is>
          <t>Conforms</t>
        </is>
      </c>
    </row>
    <row r="530">
      <c r="A530" s="285" t="inlineStr">
        <is>
          <t>CLE072501</t>
        </is>
      </c>
      <c r="B530" s="285" t="inlineStr">
        <is>
          <t>#9</t>
        </is>
      </c>
      <c r="C530" s="287" t="inlineStr">
        <is>
          <t>different values</t>
        </is>
      </c>
      <c r="D530" s="285" t="inlineStr">
        <is>
          <t>&lt; 10; &lt; 10; &lt; 10; Absent | Отсутна; Absent | Отсутна</t>
        </is>
      </c>
      <c r="E530" s="285" t="inlineStr">
        <is>
          <t>&lt;10; &lt;10; &lt;10; Одговара; Одговара</t>
        </is>
      </c>
    </row>
    <row r="531">
      <c r="A531" s="285" t="inlineStr">
        <is>
          <t>CLE072501</t>
        </is>
      </c>
      <c r="B531" s="285" t="inlineStr">
        <is>
          <t>#12</t>
        </is>
      </c>
      <c r="C531" s="287" t="inlineStr">
        <is>
          <t>different values</t>
        </is>
      </c>
      <c r="D531" s="285" t="inlineStr">
        <is>
          <t>ND</t>
        </is>
      </c>
      <c r="E531" s="285" t="inlineStr">
        <is>
          <t>≤ LOQ (all 27 compounds)</t>
        </is>
      </c>
    </row>
    <row r="532">
      <c r="A532" s="285" t="inlineStr">
        <is>
          <t>FB012601/1</t>
        </is>
      </c>
      <c r="B532" s="285" t="inlineStr">
        <is>
          <t>#1</t>
        </is>
      </c>
      <c r="C532" s="287" t="inlineStr">
        <is>
          <t>different values</t>
        </is>
      </c>
      <c r="D532" s="285" t="inlineStr">
        <is>
          <t>Conforms | Одговара</t>
        </is>
      </c>
      <c r="E532" s="285" t="inlineStr">
        <is>
          <t>Conforms</t>
        </is>
      </c>
    </row>
    <row r="533">
      <c r="A533" s="285" t="inlineStr">
        <is>
          <t>FB012601/1</t>
        </is>
      </c>
      <c r="B533" s="285" t="inlineStr">
        <is>
          <t>#2</t>
        </is>
      </c>
      <c r="C533" s="287" t="inlineStr">
        <is>
          <t>different values</t>
        </is>
      </c>
      <c r="D533" s="285" t="inlineStr">
        <is>
          <t>Conforms | Одговара</t>
        </is>
      </c>
      <c r="E533" s="285" t="inlineStr">
        <is>
          <t>Conforms</t>
        </is>
      </c>
    </row>
    <row r="534">
      <c r="A534" s="285" t="inlineStr">
        <is>
          <t>FB012601/1</t>
        </is>
      </c>
      <c r="B534" s="285" t="inlineStr">
        <is>
          <t>#6</t>
        </is>
      </c>
      <c r="C534" s="287" t="inlineStr">
        <is>
          <t>different values</t>
        </is>
      </c>
      <c r="D534" s="285" t="inlineStr">
        <is>
          <t>&lt; LOQ %</t>
        </is>
      </c>
      <c r="E534" s="285" t="inlineStr">
        <is>
          <t>BLQ %</t>
        </is>
      </c>
    </row>
    <row r="535">
      <c r="A535" s="285" t="inlineStr">
        <is>
          <t>FB012601/1</t>
        </is>
      </c>
      <c r="B535" s="285" t="inlineStr">
        <is>
          <t>#7</t>
        </is>
      </c>
      <c r="C535" s="287" t="inlineStr">
        <is>
          <t>different values</t>
        </is>
      </c>
      <c r="D535" s="285" t="inlineStr">
        <is>
          <t>Conforms | Одговара</t>
        </is>
      </c>
      <c r="E535" s="285" t="inlineStr">
        <is>
          <t>Conforms</t>
        </is>
      </c>
    </row>
    <row r="536">
      <c r="A536" s="285" t="inlineStr">
        <is>
          <t>FB012601/1</t>
        </is>
      </c>
      <c r="B536" s="285" t="inlineStr">
        <is>
          <t>#9</t>
        </is>
      </c>
      <c r="C536" s="287" t="inlineStr">
        <is>
          <t>different values</t>
        </is>
      </c>
      <c r="D536" s="285" t="inlineStr">
        <is>
          <t>2 × 10³; 2,1 × 10³; &lt; 10; Absent | Отсутна; Absent | Отсутна</t>
        </is>
      </c>
      <c r="E536" s="285" t="inlineStr">
        <is>
          <t>2 x 10³ CFU/g CFU/g; 2,1 x 10³ CFU/g CFU/g; &lt; 10 CFU/g CFU/g; Отсутна/g; Отсутна/25 g</t>
        </is>
      </c>
    </row>
    <row r="537">
      <c r="A537" s="285" t="inlineStr">
        <is>
          <t>GG1024</t>
        </is>
      </c>
      <c r="B537" s="285" t="inlineStr">
        <is>
          <t>#1</t>
        </is>
      </c>
      <c r="C537" s="287" t="inlineStr">
        <is>
          <t>different values</t>
        </is>
      </c>
      <c r="D537" s="285" t="inlineStr">
        <is>
          <t>Conforms | Одговара</t>
        </is>
      </c>
      <c r="E537" s="285" t="inlineStr">
        <is>
          <t>Conforms</t>
        </is>
      </c>
    </row>
    <row r="538">
      <c r="A538" s="285" t="inlineStr">
        <is>
          <t>GG1024</t>
        </is>
      </c>
      <c r="B538" s="285" t="inlineStr">
        <is>
          <t>#2</t>
        </is>
      </c>
      <c r="C538" s="287" t="inlineStr">
        <is>
          <t>different values</t>
        </is>
      </c>
      <c r="D538" s="285" t="inlineStr">
        <is>
          <t>Conforms | Одговара</t>
        </is>
      </c>
      <c r="E538" s="285" t="inlineStr">
        <is>
          <t>Conforms</t>
        </is>
      </c>
    </row>
    <row r="539">
      <c r="A539" s="285" t="inlineStr">
        <is>
          <t>GG1024</t>
        </is>
      </c>
      <c r="B539" s="285" t="inlineStr">
        <is>
          <t>#7</t>
        </is>
      </c>
      <c r="C539" s="287" t="inlineStr">
        <is>
          <t>different values</t>
        </is>
      </c>
      <c r="D539" s="285" t="inlineStr">
        <is>
          <t>Conforms | Одговара</t>
        </is>
      </c>
      <c r="E539" s="285" t="inlineStr">
        <is>
          <t>Confirms</t>
        </is>
      </c>
    </row>
    <row r="540">
      <c r="A540" s="285" t="inlineStr">
        <is>
          <t>GG1024</t>
        </is>
      </c>
      <c r="B540" s="285" t="inlineStr">
        <is>
          <t>#9</t>
        </is>
      </c>
      <c r="C540" s="287" t="inlineStr">
        <is>
          <t>different values</t>
        </is>
      </c>
      <c r="D540" s="285" t="inlineStr">
        <is>
          <t>1.1 × 10⁴ CFU/g; &lt; 10; &lt; 10² and &gt; 10 CFU/g; Absent | Отсутна; Absent | Отсутна</t>
        </is>
      </c>
      <c r="E540" s="285" t="inlineStr">
        <is>
          <t>1,1 x 10⁴ CFU/g; &lt; 10 CFU/g; &lt; 10² и &gt; 10 CFU/g; Одговара; Одговара</t>
        </is>
      </c>
    </row>
    <row r="541">
      <c r="A541" s="285" t="inlineStr">
        <is>
          <t>GP072501/2</t>
        </is>
      </c>
      <c r="B541" s="285" t="inlineStr">
        <is>
          <t>#1</t>
        </is>
      </c>
      <c r="C541" s="287" t="inlineStr">
        <is>
          <t>different values</t>
        </is>
      </c>
      <c r="D541" s="285" t="inlineStr">
        <is>
          <t>Conforms | Одговара</t>
        </is>
      </c>
      <c r="E541" s="285" t="inlineStr">
        <is>
          <t>Conforms</t>
        </is>
      </c>
    </row>
    <row r="542">
      <c r="A542" s="285" t="inlineStr">
        <is>
          <t>GP072501/2</t>
        </is>
      </c>
      <c r="B542" s="285" t="inlineStr">
        <is>
          <t>#2</t>
        </is>
      </c>
      <c r="C542" s="287" t="inlineStr">
        <is>
          <t>different values</t>
        </is>
      </c>
      <c r="D542" s="285" t="inlineStr">
        <is>
          <t>Conforms | Одговара</t>
        </is>
      </c>
      <c r="E542" s="285" t="inlineStr">
        <is>
          <t>Conforms</t>
        </is>
      </c>
    </row>
    <row r="543">
      <c r="A543" s="285" t="inlineStr">
        <is>
          <t>GP072501/2</t>
        </is>
      </c>
      <c r="B543" s="285" t="inlineStr">
        <is>
          <t>#3</t>
        </is>
      </c>
      <c r="C543" s="287" t="inlineStr">
        <is>
          <t>different values</t>
        </is>
      </c>
      <c r="D543" s="285" t="inlineStr">
        <is>
          <t>Conforms | Одговара</t>
        </is>
      </c>
      <c r="E543" s="285" t="inlineStr">
        <is>
          <t>Conforms (ImB spec.)</t>
        </is>
      </c>
    </row>
    <row r="544">
      <c r="A544" s="285" t="inlineStr">
        <is>
          <t>GP072501/2</t>
        </is>
      </c>
      <c r="B544" s="285" t="inlineStr">
        <is>
          <t>#7</t>
        </is>
      </c>
      <c r="C544" s="287" t="inlineStr">
        <is>
          <t>different values</t>
        </is>
      </c>
      <c r="D544" s="285" t="inlineStr">
        <is>
          <t>Conforms | Одговара</t>
        </is>
      </c>
      <c r="E544" s="285" t="inlineStr">
        <is>
          <t>Conforms</t>
        </is>
      </c>
    </row>
    <row r="545">
      <c r="A545" s="285" t="inlineStr">
        <is>
          <t>GP072501/2</t>
        </is>
      </c>
      <c r="B545" s="285" t="inlineStr">
        <is>
          <t>#9</t>
        </is>
      </c>
      <c r="C545" s="287" t="inlineStr">
        <is>
          <t>different values</t>
        </is>
      </c>
      <c r="D545" s="285" t="inlineStr">
        <is>
          <t>2 × 10²; 3 × 10²; &lt; 10; Absent | Отсутна; Absent | Отсутна</t>
        </is>
      </c>
      <c r="E545" s="285" t="inlineStr">
        <is>
          <t>2 x 10² CFU/g CFU/g; 3 x 10² CFU/g CFU/g; &lt; 10 CFU/g CFU/g; Одговара /g; Одговара /25 g</t>
        </is>
      </c>
    </row>
    <row r="546">
      <c r="A546" s="285" t="inlineStr">
        <is>
          <t>GP072501/2</t>
        </is>
      </c>
      <c r="B546" s="285" t="inlineStr">
        <is>
          <t>#12</t>
        </is>
      </c>
      <c r="C546" s="287" t="inlineStr">
        <is>
          <t>different values</t>
        </is>
      </c>
      <c r="D546" s="285" t="inlineStr">
        <is>
          <t>ND</t>
        </is>
      </c>
      <c r="E546" s="285" t="inlineStr">
        <is>
          <t>≤ LOQ (all 29 compounds)</t>
        </is>
      </c>
    </row>
    <row r="547">
      <c r="A547" s="285" t="inlineStr">
        <is>
          <t>GP0824_03</t>
        </is>
      </c>
      <c r="B547" s="285" t="inlineStr">
        <is>
          <t>#1</t>
        </is>
      </c>
      <c r="C547" s="287" t="inlineStr">
        <is>
          <t>different values</t>
        </is>
      </c>
      <c r="D547" s="285" t="inlineStr">
        <is>
          <t>Conforms | Одговара</t>
        </is>
      </c>
      <c r="E547" s="285" t="inlineStr">
        <is>
          <t>Conforms</t>
        </is>
      </c>
    </row>
    <row r="548">
      <c r="A548" s="285" t="inlineStr">
        <is>
          <t>GP0824_03</t>
        </is>
      </c>
      <c r="B548" s="285" t="inlineStr">
        <is>
          <t>#2</t>
        </is>
      </c>
      <c r="C548" s="287" t="inlineStr">
        <is>
          <t>different values</t>
        </is>
      </c>
      <c r="D548" s="285" t="inlineStr">
        <is>
          <t>Conforms | Одговара</t>
        </is>
      </c>
      <c r="E548" s="285" t="inlineStr">
        <is>
          <t>Conforms</t>
        </is>
      </c>
    </row>
    <row r="549">
      <c r="A549" s="285" t="inlineStr">
        <is>
          <t>GP0824_03</t>
        </is>
      </c>
      <c r="B549" s="285" t="inlineStr">
        <is>
          <t>#3</t>
        </is>
      </c>
      <c r="C549" s="287" t="inlineStr">
        <is>
          <t>different values</t>
        </is>
      </c>
      <c r="D549" s="285" t="inlineStr">
        <is>
          <t>Conforms | Одговара</t>
        </is>
      </c>
      <c r="E549" s="285" t="inlineStr">
        <is>
          <t>Conforms (ImB spec.)</t>
        </is>
      </c>
    </row>
    <row r="550">
      <c r="A550" s="285" t="inlineStr">
        <is>
          <t>GP0824_03</t>
        </is>
      </c>
      <c r="B550" s="285" t="inlineStr">
        <is>
          <t>#6</t>
        </is>
      </c>
      <c r="C550" s="287" t="inlineStr">
        <is>
          <t>different values</t>
        </is>
      </c>
      <c r="D550" s="285" t="inlineStr">
        <is>
          <t>&lt; LOQ ᴰ</t>
        </is>
      </c>
      <c r="E550" s="285" t="inlineStr">
        <is>
          <t>BLQ ᴰ</t>
        </is>
      </c>
    </row>
    <row r="551">
      <c r="A551" s="285" t="inlineStr">
        <is>
          <t>GP0824_03</t>
        </is>
      </c>
      <c r="B551" s="285" t="inlineStr">
        <is>
          <t>#7</t>
        </is>
      </c>
      <c r="C551" s="287" t="inlineStr">
        <is>
          <t>different values</t>
        </is>
      </c>
      <c r="D551" s="285" t="inlineStr">
        <is>
          <t>Conforms | Одговара</t>
        </is>
      </c>
      <c r="E551" s="285" t="inlineStr">
        <is>
          <t>Conforms</t>
        </is>
      </c>
    </row>
    <row r="552">
      <c r="A552" s="285" t="inlineStr">
        <is>
          <t>GP0824_03</t>
        </is>
      </c>
      <c r="B552" s="285" t="inlineStr">
        <is>
          <t>#9</t>
        </is>
      </c>
      <c r="C552" s="287" t="inlineStr">
        <is>
          <t>different values</t>
        </is>
      </c>
      <c r="D552" s="285" t="inlineStr">
        <is>
          <t>1.1 × 10⁴; 1.2 × 10⁴; &lt; 10⁴ and &gt; 10³; Absent | Отсутна; Absent | Отсутна</t>
        </is>
      </c>
      <c r="E552" s="285" t="inlineStr">
        <is>
          <t>1.1 x 10⁴; 1.2 x 10⁴; &lt;10⁴ и &gt;10³; Одговара; Одговара</t>
        </is>
      </c>
    </row>
    <row r="553">
      <c r="A553" s="285" t="inlineStr">
        <is>
          <t>GP0824_03</t>
        </is>
      </c>
      <c r="B553" s="285" t="inlineStr">
        <is>
          <t>#12</t>
        </is>
      </c>
      <c r="C553" s="287" t="inlineStr">
        <is>
          <t>different values</t>
        </is>
      </c>
      <c r="D553" s="285" t="inlineStr">
        <is>
          <t>ND</t>
        </is>
      </c>
      <c r="E553" s="285" t="inlineStr">
        <is>
          <t>≤ LOQ (all 29 compounds)</t>
        </is>
      </c>
    </row>
    <row r="554">
      <c r="A554" s="285" t="inlineStr">
        <is>
          <t>GP082501/1</t>
        </is>
      </c>
      <c r="B554" s="285" t="inlineStr">
        <is>
          <t>#1</t>
        </is>
      </c>
      <c r="C554" s="287" t="inlineStr">
        <is>
          <t>different values</t>
        </is>
      </c>
      <c r="D554" s="285" t="inlineStr">
        <is>
          <t>Conforms | Одговара</t>
        </is>
      </c>
      <c r="E554" s="285" t="inlineStr">
        <is>
          <t>Conforms</t>
        </is>
      </c>
    </row>
    <row r="555">
      <c r="A555" s="285" t="inlineStr">
        <is>
          <t>GP082501/1</t>
        </is>
      </c>
      <c r="B555" s="285" t="inlineStr">
        <is>
          <t>#2</t>
        </is>
      </c>
      <c r="C555" s="287" t="inlineStr">
        <is>
          <t>different values</t>
        </is>
      </c>
      <c r="D555" s="285" t="inlineStr">
        <is>
          <t>Conforms | Одговара</t>
        </is>
      </c>
      <c r="E555" s="285" t="inlineStr">
        <is>
          <t>Conforms</t>
        </is>
      </c>
    </row>
    <row r="556">
      <c r="A556" s="285" t="inlineStr">
        <is>
          <t>GP082501/1</t>
        </is>
      </c>
      <c r="B556" s="285" t="inlineStr">
        <is>
          <t>#3</t>
        </is>
      </c>
      <c r="C556" s="287" t="inlineStr">
        <is>
          <t>different values</t>
        </is>
      </c>
      <c r="D556" s="285" t="inlineStr">
        <is>
          <t>Conforms | Одговара</t>
        </is>
      </c>
      <c r="E556" s="285" t="inlineStr">
        <is>
          <t>Conforms (ImB spec.)</t>
        </is>
      </c>
    </row>
    <row r="557">
      <c r="A557" s="285" t="inlineStr">
        <is>
          <t>GP082501/1</t>
        </is>
      </c>
      <c r="B557" s="285" t="inlineStr">
        <is>
          <t>#7</t>
        </is>
      </c>
      <c r="C557" s="287" t="inlineStr">
        <is>
          <t>different values</t>
        </is>
      </c>
      <c r="D557" s="285" t="inlineStr">
        <is>
          <t>Conforms | Одговара</t>
        </is>
      </c>
      <c r="E557" s="285" t="inlineStr">
        <is>
          <t>Conforms</t>
        </is>
      </c>
    </row>
    <row r="558">
      <c r="A558" s="285" t="inlineStr">
        <is>
          <t>GP082501/1</t>
        </is>
      </c>
      <c r="B558" s="285" t="inlineStr">
        <is>
          <t>#9</t>
        </is>
      </c>
      <c r="C558" s="287" t="inlineStr">
        <is>
          <t>different values</t>
        </is>
      </c>
      <c r="D558" s="285" t="inlineStr">
        <is>
          <t>4.3 × 10²; 1 × 10³; &lt; 10³ and &gt; 10²; Absent | Отсутна; Absent | Отсутна</t>
        </is>
      </c>
      <c r="E558" s="285" t="inlineStr">
        <is>
          <t>4,3 x 10² CFU/g CFU/g; 1 x 10³ CFU/g CFU/g; &lt; 10³ и &gt; 10² CFU/g CFU/g; Одговара /g; Одговара /25 g</t>
        </is>
      </c>
    </row>
    <row r="559">
      <c r="A559" s="285" t="inlineStr">
        <is>
          <t>GP082501/1</t>
        </is>
      </c>
      <c r="B559" s="285" t="inlineStr">
        <is>
          <t>#12</t>
        </is>
      </c>
      <c r="C559" s="287" t="inlineStr">
        <is>
          <t>different values</t>
        </is>
      </c>
      <c r="D559" s="285" t="inlineStr">
        <is>
          <t>ND</t>
        </is>
      </c>
      <c r="E559" s="285" t="inlineStr">
        <is>
          <t>≤ LOQ (all 28 compounds)</t>
        </is>
      </c>
    </row>
    <row r="560">
      <c r="A560" s="285" t="inlineStr">
        <is>
          <t>GP092501</t>
        </is>
      </c>
      <c r="B560" s="285" t="inlineStr">
        <is>
          <t>#1</t>
        </is>
      </c>
      <c r="C560" s="287" t="inlineStr">
        <is>
          <t>different values</t>
        </is>
      </c>
      <c r="D560" s="285" t="inlineStr">
        <is>
          <t>Conforms | Одговара</t>
        </is>
      </c>
      <c r="E560" s="285" t="inlineStr">
        <is>
          <t>Conforms</t>
        </is>
      </c>
    </row>
    <row r="561">
      <c r="A561" s="285" t="inlineStr">
        <is>
          <t>GP092501</t>
        </is>
      </c>
      <c r="B561" s="285" t="inlineStr">
        <is>
          <t>#2</t>
        </is>
      </c>
      <c r="C561" s="287" t="inlineStr">
        <is>
          <t>different values</t>
        </is>
      </c>
      <c r="D561" s="285" t="inlineStr">
        <is>
          <t>Conforms | Одговара</t>
        </is>
      </c>
      <c r="E561" s="285" t="inlineStr">
        <is>
          <t>Conforms</t>
        </is>
      </c>
    </row>
    <row r="562">
      <c r="A562" s="285" t="inlineStr">
        <is>
          <t>GP092501</t>
        </is>
      </c>
      <c r="B562" s="285" t="inlineStr">
        <is>
          <t>#3</t>
        </is>
      </c>
      <c r="C562" s="287" t="inlineStr">
        <is>
          <t>different values</t>
        </is>
      </c>
      <c r="D562" s="285" t="inlineStr">
        <is>
          <t>Conforms | Одговара</t>
        </is>
      </c>
      <c r="E562" s="285" t="inlineStr">
        <is>
          <t>Conforms (ImB spec.)</t>
        </is>
      </c>
    </row>
    <row r="563">
      <c r="A563" s="285" t="inlineStr">
        <is>
          <t>GP092501</t>
        </is>
      </c>
      <c r="B563" s="285" t="inlineStr">
        <is>
          <t>#7</t>
        </is>
      </c>
      <c r="C563" s="287" t="inlineStr">
        <is>
          <t>different values</t>
        </is>
      </c>
      <c r="D563" s="285" t="inlineStr">
        <is>
          <t>Conforms | Одговара</t>
        </is>
      </c>
      <c r="E563" s="285" t="inlineStr">
        <is>
          <t>Conforms</t>
        </is>
      </c>
    </row>
    <row r="564">
      <c r="A564" s="285" t="inlineStr">
        <is>
          <t>GP092501</t>
        </is>
      </c>
      <c r="B564" s="285" t="inlineStr">
        <is>
          <t>#9</t>
        </is>
      </c>
      <c r="C564" s="287" t="inlineStr">
        <is>
          <t>different values</t>
        </is>
      </c>
      <c r="D564" s="285" t="inlineStr">
        <is>
          <t>1 × 10²; &lt; 10; &lt; 10² and &gt; 10; Absent | Отсутна; Absent | Отсутна</t>
        </is>
      </c>
      <c r="E564" s="285" t="inlineStr">
        <is>
          <t>1 x 10² CFU/g CFU/g; &lt; 10 CFU/g CFU/g; &lt; 10² и &gt; 10 CFU/g CFU/g; Одговара /g; Одговара /25 g</t>
        </is>
      </c>
    </row>
    <row r="565">
      <c r="A565" s="285" t="inlineStr">
        <is>
          <t>GP092501</t>
        </is>
      </c>
      <c r="B565" s="285" t="inlineStr">
        <is>
          <t>#12</t>
        </is>
      </c>
      <c r="C565" s="287" t="inlineStr">
        <is>
          <t>different values</t>
        </is>
      </c>
      <c r="D565" s="285" t="inlineStr">
        <is>
          <t>ND</t>
        </is>
      </c>
      <c r="E565" s="285" t="inlineStr">
        <is>
          <t>≤ LOQ (all 29 compounds)</t>
        </is>
      </c>
    </row>
    <row r="566">
      <c r="A566" s="285" t="inlineStr">
        <is>
          <t>HPA052501</t>
        </is>
      </c>
      <c r="B566" s="285" t="inlineStr">
        <is>
          <t>#1</t>
        </is>
      </c>
      <c r="C566" s="287" t="inlineStr">
        <is>
          <t>different values</t>
        </is>
      </c>
      <c r="D566" s="285" t="inlineStr">
        <is>
          <t>Conforms | Одговара</t>
        </is>
      </c>
      <c r="E566" s="285" t="inlineStr">
        <is>
          <t>Conforms</t>
        </is>
      </c>
    </row>
    <row r="567">
      <c r="A567" s="285" t="inlineStr">
        <is>
          <t>HPA052501</t>
        </is>
      </c>
      <c r="B567" s="285" t="inlineStr">
        <is>
          <t>#2</t>
        </is>
      </c>
      <c r="C567" s="287" t="inlineStr">
        <is>
          <t>different values</t>
        </is>
      </c>
      <c r="D567" s="285" t="inlineStr">
        <is>
          <t>Conforms | Одговара</t>
        </is>
      </c>
      <c r="E567" s="285" t="inlineStr">
        <is>
          <t>Conforms</t>
        </is>
      </c>
    </row>
    <row r="568">
      <c r="A568" s="285" t="inlineStr">
        <is>
          <t>HPA052501</t>
        </is>
      </c>
      <c r="B568" s="285" t="inlineStr">
        <is>
          <t>#3</t>
        </is>
      </c>
      <c r="C568" s="287" t="inlineStr">
        <is>
          <t>different values</t>
        </is>
      </c>
      <c r="D568" s="285" t="inlineStr">
        <is>
          <t>Conforms | Одговара</t>
        </is>
      </c>
      <c r="E568" s="285" t="inlineStr">
        <is>
          <t>Conforms (ImB spec.)</t>
        </is>
      </c>
    </row>
    <row r="569">
      <c r="A569" s="285" t="inlineStr">
        <is>
          <t>HPA052501</t>
        </is>
      </c>
      <c r="B569" s="285" t="inlineStr">
        <is>
          <t>#7</t>
        </is>
      </c>
      <c r="C569" s="287" t="inlineStr">
        <is>
          <t>different values</t>
        </is>
      </c>
      <c r="D569" s="285" t="inlineStr">
        <is>
          <t>Conforms | Одговара</t>
        </is>
      </c>
      <c r="E569" s="285" t="inlineStr">
        <is>
          <t>Conforms</t>
        </is>
      </c>
    </row>
    <row r="570">
      <c r="A570" s="285" t="inlineStr">
        <is>
          <t>HPA052501</t>
        </is>
      </c>
      <c r="B570" s="285" t="inlineStr">
        <is>
          <t>#9</t>
        </is>
      </c>
      <c r="C570" s="287" t="inlineStr">
        <is>
          <t>different values</t>
        </is>
      </c>
      <c r="D570" s="285" t="inlineStr">
        <is>
          <t>2.7 × 10⁴; 2.6 × 10⁴; &lt; 10; Absent | Отсутна; Absent | Отсутна</t>
        </is>
      </c>
      <c r="E570" s="285" t="inlineStr">
        <is>
          <t>2,7 x 10⁴ CFU/g CFU/g; 2,6 x 10⁴ CFU/g CFU/g; &lt; 10 CFU/g CFU/g; Одговара /g; Одговара /25 g</t>
        </is>
      </c>
    </row>
    <row r="571">
      <c r="A571" s="285" t="inlineStr">
        <is>
          <t>HPA052501</t>
        </is>
      </c>
      <c r="B571" s="285" t="inlineStr">
        <is>
          <t>#12</t>
        </is>
      </c>
      <c r="C571" s="287" t="inlineStr">
        <is>
          <t>different values</t>
        </is>
      </c>
      <c r="D571" s="285" t="inlineStr">
        <is>
          <t>ND</t>
        </is>
      </c>
      <c r="E571" s="285" t="inlineStr">
        <is>
          <t>≤ LOQ (all 24 compounds)</t>
        </is>
      </c>
    </row>
    <row r="572">
      <c r="A572" s="285" t="inlineStr">
        <is>
          <t>JD012603/01</t>
        </is>
      </c>
      <c r="B572" s="285" t="inlineStr">
        <is>
          <t>#9</t>
        </is>
      </c>
      <c r="C572" s="287" t="inlineStr">
        <is>
          <t>different values</t>
        </is>
      </c>
      <c r="D572" s="285" t="inlineStr">
        <is>
          <t>2 × 10²; 1 × 10²; &lt; 10; Absent | Отсутна; Absent | Отсутна</t>
        </is>
      </c>
      <c r="E572" s="285" t="inlineStr">
        <is>
          <t>2 x 10² CFU/g CFU/g; 1 x 10² CFU/g CFU/g; &lt; 10 CFU/g CFU/g; Отсутна /g; Отсутна /25 g</t>
        </is>
      </c>
    </row>
    <row r="573">
      <c r="A573" s="285" t="inlineStr">
        <is>
          <t>JD012603/02</t>
        </is>
      </c>
      <c r="B573" s="285" t="inlineStr">
        <is>
          <t>#4</t>
        </is>
      </c>
      <c r="C573" s="287" t="inlineStr">
        <is>
          <t>different values</t>
        </is>
      </c>
      <c r="D573" s="285" t="inlineStr">
        <is>
          <t>20.54</t>
        </is>
      </c>
      <c r="E573" s="285" t="inlineStr">
        <is>
          <t>14.43 % w/w</t>
        </is>
      </c>
    </row>
    <row r="574">
      <c r="A574" s="285" t="inlineStr">
        <is>
          <t>JD012603/02</t>
        </is>
      </c>
      <c r="B574" s="285" t="inlineStr">
        <is>
          <t>#5</t>
        </is>
      </c>
      <c r="C574" s="287" t="inlineStr">
        <is>
          <t>different values</t>
        </is>
      </c>
      <c r="D574" s="285" t="inlineStr">
        <is>
          <t>0.05</t>
        </is>
      </c>
      <c r="E574" s="285" t="inlineStr">
        <is>
          <t>&lt; LOQ % w/w</t>
        </is>
      </c>
    </row>
    <row r="575">
      <c r="A575" s="285" t="inlineStr">
        <is>
          <t>JD012603/02</t>
        </is>
      </c>
      <c r="B575" s="285" t="inlineStr">
        <is>
          <t>#6</t>
        </is>
      </c>
      <c r="C575" s="287" t="inlineStr">
        <is>
          <t>different values</t>
        </is>
      </c>
      <c r="D575" s="285" t="inlineStr">
        <is>
          <t>0.05</t>
        </is>
      </c>
      <c r="E575" s="285" t="inlineStr">
        <is>
          <t>&lt; LOQ % w/w</t>
        </is>
      </c>
    </row>
    <row r="576">
      <c r="A576" s="285" t="inlineStr">
        <is>
          <t>JD012603/02V</t>
        </is>
      </c>
      <c r="B576" s="285" t="inlineStr">
        <is>
          <t>#4</t>
        </is>
      </c>
      <c r="C576" s="287" t="inlineStr">
        <is>
          <t>different values</t>
        </is>
      </c>
      <c r="D576" s="285" t="inlineStr">
        <is>
          <t>15.16</t>
        </is>
      </c>
      <c r="E576" s="285" t="inlineStr">
        <is>
          <t>17.09 % w/w</t>
        </is>
      </c>
    </row>
    <row r="577">
      <c r="A577" s="285" t="inlineStr">
        <is>
          <t>JD012603/02V</t>
        </is>
      </c>
      <c r="B577" s="285" t="inlineStr">
        <is>
          <t>#6</t>
        </is>
      </c>
      <c r="C577" s="287" t="inlineStr">
        <is>
          <t>different values</t>
        </is>
      </c>
      <c r="D577" s="285" t="inlineStr">
        <is>
          <t>0.04</t>
        </is>
      </c>
      <c r="E577" s="285" t="inlineStr">
        <is>
          <t>&lt; LOQ % w/w</t>
        </is>
      </c>
    </row>
    <row r="578">
      <c r="A578" s="285" t="inlineStr">
        <is>
          <t>KC102501</t>
        </is>
      </c>
      <c r="B578" s="285" t="inlineStr">
        <is>
          <t>#1</t>
        </is>
      </c>
      <c r="C578" s="287" t="inlineStr">
        <is>
          <t>different values</t>
        </is>
      </c>
      <c r="D578" s="285" t="inlineStr">
        <is>
          <t>Conforms | Одговара</t>
        </is>
      </c>
      <c r="E578" s="285" t="inlineStr">
        <is>
          <t>Conforms</t>
        </is>
      </c>
    </row>
    <row r="579">
      <c r="A579" s="285" t="inlineStr">
        <is>
          <t>KC102501</t>
        </is>
      </c>
      <c r="B579" s="285" t="inlineStr">
        <is>
          <t>#2</t>
        </is>
      </c>
      <c r="C579" s="287" t="inlineStr">
        <is>
          <t>different values</t>
        </is>
      </c>
      <c r="D579" s="285" t="inlineStr">
        <is>
          <t>Conforms | Одговара</t>
        </is>
      </c>
      <c r="E579" s="285" t="inlineStr">
        <is>
          <t>Conforms</t>
        </is>
      </c>
    </row>
    <row r="580">
      <c r="A580" s="285" t="inlineStr">
        <is>
          <t>KC102501</t>
        </is>
      </c>
      <c r="B580" s="285" t="inlineStr">
        <is>
          <t>#7</t>
        </is>
      </c>
      <c r="C580" s="287" t="inlineStr">
        <is>
          <t>different values</t>
        </is>
      </c>
      <c r="D580" s="285" t="inlineStr">
        <is>
          <t>Conforms | Одговара</t>
        </is>
      </c>
      <c r="E580" s="285" t="inlineStr">
        <is>
          <t>Conforms</t>
        </is>
      </c>
    </row>
    <row r="581">
      <c r="A581" s="285" t="inlineStr">
        <is>
          <t>KC102501</t>
        </is>
      </c>
      <c r="B581" s="285" t="inlineStr">
        <is>
          <t>#9</t>
        </is>
      </c>
      <c r="C581" s="287" t="inlineStr">
        <is>
          <t>different values</t>
        </is>
      </c>
      <c r="D581" s="285" t="inlineStr">
        <is>
          <t>3.8 × 10³; 6.8 × 10³; &lt; 10³ and &gt; 10²; Absent | Отсутна; Absent | Отсутна</t>
        </is>
      </c>
      <c r="E581" s="285" t="inlineStr">
        <is>
          <t>3,8 x 10³ CFU/g CFU/g; 6,8 x 10³ CFU/g CFU/g; &lt; 10³ и &gt;10² CFU/g CFU/g; Одговара; Одговара</t>
        </is>
      </c>
    </row>
    <row r="582">
      <c r="A582" s="285" t="inlineStr">
        <is>
          <t>MB0824_05</t>
        </is>
      </c>
      <c r="B582" s="285" t="inlineStr">
        <is>
          <t>#1</t>
        </is>
      </c>
      <c r="C582" s="287" t="inlineStr">
        <is>
          <t>different values</t>
        </is>
      </c>
      <c r="D582" s="285" t="inlineStr">
        <is>
          <t>Conforms | Одговара</t>
        </is>
      </c>
      <c r="E582" s="285" t="inlineStr">
        <is>
          <t>Conforms</t>
        </is>
      </c>
    </row>
    <row r="583">
      <c r="A583" s="285" t="inlineStr">
        <is>
          <t>MB0824_05</t>
        </is>
      </c>
      <c r="B583" s="285" t="inlineStr">
        <is>
          <t>#2</t>
        </is>
      </c>
      <c r="C583" s="287" t="inlineStr">
        <is>
          <t>different values</t>
        </is>
      </c>
      <c r="D583" s="285" t="inlineStr">
        <is>
          <t>Conforms | Одговара</t>
        </is>
      </c>
      <c r="E583" s="285" t="inlineStr">
        <is>
          <t>Conforms</t>
        </is>
      </c>
    </row>
    <row r="584">
      <c r="A584" s="285" t="inlineStr">
        <is>
          <t>MB0824_05</t>
        </is>
      </c>
      <c r="B584" s="285" t="inlineStr">
        <is>
          <t>#3</t>
        </is>
      </c>
      <c r="C584" s="287" t="inlineStr">
        <is>
          <t>different values</t>
        </is>
      </c>
      <c r="D584" s="285" t="inlineStr">
        <is>
          <t>Conforms | Одговара</t>
        </is>
      </c>
      <c r="E584" s="285" t="inlineStr">
        <is>
          <t>Conforms (ImB spec.)</t>
        </is>
      </c>
    </row>
    <row r="585">
      <c r="A585" s="285" t="inlineStr">
        <is>
          <t>MB0824_05</t>
        </is>
      </c>
      <c r="B585" s="285" t="inlineStr">
        <is>
          <t>#7</t>
        </is>
      </c>
      <c r="C585" s="287" t="inlineStr">
        <is>
          <t>different values</t>
        </is>
      </c>
      <c r="D585" s="285" t="inlineStr">
        <is>
          <t>Conforms | Одговара</t>
        </is>
      </c>
      <c r="E585" s="285" t="inlineStr">
        <is>
          <t>Conforms</t>
        </is>
      </c>
    </row>
    <row r="586">
      <c r="A586" s="285" t="inlineStr">
        <is>
          <t>MB0824_05</t>
        </is>
      </c>
      <c r="B586" s="285" t="inlineStr">
        <is>
          <t>#9</t>
        </is>
      </c>
      <c r="C586" s="287" t="inlineStr">
        <is>
          <t>different values</t>
        </is>
      </c>
      <c r="D586" s="285" t="inlineStr">
        <is>
          <t>3.5 × 10³; 1 × 10³; &lt; 10; Absent | Отсутна; Absent | Отсутна</t>
        </is>
      </c>
      <c r="E586" s="285" t="inlineStr">
        <is>
          <t>3,5 x 10³ CFU/g CFU/g; 1 x 10³ CFU/g CFU/g; &lt; 10 CFU/g CFU/g; Одговара /g; Одговара /25 g</t>
        </is>
      </c>
    </row>
    <row r="587">
      <c r="A587" s="285" t="inlineStr">
        <is>
          <t>OMP1024_01</t>
        </is>
      </c>
      <c r="B587" s="285" t="inlineStr">
        <is>
          <t>#1</t>
        </is>
      </c>
      <c r="C587" s="287" t="inlineStr">
        <is>
          <t>different values</t>
        </is>
      </c>
      <c r="D587" s="285" t="inlineStr">
        <is>
          <t>Conforms | Одговара</t>
        </is>
      </c>
      <c r="E587" s="285" t="inlineStr">
        <is>
          <t>Conforms</t>
        </is>
      </c>
    </row>
    <row r="588">
      <c r="A588" s="285" t="inlineStr">
        <is>
          <t>OMP1024_01</t>
        </is>
      </c>
      <c r="B588" s="285" t="inlineStr">
        <is>
          <t>#2</t>
        </is>
      </c>
      <c r="C588" s="287" t="inlineStr">
        <is>
          <t>different values</t>
        </is>
      </c>
      <c r="D588" s="285" t="inlineStr">
        <is>
          <t>Conforms | Одговара</t>
        </is>
      </c>
      <c r="E588" s="285" t="inlineStr">
        <is>
          <t>Conforms</t>
        </is>
      </c>
    </row>
    <row r="589">
      <c r="A589" s="285" t="inlineStr">
        <is>
          <t>OMP1024_01</t>
        </is>
      </c>
      <c r="B589" s="285" t="inlineStr">
        <is>
          <t>#7</t>
        </is>
      </c>
      <c r="C589" s="287" t="inlineStr">
        <is>
          <t>different values</t>
        </is>
      </c>
      <c r="D589" s="285" t="inlineStr">
        <is>
          <t>Conforms | Одговара</t>
        </is>
      </c>
      <c r="E589" s="285" t="inlineStr">
        <is>
          <t>Conforms</t>
        </is>
      </c>
    </row>
    <row r="590">
      <c r="A590" s="285" t="inlineStr">
        <is>
          <t>OMP1024_01</t>
        </is>
      </c>
      <c r="B590" s="285" t="inlineStr">
        <is>
          <t>#9</t>
        </is>
      </c>
      <c r="C590" s="287" t="inlineStr">
        <is>
          <t>different values</t>
        </is>
      </c>
      <c r="D590" s="285" t="inlineStr">
        <is>
          <t>10; &lt; 10; &lt; 10² and &gt; 10; Absent | Отсутна; Absent | Отсутна</t>
        </is>
      </c>
      <c r="E590" s="285" t="inlineStr">
        <is>
          <t>10 CFU/g; &lt; 10 CFU/g; &lt; 10² и &gt; 10 CFU/g; Одговара; Одговара</t>
        </is>
      </c>
    </row>
    <row r="591">
      <c r="A591" s="285" t="inlineStr">
        <is>
          <t>OPM092501</t>
        </is>
      </c>
      <c r="B591" s="285" t="inlineStr">
        <is>
          <t>#1</t>
        </is>
      </c>
      <c r="C591" s="287" t="inlineStr">
        <is>
          <t>different values</t>
        </is>
      </c>
      <c r="D591" s="285" t="inlineStr">
        <is>
          <t>Conforms | Одговара</t>
        </is>
      </c>
      <c r="E591" s="285" t="inlineStr">
        <is>
          <t>Conforms</t>
        </is>
      </c>
    </row>
    <row r="592">
      <c r="A592" s="285" t="inlineStr">
        <is>
          <t>OPM092501</t>
        </is>
      </c>
      <c r="B592" s="285" t="inlineStr">
        <is>
          <t>#2</t>
        </is>
      </c>
      <c r="C592" s="287" t="inlineStr">
        <is>
          <t>different values</t>
        </is>
      </c>
      <c r="D592" s="285" t="inlineStr">
        <is>
          <t>Conforms | Одговара</t>
        </is>
      </c>
      <c r="E592" s="285" t="inlineStr">
        <is>
          <t>Conforms</t>
        </is>
      </c>
    </row>
    <row r="593">
      <c r="A593" s="285" t="inlineStr">
        <is>
          <t>OPM092501</t>
        </is>
      </c>
      <c r="B593" s="285" t="inlineStr">
        <is>
          <t>#3</t>
        </is>
      </c>
      <c r="C593" s="287" t="inlineStr">
        <is>
          <t>different values</t>
        </is>
      </c>
      <c r="D593" s="285" t="inlineStr">
        <is>
          <t>Conforms | Одговара</t>
        </is>
      </c>
      <c r="E593" s="285" t="inlineStr">
        <is>
          <t>Conforms (ImB spec.)</t>
        </is>
      </c>
    </row>
    <row r="594">
      <c r="A594" s="285" t="inlineStr">
        <is>
          <t>OPM092501</t>
        </is>
      </c>
      <c r="B594" s="285" t="inlineStr">
        <is>
          <t>#7</t>
        </is>
      </c>
      <c r="C594" s="287" t="inlineStr">
        <is>
          <t>different values</t>
        </is>
      </c>
      <c r="D594" s="285" t="inlineStr">
        <is>
          <t>Conforms | Одговара</t>
        </is>
      </c>
      <c r="E594" s="285" t="inlineStr">
        <is>
          <t>Conforms</t>
        </is>
      </c>
    </row>
    <row r="595">
      <c r="A595" s="285" t="inlineStr">
        <is>
          <t>OPM092501</t>
        </is>
      </c>
      <c r="B595" s="285" t="inlineStr">
        <is>
          <t>#9</t>
        </is>
      </c>
      <c r="C595" s="287" t="inlineStr">
        <is>
          <t>different values</t>
        </is>
      </c>
      <c r="D595" s="285" t="inlineStr">
        <is>
          <t>10; 10; &lt; 10² and &gt; 10; Absent | Отсутна; Absent | Отсутна</t>
        </is>
      </c>
      <c r="E595" s="285" t="inlineStr">
        <is>
          <t>10 CFU/g CFU/g; 10 CFU/g CFU/g; &lt; 10² и &gt; 10 CFU/g CFU/g; Одговара /g; Одговара /25 g</t>
        </is>
      </c>
    </row>
    <row r="596">
      <c r="A596" s="285" t="inlineStr">
        <is>
          <t>OPM092501</t>
        </is>
      </c>
      <c r="B596" s="285" t="inlineStr">
        <is>
          <t>#12</t>
        </is>
      </c>
      <c r="C596" s="287" t="inlineStr">
        <is>
          <t>different values</t>
        </is>
      </c>
      <c r="D596" s="285" t="inlineStr">
        <is>
          <t>ND</t>
        </is>
      </c>
      <c r="E596" s="285" t="inlineStr">
        <is>
          <t>≤ LOQ (all 29 compounds)</t>
        </is>
      </c>
    </row>
    <row r="597">
      <c r="A597" s="285" t="inlineStr">
        <is>
          <t>OPM1024_03</t>
        </is>
      </c>
      <c r="B597" s="285" t="inlineStr">
        <is>
          <t>#1</t>
        </is>
      </c>
      <c r="C597" s="287" t="inlineStr">
        <is>
          <t>different values</t>
        </is>
      </c>
      <c r="D597" s="285" t="inlineStr">
        <is>
          <t>Conforms | Одговара</t>
        </is>
      </c>
      <c r="E597" s="285" t="inlineStr">
        <is>
          <t>Conforms</t>
        </is>
      </c>
    </row>
    <row r="598">
      <c r="A598" s="285" t="inlineStr">
        <is>
          <t>OPM1024_03</t>
        </is>
      </c>
      <c r="B598" s="285" t="inlineStr">
        <is>
          <t>#2</t>
        </is>
      </c>
      <c r="C598" s="287" t="inlineStr">
        <is>
          <t>different values</t>
        </is>
      </c>
      <c r="D598" s="285" t="inlineStr">
        <is>
          <t>Conforms | Одговара</t>
        </is>
      </c>
      <c r="E598" s="285" t="inlineStr">
        <is>
          <t>Conforms</t>
        </is>
      </c>
    </row>
    <row r="599">
      <c r="A599" s="285" t="inlineStr">
        <is>
          <t>OPM1024_03</t>
        </is>
      </c>
      <c r="B599" s="285" t="inlineStr">
        <is>
          <t>#3</t>
        </is>
      </c>
      <c r="C599" s="287" t="inlineStr">
        <is>
          <t>different values</t>
        </is>
      </c>
      <c r="D599" s="285" t="inlineStr">
        <is>
          <t>Conforms | Одговара</t>
        </is>
      </c>
      <c r="E599" s="285" t="inlineStr">
        <is>
          <t>Conforms (ImB spec.)</t>
        </is>
      </c>
    </row>
    <row r="600">
      <c r="A600" s="285" t="inlineStr">
        <is>
          <t>OPM1024_03</t>
        </is>
      </c>
      <c r="B600" s="285" t="inlineStr">
        <is>
          <t>#7</t>
        </is>
      </c>
      <c r="C600" s="287" t="inlineStr">
        <is>
          <t>different values</t>
        </is>
      </c>
      <c r="D600" s="285" t="inlineStr">
        <is>
          <t>Conforms | Одговара</t>
        </is>
      </c>
      <c r="E600" s="285" t="inlineStr">
        <is>
          <t>Conforms</t>
        </is>
      </c>
    </row>
    <row r="601">
      <c r="A601" s="285" t="inlineStr">
        <is>
          <t>OPM1024_03</t>
        </is>
      </c>
      <c r="B601" s="285" t="inlineStr">
        <is>
          <t>#9</t>
        </is>
      </c>
      <c r="C601" s="287" t="inlineStr">
        <is>
          <t>different values</t>
        </is>
      </c>
      <c r="D601" s="285" t="inlineStr">
        <is>
          <t>2 × 10²; 3 × 10²; &lt; 10; Absent | Отсутна; Absent | Отсутна</t>
        </is>
      </c>
      <c r="E601" s="285" t="inlineStr">
        <is>
          <t>2 x 10² CFU/g CFU/g; 3 x 10² CFU/g CFU/g; &lt; 10 CFU/g CFU/g; Одговара /g; Одговара /25 g</t>
        </is>
      </c>
    </row>
    <row r="602">
      <c r="A602" s="285" t="inlineStr">
        <is>
          <t>OPM1024_03</t>
        </is>
      </c>
      <c r="B602" s="285" t="inlineStr">
        <is>
          <t>#12</t>
        </is>
      </c>
      <c r="C602" s="287" t="inlineStr">
        <is>
          <t>different values</t>
        </is>
      </c>
      <c r="D602" s="285" t="inlineStr">
        <is>
          <t>ND</t>
        </is>
      </c>
      <c r="E602" s="285" t="inlineStr">
        <is>
          <t>≤ LOQ (all 26 compounds)</t>
        </is>
      </c>
    </row>
    <row r="603">
      <c r="A603" s="285" t="inlineStr">
        <is>
          <t>PM112501</t>
        </is>
      </c>
      <c r="B603" s="285" t="inlineStr">
        <is>
          <t>#1</t>
        </is>
      </c>
      <c r="C603" s="287" t="inlineStr">
        <is>
          <t>different values</t>
        </is>
      </c>
      <c r="D603" s="285" t="inlineStr">
        <is>
          <t>Conforms | Одговара</t>
        </is>
      </c>
      <c r="E603" s="285" t="inlineStr">
        <is>
          <t>Conforms</t>
        </is>
      </c>
    </row>
    <row r="604">
      <c r="A604" s="285" t="inlineStr">
        <is>
          <t>PM112501</t>
        </is>
      </c>
      <c r="B604" s="285" t="inlineStr">
        <is>
          <t>#2</t>
        </is>
      </c>
      <c r="C604" s="287" t="inlineStr">
        <is>
          <t>different values</t>
        </is>
      </c>
      <c r="D604" s="285" t="inlineStr">
        <is>
          <t>Conforms | Одговара</t>
        </is>
      </c>
      <c r="E604" s="285" t="inlineStr">
        <is>
          <t>Conforms</t>
        </is>
      </c>
    </row>
    <row r="605">
      <c r="A605" s="285" t="inlineStr">
        <is>
          <t>PM112501</t>
        </is>
      </c>
      <c r="B605" s="285" t="inlineStr">
        <is>
          <t>#7</t>
        </is>
      </c>
      <c r="C605" s="287" t="inlineStr">
        <is>
          <t>different values</t>
        </is>
      </c>
      <c r="D605" s="285" t="inlineStr">
        <is>
          <t>Conforms | Одговара</t>
        </is>
      </c>
      <c r="E605" s="285" t="inlineStr">
        <is>
          <t>Conforms</t>
        </is>
      </c>
    </row>
    <row r="606">
      <c r="A606" s="285" t="inlineStr">
        <is>
          <t>PM112501</t>
        </is>
      </c>
      <c r="B606" s="285" t="inlineStr">
        <is>
          <t>#9</t>
        </is>
      </c>
      <c r="C606" s="287" t="inlineStr">
        <is>
          <t>different values</t>
        </is>
      </c>
      <c r="D606" s="285" t="inlineStr">
        <is>
          <t>10; &lt; 10; &lt; 10; Absent | Отсутна; Absent | Отсутна</t>
        </is>
      </c>
      <c r="E606" s="285" t="inlineStr">
        <is>
          <t>10 CFU/g CFU/g; &lt; 10 CFU/g CFU/g; &lt; 10 CFU/g CFU/g; Одговара; Одговара</t>
        </is>
      </c>
    </row>
    <row r="607">
      <c r="A607" s="285" t="inlineStr">
        <is>
          <t>PUM102501</t>
        </is>
      </c>
      <c r="B607" s="285" t="inlineStr">
        <is>
          <t>#9</t>
        </is>
      </c>
      <c r="C607" s="287" t="inlineStr">
        <is>
          <t>different values</t>
        </is>
      </c>
      <c r="D607" s="285" t="inlineStr">
        <is>
          <t>5 × 10¹; 5 × 10¹; &lt; 10; Absent | Отсутна; Absent | Отсутна</t>
        </is>
      </c>
      <c r="E607" s="285" t="inlineStr">
        <is>
          <t>5 x 10¹ CFU/g CFU/g; 5 x 10¹ CFU/g CFU/g; &lt; 10 CFU/g CFU/g; Одговара; Одговара</t>
        </is>
      </c>
    </row>
    <row r="608">
      <c r="A608" s="285" t="inlineStr">
        <is>
          <t>SCR112501</t>
        </is>
      </c>
      <c r="B608" s="285" t="inlineStr">
        <is>
          <t>#1</t>
        </is>
      </c>
      <c r="C608" s="287" t="inlineStr">
        <is>
          <t>different values</t>
        </is>
      </c>
      <c r="D608" s="285" t="inlineStr">
        <is>
          <t>Conforms | Одговара</t>
        </is>
      </c>
      <c r="E608" s="285" t="inlineStr">
        <is>
          <t>Conforms</t>
        </is>
      </c>
    </row>
    <row r="609">
      <c r="A609" s="285" t="inlineStr">
        <is>
          <t>SCR112501</t>
        </is>
      </c>
      <c r="B609" s="285" t="inlineStr">
        <is>
          <t>#2</t>
        </is>
      </c>
      <c r="C609" s="287" t="inlineStr">
        <is>
          <t>different values</t>
        </is>
      </c>
      <c r="D609" s="285" t="inlineStr">
        <is>
          <t>Conforms | Одговара</t>
        </is>
      </c>
      <c r="E609" s="285" t="inlineStr">
        <is>
          <t>Conforms</t>
        </is>
      </c>
    </row>
    <row r="610">
      <c r="A610" s="285" t="inlineStr">
        <is>
          <t>SCR112501</t>
        </is>
      </c>
      <c r="B610" s="285" t="inlineStr">
        <is>
          <t>#6</t>
        </is>
      </c>
      <c r="C610" s="287" t="inlineStr">
        <is>
          <t>different values</t>
        </is>
      </c>
      <c r="D610" s="285" t="inlineStr">
        <is>
          <t>&lt; LOQ %</t>
        </is>
      </c>
      <c r="E610" s="285" t="inlineStr">
        <is>
          <t>BLQ %</t>
        </is>
      </c>
    </row>
    <row r="611">
      <c r="A611" s="285" t="inlineStr">
        <is>
          <t>SCR112501</t>
        </is>
      </c>
      <c r="B611" s="285" t="inlineStr">
        <is>
          <t>#7</t>
        </is>
      </c>
      <c r="C611" s="287" t="inlineStr">
        <is>
          <t>different values</t>
        </is>
      </c>
      <c r="D611" s="285" t="inlineStr">
        <is>
          <t>Conforms | Одговара</t>
        </is>
      </c>
      <c r="E611" s="285" t="inlineStr">
        <is>
          <t>Conforms</t>
        </is>
      </c>
    </row>
    <row r="612">
      <c r="A612" s="285" t="inlineStr">
        <is>
          <t>SJ092501</t>
        </is>
      </c>
      <c r="B612" s="285" t="inlineStr">
        <is>
          <t>#6</t>
        </is>
      </c>
      <c r="C612" s="287" t="inlineStr">
        <is>
          <t>different values</t>
        </is>
      </c>
      <c r="D612" s="285" t="inlineStr">
        <is>
          <t>&lt; LOQ</t>
        </is>
      </c>
      <c r="E612" s="285" t="inlineStr">
        <is>
          <t>BLQ</t>
        </is>
      </c>
    </row>
    <row r="613">
      <c r="A613" s="285" t="inlineStr">
        <is>
          <t>SJ092501</t>
        </is>
      </c>
      <c r="B613" s="285" t="inlineStr">
        <is>
          <t>#9</t>
        </is>
      </c>
      <c r="C613" s="287" t="inlineStr">
        <is>
          <t>different values</t>
        </is>
      </c>
      <c r="D613" s="285" t="inlineStr">
        <is>
          <t>&lt; 10; &lt; 10; &lt; 10; Absent | Отсутна; Absent | Отсутна</t>
        </is>
      </c>
      <c r="E613" s="285" t="inlineStr">
        <is>
          <t>&lt; 10 CFU/g CFU/g; &lt; 10 CFU/g CFU/g; &lt; 10 CFU/g CFU/g; Одговара /g; Одговара /25 g</t>
        </is>
      </c>
    </row>
    <row r="614">
      <c r="A614" s="285" t="inlineStr">
        <is>
          <t>WC082501</t>
        </is>
      </c>
      <c r="B614" s="285" t="inlineStr">
        <is>
          <t>#1</t>
        </is>
      </c>
      <c r="C614" s="287" t="inlineStr">
        <is>
          <t>different values</t>
        </is>
      </c>
      <c r="D614" s="285" t="inlineStr">
        <is>
          <t>Conforms | Одговара</t>
        </is>
      </c>
      <c r="E614" s="285" t="inlineStr">
        <is>
          <t>Conforms</t>
        </is>
      </c>
    </row>
    <row r="615">
      <c r="A615" s="285" t="inlineStr">
        <is>
          <t>WC082501</t>
        </is>
      </c>
      <c r="B615" s="285" t="inlineStr">
        <is>
          <t>#2</t>
        </is>
      </c>
      <c r="C615" s="287" t="inlineStr">
        <is>
          <t>different values</t>
        </is>
      </c>
      <c r="D615" s="285" t="inlineStr">
        <is>
          <t>Conforms | Одговара</t>
        </is>
      </c>
      <c r="E615" s="285" t="inlineStr">
        <is>
          <t>Conforms</t>
        </is>
      </c>
    </row>
    <row r="616">
      <c r="A616" s="285" t="inlineStr">
        <is>
          <t>WC082501</t>
        </is>
      </c>
      <c r="B616" s="285" t="inlineStr">
        <is>
          <t>#3</t>
        </is>
      </c>
      <c r="C616" s="287" t="inlineStr">
        <is>
          <t>different values</t>
        </is>
      </c>
      <c r="D616" s="285" t="inlineStr">
        <is>
          <t>Conforms | Одговара</t>
        </is>
      </c>
      <c r="E616" s="285" t="inlineStr">
        <is>
          <t>Conforms (ImB spec.)</t>
        </is>
      </c>
    </row>
    <row r="617">
      <c r="A617" s="285" t="inlineStr">
        <is>
          <t>WC082501</t>
        </is>
      </c>
      <c r="B617" s="285" t="inlineStr">
        <is>
          <t>#7</t>
        </is>
      </c>
      <c r="C617" s="287" t="inlineStr">
        <is>
          <t>different values</t>
        </is>
      </c>
      <c r="D617" s="285" t="inlineStr">
        <is>
          <t>Conforms | Одговара</t>
        </is>
      </c>
      <c r="E617" s="285" t="inlineStr">
        <is>
          <t>Conforms</t>
        </is>
      </c>
    </row>
    <row r="618">
      <c r="A618" s="285" t="inlineStr">
        <is>
          <t>WC082501</t>
        </is>
      </c>
      <c r="B618" s="285" t="inlineStr">
        <is>
          <t>#9</t>
        </is>
      </c>
      <c r="C618" s="287" t="inlineStr">
        <is>
          <t>different values</t>
        </is>
      </c>
      <c r="D618" s="285" t="inlineStr">
        <is>
          <t>10; 30; &lt; 10; Absent | Отсутна; Absent | Отсутна</t>
        </is>
      </c>
      <c r="E618" s="285" t="inlineStr">
        <is>
          <t>10 CFU/g CFU/g; 30 CFU/g CFU/g; &lt; 10 CFU/g CFU/g; Одговара /g; Одговара /25 g</t>
        </is>
      </c>
    </row>
    <row r="619">
      <c r="A619" s="285" t="inlineStr">
        <is>
          <t>WC082501</t>
        </is>
      </c>
      <c r="B619" s="285" t="inlineStr">
        <is>
          <t>#12</t>
        </is>
      </c>
      <c r="C619" s="287" t="inlineStr">
        <is>
          <t>different values</t>
        </is>
      </c>
      <c r="D619" s="285" t="inlineStr">
        <is>
          <t>ND</t>
        </is>
      </c>
      <c r="E619" s="285" t="inlineStr">
        <is>
          <t>≤ LOQ (all 29 compounds)</t>
        </is>
      </c>
    </row>
    <row r="621">
      <c r="A621" s="283" t="inlineStr">
        <is>
          <t>THE IDENTITY DETERMINATIONS ARE NOT A TRANSCRIPTION PROBLEM</t>
        </is>
      </c>
      <c r="B621" s="283" t="inlineStr"/>
      <c r="C621" s="283" t="inlineStr"/>
      <c r="D621" s="283" t="inlineStr"/>
      <c r="E621" s="283" t="inlineStr"/>
    </row>
    <row r="623">
      <c r="A623"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3" s="289" t="n"/>
      <c r="C623" s="289" t="n"/>
      <c r="D623" s="289" t="n"/>
      <c r="E623" s="290" t="n"/>
    </row>
    <row r="624">
      <c r="A624" s="291" t="n"/>
      <c r="E624" s="292" t="n"/>
    </row>
    <row r="625">
      <c r="A625" s="291" t="n"/>
      <c r="E625" s="292" t="n"/>
    </row>
    <row r="626">
      <c r="A626" s="291" t="n"/>
      <c r="E626" s="292" t="n"/>
    </row>
    <row r="627">
      <c r="A627" s="291" t="n"/>
      <c r="E627" s="292" t="n"/>
    </row>
    <row r="628">
      <c r="A628" s="291" t="n"/>
      <c r="E628" s="292" t="n"/>
    </row>
    <row r="629">
      <c r="A629" s="293" t="n"/>
      <c r="B629" s="294" t="n"/>
      <c r="C629" s="294" t="n"/>
      <c r="D629" s="294" t="n"/>
      <c r="E629" s="295" t="n"/>
    </row>
    <row r="631">
      <c r="A631" s="283" t="inlineStr">
        <is>
          <t>CLOSURES THAT FOUND NO ROW</t>
        </is>
      </c>
      <c r="B631" s="283" t="inlineStr"/>
      <c r="C631" s="283" t="inlineStr"/>
      <c r="D631" s="283" t="inlineStr"/>
      <c r="E631" s="283" t="inlineStr"/>
    </row>
    <row r="633">
      <c r="A633" s="283" t="inlineStr">
        <is>
          <t>CU batch</t>
        </is>
      </c>
      <c r="B633" s="283" t="inlineStr">
        <is>
          <t>P batch</t>
        </is>
      </c>
      <c r="C633" s="283" t="inlineStr"/>
      <c r="D633" s="283" t="inlineStr">
        <is>
          <t>Parameters now covered</t>
        </is>
      </c>
      <c r="E633" s="283" t="inlineStr">
        <is>
          <t>From</t>
        </is>
      </c>
    </row>
    <row r="634">
      <c r="A634" s="285" t="inlineStr">
        <is>
          <t>JD032601</t>
        </is>
      </c>
      <c r="B634" s="285" t="inlineStr">
        <is>
          <t>— not assigned —</t>
        </is>
      </c>
      <c r="D634" s="285" t="inlineStr">
        <is>
          <t>#9 Microbiological purity; #10 Mycotoxins; #11 Heavy metals; #12 Pesticide residues</t>
        </is>
      </c>
      <c r="E634" s="285" t="inlineStr">
        <is>
          <t>4374/2026 (11.08.2026) [IJZ]; 477/0929/26 (04.08.2026) [IJZ-MB]</t>
        </is>
      </c>
    </row>
    <row r="635">
      <c r="A635"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35" s="289" t="n"/>
      <c r="C635" s="289" t="n"/>
      <c r="D635" s="289" t="n"/>
      <c r="E635" s="290" t="n"/>
    </row>
    <row r="636">
      <c r="A636" s="291" t="n"/>
      <c r="E636" s="292" t="n"/>
    </row>
    <row r="637">
      <c r="A637" s="291" t="n"/>
      <c r="E637" s="292" t="n"/>
    </row>
    <row r="638">
      <c r="A638" s="293" t="n"/>
      <c r="B638" s="294" t="n"/>
      <c r="C638" s="294" t="n"/>
      <c r="D638" s="294" t="n"/>
      <c r="E638" s="295" t="n"/>
    </row>
    <row r="641" ht="20" customHeight="1" s="70">
      <c r="A641" s="253" t="inlineStr">
        <is>
          <t>CREDIT AUDIT</t>
        </is>
      </c>
    </row>
    <row r="642" ht="22" customHeight="1" s="70">
      <c r="A642" s="119" t="inlineStr">
        <is>
          <t>CU Batch</t>
        </is>
      </c>
      <c r="B642" s="119" t="inlineStr">
        <is>
          <t>P Batch</t>
        </is>
      </c>
      <c r="C642" s="119" t="inlineStr">
        <is>
          <t>Certificate</t>
        </is>
      </c>
      <c r="D642" s="119" t="inlineStr">
        <is>
          <t>Date</t>
        </is>
      </c>
      <c r="E642" s="119" t="inlineStr">
        <is>
          <t>Lab</t>
        </is>
      </c>
      <c r="F642" s="119" t="inlineStr">
        <is>
          <t>#</t>
        </is>
      </c>
      <c r="G642" s="119" t="inlineStr">
        <is>
          <t>Parameter</t>
        </is>
      </c>
      <c r="H642" s="119" t="inlineStr">
        <is>
          <t>Finding</t>
        </is>
      </c>
      <c r="I642" s="119" t="inlineStr">
        <is>
          <t>Action</t>
        </is>
      </c>
    </row>
    <row r="643">
      <c r="A643" s="233" t="inlineStr">
        <is>
          <t>BSS052501</t>
        </is>
      </c>
      <c r="B643" s="232" t="inlineStr">
        <is>
          <t>P050192</t>
        </is>
      </c>
      <c r="C643" s="232" t="inlineStr">
        <is>
          <t>NGP-QCG-SOP-024 F3</t>
        </is>
      </c>
      <c r="D643" s="234" t="n">
        <v>45989</v>
      </c>
      <c r="E643" s="232" t="inlineStr">
        <is>
          <t>NGP</t>
        </is>
      </c>
      <c r="F643" s="232" t="inlineStr">
        <is>
          <t>#6</t>
        </is>
      </c>
      <c r="G643" s="235" t="inlineStr">
        <is>
          <t>#6 Total CBN</t>
        </is>
      </c>
      <c r="H643" s="296" t="inlineStr">
        <is>
          <t>held for review</t>
        </is>
      </c>
      <c r="I643" s="297" t="inlineStr">
        <is>
          <t>The two independent reads disagreed. A person must confirm the figure from the page.</t>
        </is>
      </c>
    </row>
    <row r="644">
      <c r="A644" s="233" t="inlineStr">
        <is>
          <t>GP062501</t>
        </is>
      </c>
      <c r="B644" s="232" t="inlineStr">
        <is>
          <t>P050202</t>
        </is>
      </c>
      <c r="C644" s="232" t="inlineStr">
        <is>
          <t>NGP-QCG-SOP-024 F3</t>
        </is>
      </c>
      <c r="D644" s="234" t="n">
        <v>45989</v>
      </c>
      <c r="E644" s="232" t="inlineStr">
        <is>
          <t>NGP</t>
        </is>
      </c>
      <c r="F644" s="232" t="inlineStr">
        <is>
          <t>#6</t>
        </is>
      </c>
      <c r="G644" s="235" t="inlineStr">
        <is>
          <t>#6 Total CBN</t>
        </is>
      </c>
      <c r="H644" s="296" t="inlineStr">
        <is>
          <t>held for review</t>
        </is>
      </c>
      <c r="I644" s="297" t="inlineStr">
        <is>
          <t>The two independent reads disagreed. A person must confirm the figure from the page.</t>
        </is>
      </c>
    </row>
    <row r="645">
      <c r="A645" s="233" t="inlineStr">
        <is>
          <t>J31112501</t>
        </is>
      </c>
      <c r="B645" s="232" t="inlineStr">
        <is>
          <t>P060202</t>
        </is>
      </c>
      <c r="C645" s="232" t="inlineStr">
        <is>
          <t>100-1-K-26</t>
        </is>
      </c>
      <c r="D645" s="234" t="n">
        <v>46121</v>
      </c>
      <c r="E645" s="232" t="inlineStr">
        <is>
          <t>FHM-K</t>
        </is>
      </c>
      <c r="F645" s="232" t="inlineStr">
        <is>
          <t>#3</t>
        </is>
      </c>
      <c r="G645" s="235" t="inlineStr">
        <is>
          <t>#3 Identification C</t>
        </is>
      </c>
      <c r="H645" s="296" t="inlineStr">
        <is>
          <t>held for review</t>
        </is>
      </c>
      <c r="I645" s="297" t="inlineStr">
        <is>
          <t>The two independent reads disagreed. A person must confirm the figure from the page.</t>
        </is>
      </c>
    </row>
    <row r="646">
      <c r="A646" s="233" t="inlineStr">
        <is>
          <t>FB032601</t>
        </is>
      </c>
      <c r="B646" s="232" t="inlineStr">
        <is>
          <t>P060452</t>
        </is>
      </c>
      <c r="C646" s="232" t="inlineStr">
        <is>
          <t>ППК26127</t>
        </is>
      </c>
      <c r="D646" s="234" t="n">
        <v>46224</v>
      </c>
      <c r="E646" s="232" t="inlineStr">
        <is>
          <t>CNP</t>
        </is>
      </c>
      <c r="F646" s="232" t="inlineStr">
        <is>
          <t>#7</t>
        </is>
      </c>
      <c r="G646" s="235" t="inlineStr">
        <is>
          <t>#7 Foreign Matter</t>
        </is>
      </c>
      <c r="H646" s="296" t="inlineStr">
        <is>
          <t>non-conformance reported</t>
        </is>
      </c>
      <c r="I646" s="297" t="inlineStr">
        <is>
          <t>The certificate reports a result that does not conform. Open an investigation record; the Head of QC rules on the lot, and the iCoA for this parameter is held until then.</t>
        </is>
      </c>
    </row>
    <row r="647">
      <c r="A647" s="233" t="inlineStr">
        <is>
          <t>J31122501</t>
        </is>
      </c>
      <c r="B647" s="232" t="inlineStr">
        <is>
          <t>P060262</t>
        </is>
      </c>
      <c r="C647" s="232" t="inlineStr">
        <is>
          <t>100-3-K-26</t>
        </is>
      </c>
      <c r="D647" s="234" t="n">
        <v>46121</v>
      </c>
      <c r="E647" s="232" t="inlineStr">
        <is>
          <t>FHM-K</t>
        </is>
      </c>
      <c r="F647" s="232" t="inlineStr">
        <is>
          <t>#3</t>
        </is>
      </c>
      <c r="G647" s="235" t="inlineStr">
        <is>
          <t>#3 Identification C</t>
        </is>
      </c>
      <c r="H647" s="296" t="inlineStr">
        <is>
          <t>not ingested</t>
        </is>
      </c>
      <c r="I647" s="297" t="inlineStr">
        <is>
          <t>Re-extract the document into the corpus; the batch cannot reach a CoQ on this parameter until then.</t>
        </is>
      </c>
    </row>
    <row r="648">
      <c r="A648" s="233" t="inlineStr">
        <is>
          <t>J31122501</t>
        </is>
      </c>
      <c r="B648" s="232" t="inlineStr">
        <is>
          <t>P060262</t>
        </is>
      </c>
      <c r="C648" s="232" t="inlineStr">
        <is>
          <t>1625-2026</t>
        </is>
      </c>
      <c r="D648" s="234" t="n">
        <v>46135</v>
      </c>
      <c r="E648" s="232" t="inlineStr">
        <is>
          <t>IJZ</t>
        </is>
      </c>
      <c r="F648" s="232" t="inlineStr">
        <is>
          <t>#11</t>
        </is>
      </c>
      <c r="G648" s="235" t="inlineStr">
        <is>
          <t>#11 Heavy Metals</t>
        </is>
      </c>
      <c r="H648" s="296" t="inlineStr">
        <is>
          <t>not ingested</t>
        </is>
      </c>
      <c r="I648" s="297" t="inlineStr">
        <is>
          <t>Re-extract the document into the corpus; the batch cannot reach a CoQ on this parameter until then.</t>
        </is>
      </c>
    </row>
    <row r="649">
      <c r="A649" s="233" t="inlineStr">
        <is>
          <t>MB0824_04</t>
        </is>
      </c>
      <c r="B649" s="232" t="inlineStr">
        <is>
          <t>P050032</t>
        </is>
      </c>
      <c r="C649" s="232" t="inlineStr">
        <is>
          <t>ППК25118</t>
        </is>
      </c>
      <c r="D649" s="234" t="n">
        <v>45783</v>
      </c>
      <c r="E649" s="232" t="inlineStr">
        <is>
          <t>CNP</t>
        </is>
      </c>
      <c r="F649" s="232" t="inlineStr">
        <is>
          <t>#6</t>
        </is>
      </c>
      <c r="G649" s="235" t="inlineStr">
        <is>
          <t>#6 Total CBN</t>
        </is>
      </c>
      <c r="H649" s="296" t="inlineStr">
        <is>
          <t>not ingested</t>
        </is>
      </c>
      <c r="I649" s="297" t="inlineStr">
        <is>
          <t>Re-extract the document into the corpus; the batch cannot reach a CoQ on this parameter until then.</t>
        </is>
      </c>
    </row>
    <row r="650">
      <c r="A650" s="233" t="inlineStr">
        <is>
          <t>OPM052501</t>
        </is>
      </c>
      <c r="B650" s="232" t="inlineStr">
        <is>
          <t>P050132</t>
        </is>
      </c>
      <c r="C650" s="232" t="inlineStr">
        <is>
          <t>ППК25257</t>
        </is>
      </c>
      <c r="D650" s="234" t="n">
        <v>45905</v>
      </c>
      <c r="E650" s="232" t="inlineStr">
        <is>
          <t>CNP</t>
        </is>
      </c>
      <c r="F650" s="232" t="inlineStr">
        <is>
          <t>#6</t>
        </is>
      </c>
      <c r="G650" s="235" t="inlineStr">
        <is>
          <t>#6 Total CBN</t>
        </is>
      </c>
      <c r="H650" s="296" t="inlineStr">
        <is>
          <t>not ingested</t>
        </is>
      </c>
      <c r="I650" s="297" t="inlineStr">
        <is>
          <t>Re-extract the document into the corpus; the batch cannot reach a CoQ on this parameter until then.</t>
        </is>
      </c>
    </row>
    <row r="651">
      <c r="A651" s="233" t="inlineStr">
        <is>
          <t>OPM112501</t>
        </is>
      </c>
      <c r="B651" s="232" t="inlineStr">
        <is>
          <t>P060222</t>
        </is>
      </c>
      <c r="C651" s="232" t="inlineStr">
        <is>
          <t>ППК26031</t>
        </is>
      </c>
      <c r="D651" s="234" t="n">
        <v>46086</v>
      </c>
      <c r="E651" s="232" t="inlineStr">
        <is>
          <t>CNP</t>
        </is>
      </c>
      <c r="F651" s="232" t="inlineStr">
        <is>
          <t>#6</t>
        </is>
      </c>
      <c r="G651" s="235" t="inlineStr">
        <is>
          <t>#6 Total CBN</t>
        </is>
      </c>
      <c r="H651" s="296" t="inlineStr">
        <is>
          <t>not ingested</t>
        </is>
      </c>
      <c r="I651" s="297" t="inlineStr">
        <is>
          <t>Re-extract the document into the corpus; the batch cannot reach a CoQ on this parameter until then.</t>
        </is>
      </c>
    </row>
    <row r="652">
      <c r="A652" s="233" t="inlineStr">
        <is>
          <t>PM072501</t>
        </is>
      </c>
      <c r="B652" s="232" t="inlineStr">
        <is>
          <t>P050272</t>
        </is>
      </c>
      <c r="C652" s="232" t="inlineStr">
        <is>
          <t>ППК25368</t>
        </is>
      </c>
      <c r="D652" s="234" t="n">
        <v>45989</v>
      </c>
      <c r="E652" s="232" t="inlineStr">
        <is>
          <t>CNP</t>
        </is>
      </c>
      <c r="F652" s="232" t="inlineStr">
        <is>
          <t>#6</t>
        </is>
      </c>
      <c r="G652" s="235" t="inlineStr">
        <is>
          <t>#6 Total CBN</t>
        </is>
      </c>
      <c r="H652" s="296" t="inlineStr">
        <is>
          <t>not ingested</t>
        </is>
      </c>
      <c r="I652" s="297" t="inlineStr">
        <is>
          <t>Re-extract the document into the corpus; the batch cannot reach a CoQ on this parameter until then.</t>
        </is>
      </c>
    </row>
    <row r="653">
      <c r="A653" s="233" t="inlineStr">
        <is>
          <t>BSS052501</t>
        </is>
      </c>
      <c r="B653" s="232" t="inlineStr">
        <is>
          <t>P050192</t>
        </is>
      </c>
      <c r="C653" s="232" t="inlineStr">
        <is>
          <t>NGP-QCG-SOP-024 F3</t>
        </is>
      </c>
      <c r="D653" s="234" t="n">
        <v>45989</v>
      </c>
      <c r="E653" s="232" t="inlineStr">
        <is>
          <t>NGP</t>
        </is>
      </c>
      <c r="F653" s="232" t="inlineStr">
        <is>
          <t>#8</t>
        </is>
      </c>
      <c r="G653" s="235" t="inlineStr">
        <is>
          <t>#8 Loss on Drying</t>
        </is>
      </c>
      <c r="H653" s="298" t="inlineStr">
        <is>
          <t>not on this certificate</t>
        </is>
      </c>
      <c r="I653" s="297" t="inlineStr">
        <is>
          <t>Move the credit to the certificate that reports this parameter, or record why it stands.</t>
        </is>
      </c>
    </row>
    <row r="654">
      <c r="A654" s="233" t="inlineStr">
        <is>
          <t>BSS052501</t>
        </is>
      </c>
      <c r="B654" s="232" t="inlineStr">
        <is>
          <t>P050192</t>
        </is>
      </c>
      <c r="C654" s="232" t="inlineStr">
        <is>
          <t>5661-2025</t>
        </is>
      </c>
      <c r="D654" s="234" t="n">
        <v>45992</v>
      </c>
      <c r="E654" s="232" t="inlineStr">
        <is>
          <t>IJZ</t>
        </is>
      </c>
      <c r="F654" s="232" t="inlineStr">
        <is>
          <t>#10</t>
        </is>
      </c>
      <c r="G654" s="235" t="inlineStr">
        <is>
          <t>#10 Mycotoxins</t>
        </is>
      </c>
      <c r="H654" s="298" t="inlineStr">
        <is>
          <t>not on this certificate</t>
        </is>
      </c>
      <c r="I654" s="297" t="inlineStr">
        <is>
          <t>Move the credit to the certificate that reports this parameter, or record why it stands.</t>
        </is>
      </c>
    </row>
    <row r="655">
      <c r="A655" s="233" t="inlineStr">
        <is>
          <t>BSS052501</t>
        </is>
      </c>
      <c r="B655" s="232" t="inlineStr">
        <is>
          <t>P050192</t>
        </is>
      </c>
      <c r="C655" s="232" t="inlineStr">
        <is>
          <t>5661-2025</t>
        </is>
      </c>
      <c r="D655" s="234" t="n">
        <v>45992</v>
      </c>
      <c r="E655" s="232" t="inlineStr">
        <is>
          <t>IJZ</t>
        </is>
      </c>
      <c r="F655" s="232" t="inlineStr">
        <is>
          <t>#12</t>
        </is>
      </c>
      <c r="G655" s="235" t="inlineStr">
        <is>
          <t>#12 Pesticide Residues</t>
        </is>
      </c>
      <c r="H655" s="298" t="inlineStr">
        <is>
          <t>not on this certificate</t>
        </is>
      </c>
      <c r="I655" s="297" t="inlineStr">
        <is>
          <t>Move the credit to the certificate that reports this parameter, or record why it stands.</t>
        </is>
      </c>
    </row>
    <row r="658" ht="20" customHeight="1" s="70">
      <c r="A658" s="253" t="inlineStr">
        <is>
          <t>CREDIT CORRECTIONS</t>
        </is>
      </c>
    </row>
    <row r="659" ht="22" customHeight="1" s="70">
      <c r="A659" s="119" t="inlineStr">
        <is>
          <t>CU Batch</t>
        </is>
      </c>
      <c r="B659" s="119" t="inlineStr">
        <is>
          <t>P Batch</t>
        </is>
      </c>
      <c r="C659" s="119" t="inlineStr">
        <is>
          <t>Certificate</t>
        </is>
      </c>
      <c r="D659" s="119" t="inlineStr">
        <is>
          <t>Date</t>
        </is>
      </c>
      <c r="E659" s="119" t="inlineStr">
        <is>
          <t>Lab</t>
        </is>
      </c>
      <c r="F659" s="119" t="inlineStr">
        <is>
          <t>#</t>
        </is>
      </c>
      <c r="G659" s="119" t="inlineStr">
        <is>
          <t>Parameter</t>
        </is>
      </c>
      <c r="H659" s="119" t="inlineStr">
        <is>
          <t>Correction</t>
        </is>
      </c>
      <c r="I659" s="119" t="inlineStr">
        <is>
          <t>Evidence</t>
        </is>
      </c>
    </row>
    <row r="660">
      <c r="A660" s="233" t="inlineStr">
        <is>
          <t>BG1024</t>
        </is>
      </c>
      <c r="B660" s="232" t="inlineStr">
        <is>
          <t>N/A — no P batch assigned</t>
        </is>
      </c>
      <c r="C660" s="232" t="inlineStr">
        <is>
          <t>197-1-K-26</t>
        </is>
      </c>
      <c r="D660" s="234" t="n">
        <v>46241</v>
      </c>
      <c r="E660" s="232" t="inlineStr">
        <is>
          <t>FHM-K</t>
        </is>
      </c>
      <c r="F660" s="232" t="inlineStr">
        <is>
          <t>#8</t>
        </is>
      </c>
      <c r="G660" s="235" t="inlineStr">
        <is>
          <t>#8 Loss on Drying</t>
        </is>
      </c>
      <c r="H660" s="298" t="inlineStr">
        <is>
          <t>credit removed</t>
        </is>
      </c>
      <c r="I660" s="297" t="inlineStr">
        <is>
          <t>R1 Farmahem pair — cannabinoid certificate; loss on drying is on the LoD certificate</t>
        </is>
      </c>
    </row>
    <row r="661">
      <c r="A661" s="233" t="inlineStr">
        <is>
          <t>BSS1024</t>
        </is>
      </c>
      <c r="B661" s="232" t="inlineStr">
        <is>
          <t>N/A — no P batch assigned</t>
        </is>
      </c>
      <c r="C661" s="232" t="inlineStr">
        <is>
          <t>197-2-K-26</t>
        </is>
      </c>
      <c r="D661" s="234" t="n">
        <v>46241</v>
      </c>
      <c r="E661" s="232" t="inlineStr">
        <is>
          <t>FHM-K</t>
        </is>
      </c>
      <c r="F661" s="232" t="inlineStr">
        <is>
          <t>#8</t>
        </is>
      </c>
      <c r="G661" s="235" t="inlineStr">
        <is>
          <t>#8 Loss on Drying</t>
        </is>
      </c>
      <c r="H661" s="298" t="inlineStr">
        <is>
          <t>credit removed</t>
        </is>
      </c>
      <c r="I661" s="297" t="inlineStr">
        <is>
          <t>R1 Farmahem pair — cannabinoid certificate; loss on drying is on the LoD certificate</t>
        </is>
      </c>
    </row>
    <row r="662">
      <c r="A662" s="233" t="inlineStr">
        <is>
          <t>CC012601/1</t>
        </is>
      </c>
      <c r="B662" s="232" t="inlineStr">
        <is>
          <t>P060332</t>
        </is>
      </c>
      <c r="C662" s="232" t="inlineStr">
        <is>
          <t>197-6-K-26</t>
        </is>
      </c>
      <c r="D662" s="234" t="n">
        <v>46241</v>
      </c>
      <c r="E662" s="232" t="inlineStr">
        <is>
          <t>FHM-K</t>
        </is>
      </c>
      <c r="F662" s="232" t="inlineStr">
        <is>
          <t>#8</t>
        </is>
      </c>
      <c r="G662" s="235" t="inlineStr">
        <is>
          <t>#8 Loss on Drying</t>
        </is>
      </c>
      <c r="H662" s="298" t="inlineStr">
        <is>
          <t>credit removed</t>
        </is>
      </c>
      <c r="I662" s="297" t="inlineStr">
        <is>
          <t>R1 Farmahem pair — cannabinoid certificate; loss on drying is on the LoD certificate</t>
        </is>
      </c>
    </row>
    <row r="663">
      <c r="A663" s="233" t="inlineStr">
        <is>
          <t>CJ052501/01</t>
        </is>
      </c>
      <c r="B663" s="232" t="inlineStr">
        <is>
          <t>P050162</t>
        </is>
      </c>
      <c r="C663" s="232" t="inlineStr">
        <is>
          <t>197-3-K-26</t>
        </is>
      </c>
      <c r="D663" s="234" t="n">
        <v>46241</v>
      </c>
      <c r="E663" s="232" t="inlineStr">
        <is>
          <t>FHM-K</t>
        </is>
      </c>
      <c r="F663" s="232" t="inlineStr">
        <is>
          <t>#8</t>
        </is>
      </c>
      <c r="G663" s="235" t="inlineStr">
        <is>
          <t>#8 Loss on Drying</t>
        </is>
      </c>
      <c r="H663" s="298" t="inlineStr">
        <is>
          <t>credit removed</t>
        </is>
      </c>
      <c r="I663" s="297" t="inlineStr">
        <is>
          <t>R1 Farmahem pair — cannabinoid certificate; loss on drying is on the LoD certificate</t>
        </is>
      </c>
    </row>
    <row r="664">
      <c r="A664" s="233" t="inlineStr">
        <is>
          <t>CJ062501/2</t>
        </is>
      </c>
      <c r="B664" s="232" t="inlineStr">
        <is>
          <t>P050212</t>
        </is>
      </c>
      <c r="C664" s="232" t="inlineStr">
        <is>
          <t>197-4-K-26</t>
        </is>
      </c>
      <c r="D664" s="234" t="n">
        <v>46241</v>
      </c>
      <c r="E664" s="232" t="inlineStr">
        <is>
          <t>FHM-K</t>
        </is>
      </c>
      <c r="F664" s="232" t="inlineStr">
        <is>
          <t>#8</t>
        </is>
      </c>
      <c r="G664" s="235" t="inlineStr">
        <is>
          <t>#8 Loss on Drying</t>
        </is>
      </c>
      <c r="H664" s="298" t="inlineStr">
        <is>
          <t>credit removed</t>
        </is>
      </c>
      <c r="I664" s="297" t="inlineStr">
        <is>
          <t>R1 Farmahem pair — cannabinoid certificate; loss on drying is on the LoD certificate</t>
        </is>
      </c>
    </row>
    <row r="665">
      <c r="A665" s="233" t="inlineStr">
        <is>
          <t>CJ082501/2</t>
        </is>
      </c>
      <c r="B665" s="232" t="inlineStr">
        <is>
          <t>P060032</t>
        </is>
      </c>
      <c r="C665" s="232" t="inlineStr">
        <is>
          <t>197-5-K-26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FB012602*</t>
        </is>
      </c>
      <c r="B666" s="232" t="inlineStr">
        <is>
          <t>P060352</t>
        </is>
      </c>
      <c r="C666" s="232" t="inlineStr">
        <is>
          <t>197-7-K-26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GG012603</t>
        </is>
      </c>
      <c r="B667" s="232" t="inlineStr">
        <is>
          <t>P060402</t>
        </is>
      </c>
      <c r="C667" s="232" t="inlineStr">
        <is>
          <t>197-8-K-26</t>
        </is>
      </c>
      <c r="D667" s="234" t="n">
        <v>46241</v>
      </c>
      <c r="E667" s="232" t="inlineStr">
        <is>
          <t>FHM-K</t>
        </is>
      </c>
      <c r="F667" s="232" t="inlineStr">
        <is>
          <t>#8</t>
        </is>
      </c>
      <c r="G667" s="235" t="inlineStr">
        <is>
          <t>#8 Loss on Drying</t>
        </is>
      </c>
      <c r="H667" s="298" t="inlineStr">
        <is>
          <t>credit removed</t>
        </is>
      </c>
      <c r="I667" s="297" t="inlineStr">
        <is>
          <t>R1 Farmahem pair — cannabinoid certificate; loss on drying is on the LoD certificate</t>
        </is>
      </c>
    </row>
    <row r="668">
      <c r="A668" s="233" t="inlineStr">
        <is>
          <t>GG1024_01</t>
        </is>
      </c>
      <c r="B668" s="232" t="inlineStr">
        <is>
          <t>P050092</t>
        </is>
      </c>
      <c r="C668" s="232" t="inlineStr">
        <is>
          <t>197-9-K-26</t>
        </is>
      </c>
      <c r="D668" s="234" t="n">
        <v>46241</v>
      </c>
      <c r="E668" s="232" t="inlineStr">
        <is>
          <t>FHM-K</t>
        </is>
      </c>
      <c r="F668" s="232" t="inlineStr">
        <is>
          <t>#8</t>
        </is>
      </c>
      <c r="G668" s="235" t="inlineStr">
        <is>
          <t>#8 Loss on Drying</t>
        </is>
      </c>
      <c r="H668" s="298" t="inlineStr">
        <is>
          <t>credit removed</t>
        </is>
      </c>
      <c r="I668" s="297" t="inlineStr">
        <is>
          <t>R1 Farmahem pair — cannabinoid certificate; loss on drying is on the LoD certificate</t>
        </is>
      </c>
    </row>
    <row r="669">
      <c r="A669" s="233" t="inlineStr">
        <is>
          <t>GP052501</t>
        </is>
      </c>
      <c r="B669" s="232" t="inlineStr">
        <is>
          <t>P050152</t>
        </is>
      </c>
      <c r="C669" s="232" t="inlineStr">
        <is>
          <t>197-10-K-26</t>
        </is>
      </c>
      <c r="D669" s="234" t="n">
        <v>46241</v>
      </c>
      <c r="E669" s="232" t="inlineStr">
        <is>
          <t>FHM-K</t>
        </is>
      </c>
      <c r="F669" s="232" t="inlineStr">
        <is>
          <t>#8</t>
        </is>
      </c>
      <c r="G669" s="235" t="inlineStr">
        <is>
          <t>#8 Loss on Drying</t>
        </is>
      </c>
      <c r="H669" s="298" t="inlineStr">
        <is>
          <t>credit removed</t>
        </is>
      </c>
      <c r="I669" s="297" t="inlineStr">
        <is>
          <t>R1 Farmahem pair — cannabinoid certificate; loss on drying is on the LoD certificate</t>
        </is>
      </c>
    </row>
    <row r="670">
      <c r="A670" s="233" t="inlineStr">
        <is>
          <t>GP0824_02</t>
        </is>
      </c>
      <c r="B670" s="232" t="inlineStr">
        <is>
          <t>P050022</t>
        </is>
      </c>
      <c r="C670" s="232" t="inlineStr">
        <is>
          <t>197-11-K-26</t>
        </is>
      </c>
      <c r="D670" s="234" t="n">
        <v>46241</v>
      </c>
      <c r="E670" s="232" t="inlineStr">
        <is>
          <t>FHM-K</t>
        </is>
      </c>
      <c r="F670" s="232" t="inlineStr">
        <is>
          <t>#8</t>
        </is>
      </c>
      <c r="G670" s="235" t="inlineStr">
        <is>
          <t>#8 Loss on Drying</t>
        </is>
      </c>
      <c r="H670" s="298" t="inlineStr">
        <is>
          <t>credit removed</t>
        </is>
      </c>
      <c r="I670" s="297" t="inlineStr">
        <is>
          <t>R1 Farmahem pair — cannabinoid certificate; loss on drying is on the LoD certificate</t>
        </is>
      </c>
    </row>
    <row r="671">
      <c r="A671" s="233" t="inlineStr">
        <is>
          <t>GP082501/2</t>
        </is>
      </c>
      <c r="B671" s="232" t="inlineStr">
        <is>
          <t>P050322</t>
        </is>
      </c>
      <c r="C671" s="232" t="inlineStr">
        <is>
          <t>197-12-K-26</t>
        </is>
      </c>
      <c r="D671" s="234" t="n">
        <v>46241</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GRC102501</t>
        </is>
      </c>
      <c r="B672" s="232" t="inlineStr">
        <is>
          <t>P060142 / P060182</t>
        </is>
      </c>
      <c r="C672" s="232" t="inlineStr">
        <is>
          <t>051-6-LoD-26</t>
        </is>
      </c>
      <c r="D672" s="234" t="n">
        <v>46083</v>
      </c>
      <c r="E672" s="232" t="inlineStr">
        <is>
          <t>FHM-K</t>
        </is>
      </c>
      <c r="F672" s="232" t="inlineStr">
        <is>
          <t>#3</t>
        </is>
      </c>
      <c r="G672" s="235" t="inlineStr">
        <is>
          <t>#3 Identification C</t>
        </is>
      </c>
      <c r="H672" s="298" t="inlineStr">
        <is>
          <t>credit removed</t>
        </is>
      </c>
      <c r="I672" s="297" t="inlineStr">
        <is>
          <t>R1 Farmahem pair — loss-on-drying certificate; reports no such determination</t>
        </is>
      </c>
    </row>
    <row r="673">
      <c r="A673" s="233" t="inlineStr">
        <is>
          <t>GRC102501</t>
        </is>
      </c>
      <c r="B673" s="232" t="inlineStr">
        <is>
          <t>P060142 / P060182</t>
        </is>
      </c>
      <c r="C673" s="232" t="inlineStr">
        <is>
          <t>051-6-LoD-26</t>
        </is>
      </c>
      <c r="D673" s="234" t="n">
        <v>46083</v>
      </c>
      <c r="E673" s="232" t="inlineStr">
        <is>
          <t>FHM-K</t>
        </is>
      </c>
      <c r="F673" s="232" t="inlineStr">
        <is>
          <t>#4</t>
        </is>
      </c>
      <c r="G673" s="235" t="inlineStr">
        <is>
          <t>#4 Assay — Total Δ⁹-THC*</t>
        </is>
      </c>
      <c r="H673" s="298" t="inlineStr">
        <is>
          <t>credit removed</t>
        </is>
      </c>
      <c r="I673" s="297" t="inlineStr">
        <is>
          <t>R1 Farmahem pair — loss-on-drying certificate; reports no such determination</t>
        </is>
      </c>
    </row>
    <row r="674">
      <c r="A674" s="233" t="inlineStr">
        <is>
          <t>GRC102501</t>
        </is>
      </c>
      <c r="B674" s="232" t="inlineStr">
        <is>
          <t>P060142 / P060182</t>
        </is>
      </c>
      <c r="C674" s="232" t="inlineStr">
        <is>
          <t>051-6-LoD-26</t>
        </is>
      </c>
      <c r="D674" s="234" t="n">
        <v>46083</v>
      </c>
      <c r="E674" s="232" t="inlineStr">
        <is>
          <t>FHM-K</t>
        </is>
      </c>
      <c r="F674" s="232" t="inlineStr">
        <is>
          <t>#5</t>
        </is>
      </c>
      <c r="G674" s="235" t="inlineStr">
        <is>
          <t>#5 Assay — Total CBD</t>
        </is>
      </c>
      <c r="H674" s="298" t="inlineStr">
        <is>
          <t>credit removed</t>
        </is>
      </c>
      <c r="I674" s="297" t="inlineStr">
        <is>
          <t>R1 Farmahem pair — loss-on-drying certificate; reports no such determination</t>
        </is>
      </c>
    </row>
    <row r="675">
      <c r="A675" s="233" t="inlineStr">
        <is>
          <t>GRC102501</t>
        </is>
      </c>
      <c r="B675" s="232" t="inlineStr">
        <is>
          <t>P060142 / P060182</t>
        </is>
      </c>
      <c r="C675" s="232" t="inlineStr">
        <is>
          <t>051-6-LoD-26</t>
        </is>
      </c>
      <c r="D675" s="234" t="n">
        <v>46083</v>
      </c>
      <c r="E675" s="232" t="inlineStr">
        <is>
          <t>FHM-K</t>
        </is>
      </c>
      <c r="F675" s="232" t="inlineStr">
        <is>
          <t>#6</t>
        </is>
      </c>
      <c r="G675" s="235" t="inlineStr">
        <is>
          <t>#6 Total CBN</t>
        </is>
      </c>
      <c r="H675" s="298" t="inlineStr">
        <is>
          <t>credit removed</t>
        </is>
      </c>
      <c r="I675" s="297" t="inlineStr">
        <is>
          <t>R1 Farmahem pair — loss-on-drying certificate; reports no such determination</t>
        </is>
      </c>
    </row>
    <row r="676">
      <c r="A676" s="233" t="inlineStr">
        <is>
          <t>GRC102501</t>
        </is>
      </c>
      <c r="B676" s="232" t="inlineStr">
        <is>
          <t>P060142 / P060182</t>
        </is>
      </c>
      <c r="C676" s="232" t="inlineStr">
        <is>
          <t>051-6-K-26</t>
        </is>
      </c>
      <c r="D676" s="234" t="n">
        <v>46085</v>
      </c>
      <c r="E676" s="232" t="inlineStr">
        <is>
          <t>FHM-K</t>
        </is>
      </c>
      <c r="F676" s="232" t="inlineStr">
        <is>
          <t>#8</t>
        </is>
      </c>
      <c r="G676" s="235" t="inlineStr">
        <is>
          <t>#8 Loss on Drying</t>
        </is>
      </c>
      <c r="H676" s="298" t="inlineStr">
        <is>
          <t>credit removed</t>
        </is>
      </c>
      <c r="I676" s="297" t="inlineStr">
        <is>
          <t>R1 Farmahem pair — cannabinoid certificate; loss on drying is on the LoD certificate</t>
        </is>
      </c>
    </row>
    <row r="677">
      <c r="A677" s="233" t="inlineStr">
        <is>
          <t>HPA1024</t>
        </is>
      </c>
      <c r="B677" s="232" t="inlineStr">
        <is>
          <t>N/A — no P batch assigned</t>
        </is>
      </c>
      <c r="C677" s="232" t="inlineStr">
        <is>
          <t>197-13-K-26</t>
        </is>
      </c>
      <c r="D677" s="234" t="n">
        <v>46241</v>
      </c>
      <c r="E677" s="232" t="inlineStr">
        <is>
          <t>FHM-K</t>
        </is>
      </c>
      <c r="F677" s="232" t="inlineStr">
        <is>
          <t>#8</t>
        </is>
      </c>
      <c r="G677" s="235" t="inlineStr">
        <is>
          <t>#8 Loss on Drying</t>
        </is>
      </c>
      <c r="H677" s="298" t="inlineStr">
        <is>
          <t>credit removed</t>
        </is>
      </c>
      <c r="I677" s="297" t="inlineStr">
        <is>
          <t>R1 Farmahem pair — cannabinoid certificate; loss on drying is on the LoD certificate</t>
        </is>
      </c>
    </row>
    <row r="678">
      <c r="A678" s="233" t="inlineStr">
        <is>
          <t>HPA1024_01</t>
        </is>
      </c>
      <c r="B678" s="232" t="inlineStr">
        <is>
          <t>P050052</t>
        </is>
      </c>
      <c r="C678" s="232" t="inlineStr">
        <is>
          <t>197-14-K-26</t>
        </is>
      </c>
      <c r="D678" s="234" t="n">
        <v>46241</v>
      </c>
      <c r="E678" s="232" t="inlineStr">
        <is>
          <t>FHM-K</t>
        </is>
      </c>
      <c r="F678" s="232" t="inlineStr">
        <is>
          <t>#8</t>
        </is>
      </c>
      <c r="G678" s="235" t="inlineStr">
        <is>
          <t>#8 Loss on Drying</t>
        </is>
      </c>
      <c r="H678" s="298" t="inlineStr">
        <is>
          <t>credit removed</t>
        </is>
      </c>
      <c r="I678" s="297" t="inlineStr">
        <is>
          <t>R1 Farmahem pair — cannabinoid certificate; loss on drying is on the LoD certificate</t>
        </is>
      </c>
    </row>
    <row r="679">
      <c r="A679" s="233" t="inlineStr">
        <is>
          <t>J31102501</t>
        </is>
      </c>
      <c r="B679" s="232" t="inlineStr">
        <is>
          <t>P060152</t>
        </is>
      </c>
      <c r="C679" s="232" t="inlineStr">
        <is>
          <t>051-1-LoD-26</t>
        </is>
      </c>
      <c r="D679" s="234" t="n">
        <v>46083</v>
      </c>
      <c r="E679" s="232" t="inlineStr">
        <is>
          <t>FHM-K</t>
        </is>
      </c>
      <c r="F679" s="232" t="inlineStr">
        <is>
          <t>#3</t>
        </is>
      </c>
      <c r="G679" s="235" t="inlineStr">
        <is>
          <t>#3 Identification C</t>
        </is>
      </c>
      <c r="H679" s="298" t="inlineStr">
        <is>
          <t>credit removed</t>
        </is>
      </c>
      <c r="I679" s="297" t="inlineStr">
        <is>
          <t>R1 Farmahem pair — loss-on-drying certificate; reports no such determination</t>
        </is>
      </c>
    </row>
    <row r="680">
      <c r="A680" s="233" t="inlineStr">
        <is>
          <t>J31102501</t>
        </is>
      </c>
      <c r="B680" s="232" t="inlineStr">
        <is>
          <t>P060152</t>
        </is>
      </c>
      <c r="C680" s="232" t="inlineStr">
        <is>
          <t>051-1-LoD-26</t>
        </is>
      </c>
      <c r="D680" s="234" t="n">
        <v>46083</v>
      </c>
      <c r="E680" s="232" t="inlineStr">
        <is>
          <t>FHM-K</t>
        </is>
      </c>
      <c r="F680" s="232" t="inlineStr">
        <is>
          <t>#4</t>
        </is>
      </c>
      <c r="G680" s="235" t="inlineStr">
        <is>
          <t>#4 Assay — Total Δ⁹-THC*</t>
        </is>
      </c>
      <c r="H680" s="298" t="inlineStr">
        <is>
          <t>credit removed</t>
        </is>
      </c>
      <c r="I680" s="297" t="inlineStr">
        <is>
          <t>R1 Farmahem pair — loss-on-drying certificate; reports no such determination</t>
        </is>
      </c>
    </row>
    <row r="681">
      <c r="A681" s="233" t="inlineStr">
        <is>
          <t>J31102501</t>
        </is>
      </c>
      <c r="B681" s="232" t="inlineStr">
        <is>
          <t>P060152</t>
        </is>
      </c>
      <c r="C681" s="232" t="inlineStr">
        <is>
          <t>051-1-LoD-26</t>
        </is>
      </c>
      <c r="D681" s="234" t="n">
        <v>46083</v>
      </c>
      <c r="E681" s="232" t="inlineStr">
        <is>
          <t>FHM-K</t>
        </is>
      </c>
      <c r="F681" s="232" t="inlineStr">
        <is>
          <t>#5</t>
        </is>
      </c>
      <c r="G681" s="235" t="inlineStr">
        <is>
          <t>#5 Assay — Total CBD</t>
        </is>
      </c>
      <c r="H681" s="298" t="inlineStr">
        <is>
          <t>credit removed</t>
        </is>
      </c>
      <c r="I681" s="297" t="inlineStr">
        <is>
          <t>R1 Farmahem pair — loss-on-drying certificate; reports no such determination</t>
        </is>
      </c>
    </row>
    <row r="682">
      <c r="A682" s="233" t="inlineStr">
        <is>
          <t>J31102501</t>
        </is>
      </c>
      <c r="B682" s="232" t="inlineStr">
        <is>
          <t>P060152</t>
        </is>
      </c>
      <c r="C682" s="232" t="inlineStr">
        <is>
          <t>051-1-LoD-26</t>
        </is>
      </c>
      <c r="D682" s="234" t="n">
        <v>46083</v>
      </c>
      <c r="E682" s="232" t="inlineStr">
        <is>
          <t>FHM-K</t>
        </is>
      </c>
      <c r="F682" s="232" t="inlineStr">
        <is>
          <t>#6</t>
        </is>
      </c>
      <c r="G682" s="235" t="inlineStr">
        <is>
          <t>#6 Total CBN</t>
        </is>
      </c>
      <c r="H682" s="298" t="inlineStr">
        <is>
          <t>credit removed</t>
        </is>
      </c>
      <c r="I682" s="297" t="inlineStr">
        <is>
          <t>R1 Farmahem pair — loss-on-drying certificate; reports no such determination</t>
        </is>
      </c>
    </row>
    <row r="683">
      <c r="A683" s="233" t="inlineStr">
        <is>
          <t>J31102501</t>
        </is>
      </c>
      <c r="B683" s="232" t="inlineStr">
        <is>
          <t>P060152</t>
        </is>
      </c>
      <c r="C683" s="232" t="inlineStr">
        <is>
          <t>051-1-K-26</t>
        </is>
      </c>
      <c r="D683" s="234" t="n">
        <v>46085</v>
      </c>
      <c r="E683" s="232" t="inlineStr">
        <is>
          <t>FHM-K</t>
        </is>
      </c>
      <c r="F683" s="232" t="inlineStr">
        <is>
          <t>#8</t>
        </is>
      </c>
      <c r="G683" s="235" t="inlineStr">
        <is>
          <t>#8 Loss on Drying</t>
        </is>
      </c>
      <c r="H683" s="298" t="inlineStr">
        <is>
          <t>credit removed</t>
        </is>
      </c>
      <c r="I683" s="297" t="inlineStr">
        <is>
          <t>R1 Farmahem pair — cannabinoid certificate; loss on drying is on the LoD certificate</t>
        </is>
      </c>
    </row>
    <row r="684">
      <c r="A684" s="233" t="inlineStr">
        <is>
          <t>J31102501</t>
        </is>
      </c>
      <c r="B684" s="232" t="inlineStr">
        <is>
          <t>P060152</t>
        </is>
      </c>
      <c r="C684" s="232" t="inlineStr">
        <is>
          <t>197-16-K-26</t>
        </is>
      </c>
      <c r="D684" s="234" t="n">
        <v>46241</v>
      </c>
      <c r="E684" s="232" t="inlineStr">
        <is>
          <t>FHM-K</t>
        </is>
      </c>
      <c r="F684" s="232" t="inlineStr">
        <is>
          <t>#8</t>
        </is>
      </c>
      <c r="G684" s="235" t="inlineStr">
        <is>
          <t>#8 Loss on Drying</t>
        </is>
      </c>
      <c r="H684" s="298" t="inlineStr">
        <is>
          <t>credit removed</t>
        </is>
      </c>
      <c r="I684" s="297" t="inlineStr">
        <is>
          <t>R1 Farmahem pair — cannabinoid certificate; loss on drying is on the LoD certificate</t>
        </is>
      </c>
    </row>
    <row r="685">
      <c r="A685" s="233" t="inlineStr">
        <is>
          <t>J31112501</t>
        </is>
      </c>
      <c r="B685" s="232" t="inlineStr">
        <is>
          <t>P060202</t>
        </is>
      </c>
      <c r="C685" s="232" t="inlineStr">
        <is>
          <t>051-5-LoD-26</t>
        </is>
      </c>
      <c r="D685" s="234" t="n">
        <v>46083</v>
      </c>
      <c r="E685" s="232" t="inlineStr">
        <is>
          <t>FHM-K</t>
        </is>
      </c>
      <c r="F685" s="232" t="inlineStr">
        <is>
          <t>#3</t>
        </is>
      </c>
      <c r="G685" s="235" t="inlineStr">
        <is>
          <t>#3 Identification C</t>
        </is>
      </c>
      <c r="H685" s="298" t="inlineStr">
        <is>
          <t>credit removed</t>
        </is>
      </c>
      <c r="I685" s="297" t="inlineStr">
        <is>
          <t>R1 Farmahem pair — loss-on-drying certificate; reports no such determination</t>
        </is>
      </c>
    </row>
    <row r="686">
      <c r="A686" s="233" t="inlineStr">
        <is>
          <t>J31112501</t>
        </is>
      </c>
      <c r="B686" s="232" t="inlineStr">
        <is>
          <t>P060202</t>
        </is>
      </c>
      <c r="C686" s="232" t="inlineStr">
        <is>
          <t>100-1-LoD-26</t>
        </is>
      </c>
      <c r="D686" s="234" t="n">
        <v>46121</v>
      </c>
      <c r="E686" s="232" t="inlineStr">
        <is>
          <t>FHM-K</t>
        </is>
      </c>
      <c r="F686" s="232" t="inlineStr">
        <is>
          <t>#3</t>
        </is>
      </c>
      <c r="G686" s="235" t="inlineStr">
        <is>
          <t>#3 Identification C</t>
        </is>
      </c>
      <c r="H686" s="298" t="inlineStr">
        <is>
          <t>credit removed</t>
        </is>
      </c>
      <c r="I686" s="297" t="inlineStr">
        <is>
          <t>R1 Farmahem pair — loss-on-drying certificate; reports no such determination</t>
        </is>
      </c>
    </row>
    <row r="687">
      <c r="A687" s="233" t="inlineStr">
        <is>
          <t>J31112501</t>
        </is>
      </c>
      <c r="B687" s="232" t="inlineStr">
        <is>
          <t>P060202</t>
        </is>
      </c>
      <c r="C687" s="232" t="inlineStr">
        <is>
          <t>100-2-LoD-26</t>
        </is>
      </c>
      <c r="D687" s="234" t="n">
        <v>46121</v>
      </c>
      <c r="E687" s="232" t="inlineStr">
        <is>
          <t>FHM-K</t>
        </is>
      </c>
      <c r="F687" s="232" t="inlineStr">
        <is>
          <t>#3</t>
        </is>
      </c>
      <c r="G687" s="235" t="inlineStr">
        <is>
          <t>#3 Identification C</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100-3-LoD-26</t>
        </is>
      </c>
      <c r="D688" s="234" t="n">
        <v>46121</v>
      </c>
      <c r="E688" s="232" t="inlineStr">
        <is>
          <t>FHM-K</t>
        </is>
      </c>
      <c r="F688" s="232" t="inlineStr">
        <is>
          <t>#3</t>
        </is>
      </c>
      <c r="G688" s="235" t="inlineStr">
        <is>
          <t>#3 Identification C</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051-5-LoD-26</t>
        </is>
      </c>
      <c r="D689" s="234" t="n">
        <v>46083</v>
      </c>
      <c r="E689" s="232" t="inlineStr">
        <is>
          <t>FHM-K</t>
        </is>
      </c>
      <c r="F689" s="232" t="inlineStr">
        <is>
          <t>#4</t>
        </is>
      </c>
      <c r="G689" s="235" t="inlineStr">
        <is>
          <t>#4 Assay — Total Δ⁹-THC*</t>
        </is>
      </c>
      <c r="H689" s="298" t="inlineStr">
        <is>
          <t>credit removed</t>
        </is>
      </c>
      <c r="I689" s="297" t="inlineStr">
        <is>
          <t>R1 Farmahem pair — loss-on-drying certificate; reports no such determination</t>
        </is>
      </c>
    </row>
    <row r="690">
      <c r="A690" s="233" t="inlineStr">
        <is>
          <t>J31112501</t>
        </is>
      </c>
      <c r="B690" s="232" t="inlineStr">
        <is>
          <t>P060202</t>
        </is>
      </c>
      <c r="C690" s="232" t="inlineStr">
        <is>
          <t>100-1-LoD-26</t>
        </is>
      </c>
      <c r="D690" s="234" t="n">
        <v>46121</v>
      </c>
      <c r="E690" s="232" t="inlineStr">
        <is>
          <t>FHM-K</t>
        </is>
      </c>
      <c r="F690" s="232" t="inlineStr">
        <is>
          <t>#4</t>
        </is>
      </c>
      <c r="G690" s="235" t="inlineStr">
        <is>
          <t>#4 Assay — Total Δ⁹-THC*</t>
        </is>
      </c>
      <c r="H690" s="298" t="inlineStr">
        <is>
          <t>credit removed</t>
        </is>
      </c>
      <c r="I690" s="297" t="inlineStr">
        <is>
          <t>R1 Farmahem pair — loss-on-drying certificate; reports no such determination</t>
        </is>
      </c>
    </row>
    <row r="691">
      <c r="A691" s="233" t="inlineStr">
        <is>
          <t>J31112501</t>
        </is>
      </c>
      <c r="B691" s="232" t="inlineStr">
        <is>
          <t>P060202</t>
        </is>
      </c>
      <c r="C691" s="232" t="inlineStr">
        <is>
          <t>100-2-LoD-26</t>
        </is>
      </c>
      <c r="D691" s="234" t="n">
        <v>46121</v>
      </c>
      <c r="E691" s="232" t="inlineStr">
        <is>
          <t>FHM-K</t>
        </is>
      </c>
      <c r="F691" s="232" t="inlineStr">
        <is>
          <t>#4</t>
        </is>
      </c>
      <c r="G691" s="235" t="inlineStr">
        <is>
          <t>#4 Assay — Total Δ⁹-THC*</t>
        </is>
      </c>
      <c r="H691" s="298" t="inlineStr">
        <is>
          <t>credit removed</t>
        </is>
      </c>
      <c r="I691" s="297" t="inlineStr">
        <is>
          <t>R1 Farmahem pair — loss-on-drying certificate; reports no such determination</t>
        </is>
      </c>
    </row>
    <row r="692">
      <c r="A692" s="233" t="inlineStr">
        <is>
          <t>J31112501</t>
        </is>
      </c>
      <c r="B692" s="232" t="inlineStr">
        <is>
          <t>P060202</t>
        </is>
      </c>
      <c r="C692" s="232" t="inlineStr">
        <is>
          <t>100-3-LoD-26</t>
        </is>
      </c>
      <c r="D692" s="234" t="n">
        <v>46121</v>
      </c>
      <c r="E692" s="232" t="inlineStr">
        <is>
          <t>FHM-K</t>
        </is>
      </c>
      <c r="F692" s="232" t="inlineStr">
        <is>
          <t>#4</t>
        </is>
      </c>
      <c r="G692" s="235" t="inlineStr">
        <is>
          <t>#4 Assay — Total Δ⁹-THC*</t>
        </is>
      </c>
      <c r="H692" s="298" t="inlineStr">
        <is>
          <t>credit removed</t>
        </is>
      </c>
      <c r="I692" s="297" t="inlineStr">
        <is>
          <t>R1 Farmahem pair — loss-on-drying certificate; reports no such determination</t>
        </is>
      </c>
    </row>
    <row r="693">
      <c r="A693" s="233" t="inlineStr">
        <is>
          <t>J31112501</t>
        </is>
      </c>
      <c r="B693" s="232" t="inlineStr">
        <is>
          <t>P060202</t>
        </is>
      </c>
      <c r="C693" s="232" t="inlineStr">
        <is>
          <t>051-5-LoD-26</t>
        </is>
      </c>
      <c r="D693" s="234" t="n">
        <v>46083</v>
      </c>
      <c r="E693" s="232" t="inlineStr">
        <is>
          <t>FHM-K</t>
        </is>
      </c>
      <c r="F693" s="232" t="inlineStr">
        <is>
          <t>#5</t>
        </is>
      </c>
      <c r="G693" s="235" t="inlineStr">
        <is>
          <t>#5 Assay — Total CBD</t>
        </is>
      </c>
      <c r="H693" s="298" t="inlineStr">
        <is>
          <t>credit removed</t>
        </is>
      </c>
      <c r="I693" s="297" t="inlineStr">
        <is>
          <t>R1 Farmahem pair — loss-on-drying certificate; reports no such determination</t>
        </is>
      </c>
    </row>
    <row r="694">
      <c r="A694" s="233" t="inlineStr">
        <is>
          <t>J31112501</t>
        </is>
      </c>
      <c r="B694" s="232" t="inlineStr">
        <is>
          <t>P060202</t>
        </is>
      </c>
      <c r="C694" s="232" t="inlineStr">
        <is>
          <t>100-1-LoD-26</t>
        </is>
      </c>
      <c r="D694" s="234" t="n">
        <v>46121</v>
      </c>
      <c r="E694" s="232" t="inlineStr">
        <is>
          <t>FHM-K</t>
        </is>
      </c>
      <c r="F694" s="232" t="inlineStr">
        <is>
          <t>#5</t>
        </is>
      </c>
      <c r="G694" s="235" t="inlineStr">
        <is>
          <t>#5 Assay — Total CBD</t>
        </is>
      </c>
      <c r="H694" s="298" t="inlineStr">
        <is>
          <t>credit removed</t>
        </is>
      </c>
      <c r="I694" s="297" t="inlineStr">
        <is>
          <t>R1 Farmahem pair — loss-on-drying certificate; reports no such determination</t>
        </is>
      </c>
    </row>
    <row r="695">
      <c r="A695" s="233" t="inlineStr">
        <is>
          <t>J31112501</t>
        </is>
      </c>
      <c r="B695" s="232" t="inlineStr">
        <is>
          <t>P060202</t>
        </is>
      </c>
      <c r="C695" s="232" t="inlineStr">
        <is>
          <t>100-2-LoD-26</t>
        </is>
      </c>
      <c r="D695" s="234" t="n">
        <v>46121</v>
      </c>
      <c r="E695" s="232" t="inlineStr">
        <is>
          <t>FHM-K</t>
        </is>
      </c>
      <c r="F695" s="232" t="inlineStr">
        <is>
          <t>#5</t>
        </is>
      </c>
      <c r="G695" s="235" t="inlineStr">
        <is>
          <t>#5 Assay — Total CBD</t>
        </is>
      </c>
      <c r="H695" s="298" t="inlineStr">
        <is>
          <t>credit removed</t>
        </is>
      </c>
      <c r="I695" s="297" t="inlineStr">
        <is>
          <t>R1 Farmahem pair — loss-on-drying certificate; reports no such determination</t>
        </is>
      </c>
    </row>
    <row r="696">
      <c r="A696" s="233" t="inlineStr">
        <is>
          <t>J31112501</t>
        </is>
      </c>
      <c r="B696" s="232" t="inlineStr">
        <is>
          <t>P060202</t>
        </is>
      </c>
      <c r="C696" s="232" t="inlineStr">
        <is>
          <t>100-3-LoD-26</t>
        </is>
      </c>
      <c r="D696" s="234" t="n">
        <v>46121</v>
      </c>
      <c r="E696" s="232" t="inlineStr">
        <is>
          <t>FHM-K</t>
        </is>
      </c>
      <c r="F696" s="232" t="inlineStr">
        <is>
          <t>#5</t>
        </is>
      </c>
      <c r="G696" s="235" t="inlineStr">
        <is>
          <t>#5 Assay — Total CBD</t>
        </is>
      </c>
      <c r="H696" s="298" t="inlineStr">
        <is>
          <t>credit removed</t>
        </is>
      </c>
      <c r="I696" s="297" t="inlineStr">
        <is>
          <t>R1 Farmahem pair — loss-on-drying certificate; reports no such determination</t>
        </is>
      </c>
    </row>
    <row r="697">
      <c r="A697" s="233" t="inlineStr">
        <is>
          <t>J31112501</t>
        </is>
      </c>
      <c r="B697" s="232" t="inlineStr">
        <is>
          <t>P060202</t>
        </is>
      </c>
      <c r="C697" s="232" t="inlineStr">
        <is>
          <t>051-5-LoD-26</t>
        </is>
      </c>
      <c r="D697" s="234" t="n">
        <v>46083</v>
      </c>
      <c r="E697" s="232" t="inlineStr">
        <is>
          <t>FHM-K</t>
        </is>
      </c>
      <c r="F697" s="232" t="inlineStr">
        <is>
          <t>#6</t>
        </is>
      </c>
      <c r="G697" s="235" t="inlineStr">
        <is>
          <t>#6 Total CBN</t>
        </is>
      </c>
      <c r="H697" s="298" t="inlineStr">
        <is>
          <t>credit removed</t>
        </is>
      </c>
      <c r="I697" s="297" t="inlineStr">
        <is>
          <t>R1 Farmahem pair — loss-on-drying certificate; reports no such determination</t>
        </is>
      </c>
    </row>
    <row r="698">
      <c r="A698" s="233" t="inlineStr">
        <is>
          <t>J31112501</t>
        </is>
      </c>
      <c r="B698" s="232" t="inlineStr">
        <is>
          <t>P060202</t>
        </is>
      </c>
      <c r="C698" s="232" t="inlineStr">
        <is>
          <t>100-1-LoD-26</t>
        </is>
      </c>
      <c r="D698" s="234" t="n">
        <v>46121</v>
      </c>
      <c r="E698" s="232" t="inlineStr">
        <is>
          <t>FHM-K</t>
        </is>
      </c>
      <c r="F698" s="232" t="inlineStr">
        <is>
          <t>#6</t>
        </is>
      </c>
      <c r="G698" s="235" t="inlineStr">
        <is>
          <t>#6 Total CBN</t>
        </is>
      </c>
      <c r="H698" s="298" t="inlineStr">
        <is>
          <t>credit removed</t>
        </is>
      </c>
      <c r="I698" s="297" t="inlineStr">
        <is>
          <t>R1 Farmahem pair — loss-on-drying certificate; reports no such determination</t>
        </is>
      </c>
    </row>
    <row r="699">
      <c r="A699" s="233" t="inlineStr">
        <is>
          <t>J31112501</t>
        </is>
      </c>
      <c r="B699" s="232" t="inlineStr">
        <is>
          <t>P060202</t>
        </is>
      </c>
      <c r="C699" s="232" t="inlineStr">
        <is>
          <t>100-2-LoD-26</t>
        </is>
      </c>
      <c r="D699" s="234" t="n">
        <v>46121</v>
      </c>
      <c r="E699" s="232" t="inlineStr">
        <is>
          <t>FHM-K</t>
        </is>
      </c>
      <c r="F699" s="232" t="inlineStr">
        <is>
          <t>#6</t>
        </is>
      </c>
      <c r="G699" s="235" t="inlineStr">
        <is>
          <t>#6 Total CBN</t>
        </is>
      </c>
      <c r="H699" s="298" t="inlineStr">
        <is>
          <t>credit removed</t>
        </is>
      </c>
      <c r="I699" s="297" t="inlineStr">
        <is>
          <t>R1 Farmahem pair — loss-on-drying certificate; reports no such determination</t>
        </is>
      </c>
    </row>
    <row r="700">
      <c r="A700" s="233" t="inlineStr">
        <is>
          <t>J31112501</t>
        </is>
      </c>
      <c r="B700" s="232" t="inlineStr">
        <is>
          <t>P060202</t>
        </is>
      </c>
      <c r="C700" s="232" t="inlineStr">
        <is>
          <t>100-3-LoD-26</t>
        </is>
      </c>
      <c r="D700" s="234" t="n">
        <v>46121</v>
      </c>
      <c r="E700" s="232" t="inlineStr">
        <is>
          <t>FHM-K</t>
        </is>
      </c>
      <c r="F700" s="232" t="inlineStr">
        <is>
          <t>#6</t>
        </is>
      </c>
      <c r="G700" s="235" t="inlineStr">
        <is>
          <t>#6 Total CBN</t>
        </is>
      </c>
      <c r="H700" s="298" t="inlineStr">
        <is>
          <t>credit removed</t>
        </is>
      </c>
      <c r="I700" s="297" t="inlineStr">
        <is>
          <t>R1 Farmahem pair — loss-on-drying certificate; reports no such determination</t>
        </is>
      </c>
    </row>
    <row r="701">
      <c r="A701" s="233" t="inlineStr">
        <is>
          <t>J31112501</t>
        </is>
      </c>
      <c r="B701" s="232" t="inlineStr">
        <is>
          <t>P060202</t>
        </is>
      </c>
      <c r="C701" s="232" t="inlineStr">
        <is>
          <t>051-5-K-26</t>
        </is>
      </c>
      <c r="D701" s="234" t="n">
        <v>46085</v>
      </c>
      <c r="E701" s="232" t="inlineStr">
        <is>
          <t>FHM-K</t>
        </is>
      </c>
      <c r="F701" s="232" t="inlineStr">
        <is>
          <t>#8</t>
        </is>
      </c>
      <c r="G701" s="235" t="inlineStr">
        <is>
          <t>#8 Loss on Drying</t>
        </is>
      </c>
      <c r="H701" s="298" t="inlineStr">
        <is>
          <t>credit removed</t>
        </is>
      </c>
      <c r="I701" s="297" t="inlineStr">
        <is>
          <t>R1 Farmahem pair — cannabinoid certificate; loss on drying is on the LoD certificate</t>
        </is>
      </c>
    </row>
    <row r="702">
      <c r="A702" s="233" t="inlineStr">
        <is>
          <t>J31112501</t>
        </is>
      </c>
      <c r="B702" s="232" t="inlineStr">
        <is>
          <t>P060202</t>
        </is>
      </c>
      <c r="C702" s="232" t="inlineStr">
        <is>
          <t>100-1-K-26</t>
        </is>
      </c>
      <c r="D702" s="234" t="n">
        <v>46121</v>
      </c>
      <c r="E702" s="232" t="inlineStr">
        <is>
          <t>FHM-K</t>
        </is>
      </c>
      <c r="F702" s="232" t="inlineStr">
        <is>
          <t>#8</t>
        </is>
      </c>
      <c r="G702" s="235" t="inlineStr">
        <is>
          <t>#8 Loss on Drying</t>
        </is>
      </c>
      <c r="H702" s="298" t="inlineStr">
        <is>
          <t>credit removed</t>
        </is>
      </c>
      <c r="I702" s="297" t="inlineStr">
        <is>
          <t>R1 Farmahem pair — cannabinoid certificate; loss on drying is on the LoD certificate</t>
        </is>
      </c>
    </row>
    <row r="703">
      <c r="A703" s="233" t="inlineStr">
        <is>
          <t>J31122501</t>
        </is>
      </c>
      <c r="B703" s="232" t="inlineStr">
        <is>
          <t>P060262</t>
        </is>
      </c>
      <c r="C703" s="232" t="inlineStr">
        <is>
          <t>100-2-K-26</t>
        </is>
      </c>
      <c r="D703" s="234" t="n">
        <v>46121</v>
      </c>
      <c r="E703" s="232" t="inlineStr">
        <is>
          <t>FHM-K</t>
        </is>
      </c>
      <c r="F703" s="232" t="inlineStr">
        <is>
          <t>#8</t>
        </is>
      </c>
      <c r="G703" s="235" t="inlineStr">
        <is>
          <t>#8 Loss on Drying</t>
        </is>
      </c>
      <c r="H703" s="298" t="inlineStr">
        <is>
          <t>credit removed</t>
        </is>
      </c>
      <c r="I703" s="297" t="inlineStr">
        <is>
          <t>R1 Farmahem pair — cannabinoid certificate; loss on drying is on the LoD certificate</t>
        </is>
      </c>
    </row>
    <row r="704">
      <c r="A704" s="233" t="inlineStr">
        <is>
          <t>J31122501</t>
        </is>
      </c>
      <c r="B704" s="232" t="inlineStr">
        <is>
          <t>P060262</t>
        </is>
      </c>
      <c r="C704" s="232" t="inlineStr">
        <is>
          <t>100-3-K-26</t>
        </is>
      </c>
      <c r="D704" s="234" t="n">
        <v>46121</v>
      </c>
      <c r="E704" s="232" t="inlineStr">
        <is>
          <t>FHM-K</t>
        </is>
      </c>
      <c r="F704" s="232" t="inlineStr">
        <is>
          <t>#8</t>
        </is>
      </c>
      <c r="G704" s="235" t="inlineStr">
        <is>
          <t>#8 Loss on Drying</t>
        </is>
      </c>
      <c r="H704" s="298" t="inlineStr">
        <is>
          <t>credit removed</t>
        </is>
      </c>
      <c r="I704" s="297" t="inlineStr">
        <is>
          <t>R1 Farmahem pair — cannabinoid certificate; loss on drying is on the LoD certificate</t>
        </is>
      </c>
    </row>
    <row r="705">
      <c r="A705" s="233" t="inlineStr">
        <is>
          <t>JD112501</t>
        </is>
      </c>
      <c r="B705" s="232" t="inlineStr">
        <is>
          <t>P060212</t>
        </is>
      </c>
      <c r="C705" s="232" t="inlineStr">
        <is>
          <t>197-15-K-26</t>
        </is>
      </c>
      <c r="D705" s="234" t="n">
        <v>46241</v>
      </c>
      <c r="E705" s="232" t="inlineStr">
        <is>
          <t>FHM-K</t>
        </is>
      </c>
      <c r="F705" s="232" t="inlineStr">
        <is>
          <t>#8</t>
        </is>
      </c>
      <c r="G705" s="235" t="inlineStr">
        <is>
          <t>#8 Loss on Drying</t>
        </is>
      </c>
      <c r="H705" s="298" t="inlineStr">
        <is>
          <t>credit removed</t>
        </is>
      </c>
      <c r="I705" s="297" t="inlineStr">
        <is>
          <t>R1 Farmahem pair — cannabinoid certificate; loss on drying is on the LoD certificate</t>
        </is>
      </c>
    </row>
    <row r="706">
      <c r="A706" s="233" t="inlineStr">
        <is>
          <t>KC102501</t>
        </is>
      </c>
      <c r="B706" s="232" t="inlineStr">
        <is>
          <t>P060172</t>
        </is>
      </c>
      <c r="C706" s="232" t="inlineStr">
        <is>
          <t>051-4-LoD-26</t>
        </is>
      </c>
      <c r="D706" s="234" t="n">
        <v>46083</v>
      </c>
      <c r="E706" s="232" t="inlineStr">
        <is>
          <t>FHM-K</t>
        </is>
      </c>
      <c r="F706" s="232" t="inlineStr">
        <is>
          <t>#3</t>
        </is>
      </c>
      <c r="G706" s="235" t="inlineStr">
        <is>
          <t>#3 Identification C</t>
        </is>
      </c>
      <c r="H706" s="298" t="inlineStr">
        <is>
          <t>credit removed</t>
        </is>
      </c>
      <c r="I706" s="297" t="inlineStr">
        <is>
          <t>R1 Farmahem pair — loss-on-drying certificate; reports no such determination</t>
        </is>
      </c>
    </row>
    <row r="707">
      <c r="A707" s="233" t="inlineStr">
        <is>
          <t>KC102501</t>
        </is>
      </c>
      <c r="B707" s="232" t="inlineStr">
        <is>
          <t>P060172</t>
        </is>
      </c>
      <c r="C707" s="232" t="inlineStr">
        <is>
          <t>051-4-LoD-26</t>
        </is>
      </c>
      <c r="D707" s="234" t="n">
        <v>46083</v>
      </c>
      <c r="E707" s="232" t="inlineStr">
        <is>
          <t>FHM-K</t>
        </is>
      </c>
      <c r="F707" s="232" t="inlineStr">
        <is>
          <t>#4</t>
        </is>
      </c>
      <c r="G707" s="235" t="inlineStr">
        <is>
          <t>#4 Assay — Total Δ⁹-THC*</t>
        </is>
      </c>
      <c r="H707" s="298" t="inlineStr">
        <is>
          <t>credit removed</t>
        </is>
      </c>
      <c r="I707" s="297" t="inlineStr">
        <is>
          <t>R1 Farmahem pair — loss-on-drying certificate; reports no such determination</t>
        </is>
      </c>
    </row>
    <row r="708">
      <c r="A708" s="233" t="inlineStr">
        <is>
          <t>KC102501</t>
        </is>
      </c>
      <c r="B708" s="232" t="inlineStr">
        <is>
          <t>P060172</t>
        </is>
      </c>
      <c r="C708" s="232" t="inlineStr">
        <is>
          <t>051-4-LoD-26</t>
        </is>
      </c>
      <c r="D708" s="234" t="n">
        <v>46083</v>
      </c>
      <c r="E708" s="232" t="inlineStr">
        <is>
          <t>FHM-K</t>
        </is>
      </c>
      <c r="F708" s="232" t="inlineStr">
        <is>
          <t>#5</t>
        </is>
      </c>
      <c r="G708" s="235" t="inlineStr">
        <is>
          <t>#5 Assay — Total CBD</t>
        </is>
      </c>
      <c r="H708" s="298" t="inlineStr">
        <is>
          <t>credit removed</t>
        </is>
      </c>
      <c r="I708" s="297" t="inlineStr">
        <is>
          <t>R1 Farmahem pair — loss-on-drying certificate; reports no such determination</t>
        </is>
      </c>
    </row>
    <row r="709">
      <c r="A709" s="233" t="inlineStr">
        <is>
          <t>KC102501</t>
        </is>
      </c>
      <c r="B709" s="232" t="inlineStr">
        <is>
          <t>P060172</t>
        </is>
      </c>
      <c r="C709" s="232" t="inlineStr">
        <is>
          <t>051-4-LoD-26</t>
        </is>
      </c>
      <c r="D709" s="234" t="n">
        <v>46083</v>
      </c>
      <c r="E709" s="232" t="inlineStr">
        <is>
          <t>FHM-K</t>
        </is>
      </c>
      <c r="F709" s="232" t="inlineStr">
        <is>
          <t>#6</t>
        </is>
      </c>
      <c r="G709" s="235" t="inlineStr">
        <is>
          <t>#6 Total CBN</t>
        </is>
      </c>
      <c r="H709" s="298" t="inlineStr">
        <is>
          <t>credit removed</t>
        </is>
      </c>
      <c r="I709" s="297" t="inlineStr">
        <is>
          <t>R1 Farmahem pair — loss-on-drying certificate; reports no such determination</t>
        </is>
      </c>
    </row>
    <row r="710">
      <c r="A710" s="233" t="inlineStr">
        <is>
          <t>KC102501</t>
        </is>
      </c>
      <c r="B710" s="232" t="inlineStr">
        <is>
          <t>P060172</t>
        </is>
      </c>
      <c r="C710" s="232" t="inlineStr">
        <is>
          <t>051-4-K-26</t>
        </is>
      </c>
      <c r="D710" s="234" t="n">
        <v>46085</v>
      </c>
      <c r="E710" s="232" t="inlineStr">
        <is>
          <t>FHM-K</t>
        </is>
      </c>
      <c r="F710" s="232" t="inlineStr">
        <is>
          <t>#8</t>
        </is>
      </c>
      <c r="G710" s="235" t="inlineStr">
        <is>
          <t>#8 Loss on Drying</t>
        </is>
      </c>
      <c r="H710" s="298" t="inlineStr">
        <is>
          <t>credit removed</t>
        </is>
      </c>
      <c r="I710" s="297" t="inlineStr">
        <is>
          <t>R1 Farmahem pair — cannabinoid certificate; loss on drying is on the LoD certificate</t>
        </is>
      </c>
    </row>
    <row r="711">
      <c r="A711" s="233" t="inlineStr">
        <is>
          <t>OPM1024</t>
        </is>
      </c>
      <c r="B711" s="232" t="inlineStr">
        <is>
          <t>N/A — no P batch assigned</t>
        </is>
      </c>
      <c r="C711" s="232" t="inlineStr">
        <is>
          <t>197-17-K-26</t>
        </is>
      </c>
      <c r="D711" s="234" t="n">
        <v>46241</v>
      </c>
      <c r="E711" s="232" t="inlineStr">
        <is>
          <t>FHM-K</t>
        </is>
      </c>
      <c r="F711" s="232" t="inlineStr">
        <is>
          <t>#8</t>
        </is>
      </c>
      <c r="G711" s="235" t="inlineStr">
        <is>
          <t>#8 Loss on Drying</t>
        </is>
      </c>
      <c r="H711" s="298" t="inlineStr">
        <is>
          <t>credit removed</t>
        </is>
      </c>
      <c r="I711" s="297" t="inlineStr">
        <is>
          <t>R1 Farmahem pair — cannabinoid certificate; loss on drying is on the LoD certificate</t>
        </is>
      </c>
    </row>
    <row r="712">
      <c r="A712" s="233" t="inlineStr">
        <is>
          <t>OPM1024_02</t>
        </is>
      </c>
      <c r="B712" s="232" t="inlineStr">
        <is>
          <t>P050062</t>
        </is>
      </c>
      <c r="C712" s="232" t="inlineStr">
        <is>
          <t>197-18-K-26</t>
        </is>
      </c>
      <c r="D712" s="234" t="n">
        <v>46241</v>
      </c>
      <c r="E712" s="232" t="inlineStr">
        <is>
          <t>FHM-K</t>
        </is>
      </c>
      <c r="F712" s="232" t="inlineStr">
        <is>
          <t>#8</t>
        </is>
      </c>
      <c r="G712" s="235" t="inlineStr">
        <is>
          <t>#8 Loss on Drying</t>
        </is>
      </c>
      <c r="H712" s="298" t="inlineStr">
        <is>
          <t>credit removed</t>
        </is>
      </c>
      <c r="I712" s="297" t="inlineStr">
        <is>
          <t>R1 Farmahem pair — cannabinoid certificate; loss on drying is on the LoD certificate</t>
        </is>
      </c>
    </row>
    <row r="713">
      <c r="A713" s="233" t="inlineStr">
        <is>
          <t>OPM122501</t>
        </is>
      </c>
      <c r="B713" s="232" t="inlineStr">
        <is>
          <t>P060242</t>
        </is>
      </c>
      <c r="C713" s="232" t="inlineStr">
        <is>
          <t>100-4-LoD-26</t>
        </is>
      </c>
      <c r="D713" s="234" t="n">
        <v>46121</v>
      </c>
      <c r="E713" s="232" t="inlineStr">
        <is>
          <t>FHM-K</t>
        </is>
      </c>
      <c r="F713" s="232" t="inlineStr">
        <is>
          <t>#3</t>
        </is>
      </c>
      <c r="G713" s="235" t="inlineStr">
        <is>
          <t>#3 Identification C</t>
        </is>
      </c>
      <c r="H713" s="298" t="inlineStr">
        <is>
          <t>credit removed</t>
        </is>
      </c>
      <c r="I713" s="297" t="inlineStr">
        <is>
          <t>R1 Farmahem pair — loss-on-drying certificate; reports no such determination</t>
        </is>
      </c>
    </row>
    <row r="714">
      <c r="A714" s="233" t="inlineStr">
        <is>
          <t>OPM122501</t>
        </is>
      </c>
      <c r="B714" s="232" t="inlineStr">
        <is>
          <t>P060242</t>
        </is>
      </c>
      <c r="C714" s="232" t="inlineStr">
        <is>
          <t>100-4-LoD-26</t>
        </is>
      </c>
      <c r="D714" s="234" t="n">
        <v>46121</v>
      </c>
      <c r="E714" s="232" t="inlineStr">
        <is>
          <t>FHM-K</t>
        </is>
      </c>
      <c r="F714" s="232" t="inlineStr">
        <is>
          <t>#4</t>
        </is>
      </c>
      <c r="G714" s="235" t="inlineStr">
        <is>
          <t>#4 Assay — Total Δ⁹-THC*</t>
        </is>
      </c>
      <c r="H714" s="298" t="inlineStr">
        <is>
          <t>credit removed</t>
        </is>
      </c>
      <c r="I714" s="297" t="inlineStr">
        <is>
          <t>R1 Farmahem pair — loss-on-drying certificate; reports no such determination</t>
        </is>
      </c>
    </row>
    <row r="715">
      <c r="A715" s="233" t="inlineStr">
        <is>
          <t>OPM122501</t>
        </is>
      </c>
      <c r="B715" s="232" t="inlineStr">
        <is>
          <t>P060242</t>
        </is>
      </c>
      <c r="C715" s="232" t="inlineStr">
        <is>
          <t>100-4-LoD-26</t>
        </is>
      </c>
      <c r="D715" s="234" t="n">
        <v>46121</v>
      </c>
      <c r="E715" s="232" t="inlineStr">
        <is>
          <t>FHM-K</t>
        </is>
      </c>
      <c r="F715" s="232" t="inlineStr">
        <is>
          <t>#5</t>
        </is>
      </c>
      <c r="G715" s="235" t="inlineStr">
        <is>
          <t>#5 Assay — Total CBD</t>
        </is>
      </c>
      <c r="H715" s="298" t="inlineStr">
        <is>
          <t>credit removed</t>
        </is>
      </c>
      <c r="I715" s="297" t="inlineStr">
        <is>
          <t>R1 Farmahem pair — loss-on-drying certificate; reports no such determination</t>
        </is>
      </c>
    </row>
    <row r="716">
      <c r="A716" s="233" t="inlineStr">
        <is>
          <t>OPM122501</t>
        </is>
      </c>
      <c r="B716" s="232" t="inlineStr">
        <is>
          <t>P060242</t>
        </is>
      </c>
      <c r="C716" s="232" t="inlineStr">
        <is>
          <t>100-4-LoD-26</t>
        </is>
      </c>
      <c r="D716" s="234" t="n">
        <v>46121</v>
      </c>
      <c r="E716" s="232" t="inlineStr">
        <is>
          <t>FHM-K</t>
        </is>
      </c>
      <c r="F716" s="232" t="inlineStr">
        <is>
          <t>#6</t>
        </is>
      </c>
      <c r="G716" s="235" t="inlineStr">
        <is>
          <t>#6 Total CBN</t>
        </is>
      </c>
      <c r="H716" s="298" t="inlineStr">
        <is>
          <t>credit removed</t>
        </is>
      </c>
      <c r="I716" s="297" t="inlineStr">
        <is>
          <t>R1 Farmahem pair — loss-on-drying certificate; reports no such determination</t>
        </is>
      </c>
    </row>
    <row r="717">
      <c r="A717" s="233" t="inlineStr">
        <is>
          <t>OPM122501</t>
        </is>
      </c>
      <c r="B717" s="232" t="inlineStr">
        <is>
          <t>P060242</t>
        </is>
      </c>
      <c r="C717" s="232" t="inlineStr">
        <is>
          <t>100-4-K-26</t>
        </is>
      </c>
      <c r="D717" s="234" t="n">
        <v>46121</v>
      </c>
      <c r="E717" s="232" t="inlineStr">
        <is>
          <t>FHM-K</t>
        </is>
      </c>
      <c r="F717" s="232" t="inlineStr">
        <is>
          <t>#8</t>
        </is>
      </c>
      <c r="G717" s="235" t="inlineStr">
        <is>
          <t>#8 Loss on Drying</t>
        </is>
      </c>
      <c r="H717" s="298" t="inlineStr">
        <is>
          <t>credit removed</t>
        </is>
      </c>
      <c r="I717" s="297" t="inlineStr">
        <is>
          <t>R1 Farmahem pair — cannabinoid certificate; loss on drying is on the LoD certificate</t>
        </is>
      </c>
    </row>
    <row r="718">
      <c r="A718" s="233" t="inlineStr">
        <is>
          <t>OPM122501</t>
        </is>
      </c>
      <c r="B718" s="232" t="inlineStr">
        <is>
          <t>P060242</t>
        </is>
      </c>
      <c r="C718" s="232" t="inlineStr">
        <is>
          <t>197-19-K-26</t>
        </is>
      </c>
      <c r="D718" s="234" t="n">
        <v>46241</v>
      </c>
      <c r="E718" s="232" t="inlineStr">
        <is>
          <t>FHM-K</t>
        </is>
      </c>
      <c r="F718" s="232" t="inlineStr">
        <is>
          <t>#8</t>
        </is>
      </c>
      <c r="G718" s="235" t="inlineStr">
        <is>
          <t>#8 Loss on Drying</t>
        </is>
      </c>
      <c r="H718" s="298" t="inlineStr">
        <is>
          <t>credit removed</t>
        </is>
      </c>
      <c r="I718" s="297" t="inlineStr">
        <is>
          <t>R1 Farmahem pair — cannabinoid certificate; loss on drying is on the LoD certificate</t>
        </is>
      </c>
    </row>
    <row r="719">
      <c r="A719" s="233" t="inlineStr">
        <is>
          <t>PM092501</t>
        </is>
      </c>
      <c r="B719" s="232" t="inlineStr">
        <is>
          <t>P060062</t>
        </is>
      </c>
      <c r="C719" s="232" t="inlineStr">
        <is>
          <t>197-20-K-26</t>
        </is>
      </c>
      <c r="D719" s="234" t="n">
        <v>46241</v>
      </c>
      <c r="E719" s="232" t="inlineStr">
        <is>
          <t>FHM-K</t>
        </is>
      </c>
      <c r="F719" s="232" t="inlineStr">
        <is>
          <t>#8</t>
        </is>
      </c>
      <c r="G719" s="235" t="inlineStr">
        <is>
          <t>#8 Loss on Drying</t>
        </is>
      </c>
      <c r="H719" s="298" t="inlineStr">
        <is>
          <t>credit removed</t>
        </is>
      </c>
      <c r="I719" s="297" t="inlineStr">
        <is>
          <t>R1 Farmahem pair — cannabinoid certificate; loss on drying is on the LoD certificate</t>
        </is>
      </c>
    </row>
    <row r="720">
      <c r="A720" s="233" t="inlineStr">
        <is>
          <t>SCR012603</t>
        </is>
      </c>
      <c r="B720" s="232" t="inlineStr">
        <is>
          <t>P060382</t>
        </is>
      </c>
      <c r="C720" s="232" t="inlineStr">
        <is>
          <t>197-21-K-26</t>
        </is>
      </c>
      <c r="D720" s="234" t="n">
        <v>46241</v>
      </c>
      <c r="E720" s="232" t="inlineStr">
        <is>
          <t>FHM-K</t>
        </is>
      </c>
      <c r="F720" s="232" t="inlineStr">
        <is>
          <t>#8</t>
        </is>
      </c>
      <c r="G720" s="235" t="inlineStr">
        <is>
          <t>#8 Loss on Drying</t>
        </is>
      </c>
      <c r="H720" s="298" t="inlineStr">
        <is>
          <t>credit removed</t>
        </is>
      </c>
      <c r="I720" s="297" t="inlineStr">
        <is>
          <t>R1 Farmahem pair — cannabinoid certificate; loss on drying is on the LoD certificate</t>
        </is>
      </c>
    </row>
    <row r="721">
      <c r="A721" s="233" t="inlineStr">
        <is>
          <t>SJ102501</t>
        </is>
      </c>
      <c r="B721" s="232" t="inlineStr">
        <is>
          <t>P060162</t>
        </is>
      </c>
      <c r="C721" s="232" t="inlineStr">
        <is>
          <t>051-3-LoD-26</t>
        </is>
      </c>
      <c r="D721" s="234" t="n">
        <v>46083</v>
      </c>
      <c r="E721" s="232" t="inlineStr">
        <is>
          <t>FHM-K</t>
        </is>
      </c>
      <c r="F721" s="232" t="inlineStr">
        <is>
          <t>#3</t>
        </is>
      </c>
      <c r="G721" s="235" t="inlineStr">
        <is>
          <t>#3 Identification C</t>
        </is>
      </c>
      <c r="H721" s="298" t="inlineStr">
        <is>
          <t>credit removed</t>
        </is>
      </c>
      <c r="I721" s="297" t="inlineStr">
        <is>
          <t>R1 Farmahem pair — loss-on-drying certificate; reports no such determination</t>
        </is>
      </c>
    </row>
    <row r="722">
      <c r="A722" s="233" t="inlineStr">
        <is>
          <t>SJ102501</t>
        </is>
      </c>
      <c r="B722" s="232" t="inlineStr">
        <is>
          <t>P060162</t>
        </is>
      </c>
      <c r="C722" s="232" t="inlineStr">
        <is>
          <t>051-3-LoD-26</t>
        </is>
      </c>
      <c r="D722" s="234" t="n">
        <v>46083</v>
      </c>
      <c r="E722" s="232" t="inlineStr">
        <is>
          <t>FHM-K</t>
        </is>
      </c>
      <c r="F722" s="232" t="inlineStr">
        <is>
          <t>#4</t>
        </is>
      </c>
      <c r="G722" s="235" t="inlineStr">
        <is>
          <t>#4 Assay — Total Δ⁹-THC*</t>
        </is>
      </c>
      <c r="H722" s="298" t="inlineStr">
        <is>
          <t>credit removed</t>
        </is>
      </c>
      <c r="I722" s="297" t="inlineStr">
        <is>
          <t>R1 Farmahem pair — loss-on-drying certificate; reports no such determination</t>
        </is>
      </c>
    </row>
    <row r="723">
      <c r="A723" s="233" t="inlineStr">
        <is>
          <t>SJ102501</t>
        </is>
      </c>
      <c r="B723" s="232" t="inlineStr">
        <is>
          <t>P060162</t>
        </is>
      </c>
      <c r="C723" s="232" t="inlineStr">
        <is>
          <t>051-3-LoD-26</t>
        </is>
      </c>
      <c r="D723" s="234" t="n">
        <v>46083</v>
      </c>
      <c r="E723" s="232" t="inlineStr">
        <is>
          <t>FHM-K</t>
        </is>
      </c>
      <c r="F723" s="232" t="inlineStr">
        <is>
          <t>#5</t>
        </is>
      </c>
      <c r="G723" s="235" t="inlineStr">
        <is>
          <t>#5 Assay — Total CBD</t>
        </is>
      </c>
      <c r="H723" s="298" t="inlineStr">
        <is>
          <t>credit removed</t>
        </is>
      </c>
      <c r="I723" s="297" t="inlineStr">
        <is>
          <t>R1 Farmahem pair — loss-on-drying certificate; reports no such determination</t>
        </is>
      </c>
    </row>
    <row r="724">
      <c r="A724" s="233" t="inlineStr">
        <is>
          <t>SJ102501</t>
        </is>
      </c>
      <c r="B724" s="232" t="inlineStr">
        <is>
          <t>P060162</t>
        </is>
      </c>
      <c r="C724" s="232" t="inlineStr">
        <is>
          <t>051-3-LoD-26</t>
        </is>
      </c>
      <c r="D724" s="234" t="n">
        <v>46083</v>
      </c>
      <c r="E724" s="232" t="inlineStr">
        <is>
          <t>FHM-K</t>
        </is>
      </c>
      <c r="F724" s="232" t="inlineStr">
        <is>
          <t>#6</t>
        </is>
      </c>
      <c r="G724" s="235" t="inlineStr">
        <is>
          <t>#6 Total CBN</t>
        </is>
      </c>
      <c r="H724" s="298" t="inlineStr">
        <is>
          <t>credit removed</t>
        </is>
      </c>
      <c r="I724" s="297" t="inlineStr">
        <is>
          <t>R1 Farmahem pair — loss-on-drying certificate; reports no such determination</t>
        </is>
      </c>
    </row>
    <row r="725">
      <c r="A725" s="233" t="inlineStr">
        <is>
          <t>SJ102501</t>
        </is>
      </c>
      <c r="B725" s="232" t="inlineStr">
        <is>
          <t>P060162</t>
        </is>
      </c>
      <c r="C725" s="232" t="inlineStr">
        <is>
          <t>051-3-K-26</t>
        </is>
      </c>
      <c r="D725" s="234" t="n">
        <v>46085</v>
      </c>
      <c r="E725" s="232" t="inlineStr">
        <is>
          <t>FHM-K</t>
        </is>
      </c>
      <c r="F725" s="232" t="inlineStr">
        <is>
          <t>#8</t>
        </is>
      </c>
      <c r="G725" s="235" t="inlineStr">
        <is>
          <t>#8 Loss on Drying</t>
        </is>
      </c>
      <c r="H725" s="298" t="inlineStr">
        <is>
          <t>credit removed</t>
        </is>
      </c>
      <c r="I725" s="297" t="inlineStr">
        <is>
          <t>R1 Farmahem pair — cannabinoid certificate; loss on drying is on the LoD certificate</t>
        </is>
      </c>
    </row>
    <row r="726">
      <c r="A726" s="233" t="inlineStr">
        <is>
          <t>SJ112501</t>
        </is>
      </c>
      <c r="B726" s="232" t="inlineStr">
        <is>
          <t>P060192</t>
        </is>
      </c>
      <c r="C726" s="232" t="inlineStr">
        <is>
          <t>051-2-LoD-26</t>
        </is>
      </c>
      <c r="D726" s="234" t="n">
        <v>46083</v>
      </c>
      <c r="E726" s="232" t="inlineStr">
        <is>
          <t>FHM-K</t>
        </is>
      </c>
      <c r="F726" s="232" t="inlineStr">
        <is>
          <t>#3</t>
        </is>
      </c>
      <c r="G726" s="235" t="inlineStr">
        <is>
          <t>#3 Identification C</t>
        </is>
      </c>
      <c r="H726" s="298" t="inlineStr">
        <is>
          <t>credit removed</t>
        </is>
      </c>
      <c r="I726" s="297" t="inlineStr">
        <is>
          <t>R1 Farmahem pair — loss-on-drying certificate; reports no such determination</t>
        </is>
      </c>
    </row>
    <row r="727">
      <c r="A727" s="233" t="inlineStr">
        <is>
          <t>SJ112501</t>
        </is>
      </c>
      <c r="B727" s="232" t="inlineStr">
        <is>
          <t>P060192</t>
        </is>
      </c>
      <c r="C727" s="232" t="inlineStr">
        <is>
          <t>051-2-LoD-26</t>
        </is>
      </c>
      <c r="D727" s="234" t="n">
        <v>46083</v>
      </c>
      <c r="E727" s="232" t="inlineStr">
        <is>
          <t>FHM-K</t>
        </is>
      </c>
      <c r="F727" s="232" t="inlineStr">
        <is>
          <t>#4</t>
        </is>
      </c>
      <c r="G727" s="235" t="inlineStr">
        <is>
          <t>#4 Assay — Total Δ⁹-THC*</t>
        </is>
      </c>
      <c r="H727" s="298" t="inlineStr">
        <is>
          <t>credit removed</t>
        </is>
      </c>
      <c r="I727" s="297" t="inlineStr">
        <is>
          <t>R1 Farmahem pair — loss-on-drying certificate; reports no such determination</t>
        </is>
      </c>
    </row>
    <row r="728">
      <c r="A728" s="233" t="inlineStr">
        <is>
          <t>SJ112501</t>
        </is>
      </c>
      <c r="B728" s="232" t="inlineStr">
        <is>
          <t>P060192</t>
        </is>
      </c>
      <c r="C728" s="232" t="inlineStr">
        <is>
          <t>051-2-LoD-26</t>
        </is>
      </c>
      <c r="D728" s="234" t="n">
        <v>46083</v>
      </c>
      <c r="E728" s="232" t="inlineStr">
        <is>
          <t>FHM-K</t>
        </is>
      </c>
      <c r="F728" s="232" t="inlineStr">
        <is>
          <t>#5</t>
        </is>
      </c>
      <c r="G728" s="235" t="inlineStr">
        <is>
          <t>#5 Assay — Total CBD</t>
        </is>
      </c>
      <c r="H728" s="298" t="inlineStr">
        <is>
          <t>credit removed</t>
        </is>
      </c>
      <c r="I728" s="297" t="inlineStr">
        <is>
          <t>R1 Farmahem pair — loss-on-drying certificate; reports no such determination</t>
        </is>
      </c>
    </row>
    <row r="729">
      <c r="A729" s="233" t="inlineStr">
        <is>
          <t>SJ112501</t>
        </is>
      </c>
      <c r="B729" s="232" t="inlineStr">
        <is>
          <t>P060192</t>
        </is>
      </c>
      <c r="C729" s="232" t="inlineStr">
        <is>
          <t>051-2-LoD-26</t>
        </is>
      </c>
      <c r="D729" s="234" t="n">
        <v>46083</v>
      </c>
      <c r="E729" s="232" t="inlineStr">
        <is>
          <t>FHM-K</t>
        </is>
      </c>
      <c r="F729" s="232" t="inlineStr">
        <is>
          <t>#6</t>
        </is>
      </c>
      <c r="G729" s="235" t="inlineStr">
        <is>
          <t>#6 Total CBN</t>
        </is>
      </c>
      <c r="H729" s="298" t="inlineStr">
        <is>
          <t>credit removed</t>
        </is>
      </c>
      <c r="I729" s="297" t="inlineStr">
        <is>
          <t>R1 Farmahem pair — loss-on-drying certificate; reports no such determination</t>
        </is>
      </c>
    </row>
    <row r="730">
      <c r="A730" s="233" t="inlineStr">
        <is>
          <t>SJ112501</t>
        </is>
      </c>
      <c r="B730" s="232" t="inlineStr">
        <is>
          <t>P060192</t>
        </is>
      </c>
      <c r="C730" s="232" t="inlineStr">
        <is>
          <t>051-2-K-26</t>
        </is>
      </c>
      <c r="D730" s="234" t="n">
        <v>46085</v>
      </c>
      <c r="E730" s="232" t="inlineStr">
        <is>
          <t>FHM-K</t>
        </is>
      </c>
      <c r="F730" s="232" t="inlineStr">
        <is>
          <t>#8</t>
        </is>
      </c>
      <c r="G730" s="235" t="inlineStr">
        <is>
          <t>#8 Loss on Drying</t>
        </is>
      </c>
      <c r="H730" s="298" t="inlineStr">
        <is>
          <t>credit removed</t>
        </is>
      </c>
      <c r="I730" s="297" t="inlineStr">
        <is>
          <t>R1 Farmahem pair — cannabinoid certificate; loss on drying is on the LoD certificate</t>
        </is>
      </c>
    </row>
    <row r="731">
      <c r="A731" s="233" t="inlineStr">
        <is>
          <t>AB092501</t>
        </is>
      </c>
      <c r="B731" s="232" t="inlineStr">
        <is>
          <t>P060052</t>
        </is>
      </c>
      <c r="C731" s="232" t="inlineStr">
        <is>
          <t>ППК26005</t>
        </is>
      </c>
      <c r="D731" s="234" t="n">
        <v>46043</v>
      </c>
      <c r="E731" s="232" t="inlineStr">
        <is>
          <t>CNP</t>
        </is>
      </c>
      <c r="F731" s="232" t="inlineStr">
        <is>
          <t>#2</t>
        </is>
      </c>
      <c r="G731" s="235" t="inlineStr">
        <is>
          <t>#2 Identification B</t>
        </is>
      </c>
      <c r="H731" s="298" t="inlineStr">
        <is>
          <t>credit removed</t>
        </is>
      </c>
      <c r="I731" s="297" t="inlineStr">
        <is>
          <t>R2 CNP identification B — no microscopy row on this certificate</t>
        </is>
      </c>
    </row>
    <row r="732">
      <c r="A732" s="233" t="inlineStr">
        <is>
          <t>BG1024</t>
        </is>
      </c>
      <c r="B732" s="232" t="inlineStr">
        <is>
          <t>N/A — no P batch assigned</t>
        </is>
      </c>
      <c r="C732" s="232" t="inlineStr">
        <is>
          <t>ППК25050</t>
        </is>
      </c>
      <c r="D732" s="234" t="n">
        <v>45714</v>
      </c>
      <c r="E732" s="232" t="inlineStr">
        <is>
          <t>CNP</t>
        </is>
      </c>
      <c r="F732" s="232" t="inlineStr">
        <is>
          <t>#2</t>
        </is>
      </c>
      <c r="G732" s="235" t="inlineStr">
        <is>
          <t>#2 Identification B</t>
        </is>
      </c>
      <c r="H732" s="298" t="inlineStr">
        <is>
          <t>credit removed</t>
        </is>
      </c>
      <c r="I732" s="297" t="inlineStr">
        <is>
          <t>R2 CNP identification B — no microscopy row on this certificate</t>
        </is>
      </c>
    </row>
    <row r="733">
      <c r="A733" s="233" t="inlineStr">
        <is>
          <t>BSS1024</t>
        </is>
      </c>
      <c r="B733" s="232" t="inlineStr">
        <is>
          <t>N/A — no P batch assigned</t>
        </is>
      </c>
      <c r="C733" s="232" t="inlineStr">
        <is>
          <t>ППК25051</t>
        </is>
      </c>
      <c r="D733" s="234" t="n">
        <v>45714</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BSS1024_01/1</t>
        </is>
      </c>
      <c r="B734" s="232" t="inlineStr">
        <is>
          <t>P050122</t>
        </is>
      </c>
      <c r="C734" s="232" t="inlineStr">
        <is>
          <t>ППК25176</t>
        </is>
      </c>
      <c r="D734" s="234" t="n">
        <v>45848</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CC112501</t>
        </is>
      </c>
      <c r="B735" s="232" t="inlineStr">
        <is>
          <t>P060272</t>
        </is>
      </c>
      <c r="C735" s="232" t="inlineStr">
        <is>
          <t>ППК26068</t>
        </is>
      </c>
      <c r="D735" s="234" t="n">
        <v>46153</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CJ052501/01</t>
        </is>
      </c>
      <c r="B736" s="232" t="inlineStr">
        <is>
          <t>P050162</t>
        </is>
      </c>
      <c r="C736" s="232" t="inlineStr">
        <is>
          <t>ППК25280</t>
        </is>
      </c>
      <c r="D736" s="234" t="n">
        <v>45917</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CJ052501/02</t>
        </is>
      </c>
      <c r="B737" s="232" t="inlineStr">
        <is>
          <t>P050172</t>
        </is>
      </c>
      <c r="C737" s="232" t="inlineStr">
        <is>
          <t>ППК25281</t>
        </is>
      </c>
      <c r="D737" s="234" t="n">
        <v>45917</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CJ062501/1</t>
        </is>
      </c>
      <c r="B738" s="232" t="inlineStr">
        <is>
          <t>P050222</t>
        </is>
      </c>
      <c r="C738" s="232" t="inlineStr">
        <is>
          <t>ППК25321</t>
        </is>
      </c>
      <c r="D738" s="234" t="n">
        <v>45953</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CJ062501/2</t>
        </is>
      </c>
      <c r="B739" s="232" t="inlineStr">
        <is>
          <t>P050212</t>
        </is>
      </c>
      <c r="C739" s="232" t="inlineStr">
        <is>
          <t>ППК25322</t>
        </is>
      </c>
      <c r="D739" s="234" t="n">
        <v>45953</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CJ072501</t>
        </is>
      </c>
      <c r="B740" s="232" t="inlineStr">
        <is>
          <t>P050252</t>
        </is>
      </c>
      <c r="C740" s="232" t="inlineStr">
        <is>
          <t>ППК25367</t>
        </is>
      </c>
      <c r="D740" s="234" t="n">
        <v>45989</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CJ082501/1</t>
        </is>
      </c>
      <c r="B741" s="232" t="inlineStr">
        <is>
          <t>P060022</t>
        </is>
      </c>
      <c r="C741" s="232" t="inlineStr">
        <is>
          <t>ППК26002</t>
        </is>
      </c>
      <c r="D741" s="234" t="n">
        <v>46043</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CJ082501/2</t>
        </is>
      </c>
      <c r="B742" s="232" t="inlineStr">
        <is>
          <t>P060032</t>
        </is>
      </c>
      <c r="C742" s="232" t="inlineStr">
        <is>
          <t>ППК26003</t>
        </is>
      </c>
      <c r="D742" s="234" t="n">
        <v>46043</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CJ092501</t>
        </is>
      </c>
      <c r="B743" s="232" t="inlineStr">
        <is>
          <t>P060072</t>
        </is>
      </c>
      <c r="C743" s="232" t="inlineStr">
        <is>
          <t>ППК26007</t>
        </is>
      </c>
      <c r="D743" s="234" t="n">
        <v>46043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CJ1024</t>
        </is>
      </c>
      <c r="B744" s="232" t="inlineStr">
        <is>
          <t>N/A — no P batch assigned</t>
        </is>
      </c>
      <c r="C744" s="232" t="inlineStr">
        <is>
          <t>ППК25052</t>
        </is>
      </c>
      <c r="D744" s="234" t="n">
        <v>45714</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CLE072501</t>
        </is>
      </c>
      <c r="B745" s="232" t="inlineStr">
        <is>
          <t>P050282</t>
        </is>
      </c>
      <c r="C745" s="232" t="inlineStr">
        <is>
          <t>ППК25370</t>
        </is>
      </c>
      <c r="D745" s="234" t="n">
        <v>45989</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FB012601_1</t>
        </is>
      </c>
      <c r="B746" s="232" t="inlineStr">
        <is>
          <t>P060322</t>
        </is>
      </c>
      <c r="C746" s="232" t="inlineStr">
        <is>
          <t>ППК26067</t>
        </is>
      </c>
      <c r="D746" s="234" t="n">
        <v>46153</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FB112501</t>
        </is>
      </c>
      <c r="B747" s="232" t="inlineStr">
        <is>
          <t>P060292</t>
        </is>
      </c>
      <c r="C747" s="232" t="inlineStr">
        <is>
          <t>ППК26066</t>
        </is>
      </c>
      <c r="D747" s="234" t="n">
        <v>46153</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GG012601＊</t>
        </is>
      </c>
      <c r="B748" s="232" t="inlineStr">
        <is>
          <t>P060302</t>
        </is>
      </c>
      <c r="C748" s="232" t="inlineStr">
        <is>
          <t>ППК26062</t>
        </is>
      </c>
      <c r="D748" s="234" t="n">
        <v>46153</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GG1024_01</t>
        </is>
      </c>
      <c r="B749" s="232" t="inlineStr">
        <is>
          <t>P050092</t>
        </is>
      </c>
      <c r="C749" s="232" t="inlineStr">
        <is>
          <t>ППК25104</t>
        </is>
      </c>
      <c r="D749" s="234" t="n">
        <v>45764</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GG1024_02</t>
        </is>
      </c>
      <c r="B750" s="232" t="inlineStr">
        <is>
          <t>P050012</t>
        </is>
      </c>
      <c r="C750" s="232" t="inlineStr">
        <is>
          <t>ППК25140</t>
        </is>
      </c>
      <c r="D750" s="234" t="n">
        <v>45799</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GG112501</t>
        </is>
      </c>
      <c r="B751" s="232" t="inlineStr">
        <is>
          <t>P060252</t>
        </is>
      </c>
      <c r="C751" s="232" t="inlineStr">
        <is>
          <t>ППК26061</t>
        </is>
      </c>
      <c r="D751" s="234" t="n">
        <v>46153</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GP052501</t>
        </is>
      </c>
      <c r="B752" s="232" t="inlineStr">
        <is>
          <t>P050152</t>
        </is>
      </c>
      <c r="C752" s="232" t="inlineStr">
        <is>
          <t>ППК25279</t>
        </is>
      </c>
      <c r="D752" s="234" t="n">
        <v>45919</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GP062501</t>
        </is>
      </c>
      <c r="B753" s="232" t="inlineStr">
        <is>
          <t>P050202</t>
        </is>
      </c>
      <c r="C753" s="232" t="inlineStr">
        <is>
          <t>ППК26036</t>
        </is>
      </c>
      <c r="D753" s="234" t="n">
        <v>46086</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GP062501</t>
        </is>
      </c>
      <c r="B754" s="232" t="inlineStr">
        <is>
          <t>P050202</t>
        </is>
      </c>
      <c r="C754" s="232" t="inlineStr">
        <is>
          <t>ППК26037</t>
        </is>
      </c>
      <c r="D754" s="234" t="n">
        <v>46086</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GP062501</t>
        </is>
      </c>
      <c r="B755" s="232" t="inlineStr">
        <is>
          <t>P050202</t>
        </is>
      </c>
      <c r="C755" s="232" t="inlineStr">
        <is>
          <t>ППК26057</t>
        </is>
      </c>
      <c r="D755" s="234" t="n">
        <v>46153</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GP062501</t>
        </is>
      </c>
      <c r="B756" s="232" t="inlineStr">
        <is>
          <t>P050202</t>
        </is>
      </c>
      <c r="C756" s="232" t="inlineStr">
        <is>
          <t>ППК26058</t>
        </is>
      </c>
      <c r="D756" s="234" t="n">
        <v>46153</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GP072501/1</t>
        </is>
      </c>
      <c r="B757" s="232" t="inlineStr">
        <is>
          <t>P050292</t>
        </is>
      </c>
      <c r="C757" s="232" t="inlineStr">
        <is>
          <t>ППК25378</t>
        </is>
      </c>
      <c r="D757" s="234" t="n">
        <v>46003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GP072501/2</t>
        </is>
      </c>
      <c r="B758" s="232" t="inlineStr">
        <is>
          <t>P050302</t>
        </is>
      </c>
      <c r="C758" s="232" t="inlineStr">
        <is>
          <t>ППК25379</t>
        </is>
      </c>
      <c r="D758" s="234" t="n">
        <v>46003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GP0824_01</t>
        </is>
      </c>
      <c r="B759" s="232" t="inlineStr">
        <is>
          <t>P050102</t>
        </is>
      </c>
      <c r="C759" s="232" t="inlineStr">
        <is>
          <t>ППК25105</t>
        </is>
      </c>
      <c r="D759" s="234" t="n">
        <v>45764</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GP0824_02</t>
        </is>
      </c>
      <c r="B760" s="232" t="inlineStr">
        <is>
          <t>P050022</t>
        </is>
      </c>
      <c r="C760" s="232" t="inlineStr">
        <is>
          <t>ППК25139</t>
        </is>
      </c>
      <c r="D760" s="234" t="n">
        <v>45799</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GP0824_02</t>
        </is>
      </c>
      <c r="B761" s="232" t="inlineStr">
        <is>
          <t>P050022</t>
        </is>
      </c>
      <c r="C761" s="232" t="inlineStr">
        <is>
          <t>ППК25174</t>
        </is>
      </c>
      <c r="D761" s="234" t="n">
        <v>45848</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GP0824_02</t>
        </is>
      </c>
      <c r="B762" s="232" t="inlineStr">
        <is>
          <t>P050022</t>
        </is>
      </c>
      <c r="C762" s="232" t="inlineStr">
        <is>
          <t>ППК26032</t>
        </is>
      </c>
      <c r="D762" s="234" t="n">
        <v>46086</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GP0824_02</t>
        </is>
      </c>
      <c r="B763" s="232" t="inlineStr">
        <is>
          <t>P050022</t>
        </is>
      </c>
      <c r="C763" s="232" t="inlineStr">
        <is>
          <t>ППК26033</t>
        </is>
      </c>
      <c r="D763" s="234" t="n">
        <v>46086</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GP0824_02</t>
        </is>
      </c>
      <c r="B764" s="232" t="inlineStr">
        <is>
          <t>P050022</t>
        </is>
      </c>
      <c r="C764" s="232" t="inlineStr">
        <is>
          <t>ППК26059</t>
        </is>
      </c>
      <c r="D764" s="234" t="n">
        <v>46153</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GP0824_03</t>
        </is>
      </c>
      <c r="B765" s="232" t="inlineStr">
        <is>
          <t>P050072</t>
        </is>
      </c>
      <c r="C765" s="232" t="inlineStr">
        <is>
          <t>ППК25175</t>
        </is>
      </c>
      <c r="D765" s="234" t="n">
        <v>45848</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GP0824_03</t>
        </is>
      </c>
      <c r="B766" s="232" t="inlineStr">
        <is>
          <t>P050072</t>
        </is>
      </c>
      <c r="C766" s="232" t="inlineStr">
        <is>
          <t>ППК26034</t>
        </is>
      </c>
      <c r="D766" s="234" t="n">
        <v>46086</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GP0824_03</t>
        </is>
      </c>
      <c r="B767" s="232" t="inlineStr">
        <is>
          <t>P050072</t>
        </is>
      </c>
      <c r="C767" s="232" t="inlineStr">
        <is>
          <t>ППК26035</t>
        </is>
      </c>
      <c r="D767" s="234" t="n">
        <v>46086</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GP0824_03</t>
        </is>
      </c>
      <c r="B768" s="232" t="inlineStr">
        <is>
          <t>P050072</t>
        </is>
      </c>
      <c r="C768" s="232" t="inlineStr">
        <is>
          <t>ППК26060</t>
        </is>
      </c>
      <c r="D768" s="234" t="n">
        <v>46153</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GP082501/1</t>
        </is>
      </c>
      <c r="B769" s="232" t="inlineStr">
        <is>
          <t>P050312</t>
        </is>
      </c>
      <c r="C769" s="232" t="inlineStr">
        <is>
          <t>ППК25380</t>
        </is>
      </c>
      <c r="D769" s="234" t="n">
        <v>46003</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GP082501/2</t>
        </is>
      </c>
      <c r="B770" s="232" t="inlineStr">
        <is>
          <t>P050322</t>
        </is>
      </c>
      <c r="C770" s="232" t="inlineStr">
        <is>
          <t>ППК25381</t>
        </is>
      </c>
      <c r="D770" s="234" t="n">
        <v>46003</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GP092501</t>
        </is>
      </c>
      <c r="B771" s="232" t="inlineStr">
        <is>
          <t>P060092</t>
        </is>
      </c>
      <c r="C771" s="232" t="inlineStr">
        <is>
          <t>ППК26009</t>
        </is>
      </c>
      <c r="D771" s="234" t="n">
        <v>46043</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HPA052501</t>
        </is>
      </c>
      <c r="B772" s="232" t="inlineStr">
        <is>
          <t>P050182</t>
        </is>
      </c>
      <c r="C772" s="232" t="inlineStr">
        <is>
          <t>ППК25278</t>
        </is>
      </c>
      <c r="D772" s="234" t="n">
        <v>45919</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HPA1024_01</t>
        </is>
      </c>
      <c r="B773" s="232" t="inlineStr">
        <is>
          <t>P050052</t>
        </is>
      </c>
      <c r="C773" s="232" t="inlineStr">
        <is>
          <t>ППК25155</t>
        </is>
      </c>
      <c r="D773" s="234" t="n">
        <v>45832</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JD012601＊</t>
        </is>
      </c>
      <c r="B774" s="232" t="inlineStr">
        <is>
          <t>P060312</t>
        </is>
      </c>
      <c r="C774" s="232" t="inlineStr">
        <is>
          <t>ППК26064</t>
        </is>
      </c>
      <c r="D774" s="234" t="n">
        <v>46153</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JD112501</t>
        </is>
      </c>
      <c r="B775" s="232" t="inlineStr">
        <is>
          <t>P060212</t>
        </is>
      </c>
      <c r="C775" s="232" t="inlineStr">
        <is>
          <t>ППК26063</t>
        </is>
      </c>
      <c r="D775" s="234" t="n">
        <v>46153</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MB0824_04</t>
        </is>
      </c>
      <c r="B776" s="232" t="inlineStr">
        <is>
          <t>P050032</t>
        </is>
      </c>
      <c r="C776" s="232" t="inlineStr">
        <is>
          <t>ППК25118</t>
        </is>
      </c>
      <c r="D776" s="234" t="n">
        <v>45783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MB0824_05</t>
        </is>
      </c>
      <c r="B777" s="232" t="inlineStr">
        <is>
          <t>P050112</t>
        </is>
      </c>
      <c r="C777" s="232" t="inlineStr">
        <is>
          <t>ППК25211</t>
        </is>
      </c>
      <c r="D777" s="234" t="n">
        <v>45866</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OMP1024_01</t>
        </is>
      </c>
      <c r="B778" s="232" t="inlineStr">
        <is>
          <t>P050042</t>
        </is>
      </c>
      <c r="C778" s="232" t="inlineStr">
        <is>
          <t>ППК25117</t>
        </is>
      </c>
      <c r="D778" s="234" t="n">
        <v>45783</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79">
      <c r="A779" s="233" t="inlineStr">
        <is>
          <t>OPM052501</t>
        </is>
      </c>
      <c r="B779" s="232" t="inlineStr">
        <is>
          <t>P050132</t>
        </is>
      </c>
      <c r="C779" s="232" t="inlineStr">
        <is>
          <t>ППК25257</t>
        </is>
      </c>
      <c r="D779" s="234" t="n">
        <v>45905</v>
      </c>
      <c r="E779" s="232" t="inlineStr">
        <is>
          <t>CNP</t>
        </is>
      </c>
      <c r="F779" s="232" t="inlineStr">
        <is>
          <t>#2</t>
        </is>
      </c>
      <c r="G779" s="235" t="inlineStr">
        <is>
          <t>#2 Identification B</t>
        </is>
      </c>
      <c r="H779" s="298" t="inlineStr">
        <is>
          <t>credit removed</t>
        </is>
      </c>
      <c r="I779" s="297" t="inlineStr">
        <is>
          <t>R2 CNP identification B — no microscopy row on this certificate</t>
        </is>
      </c>
    </row>
    <row r="780">
      <c r="A780" s="233" t="inlineStr">
        <is>
          <t>OPM092501</t>
        </is>
      </c>
      <c r="B780" s="232" t="inlineStr">
        <is>
          <t>P060042</t>
        </is>
      </c>
      <c r="C780" s="232" t="inlineStr">
        <is>
          <t>ППК26008</t>
        </is>
      </c>
      <c r="D780" s="234" t="n">
        <v>46043</v>
      </c>
      <c r="E780" s="232" t="inlineStr">
        <is>
          <t>CNP</t>
        </is>
      </c>
      <c r="F780" s="232" t="inlineStr">
        <is>
          <t>#2</t>
        </is>
      </c>
      <c r="G780" s="235" t="inlineStr">
        <is>
          <t>#2 Identification B</t>
        </is>
      </c>
      <c r="H780" s="298" t="inlineStr">
        <is>
          <t>credit removed</t>
        </is>
      </c>
      <c r="I780" s="297" t="inlineStr">
        <is>
          <t>R2 CNP identification B — no microscopy row on this certificate</t>
        </is>
      </c>
    </row>
    <row r="781">
      <c r="A781" s="233" t="inlineStr">
        <is>
          <t>OPM1024_02</t>
        </is>
      </c>
      <c r="B781" s="232" t="inlineStr">
        <is>
          <t>P050062</t>
        </is>
      </c>
      <c r="C781" s="232" t="inlineStr">
        <is>
          <t>ППК25154</t>
        </is>
      </c>
      <c r="D781" s="234" t="n">
        <v>45832</v>
      </c>
      <c r="E781" s="232" t="inlineStr">
        <is>
          <t>CNP</t>
        </is>
      </c>
      <c r="F781" s="232" t="inlineStr">
        <is>
          <t>#2</t>
        </is>
      </c>
      <c r="G781" s="235" t="inlineStr">
        <is>
          <t>#2 Identification B</t>
        </is>
      </c>
      <c r="H781" s="298" t="inlineStr">
        <is>
          <t>credit removed</t>
        </is>
      </c>
      <c r="I781" s="297" t="inlineStr">
        <is>
          <t>R2 CNP identification B — no microscopy row on this certificate</t>
        </is>
      </c>
    </row>
    <row r="782">
      <c r="A782" s="233" t="inlineStr">
        <is>
          <t>OPM1024_03</t>
        </is>
      </c>
      <c r="B782" s="232" t="inlineStr">
        <is>
          <t>P050082</t>
        </is>
      </c>
      <c r="C782" s="232" t="inlineStr">
        <is>
          <t>ППК25210</t>
        </is>
      </c>
      <c r="D782" s="234" t="n">
        <v>45866</v>
      </c>
      <c r="E782" s="232" t="inlineStr">
        <is>
          <t>CNP</t>
        </is>
      </c>
      <c r="F782" s="232" t="inlineStr">
        <is>
          <t>#2</t>
        </is>
      </c>
      <c r="G782" s="235" t="inlineStr">
        <is>
          <t>#2 Identification B</t>
        </is>
      </c>
      <c r="H782" s="298" t="inlineStr">
        <is>
          <t>credit removed</t>
        </is>
      </c>
      <c r="I782" s="297" t="inlineStr">
        <is>
          <t>R2 CNP identification B — no microscopy row on this certificate</t>
        </is>
      </c>
    </row>
    <row r="783">
      <c r="A783" s="233" t="inlineStr">
        <is>
          <t>OPM112501</t>
        </is>
      </c>
      <c r="B783" s="232" t="inlineStr">
        <is>
          <t>P060222</t>
        </is>
      </c>
      <c r="C783" s="232" t="inlineStr">
        <is>
          <t>ППК26031</t>
        </is>
      </c>
      <c r="D783" s="234" t="n">
        <v>46086</v>
      </c>
      <c r="E783" s="232" t="inlineStr">
        <is>
          <t>CNP</t>
        </is>
      </c>
      <c r="F783" s="232" t="inlineStr">
        <is>
          <t>#2</t>
        </is>
      </c>
      <c r="G783" s="235" t="inlineStr">
        <is>
          <t>#2 Identification B</t>
        </is>
      </c>
      <c r="H783" s="298" t="inlineStr">
        <is>
          <t>credit removed</t>
        </is>
      </c>
      <c r="I783" s="297" t="inlineStr">
        <is>
          <t>R2 CNP identification B — no microscopy row on this certificate</t>
        </is>
      </c>
    </row>
    <row r="784">
      <c r="A784" s="233" t="inlineStr">
        <is>
          <t>PM072501</t>
        </is>
      </c>
      <c r="B784" s="232" t="inlineStr">
        <is>
          <t>P050272</t>
        </is>
      </c>
      <c r="C784" s="232" t="inlineStr">
        <is>
          <t>ППК25368</t>
        </is>
      </c>
      <c r="D784" s="234" t="n">
        <v>45989</v>
      </c>
      <c r="E784" s="232" t="inlineStr">
        <is>
          <t>CNP</t>
        </is>
      </c>
      <c r="F784" s="232" t="inlineStr">
        <is>
          <t>#2</t>
        </is>
      </c>
      <c r="G784" s="235" t="inlineStr">
        <is>
          <t>#2 Identification B</t>
        </is>
      </c>
      <c r="H784" s="298" t="inlineStr">
        <is>
          <t>credit removed</t>
        </is>
      </c>
      <c r="I784" s="297" t="inlineStr">
        <is>
          <t>R2 CNP identification B — no microscopy row on this certificate</t>
        </is>
      </c>
    </row>
    <row r="785">
      <c r="A785" s="233" t="inlineStr">
        <is>
          <t>PM092501</t>
        </is>
      </c>
      <c r="B785" s="232" t="inlineStr">
        <is>
          <t>P060062</t>
        </is>
      </c>
      <c r="C785" s="232" t="inlineStr">
        <is>
          <t>ППК26004</t>
        </is>
      </c>
      <c r="D785" s="234" t="n">
        <v>46043</v>
      </c>
      <c r="E785" s="232" t="inlineStr">
        <is>
          <t>CNP</t>
        </is>
      </c>
      <c r="F785" s="232" t="inlineStr">
        <is>
          <t>#2</t>
        </is>
      </c>
      <c r="G785" s="235" t="inlineStr">
        <is>
          <t>#2 Identification B</t>
        </is>
      </c>
      <c r="H785" s="298" t="inlineStr">
        <is>
          <t>credit removed</t>
        </is>
      </c>
      <c r="I785" s="297" t="inlineStr">
        <is>
          <t>R2 CNP identification B — no microscopy row on this certificate</t>
        </is>
      </c>
    </row>
    <row r="786">
      <c r="A786" s="233" t="inlineStr">
        <is>
          <t>PM112501</t>
        </is>
      </c>
      <c r="B786" s="232" t="inlineStr">
        <is>
          <t>P060232</t>
        </is>
      </c>
      <c r="C786" s="232" t="inlineStr">
        <is>
          <t>ППК26030</t>
        </is>
      </c>
      <c r="D786" s="234" t="n">
        <v>46086</v>
      </c>
      <c r="E786" s="232" t="inlineStr">
        <is>
          <t>CNP</t>
        </is>
      </c>
      <c r="F786" s="232" t="inlineStr">
        <is>
          <t>#2</t>
        </is>
      </c>
      <c r="G786" s="235" t="inlineStr">
        <is>
          <t>#2 Identification B</t>
        </is>
      </c>
      <c r="H786" s="298" t="inlineStr">
        <is>
          <t>credit removed</t>
        </is>
      </c>
      <c r="I786" s="297" t="inlineStr">
        <is>
          <t>R2 CNP identification B — no microscopy row on this certificate</t>
        </is>
      </c>
    </row>
    <row r="787">
      <c r="A787" s="233" t="inlineStr">
        <is>
          <t>SCR112501</t>
        </is>
      </c>
      <c r="B787" s="232" t="inlineStr">
        <is>
          <t>P060282</t>
        </is>
      </c>
      <c r="C787" s="232" t="inlineStr">
        <is>
          <t>ППК26069</t>
        </is>
      </c>
      <c r="D787" s="234" t="n">
        <v>46153</v>
      </c>
      <c r="E787" s="232" t="inlineStr">
        <is>
          <t>CNP</t>
        </is>
      </c>
      <c r="F787" s="232" t="inlineStr">
        <is>
          <t>#2</t>
        </is>
      </c>
      <c r="G787" s="235" t="inlineStr">
        <is>
          <t>#2 Identification B</t>
        </is>
      </c>
      <c r="H787" s="298" t="inlineStr">
        <is>
          <t>credit removed</t>
        </is>
      </c>
      <c r="I787" s="297" t="inlineStr">
        <is>
          <t>R2 CNP identification B — no microscopy row on this certificate</t>
        </is>
      </c>
    </row>
    <row r="788">
      <c r="A788" s="233" t="inlineStr">
        <is>
          <t>SJ0925021</t>
        </is>
      </c>
      <c r="B788" s="232" t="inlineStr">
        <is>
          <t>P060082</t>
        </is>
      </c>
      <c r="C788" s="232" t="inlineStr">
        <is>
          <t>ППК26006</t>
        </is>
      </c>
      <c r="D788" s="234" t="n">
        <v>46043</v>
      </c>
      <c r="E788" s="232" t="inlineStr">
        <is>
          <t>CNP</t>
        </is>
      </c>
      <c r="F788" s="232" t="inlineStr">
        <is>
          <t>#2</t>
        </is>
      </c>
      <c r="G788" s="235" t="inlineStr">
        <is>
          <t>#2 Identification B</t>
        </is>
      </c>
      <c r="H788" s="298" t="inlineStr">
        <is>
          <t>credit removed</t>
        </is>
      </c>
      <c r="I788" s="297" t="inlineStr">
        <is>
          <t>R2 CNP identification B — no microscopy row on this certificate</t>
        </is>
      </c>
    </row>
    <row r="789">
      <c r="A789" s="233" t="inlineStr">
        <is>
          <t>WC072501</t>
        </is>
      </c>
      <c r="B789" s="232" t="inlineStr">
        <is>
          <t>P050262</t>
        </is>
      </c>
      <c r="C789" s="232" t="inlineStr">
        <is>
          <t>ППК25369</t>
        </is>
      </c>
      <c r="D789" s="234" t="n">
        <v>45989</v>
      </c>
      <c r="E789" s="232" t="inlineStr">
        <is>
          <t>CNP</t>
        </is>
      </c>
      <c r="F789" s="232" t="inlineStr">
        <is>
          <t>#2</t>
        </is>
      </c>
      <c r="G789" s="235" t="inlineStr">
        <is>
          <t>#2 Identification B</t>
        </is>
      </c>
      <c r="H789" s="298" t="inlineStr">
        <is>
          <t>credit removed</t>
        </is>
      </c>
      <c r="I789" s="297" t="inlineStr">
        <is>
          <t>R2 CNP identification B — no microscopy row on this certificate</t>
        </is>
      </c>
    </row>
    <row r="790">
      <c r="A790" s="233" t="inlineStr">
        <is>
          <t>WC082501</t>
        </is>
      </c>
      <c r="B790" s="232" t="inlineStr">
        <is>
          <t>P060012</t>
        </is>
      </c>
      <c r="C790" s="232" t="inlineStr">
        <is>
          <t>ППК26001</t>
        </is>
      </c>
      <c r="D790" s="234" t="n">
        <v>46043</v>
      </c>
      <c r="E790" s="232" t="inlineStr">
        <is>
          <t>CNP</t>
        </is>
      </c>
      <c r="F790" s="232" t="inlineStr">
        <is>
          <t>#2</t>
        </is>
      </c>
      <c r="G790" s="235" t="inlineStr">
        <is>
          <t>#2 Identification B</t>
        </is>
      </c>
      <c r="H790" s="298" t="inlineStr">
        <is>
          <t>credit removed</t>
        </is>
      </c>
      <c r="I790" s="297" t="inlineStr">
        <is>
          <t>R2 CNP identification B — no microscopy row on this certificate</t>
        </is>
      </c>
    </row>
    <row r="792" ht="58" customHeight="1" s="70">
      <c r="A792"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2" s="120" t="n"/>
      <c r="C792" s="120" t="n"/>
      <c r="D792" s="120" t="n"/>
      <c r="E792" s="120" t="n"/>
      <c r="F792" s="120" t="n"/>
      <c r="G792" s="120" t="n"/>
      <c r="H792" s="120" t="n"/>
      <c r="I792" s="121" t="n"/>
    </row>
    <row r="795" ht="20" customHeight="1" s="70">
      <c r="A795" s="253" t="inlineStr">
        <is>
          <t>WORK ORDER</t>
        </is>
      </c>
    </row>
    <row r="796" ht="22" customHeight="1" s="70">
      <c r="A796" s="119" t="inlineStr">
        <is>
          <t>Task</t>
        </is>
      </c>
      <c r="B796" s="119" t="inlineStr">
        <is>
          <t>CU Batch</t>
        </is>
      </c>
      <c r="C796" s="119" t="inlineStr">
        <is>
          <t>P Batch</t>
        </is>
      </c>
      <c r="D796" s="119" t="inlineStr">
        <is>
          <t>Certificate</t>
        </is>
      </c>
      <c r="E796" s="119" t="inlineStr">
        <is>
          <t>Date</t>
        </is>
      </c>
      <c r="F796" s="119" t="inlineStr">
        <is>
          <t>Lab</t>
        </is>
      </c>
      <c r="G796" s="119" t="inlineStr">
        <is>
          <t>Parameters affected</t>
        </is>
      </c>
      <c r="H796" s="119" t="inlineStr">
        <is>
          <t>What is needed</t>
        </is>
      </c>
    </row>
    <row r="797">
      <c r="A797" s="298" t="inlineStr">
        <is>
          <t>held for review</t>
        </is>
      </c>
      <c r="B797" s="233" t="inlineStr">
        <is>
          <t>BSS052501</t>
        </is>
      </c>
      <c r="C797" s="232" t="inlineStr">
        <is>
          <t>P050192</t>
        </is>
      </c>
      <c r="D797" s="232" t="inlineStr">
        <is>
          <t>NGP-QCG-SOP-024 F3</t>
        </is>
      </c>
      <c r="E797" s="234" t="n">
        <v>45989</v>
      </c>
      <c r="F797" s="232" t="inlineStr">
        <is>
          <t>NGP</t>
        </is>
      </c>
      <c r="G797" s="232" t="inlineStr">
        <is>
          <t>#6</t>
        </is>
      </c>
      <c r="H797" s="297" t="inlineStr">
        <is>
          <t>The two independent reads disagreed. A person must read the figure from the page and confirm it.</t>
        </is>
      </c>
    </row>
    <row r="798">
      <c r="A798" s="298" t="inlineStr">
        <is>
          <t>held for review</t>
        </is>
      </c>
      <c r="B798" s="233" t="inlineStr">
        <is>
          <t>GP062501</t>
        </is>
      </c>
      <c r="C798" s="232" t="inlineStr">
        <is>
          <t>P050202</t>
        </is>
      </c>
      <c r="D798" s="232" t="inlineStr">
        <is>
          <t>NGP-QCG-SOP-024 F3</t>
        </is>
      </c>
      <c r="E798" s="234" t="n">
        <v>45989</v>
      </c>
      <c r="F798" s="232" t="inlineStr">
        <is>
          <t>NGP</t>
        </is>
      </c>
      <c r="G798" s="232" t="inlineStr">
        <is>
          <t>#6</t>
        </is>
      </c>
      <c r="H798" s="297" t="inlineStr">
        <is>
          <t>The two independent reads disagreed. A person must read the figure from the page and confirm it.</t>
        </is>
      </c>
    </row>
    <row r="799">
      <c r="A799" s="298" t="inlineStr">
        <is>
          <t>held for review</t>
        </is>
      </c>
      <c r="B799" s="233" t="inlineStr">
        <is>
          <t>J31112501</t>
        </is>
      </c>
      <c r="C799" s="232" t="inlineStr">
        <is>
          <t>P060202</t>
        </is>
      </c>
      <c r="D799" s="232" t="inlineStr">
        <is>
          <t>100-1-K-26</t>
        </is>
      </c>
      <c r="E799" s="234" t="n">
        <v>46121</v>
      </c>
      <c r="F799" s="232" t="inlineStr">
        <is>
          <t>FHM-K</t>
        </is>
      </c>
      <c r="G799" s="232" t="inlineStr">
        <is>
          <t>#3</t>
        </is>
      </c>
      <c r="H799" s="297" t="inlineStr">
        <is>
          <t>The two independent reads disagreed. A person must read the figure from the page and confirm it.</t>
        </is>
      </c>
    </row>
    <row r="800">
      <c r="A800" s="298" t="inlineStr">
        <is>
          <t>lot not on tracker</t>
        </is>
      </c>
      <c r="B800" s="233" t="inlineStr">
        <is>
          <t>N/A — no P batch assigned</t>
        </is>
      </c>
      <c r="C800" s="232" t="inlineStr">
        <is>
          <t>N/A — no P batch assigned</t>
        </is>
      </c>
      <c r="D800" s="232" t="inlineStr">
        <is>
          <t>iCoA — at issue (FB042601)</t>
        </is>
      </c>
      <c r="E800" s="234" t="inlineStr">
        <is>
          <t>packaging date — to record</t>
        </is>
      </c>
      <c r="F800" s="232" t="inlineStr">
        <is>
          <t>PP</t>
        </is>
      </c>
      <c r="G800" s="232" t="inlineStr">
        <is>
          <t>#1, #2, #7</t>
        </is>
      </c>
      <c r="H800" s="297" t="inlineStr">
        <is>
          <t>The certificate names a P batch the owner's tracker does not carry. Record the lot (cultivation batch code, strain) on the tracker so the certificate is credited under its batch.</t>
        </is>
      </c>
    </row>
    <row r="801">
      <c r="A801" s="298" t="inlineStr">
        <is>
          <t>lot not on tracker</t>
        </is>
      </c>
      <c r="B801" s="233" t="inlineStr">
        <is>
          <t>N/A — no P batch assigned</t>
        </is>
      </c>
      <c r="C801" s="232" t="inlineStr">
        <is>
          <t>N/A — no P batch assigned</t>
        </is>
      </c>
      <c r="D801" s="232" t="inlineStr">
        <is>
          <t>220-31-K-26</t>
        </is>
      </c>
      <c r="E801" s="234" t="n">
        <v>46260</v>
      </c>
      <c r="F801" s="232" t="inlineStr">
        <is>
          <t>FHM-K</t>
        </is>
      </c>
      <c r="G801" s="232" t="inlineStr">
        <is>
          <t>#3, #4, #5, #6</t>
        </is>
      </c>
      <c r="H801" s="297" t="inlineStr">
        <is>
          <t>The certificate names a P batch the owner's tracker does not carry. Record the lot (cultivation batch code, strain) on the tracker so the certificate is credited under its batch.</t>
        </is>
      </c>
    </row>
    <row r="802">
      <c r="A802" s="298" t="inlineStr">
        <is>
          <t>lot not on tracker</t>
        </is>
      </c>
      <c r="B802" s="233" t="inlineStr">
        <is>
          <t>N/A — no P batch assigned</t>
        </is>
      </c>
      <c r="C802" s="232" t="inlineStr">
        <is>
          <t>N/A — no P batch assigned</t>
        </is>
      </c>
      <c r="D802" s="232" t="inlineStr">
        <is>
          <t>220-31-M-26</t>
        </is>
      </c>
      <c r="E802" s="234" t="n">
        <v>46276</v>
      </c>
      <c r="F802" s="232" t="inlineStr">
        <is>
          <t>FHM-M</t>
        </is>
      </c>
      <c r="G802" s="232" t="inlineStr">
        <is>
          <t>#10</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N/A — no P batch assigned</t>
        </is>
      </c>
      <c r="C803" s="232" t="inlineStr">
        <is>
          <t>N/A — no P batch assigned</t>
        </is>
      </c>
      <c r="D803" s="232" t="inlineStr">
        <is>
          <t>iCoA — at issue (CC042601)</t>
        </is>
      </c>
      <c r="E803" s="234" t="inlineStr">
        <is>
          <t>packaging date — to record</t>
        </is>
      </c>
      <c r="F803" s="232" t="inlineStr">
        <is>
          <t>PP</t>
        </is>
      </c>
      <c r="G803" s="232" t="inlineStr">
        <is>
          <t>#1, #2, #7</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N/A — no P batch assigned</t>
        </is>
      </c>
      <c r="C804" s="232" t="inlineStr">
        <is>
          <t>N/A — no P batch assigned</t>
        </is>
      </c>
      <c r="D804" s="232" t="inlineStr">
        <is>
          <t>220-32-K-26</t>
        </is>
      </c>
      <c r="E804" s="234" t="n">
        <v>46260</v>
      </c>
      <c r="F804" s="232" t="inlineStr">
        <is>
          <t>FHM-K</t>
        </is>
      </c>
      <c r="G804" s="232" t="inlineStr">
        <is>
          <t>#3, #4, #5, #6</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N/A — no P batch assigned</t>
        </is>
      </c>
      <c r="C805" s="232" t="inlineStr">
        <is>
          <t>N/A — no P batch assigned</t>
        </is>
      </c>
      <c r="D805" s="232" t="inlineStr">
        <is>
          <t>220-32-M-26</t>
        </is>
      </c>
      <c r="E805" s="234" t="n">
        <v>46276</v>
      </c>
      <c r="F805" s="232" t="inlineStr">
        <is>
          <t>FHM-M</t>
        </is>
      </c>
      <c r="G805" s="232" t="inlineStr">
        <is>
          <t>#10</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P050142</t>
        </is>
      </c>
      <c r="C806" s="232" t="inlineStr">
        <is>
          <t>P050142</t>
        </is>
      </c>
      <c r="D806" s="232" t="inlineStr">
        <is>
          <t>iCoA-PP_26-020</t>
        </is>
      </c>
      <c r="E806" s="234" t="n">
        <v>45930</v>
      </c>
      <c r="F806" s="232" t="inlineStr">
        <is>
          <t>PP</t>
        </is>
      </c>
      <c r="G806" s="232" t="inlineStr">
        <is>
          <t>#1, #2, #7</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P050142</t>
        </is>
      </c>
      <c r="C807" s="232" t="inlineStr">
        <is>
          <t>P050142</t>
        </is>
      </c>
      <c r="D807" s="232" t="inlineStr">
        <is>
          <t>227-1-K-26</t>
        </is>
      </c>
      <c r="E807" s="234" t="n">
        <v>46276</v>
      </c>
      <c r="F807" s="232" t="inlineStr">
        <is>
          <t>FHM-K</t>
        </is>
      </c>
      <c r="G807" s="232" t="inlineStr">
        <is>
          <t>#3, #4, #5, #6</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P050142</t>
        </is>
      </c>
      <c r="C808" s="232" t="inlineStr">
        <is>
          <t>P050142</t>
        </is>
      </c>
      <c r="D808" s="232" t="inlineStr">
        <is>
          <t>559-1090-26</t>
        </is>
      </c>
      <c r="E808" s="234" t="n">
        <v>46266</v>
      </c>
      <c r="F808" s="232" t="inlineStr">
        <is>
          <t>IJZ-MB</t>
        </is>
      </c>
      <c r="G808" s="232" t="inlineStr">
        <is>
          <t>#9</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P060102</t>
        </is>
      </c>
      <c r="C809" s="232" t="inlineStr">
        <is>
          <t>P060102</t>
        </is>
      </c>
      <c r="D809" s="232" t="inlineStr">
        <is>
          <t>iCoA-PP_26-045</t>
        </is>
      </c>
      <c r="E809" s="234" t="n">
        <v>46069</v>
      </c>
      <c r="F809" s="232" t="inlineStr">
        <is>
          <t>PP</t>
        </is>
      </c>
      <c r="G809" s="232" t="inlineStr">
        <is>
          <t>#1, #2, #7</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P060102</t>
        </is>
      </c>
      <c r="C810" s="232" t="inlineStr">
        <is>
          <t>P060102</t>
        </is>
      </c>
      <c r="D810" s="232" t="inlineStr">
        <is>
          <t>227-4-K-26</t>
        </is>
      </c>
      <c r="E810" s="234" t="n">
        <v>46276</v>
      </c>
      <c r="F810" s="232" t="inlineStr">
        <is>
          <t>FHM-K</t>
        </is>
      </c>
      <c r="G810" s="232" t="inlineStr">
        <is>
          <t>#3, #4, #5, #6</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P060102</t>
        </is>
      </c>
      <c r="C811" s="232" t="inlineStr">
        <is>
          <t>P060102</t>
        </is>
      </c>
      <c r="D811" s="232" t="inlineStr">
        <is>
          <t>031-3-ГС-26</t>
        </is>
      </c>
      <c r="E811" s="234" t="n">
        <v>46065</v>
      </c>
      <c r="F811" s="232" t="inlineStr">
        <is>
          <t>FHM</t>
        </is>
      </c>
      <c r="G811" s="232" t="inlineStr">
        <is>
          <t>#8</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P060102</t>
        </is>
      </c>
      <c r="C812" s="232" t="inlineStr">
        <is>
          <t>P060102</t>
        </is>
      </c>
      <c r="D812" s="232" t="inlineStr">
        <is>
          <t>551-1082-26</t>
        </is>
      </c>
      <c r="E812" s="234" t="n">
        <v>46266</v>
      </c>
      <c r="F812" s="232" t="inlineStr">
        <is>
          <t>IJZ-MB</t>
        </is>
      </c>
      <c r="G812" s="232" t="inlineStr">
        <is>
          <t>#9</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P060112</t>
        </is>
      </c>
      <c r="C813" s="232" t="inlineStr">
        <is>
          <t>P060112</t>
        </is>
      </c>
      <c r="D813" s="232" t="inlineStr">
        <is>
          <t>iCoA-PP_26-046</t>
        </is>
      </c>
      <c r="E813" s="234" t="n">
        <v>46070</v>
      </c>
      <c r="F813" s="232" t="inlineStr">
        <is>
          <t>PP</t>
        </is>
      </c>
      <c r="G813" s="232" t="inlineStr">
        <is>
          <t>#1, #2, #7</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P060112</t>
        </is>
      </c>
      <c r="C814" s="232" t="inlineStr">
        <is>
          <t>P060112</t>
        </is>
      </c>
      <c r="D814" s="232" t="inlineStr">
        <is>
          <t>220-25-K-26</t>
        </is>
      </c>
      <c r="E814" s="234" t="n">
        <v>46260</v>
      </c>
      <c r="F814" s="232" t="inlineStr">
        <is>
          <t>FHM-K</t>
        </is>
      </c>
      <c r="G814" s="232" t="inlineStr">
        <is>
          <t>#3, #4, #5, #6</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P060112</t>
        </is>
      </c>
      <c r="C815" s="232" t="inlineStr">
        <is>
          <t>P060112</t>
        </is>
      </c>
      <c r="D815" s="232" t="inlineStr">
        <is>
          <t>220-25-M-26</t>
        </is>
      </c>
      <c r="E815" s="234" t="n">
        <v>46276</v>
      </c>
      <c r="F815" s="232" t="inlineStr">
        <is>
          <t>FHM-M</t>
        </is>
      </c>
      <c r="G815" s="232" t="inlineStr">
        <is>
          <t>#10</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P060122</t>
        </is>
      </c>
      <c r="C816" s="232" t="inlineStr">
        <is>
          <t>P060122</t>
        </is>
      </c>
      <c r="D816" s="232" t="inlineStr">
        <is>
          <t>iCoA-PP_26-047</t>
        </is>
      </c>
      <c r="E816" s="234" t="n">
        <v>46071</v>
      </c>
      <c r="F816" s="232" t="inlineStr">
        <is>
          <t>PP</t>
        </is>
      </c>
      <c r="G816" s="232" t="inlineStr">
        <is>
          <t>#1, #2, #7</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P060122</t>
        </is>
      </c>
      <c r="C817" s="232" t="inlineStr">
        <is>
          <t>P060122</t>
        </is>
      </c>
      <c r="D817" s="232" t="inlineStr">
        <is>
          <t>220-1-K-26</t>
        </is>
      </c>
      <c r="E817" s="234" t="n">
        <v>46259</v>
      </c>
      <c r="F817" s="232" t="inlineStr">
        <is>
          <t>FHM-K</t>
        </is>
      </c>
      <c r="G817" s="232" t="inlineStr">
        <is>
          <t>#3, #4, #5, #6</t>
        </is>
      </c>
      <c r="H817" s="297" t="inlineStr">
        <is>
          <t>The certificate names a P batch the owner's tracker does not carry. Record the lot (cultivation batch code, strain) on the tracker so the certificate is credited under its batch.</t>
        </is>
      </c>
    </row>
    <row r="818">
      <c r="A818" s="298" t="inlineStr">
        <is>
          <t>lot not on tracker</t>
        </is>
      </c>
      <c r="B818" s="233" t="inlineStr">
        <is>
          <t>P060122</t>
        </is>
      </c>
      <c r="C818" s="232" t="inlineStr">
        <is>
          <t>P060122</t>
        </is>
      </c>
      <c r="D818" s="232" t="inlineStr">
        <is>
          <t>220-1-M-26</t>
        </is>
      </c>
      <c r="E818" s="234" t="n">
        <v>46276</v>
      </c>
      <c r="F818" s="232" t="inlineStr">
        <is>
          <t>FHM-M</t>
        </is>
      </c>
      <c r="G818" s="232" t="inlineStr">
        <is>
          <t>#10</t>
        </is>
      </c>
      <c r="H818" s="297" t="inlineStr">
        <is>
          <t>The certificate names a P batch the owner's tracker does not carry. Record the lot (cultivation batch code, strain) on the tracker so the certificate is credited under its batch.</t>
        </is>
      </c>
    </row>
    <row r="819">
      <c r="A819" s="298" t="inlineStr">
        <is>
          <t>lot not on tracker</t>
        </is>
      </c>
      <c r="B819" s="233" t="inlineStr">
        <is>
          <t>P060132</t>
        </is>
      </c>
      <c r="C819" s="232" t="inlineStr">
        <is>
          <t>P060132</t>
        </is>
      </c>
      <c r="D819" s="232" t="inlineStr">
        <is>
          <t>iCoA-PP_26-048</t>
        </is>
      </c>
      <c r="E819" s="234" t="n">
        <v>46072</v>
      </c>
      <c r="F819" s="232" t="inlineStr">
        <is>
          <t>PP</t>
        </is>
      </c>
      <c r="G819" s="232" t="inlineStr">
        <is>
          <t>#1, #2, #7</t>
        </is>
      </c>
      <c r="H819" s="297" t="inlineStr">
        <is>
          <t>The certificate names a P batch the owner's tracker does not carry. Record the lot (cultivation batch code, strain) on the tracker so the certificate is credited under its batch.</t>
        </is>
      </c>
    </row>
    <row r="820">
      <c r="A820" s="298" t="inlineStr">
        <is>
          <t>lot not on tracker</t>
        </is>
      </c>
      <c r="B820" s="233" t="inlineStr">
        <is>
          <t>P060132</t>
        </is>
      </c>
      <c r="C820" s="232" t="inlineStr">
        <is>
          <t>P060132</t>
        </is>
      </c>
      <c r="D820" s="232" t="inlineStr">
        <is>
          <t>220-6-K-26</t>
        </is>
      </c>
      <c r="E820" s="234" t="n">
        <v>46259</v>
      </c>
      <c r="F820" s="232" t="inlineStr">
        <is>
          <t>FHM-K</t>
        </is>
      </c>
      <c r="G820" s="232" t="inlineStr">
        <is>
          <t>#3, #4, #5, #6</t>
        </is>
      </c>
      <c r="H820" s="297" t="inlineStr">
        <is>
          <t>The certificate names a P batch the owner's tracker does not carry. Record the lot (cultivation batch code, strain) on the tracker so the certificate is credited under its batch.</t>
        </is>
      </c>
    </row>
    <row r="821">
      <c r="A821" s="298" t="inlineStr">
        <is>
          <t>lot not on tracker</t>
        </is>
      </c>
      <c r="B821" s="233" t="inlineStr">
        <is>
          <t>P060132</t>
        </is>
      </c>
      <c r="C821" s="232" t="inlineStr">
        <is>
          <t>P060132</t>
        </is>
      </c>
      <c r="D821" s="232" t="inlineStr">
        <is>
          <t>220-6-M-26</t>
        </is>
      </c>
      <c r="E821" s="234" t="n">
        <v>46276</v>
      </c>
      <c r="F821" s="232" t="inlineStr">
        <is>
          <t>FHM-M</t>
        </is>
      </c>
      <c r="G821" s="232" t="inlineStr">
        <is>
          <t>#10</t>
        </is>
      </c>
      <c r="H821" s="297" t="inlineStr">
        <is>
          <t>The certificate names a P batch the owner's tracker does not carry. Record the lot (cultivation batch code, strain) on the tracker so the certificate is credited under its batch.</t>
        </is>
      </c>
    </row>
    <row r="822">
      <c r="A822" s="298" t="inlineStr">
        <is>
          <t>lot not on tracker</t>
        </is>
      </c>
      <c r="B822" s="233" t="inlineStr">
        <is>
          <t>P060342</t>
        </is>
      </c>
      <c r="C822" s="232" t="inlineStr">
        <is>
          <t>P060342</t>
        </is>
      </c>
      <c r="D822" s="232" t="inlineStr">
        <is>
          <t>iCoA-PP_26-088</t>
        </is>
      </c>
      <c r="E822" s="234" t="n">
        <v>46167</v>
      </c>
      <c r="F822" s="232" t="inlineStr">
        <is>
          <t>PP</t>
        </is>
      </c>
      <c r="G822" s="232" t="inlineStr">
        <is>
          <t>#1, #2, #7</t>
        </is>
      </c>
      <c r="H822" s="297" t="inlineStr">
        <is>
          <t>The certificate names a P batch the owner's tracker does not carry. Record the lot (cultivation batch code, strain) on the tracker so the certificate is credited under its batch.</t>
        </is>
      </c>
    </row>
    <row r="823">
      <c r="A823" s="298" t="inlineStr">
        <is>
          <t>lot not on tracker</t>
        </is>
      </c>
      <c r="B823" s="233" t="inlineStr">
        <is>
          <t>P060342</t>
        </is>
      </c>
      <c r="C823" s="232" t="inlineStr">
        <is>
          <t>P060342</t>
        </is>
      </c>
      <c r="D823" s="232" t="inlineStr">
        <is>
          <t>227-8-K-26</t>
        </is>
      </c>
      <c r="E823" s="234" t="n">
        <v>46276</v>
      </c>
      <c r="F823" s="232" t="inlineStr">
        <is>
          <t>FHM-K</t>
        </is>
      </c>
      <c r="G823" s="232" t="inlineStr">
        <is>
          <t>#3, #4, #5, #6</t>
        </is>
      </c>
      <c r="H823" s="297" t="inlineStr">
        <is>
          <t>The certificate names a P batch the owner's tracker does not carry. Record the lot (cultivation batch code, strain) on the tracker so the certificate is credited under its batch.</t>
        </is>
      </c>
    </row>
    <row r="824">
      <c r="A824" s="298" t="inlineStr">
        <is>
          <t>lot not on tracker</t>
        </is>
      </c>
      <c r="B824" s="233" t="inlineStr">
        <is>
          <t>P060342</t>
        </is>
      </c>
      <c r="C824" s="232" t="inlineStr">
        <is>
          <t>P060342</t>
        </is>
      </c>
      <c r="D824" s="232" t="inlineStr">
        <is>
          <t>539-1070-26</t>
        </is>
      </c>
      <c r="E824" s="234" t="n">
        <v>46265</v>
      </c>
      <c r="F824" s="232" t="inlineStr">
        <is>
          <t>IJZ-MB</t>
        </is>
      </c>
      <c r="G824" s="232" t="inlineStr">
        <is>
          <t>#9</t>
        </is>
      </c>
      <c r="H824" s="297" t="inlineStr">
        <is>
          <t>The certificate names a P batch the owner's tracker does not carry. Record the lot (cultivation batch code, strain) on the tracker so the certificate is credited under its batch.</t>
        </is>
      </c>
    </row>
    <row r="825">
      <c r="A825" s="298" t="inlineStr">
        <is>
          <t>lot not on tracker</t>
        </is>
      </c>
      <c r="B825" s="233" t="inlineStr">
        <is>
          <t>P060372</t>
        </is>
      </c>
      <c r="C825" s="232" t="inlineStr">
        <is>
          <t>P060372</t>
        </is>
      </c>
      <c r="D825" s="232" t="inlineStr">
        <is>
          <t>iCoA-PP_26-084</t>
        </is>
      </c>
      <c r="E825" s="234" t="n">
        <v>46166</v>
      </c>
      <c r="F825" s="232" t="inlineStr">
        <is>
          <t>PP</t>
        </is>
      </c>
      <c r="G825" s="232" t="inlineStr">
        <is>
          <t>#1, #2, #7</t>
        </is>
      </c>
      <c r="H825" s="297" t="inlineStr">
        <is>
          <t>The certificate names a P batch the owner's tracker does not carry. Record the lot (cultivation batch code, strain) on the tracker so the certificate is credited under its batch.</t>
        </is>
      </c>
    </row>
    <row r="826">
      <c r="A826" s="298" t="inlineStr">
        <is>
          <t>lot not on tracker</t>
        </is>
      </c>
      <c r="B826" s="233" t="inlineStr">
        <is>
          <t>P060372</t>
        </is>
      </c>
      <c r="C826" s="232" t="inlineStr">
        <is>
          <t>P060372</t>
        </is>
      </c>
      <c r="D826" s="232" t="inlineStr">
        <is>
          <t>220-29-K-26</t>
        </is>
      </c>
      <c r="E826" s="234" t="n">
        <v>46260</v>
      </c>
      <c r="F826" s="232" t="inlineStr">
        <is>
          <t>FHM-K</t>
        </is>
      </c>
      <c r="G826" s="232" t="inlineStr">
        <is>
          <t>#3, #4, #5, #6</t>
        </is>
      </c>
      <c r="H826" s="297" t="inlineStr">
        <is>
          <t>The certificate names a P batch the owner's tracker does not carry. Record the lot (cultivation batch code, strain) on the tracker so the certificate is credited under its batch.</t>
        </is>
      </c>
    </row>
    <row r="827">
      <c r="A827" s="298" t="inlineStr">
        <is>
          <t>lot not on tracker</t>
        </is>
      </c>
      <c r="B827" s="233" t="inlineStr">
        <is>
          <t>P060372</t>
        </is>
      </c>
      <c r="C827" s="232" t="inlineStr">
        <is>
          <t>P060372</t>
        </is>
      </c>
      <c r="D827" s="232" t="inlineStr">
        <is>
          <t>220-29-M-26</t>
        </is>
      </c>
      <c r="E827" s="234" t="n">
        <v>46276</v>
      </c>
      <c r="F827" s="232" t="inlineStr">
        <is>
          <t>FHM-M</t>
        </is>
      </c>
      <c r="G827" s="232" t="inlineStr">
        <is>
          <t>#10</t>
        </is>
      </c>
      <c r="H827" s="297" t="inlineStr">
        <is>
          <t>The certificate names a P batch the owner's tracker does not carry. Record the lot (cultivation batch code, strain) on the tracker so the certificate is credited under its batch.</t>
        </is>
      </c>
    </row>
    <row r="828">
      <c r="A828" s="298" t="inlineStr">
        <is>
          <t>lot not on tracker</t>
        </is>
      </c>
      <c r="B828" s="233" t="inlineStr">
        <is>
          <t>P060492</t>
        </is>
      </c>
      <c r="C828" s="232" t="inlineStr">
        <is>
          <t>P060492</t>
        </is>
      </c>
      <c r="D828" s="232" t="inlineStr">
        <is>
          <t>iCoA-PP_26-122</t>
        </is>
      </c>
      <c r="E828" s="234" t="n">
        <v>46247</v>
      </c>
      <c r="F828" s="232" t="inlineStr">
        <is>
          <t>PP</t>
        </is>
      </c>
      <c r="G828" s="232" t="inlineStr">
        <is>
          <t>#1, #2, #7</t>
        </is>
      </c>
      <c r="H828" s="297" t="inlineStr">
        <is>
          <t>The certificate names a P batch the owner's tracker does not carry. Record the lot (cultivation batch code, strain) on the tracker so the certificate is credited under its batch.</t>
        </is>
      </c>
    </row>
    <row r="829">
      <c r="A829" s="298" t="inlineStr">
        <is>
          <t>lot not on tracker</t>
        </is>
      </c>
      <c r="B829" s="233" t="inlineStr">
        <is>
          <t>P060492</t>
        </is>
      </c>
      <c r="C829" s="232" t="inlineStr">
        <is>
          <t>P060492</t>
        </is>
      </c>
      <c r="D829" s="232" t="inlineStr">
        <is>
          <t>220-30-K-26</t>
        </is>
      </c>
      <c r="E829" s="234" t="n">
        <v>46260</v>
      </c>
      <c r="F829" s="232" t="inlineStr">
        <is>
          <t>FHM-K</t>
        </is>
      </c>
      <c r="G829" s="232" t="inlineStr">
        <is>
          <t>#3, #4, #5, #6</t>
        </is>
      </c>
      <c r="H829" s="297" t="inlineStr">
        <is>
          <t>The certificate names a P batch the owner's tracker does not carry. Record the lot (cultivation batch code, strain) on the tracker so the certificate is credited under its batch.</t>
        </is>
      </c>
    </row>
    <row r="830">
      <c r="A830" s="298" t="inlineStr">
        <is>
          <t>lot not on tracker</t>
        </is>
      </c>
      <c r="B830" s="233" t="inlineStr">
        <is>
          <t>P060492</t>
        </is>
      </c>
      <c r="C830" s="232" t="inlineStr">
        <is>
          <t>P060492</t>
        </is>
      </c>
      <c r="D830" s="232" t="inlineStr">
        <is>
          <t>220-30-M-26</t>
        </is>
      </c>
      <c r="E830" s="234" t="n">
        <v>46276</v>
      </c>
      <c r="F830" s="232" t="inlineStr">
        <is>
          <t>FHM-M</t>
        </is>
      </c>
      <c r="G830" s="232" t="inlineStr">
        <is>
          <t>#10</t>
        </is>
      </c>
      <c r="H830" s="297" t="inlineStr">
        <is>
          <t>The certificate names a P batch the owner's tracker does not carry. Record the lot (cultivation batch code, strain) on the tracker so the certificate is credited under its batch.</t>
        </is>
      </c>
    </row>
    <row r="831">
      <c r="A831" s="298" t="inlineStr">
        <is>
          <t>non-conformance reported</t>
        </is>
      </c>
      <c r="B831" s="233" t="inlineStr">
        <is>
          <t>FB032601</t>
        </is>
      </c>
      <c r="C831" s="232" t="inlineStr">
        <is>
          <t>P060452</t>
        </is>
      </c>
      <c r="D831" s="232" t="inlineStr">
        <is>
          <t>ППК26127</t>
        </is>
      </c>
      <c r="E831" s="234" t="n">
        <v>46224</v>
      </c>
      <c r="F831" s="232" t="inlineStr">
        <is>
          <t>CNP</t>
        </is>
      </c>
      <c r="G831" s="232" t="inlineStr">
        <is>
          <t>#7</t>
        </is>
      </c>
      <c r="H831" s="297" t="inlineStr">
        <is>
          <t>The laboratory reports the result as not conforming (Не одговара). A deviation / OOS record is needed before this lot's CoQ can issue.</t>
        </is>
      </c>
    </row>
    <row r="832">
      <c r="A832" s="296" t="inlineStr">
        <is>
          <t>not ingested</t>
        </is>
      </c>
      <c r="B832" s="233" t="inlineStr">
        <is>
          <t>J31122501</t>
        </is>
      </c>
      <c r="C832" s="232" t="inlineStr">
        <is>
          <t>P060262</t>
        </is>
      </c>
      <c r="D832" s="232" t="inlineStr">
        <is>
          <t>1625-2026</t>
        </is>
      </c>
      <c r="E832" s="234" t="n">
        <v>46135</v>
      </c>
      <c r="F832" s="232" t="inlineStr">
        <is>
          <t>IJZ</t>
        </is>
      </c>
      <c r="G832" s="232" t="inlineStr">
        <is>
          <t>#11</t>
        </is>
      </c>
      <c r="H832" s="297" t="inlineStr">
        <is>
          <t>Re-extract the document into the eCoA database (two independent reads, 300 DPI). Until then the lot cannot reach a CoQ on these parameters.</t>
        </is>
      </c>
    </row>
    <row r="833">
      <c r="A833" s="296" t="inlineStr">
        <is>
          <t>not ingested</t>
        </is>
      </c>
      <c r="B833" s="233" t="inlineStr">
        <is>
          <t>J31122501</t>
        </is>
      </c>
      <c r="C833" s="232" t="inlineStr">
        <is>
          <t>P060262</t>
        </is>
      </c>
      <c r="D833" s="232" t="inlineStr">
        <is>
          <t>100-3-K-26</t>
        </is>
      </c>
      <c r="E833" s="234" t="n">
        <v>46121</v>
      </c>
      <c r="F833" s="232" t="inlineStr">
        <is>
          <t>FHM-K</t>
        </is>
      </c>
      <c r="G833" s="232" t="inlineStr">
        <is>
          <t>#3</t>
        </is>
      </c>
      <c r="H833" s="297" t="inlineStr">
        <is>
          <t>Re-extract the document into the eCoA database (two independent reads, 300 DPI). Until then the lot cannot reach a CoQ on these parameters.</t>
        </is>
      </c>
    </row>
    <row r="834">
      <c r="A834" s="296" t="inlineStr">
        <is>
          <t>not ingested</t>
        </is>
      </c>
      <c r="B834" s="233" t="inlineStr">
        <is>
          <t>MB0824_04</t>
        </is>
      </c>
      <c r="C834" s="232" t="inlineStr">
        <is>
          <t>P050032</t>
        </is>
      </c>
      <c r="D834" s="232" t="inlineStr">
        <is>
          <t>ППК25118</t>
        </is>
      </c>
      <c r="E834" s="234" t="n">
        <v>45783</v>
      </c>
      <c r="F834" s="232" t="inlineStr">
        <is>
          <t>CNP</t>
        </is>
      </c>
      <c r="G834" s="232" t="inlineStr">
        <is>
          <t>#6</t>
        </is>
      </c>
      <c r="H834" s="297" t="inlineStr">
        <is>
          <t>Re-extract the document into the eCoA database (two independent reads, 300 DPI). Until then the lot cannot reach a CoQ on these parameters.</t>
        </is>
      </c>
    </row>
    <row r="835">
      <c r="A835" s="296" t="inlineStr">
        <is>
          <t>not ingested</t>
        </is>
      </c>
      <c r="B835" s="233" t="inlineStr">
        <is>
          <t>OPM052501</t>
        </is>
      </c>
      <c r="C835" s="232" t="inlineStr">
        <is>
          <t>P050132</t>
        </is>
      </c>
      <c r="D835" s="232" t="inlineStr">
        <is>
          <t>ППК25257</t>
        </is>
      </c>
      <c r="E835" s="234" t="n">
        <v>45905</v>
      </c>
      <c r="F835" s="232" t="inlineStr">
        <is>
          <t>CNP</t>
        </is>
      </c>
      <c r="G835" s="232" t="inlineStr">
        <is>
          <t>#6</t>
        </is>
      </c>
      <c r="H835" s="297" t="inlineStr">
        <is>
          <t>Re-extract the document into the eCoA database (two independent reads, 300 DPI). Until then the lot cannot reach a CoQ on these parameters.</t>
        </is>
      </c>
    </row>
    <row r="836">
      <c r="A836" s="296" t="inlineStr">
        <is>
          <t>not ingested</t>
        </is>
      </c>
      <c r="B836" s="233" t="inlineStr">
        <is>
          <t>OPM112501</t>
        </is>
      </c>
      <c r="C836" s="232" t="inlineStr">
        <is>
          <t>P060222</t>
        </is>
      </c>
      <c r="D836" s="232" t="inlineStr">
        <is>
          <t>ППК26031</t>
        </is>
      </c>
      <c r="E836" s="234" t="n">
        <v>46086</v>
      </c>
      <c r="F836" s="232" t="inlineStr">
        <is>
          <t>CNP</t>
        </is>
      </c>
      <c r="G836" s="232" t="inlineStr">
        <is>
          <t>#6</t>
        </is>
      </c>
      <c r="H836" s="297" t="inlineStr">
        <is>
          <t>Re-extract the document into the eCoA database (two independent reads, 300 DPI). Until then the lot cannot reach a CoQ on these parameters.</t>
        </is>
      </c>
    </row>
    <row r="837">
      <c r="A837" s="296" t="inlineStr">
        <is>
          <t>not ingested</t>
        </is>
      </c>
      <c r="B837" s="233" t="inlineStr">
        <is>
          <t>PM072501</t>
        </is>
      </c>
      <c r="C837" s="232" t="inlineStr">
        <is>
          <t>P050272</t>
        </is>
      </c>
      <c r="D837" s="232" t="inlineStr">
        <is>
          <t>ППК25368</t>
        </is>
      </c>
      <c r="E837" s="234" t="n">
        <v>45989</v>
      </c>
      <c r="F837" s="232" t="inlineStr">
        <is>
          <t>CNP</t>
        </is>
      </c>
      <c r="G837" s="232" t="inlineStr">
        <is>
          <t>#6</t>
        </is>
      </c>
      <c r="H837" s="297" t="inlineStr">
        <is>
          <t>Re-extract the document into the eCoA database (two independent reads, 300 DPI). Until then the lot cannot reach a CoQ on these parameters.</t>
        </is>
      </c>
    </row>
    <row r="838">
      <c r="A838" s="298" t="inlineStr">
        <is>
          <t>strain name unruled</t>
        </is>
      </c>
      <c r="B838" s="233" t="inlineStr">
        <is>
          <t>Appels &amp; Bananas</t>
        </is>
      </c>
      <c r="C838" s="232" t="inlineStr">
        <is>
          <t>—</t>
        </is>
      </c>
      <c r="D838" s="232" t="inlineStr">
        <is>
          <t>—</t>
        </is>
      </c>
      <c r="E838" s="234" t="inlineStr">
        <is>
          <t>—</t>
        </is>
      </c>
      <c r="F838" s="232" t="inlineStr">
        <is>
          <t>—</t>
        </is>
      </c>
      <c r="G838" s="232" t="inlineStr">
        <is>
          <t>strain, printed on every CoQ</t>
        </is>
      </c>
      <c r="H838"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39">
      <c r="A839" s="298" t="inlineStr">
        <is>
          <t>strain name unruled</t>
        </is>
      </c>
      <c r="B839" s="233" t="inlineStr">
        <is>
          <t>Clemosa a Bud</t>
        </is>
      </c>
      <c r="C839" s="232" t="inlineStr">
        <is>
          <t>—</t>
        </is>
      </c>
      <c r="D839" s="232" t="inlineStr">
        <is>
          <t>—</t>
        </is>
      </c>
      <c r="E839" s="234" t="inlineStr">
        <is>
          <t>—</t>
        </is>
      </c>
      <c r="F839" s="232" t="inlineStr">
        <is>
          <t>—</t>
        </is>
      </c>
      <c r="G839" s="232" t="inlineStr">
        <is>
          <t>strain, printed on every CoQ</t>
        </is>
      </c>
      <c r="H839"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40">
      <c r="A840" s="298" t="inlineStr">
        <is>
          <t>strain name unruled</t>
        </is>
      </c>
      <c r="B840" s="233" t="inlineStr">
        <is>
          <t>Jelly Donuts</t>
        </is>
      </c>
      <c r="C840" s="232" t="inlineStr">
        <is>
          <t>—</t>
        </is>
      </c>
      <c r="D840" s="232" t="inlineStr">
        <is>
          <t>—</t>
        </is>
      </c>
      <c r="E840" s="234" t="inlineStr">
        <is>
          <t>—</t>
        </is>
      </c>
      <c r="F840" s="232" t="inlineStr">
        <is>
          <t>—</t>
        </is>
      </c>
      <c r="G840" s="232" t="inlineStr">
        <is>
          <t>strain, printed on every CoQ</t>
        </is>
      </c>
      <c r="H840"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41">
      <c r="A841" s="298" t="inlineStr">
        <is>
          <t>strain name unruled</t>
        </is>
      </c>
      <c r="B841" s="233" t="inlineStr">
        <is>
          <t>Permanent Marker</t>
        </is>
      </c>
      <c r="C841" s="232" t="inlineStr">
        <is>
          <t>—</t>
        </is>
      </c>
      <c r="D841" s="232" t="inlineStr">
        <is>
          <t>—</t>
        </is>
      </c>
      <c r="E841" s="234" t="inlineStr">
        <is>
          <t>—</t>
        </is>
      </c>
      <c r="F841" s="232" t="inlineStr">
        <is>
          <t>—</t>
        </is>
      </c>
      <c r="G841" s="232" t="inlineStr">
        <is>
          <t>strain, printed on every CoQ</t>
        </is>
      </c>
      <c r="H841"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42">
      <c r="A842" s="298" t="inlineStr">
        <is>
          <t>strain name unruled</t>
        </is>
      </c>
      <c r="B842" s="233" t="inlineStr">
        <is>
          <t>Sleepy Joe</t>
        </is>
      </c>
      <c r="C842" s="232" t="inlineStr">
        <is>
          <t>—</t>
        </is>
      </c>
      <c r="D842" s="232" t="inlineStr">
        <is>
          <t>—</t>
        </is>
      </c>
      <c r="E842" s="234" t="inlineStr">
        <is>
          <t>—</t>
        </is>
      </c>
      <c r="F842" s="232" t="inlineStr">
        <is>
          <t>—</t>
        </is>
      </c>
      <c r="G842" s="232" t="inlineStr">
        <is>
          <t>strain, printed on every CoQ</t>
        </is>
      </c>
      <c r="H842"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43">
      <c r="A843" s="298" t="inlineStr">
        <is>
          <t>strain name unruled</t>
        </is>
      </c>
      <c r="B843" s="233" t="inlineStr">
        <is>
          <t>Wedding Crasher</t>
        </is>
      </c>
      <c r="C843" s="232" t="inlineStr">
        <is>
          <t>—</t>
        </is>
      </c>
      <c r="D843" s="232" t="inlineStr">
        <is>
          <t>—</t>
        </is>
      </c>
      <c r="E843" s="234" t="inlineStr">
        <is>
          <t>—</t>
        </is>
      </c>
      <c r="F843" s="232" t="inlineStr">
        <is>
          <t>—</t>
        </is>
      </c>
      <c r="G843" s="232" t="inlineStr">
        <is>
          <t>strain, printed on every CoQ</t>
        </is>
      </c>
      <c r="H843"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46" ht="20" customHeight="1" s="70">
      <c r="A846" s="253" t="inlineStr">
        <is>
          <t>OPEN ITEMS</t>
        </is>
      </c>
    </row>
    <row r="847">
      <c r="A847" s="299" t="inlineStr">
        <is>
          <t>Ref</t>
        </is>
      </c>
      <c r="B847" s="299" t="inlineStr">
        <is>
          <t>Area</t>
        </is>
      </c>
      <c r="C847" s="299" t="inlineStr">
        <is>
          <t>State</t>
        </is>
      </c>
      <c r="D847" s="299" t="inlineStr">
        <is>
          <t>Item</t>
        </is>
      </c>
      <c r="E847" s="299" t="inlineStr">
        <is>
          <t>What was found</t>
        </is>
      </c>
      <c r="F847" s="299" t="inlineStr">
        <is>
          <t>What the desk did</t>
        </is>
      </c>
      <c r="G847" s="299" t="inlineStr">
        <is>
          <t>What is needed</t>
        </is>
      </c>
      <c r="H847" s="299" t="inlineStr">
        <is>
          <t>Evidence</t>
        </is>
      </c>
    </row>
    <row r="848" ht="66" customHeight="1" s="70">
      <c r="A848" s="300" t="inlineStr">
        <is>
          <t>OI-01</t>
        </is>
      </c>
      <c r="B848" s="300" t="inlineStr">
        <is>
          <t>Specification</t>
        </is>
      </c>
      <c r="C848" s="301" t="inlineStr">
        <is>
          <t>marked</t>
        </is>
      </c>
      <c r="D848" s="302" t="inlineStr">
        <is>
          <t>A lot graded IV or V whose strain has no specification at that grade</t>
        </is>
      </c>
      <c r="E848"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8" s="302" t="inlineStr">
        <is>
          <t>The phenotype, chemotype, processing and packaging pills are left unticked and the band is marked, on 3 lots.</t>
        </is>
      </c>
      <c r="G848"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8" s="302" t="inlineStr">
        <is>
          <t>spec_attributes_2026-09-10.csv; CJ082501/2, GP082501/2, OPM122501</t>
        </is>
      </c>
    </row>
    <row r="849" ht="66" customHeight="1" s="70">
      <c r="A849" s="300" t="inlineStr">
        <is>
          <t>OI-02</t>
        </is>
      </c>
      <c r="B849" s="300" t="inlineStr">
        <is>
          <t>Specification</t>
        </is>
      </c>
      <c r="C849" s="301" t="inlineStr">
        <is>
          <t>marked</t>
        </is>
      </c>
      <c r="D849" s="302" t="inlineStr">
        <is>
          <t>Two certificates name a specification by potency band instead of grade</t>
        </is>
      </c>
      <c r="E849" s="302" t="inlineStr">
        <is>
          <t>GP052501 names QCSP_001_GP-THC18_v.01 and GRC102501/2 names QCSP_001_GRC-THC12_v.01. Neither exists in the issued set under any name — but QCSP_001_GP-IV_v.01 does, and IV is the grade GP052501 carries.</t>
        </is>
      </c>
      <c r="F849" s="302" t="inlineStr">
        <is>
          <t>Both pills are marked. No substitution was made without a ruling.</t>
        </is>
      </c>
      <c r="G849" s="302" t="inlineStr">
        <is>
          <t>Is the potency-band name an older convention for the same document? If so the desk joins on the grade and both resolve immediately.</t>
        </is>
      </c>
      <c r="H849" s="302" t="inlineStr">
        <is>
          <t>export_coq_artifact_data.py specification join; 2 lots</t>
        </is>
      </c>
    </row>
    <row r="850" ht="66" customHeight="1" s="70">
      <c r="A850" s="300" t="inlineStr">
        <is>
          <t>OI-03</t>
        </is>
      </c>
      <c r="B850" s="300" t="inlineStr">
        <is>
          <t>Specification</t>
        </is>
      </c>
      <c r="C850" s="303" t="inlineStr">
        <is>
          <t>open</t>
        </is>
      </c>
      <c r="D850" s="302" t="inlineStr">
        <is>
          <t>Thirty-two lots have no grade, so no specification can be named at all</t>
        </is>
      </c>
      <c r="E850" s="302" t="inlineStr">
        <is>
          <t>The grade comes from product_specifications_QCSP001.json, built from the specification copies handed out with the tranches, which covers 48 of the 80 lots. For the other 32 the desk cannot compose a specification code, and the certificate names none.</t>
        </is>
      </c>
      <c r="F850" s="302" t="inlineStr">
        <is>
          <t>Nothing is printed and nothing is guessed.</t>
        </is>
      </c>
      <c r="G850" s="302" t="inlineStr">
        <is>
          <t>Where is the grade for the remaining 32 lots recorded? Once the desk has it, the specification code follows from the strain and the pills fill themselves.</t>
        </is>
      </c>
      <c r="H850" s="302" t="inlineStr">
        <is>
          <t>48 of 80 lots indexed; 68 of 164 certificate records carry no grade</t>
        </is>
      </c>
    </row>
    <row r="851" ht="66" customHeight="1" s="70">
      <c r="A851" s="300" t="inlineStr">
        <is>
          <t>OI-04</t>
        </is>
      </c>
      <c r="B851" s="300" t="inlineStr">
        <is>
          <t>Result reading</t>
        </is>
      </c>
      <c r="C851" s="301" t="inlineStr">
        <is>
          <t>marked</t>
        </is>
      </c>
      <c r="D851" s="302" t="inlineStr">
        <is>
          <t>Four lots where which analyte the figure belongs to decides pass or fail</t>
        </is>
      </c>
      <c r="E851"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1" s="302" t="inlineStr">
        <is>
          <t>The figure is printed as the desk reads it and the lot is named here. None of the four may be signed until a person has read the page.</t>
        </is>
      </c>
      <c r="G851" s="302" t="inlineStr">
        <is>
          <t>Read the four certificates and confirm which analyte the figure belongs to.</t>
        </is>
      </c>
      <c r="H851" s="302" t="inlineStr">
        <is>
          <t>COQ_DRAFTING_2026-09-10.md; 4 lots</t>
        </is>
      </c>
    </row>
    <row r="852" ht="66" customHeight="1" s="70">
      <c r="A852" s="300" t="inlineStr">
        <is>
          <t>OI-05</t>
        </is>
      </c>
      <c r="B852" s="300" t="inlineStr">
        <is>
          <t>Result reading</t>
        </is>
      </c>
      <c r="C852" s="303" t="inlineStr">
        <is>
          <t>open</t>
        </is>
      </c>
      <c r="D852" s="302" t="inlineStr">
        <is>
          <t>Nineteen lots print a Total Δ⁹-THC outside the range printed beside it</t>
        </is>
      </c>
      <c r="E852" s="302" t="inlineStr">
        <is>
          <t>The acceptance test was one-sided — it asked only whether a value exceeded its limit — so an assay BELOW its band was never flagged anywhere. Corpus-wide, 19 lots carry a potency outside the range on their own certificate, every one recorded as covered.</t>
        </is>
      </c>
      <c r="F852" s="302" t="inlineStr">
        <is>
          <t>The comparison now happens in the gap report, never on the certificate, and the report declines any criterion it cannot read as two numbers.</t>
        </is>
      </c>
      <c r="G852" s="302" t="inlineStr">
        <is>
          <t>Each of the 19 needs a disposition: re-read, re-test, or a regrade.</t>
        </is>
      </c>
      <c r="H852" s="302" t="inlineStr">
        <is>
          <t>status_of / the two-sided criterion; 19 lots</t>
        </is>
      </c>
    </row>
    <row r="853" ht="66" customHeight="1" s="70">
      <c r="A853" s="300" t="inlineStr">
        <is>
          <t>OI-06</t>
        </is>
      </c>
      <c r="B853" s="300" t="inlineStr">
        <is>
          <t>Reconciliation</t>
        </is>
      </c>
      <c r="C853" s="303" t="inlineStr">
        <is>
          <t>open</t>
        </is>
      </c>
      <c r="D853" s="302" t="inlineStr">
        <is>
          <t>Forty-six disagreements between the desk and the owner's 09.09 pass</t>
        </is>
      </c>
      <c r="E853" s="302"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3" s="302" t="inlineStr">
        <is>
          <t>One of the 46 is resolved by the Head of QC's ruling. The rest are not resolved by the desk; both readings are shown with their sources.</t>
        </is>
      </c>
      <c r="G853" s="302" t="inlineStr">
        <is>
          <t>A person reads the page for each of the 46 and says which reading stands.</t>
        </is>
      </c>
      <c r="H853" s="302" t="inlineStr">
        <is>
          <t>Reconciliation 09.09 sheet; 46 rows</t>
        </is>
      </c>
    </row>
    <row r="854" ht="66" customHeight="1" s="70">
      <c r="A854" s="300" t="inlineStr">
        <is>
          <t>OI-07</t>
        </is>
      </c>
      <c r="B854" s="300" t="inlineStr">
        <is>
          <t>Issuance</t>
        </is>
      </c>
      <c r="C854" s="303" t="inlineStr">
        <is>
          <t>open</t>
        </is>
      </c>
      <c r="D854" s="302" t="inlineStr">
        <is>
          <t>Fifty-seven certificates of quality are dated on a Saturday</t>
        </is>
      </c>
      <c r="E854" s="302" t="inlineStr">
        <is>
          <t>06.06.2026, the blanket date for everything that would otherwise issue before the specification SOP, is a Saturday. The builder's own convention is that a controlled document issues on a working day.</t>
        </is>
      </c>
      <c r="F854" s="302" t="inlineStr">
        <is>
          <t>The owner's date outranks the desk's convention, so it is kept as given and the workbook carries a flag saying it was chosen deliberately.</t>
        </is>
      </c>
      <c r="G854" s="302" t="inlineStr">
        <is>
          <t>Confirm 06.06.2026, or name the working day it moves to (08.06.2026 is the Monday).</t>
        </is>
      </c>
      <c r="H854" s="302" t="inlineStr">
        <is>
          <t>issuance_schedule.COQ_BLANKET; 57 certificates</t>
        </is>
      </c>
    </row>
    <row r="855" ht="66" customHeight="1" s="70">
      <c r="A855" s="300" t="inlineStr">
        <is>
          <t>OI-08</t>
        </is>
      </c>
      <c r="B855" s="300" t="inlineStr">
        <is>
          <t>Reference</t>
        </is>
      </c>
      <c r="C855" s="303" t="inlineStr">
        <is>
          <t>open</t>
        </is>
      </c>
      <c r="D855" s="302" t="inlineStr">
        <is>
          <t>Five result cells cite an SOP form number instead of a certificate</t>
        </is>
      </c>
      <c r="E855"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5" s="302" t="inlineStr">
        <is>
          <t>The reference is printed as it stands and the lots are named here.</t>
        </is>
      </c>
      <c r="G855" s="302" t="inlineStr">
        <is>
          <t>Does the NGP laboratory issue a numbered report for this work? If not, these results need a different basis.</t>
        </is>
      </c>
      <c r="H855" s="302" t="inlineStr">
        <is>
          <t>2 lots, 10 result cells</t>
        </is>
      </c>
    </row>
    <row r="856" ht="66" customHeight="1" s="70">
      <c r="A856" s="300" t="inlineStr">
        <is>
          <t>OI-09</t>
        </is>
      </c>
      <c r="B856" s="300" t="inlineStr">
        <is>
          <t>Reference</t>
        </is>
      </c>
      <c r="C856" s="303" t="inlineStr">
        <is>
          <t>open</t>
        </is>
      </c>
      <c r="D856" s="302" t="inlineStr">
        <is>
          <t>One laboratory report is on file twice, once per language</t>
        </is>
      </c>
      <c r="E856" s="302" t="inlineStr">
        <is>
          <t>10802_2845-2 EN and 10802_2845-2 MK are the same DFL report for BSS052501, cited as two documents, which is why that lot's certificate count reads one higher than the sheet's.</t>
        </is>
      </c>
      <c r="F856" s="302" t="inlineStr">
        <is>
          <t>Both are cited as the desk found them.</t>
        </is>
      </c>
      <c r="G856" s="302" t="inlineStr">
        <is>
          <t>Confirm the two files are one report, and which language version is the controlled copy.</t>
        </is>
      </c>
      <c r="H856" s="302" t="inlineStr">
        <is>
          <t>BSS052501; Batch Coverage Certificates (n)</t>
        </is>
      </c>
    </row>
    <row r="857" ht="66" customHeight="1" s="70">
      <c r="A857" s="300" t="inlineStr">
        <is>
          <t>OI-10</t>
        </is>
      </c>
      <c r="B857" s="300" t="inlineStr">
        <is>
          <t>Batch identity</t>
        </is>
      </c>
      <c r="C857" s="303" t="inlineStr">
        <is>
          <t>open</t>
        </is>
      </c>
      <c r="D857" s="302" t="inlineStr">
        <is>
          <t>Three delivered lots have no cultivation batch recorded anywhere</t>
        </is>
      </c>
      <c r="E857" s="302" t="inlineStr">
        <is>
          <t>P160012, P160022 and P160032 carry full CNP results (ППК26117/18/19, 06.07.2026) and a P number in a series of their own, but no cultivation batch, and no row at all in the Head of QC's Batch Dates list — so no manufacturing date and no internal CoA basis.</t>
        </is>
      </c>
      <c r="F857" s="302" t="inlineStr">
        <is>
          <t>Each row now names its P number inside the label so the three are distinguishable and no join collapses them; the cultivation batch is left unrecorded rather than invented.</t>
        </is>
      </c>
      <c r="G857" s="302" t="inlineStr">
        <is>
          <t>What are the cultivation batches, manufacturing and packaging dates for the P1600xx series?</t>
        </is>
      </c>
      <c r="H857" s="302" t="inlineStr">
        <is>
          <t>3 lots; also absent from Batch Dates: JD112501＊</t>
        </is>
      </c>
    </row>
    <row r="858" ht="66" customHeight="1" s="70">
      <c r="A858" s="300" t="inlineStr">
        <is>
          <t>OI-11</t>
        </is>
      </c>
      <c r="B858" s="300" t="inlineStr">
        <is>
          <t>Batch identity</t>
        </is>
      </c>
      <c r="C858" s="303" t="inlineStr">
        <is>
          <t>open</t>
        </is>
      </c>
      <c r="D858" s="302" t="inlineStr">
        <is>
          <t>One lot carries two P batches in a single cell</t>
        </is>
      </c>
      <c r="E858" s="302" t="inlineStr">
        <is>
          <t>GRC102501 is recorded against P060142 / P060182 in one cell, so its coverage row aggregates what are arguably two lots and its certificate count cannot reconcile.</t>
        </is>
      </c>
      <c r="F858" s="302" t="inlineStr">
        <is>
          <t>Left as the owner's tracker records it.</t>
        </is>
      </c>
      <c r="G858" s="302" t="inlineStr">
        <is>
          <t>Are these one lot packed into two P batches, or two lots sharing a cultivation batch? If two, they need two rows.</t>
        </is>
      </c>
      <c r="H858" s="302" t="inlineStr">
        <is>
          <t>GRC102501</t>
        </is>
      </c>
    </row>
    <row r="859" ht="66" customHeight="1" s="70">
      <c r="A859" s="300" t="inlineStr">
        <is>
          <t>OI-12</t>
        </is>
      </c>
      <c r="B859" s="300" t="inlineStr">
        <is>
          <t>Batch identity</t>
        </is>
      </c>
      <c r="C859" s="304" t="inlineStr">
        <is>
          <t>ruled</t>
        </is>
      </c>
      <c r="D859" s="302" t="inlineStr">
        <is>
          <t>A lot and its ＊ sub-lot are credited from the same three documents</t>
        </is>
      </c>
      <c r="E859"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59"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59"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59" s="302" t="inlineStr">
        <is>
          <t>ППК26063 / ППК26065 (both P060212); the scans 110526_ППК26063_CNP_JD112501-P060212.pdf and 110526_ППК26065_CNP_JD112501＊-P060212.pdf; cell_resolution_2026-09-09.tsv; testing_series.EXPERIMENTAL</t>
        </is>
      </c>
    </row>
    <row r="860" ht="66" customHeight="1" s="70">
      <c r="A860" s="300" t="inlineStr">
        <is>
          <t>OI-29</t>
        </is>
      </c>
      <c r="B860" s="300" t="inlineStr">
        <is>
          <t>Document identity</t>
        </is>
      </c>
      <c r="C860" s="303" t="inlineStr">
        <is>
          <t>open</t>
        </is>
      </c>
      <c r="D860" s="302" t="inlineStr">
        <is>
          <t>The two series count different things, so they cannot be the same length</t>
        </is>
      </c>
      <c r="E860"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60"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60"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60" s="302" t="inlineStr">
        <is>
          <t>icoa_register.py 102 rounds / 76 lots vs coq_artifact_data.json 164 records / 82 lots; 3 lots with 4, 5 and 6 rounds</t>
        </is>
      </c>
    </row>
    <row r="861" ht="66" customHeight="1" s="70">
      <c r="A861" s="300" t="inlineStr">
        <is>
          <t>OI-28</t>
        </is>
      </c>
      <c r="B861" s="300" t="inlineStr">
        <is>
          <t>Batch identity</t>
        </is>
      </c>
      <c r="C861" s="304" t="inlineStr">
        <is>
          <t>ruled</t>
        </is>
      </c>
      <c r="D861" s="302" t="inlineStr">
        <is>
          <t>The starred spellings are one lot each with their unstarred namesakes — applied; one word confirms it</t>
        </is>
      </c>
      <c r="E861"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1"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1" s="302" t="inlineStr">
        <is>
          <t>The four rows for GG012601*, JD012601*, SCR012601* and FB012602* say "the desk, as a consequence of the ruling" where the JD112501* row says "Head of QC". One word from the Head of QC turns the four into rulings; one word reverses them.</t>
        </is>
      </c>
      <c r="H861" s="302" t="inlineStr">
        <is>
          <t>ingestion/ecoa_runner/identity_decisions.tsv (batch_alias, 16.09.2026); identity_questions_2026-09-07.tsv rows 2–6; icoa_register.py:227/:246; tracker/FLEET_FINDINGS_2026-09-16.md</t>
        </is>
      </c>
    </row>
    <row r="862" ht="66" customHeight="1" s="70">
      <c r="A862" s="300" t="inlineStr">
        <is>
          <t>OI-30</t>
        </is>
      </c>
      <c r="B862" s="300" t="inlineStr">
        <is>
          <t>Method status</t>
        </is>
      </c>
      <c r="C862" s="303" t="inlineStr">
        <is>
          <t>open</t>
        </is>
      </c>
      <c r="D862" s="302" t="inlineStr">
        <is>
          <t>The Loss on Drying method text is not verified per lot against the era it was tested in</t>
        </is>
      </c>
      <c r="E862"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2" s="302" t="inlineStr">
        <is>
          <t>Nothing changed on the printed method text — it was already uniform before this check and stays uniform, because there is no per-certificate method record to read it from. Nothing is guessed.</t>
        </is>
      </c>
      <c r="G862"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2" s="302" t="inlineStr">
        <is>
          <t>ISSUANCE_RULES_2026-09-10.md §4; extract_product_specifications.py #8; 70 numeric results, 1 in the disputed band (already resolved)</t>
        </is>
      </c>
    </row>
    <row r="863" ht="66" customHeight="1" s="70">
      <c r="A863" s="300" t="inlineStr">
        <is>
          <t>OI-31</t>
        </is>
      </c>
      <c r="B863" s="300" t="inlineStr">
        <is>
          <t>Batch identity</t>
        </is>
      </c>
      <c r="C863" s="303" t="inlineStr">
        <is>
          <t>open</t>
        </is>
      </c>
      <c r="D863" s="302" t="inlineStr">
        <is>
          <t>Six batches are silently filed under one strain name where a source document keeps two</t>
        </is>
      </c>
      <c r="E863"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3"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3" s="302" t="inlineStr">
        <is>
          <t>Is GG4 the same strain as Gorilla Glue, or a separate strain that happens to be filed under it? If separate, the six lots need their own strain field and, in time, their own specification.</t>
        </is>
      </c>
      <c r="H863" s="302" t="inlineStr">
        <is>
          <t>tracker/DELIVERY_RECONCILIATION_2026-09-07.md §5; tracker/strains.py; iCoA Register Strain column, 6 lots</t>
        </is>
      </c>
    </row>
    <row r="864" ht="66" customHeight="1" s="70">
      <c r="A864" s="300" t="inlineStr">
        <is>
          <t>OI-32</t>
        </is>
      </c>
      <c r="B864" s="300" t="inlineStr">
        <is>
          <t>Batch identity</t>
        </is>
      </c>
      <c r="C864" s="303" t="inlineStr">
        <is>
          <t>open</t>
        </is>
      </c>
      <c r="D864" s="302" t="inlineStr">
        <is>
          <t>Five of the thirty Tranche 3 potency retests rest on one page read</t>
        </is>
      </c>
      <c r="E864"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4"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4"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4" s="302" t="inlineStr">
        <is>
          <t>intake_227K_2026-09-15/ (reads_227K.json, checkpoint_master_coa_table.json, apply_227K.py); PP_Batch_Release_QC_Register_SUBLOT_2026-09-01.xlsx after apply_227K.py; tracker/batch_dates.csv</t>
        </is>
      </c>
    </row>
    <row r="865" ht="66" customHeight="1" s="70">
      <c r="A865" s="300" t="inlineStr">
        <is>
          <t>OI-33</t>
        </is>
      </c>
      <c r="B865" s="300" t="inlineStr">
        <is>
          <t>Batch identity</t>
        </is>
      </c>
      <c r="C865" s="303" t="inlineStr">
        <is>
          <t>open</t>
        </is>
      </c>
      <c r="D865" s="302" t="inlineStr">
        <is>
          <t>Two batches on the Tranche 2 mycotoxin certificates are on no list the desk holds</t>
        </is>
      </c>
      <c r="E865"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5"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5"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5" s="302" t="inlineStr">
        <is>
          <t>intake_220M_2026-09-14/ (reads_claude.json n=30, 31, 32; placement.json); tracker/batch_dates.csv; PP_Batch_Release_QC_Register_SUBLOT_2026-09-01.xlsx after apply_220M.py</t>
        </is>
      </c>
    </row>
    <row r="866" ht="66" customHeight="1" s="70">
      <c r="A866" s="300" t="inlineStr">
        <is>
          <t>OI-34</t>
        </is>
      </c>
      <c r="B866" s="300" t="inlineStr">
        <is>
          <t>Register scope</t>
        </is>
      </c>
      <c r="C866" s="304" t="inlineStr">
        <is>
          <t>ruled</t>
        </is>
      </c>
      <c r="D866" s="302" t="inlineStr">
        <is>
          <t>The IJZ-MB campaign microbiology was on the tracker and not in the release register</t>
        </is>
      </c>
      <c r="E866"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6"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6" s="302" t="inlineStr">
        <is>
          <t>Nothing further, unless the owner rules on OI-37 (the held certificate) or on OI-13 (the expanded panel this same delivery reports).</t>
        </is>
      </c>
      <c r="H866" s="302" t="inlineStr">
        <is>
          <t>tracker/new_instances.json (the 30 IJZ-MB instances); tracker/split_manifest_IJZ-MB_2026-09-01.csv; build_coq_schedule.py ST_CARRIED</t>
        </is>
      </c>
    </row>
    <row r="867" ht="66" customHeight="1" s="70">
      <c r="A867" s="300" t="inlineStr">
        <is>
          <t>OI-37</t>
        </is>
      </c>
      <c r="B867" s="300" t="inlineStr">
        <is>
          <t>Batch identity</t>
        </is>
      </c>
      <c r="C867" s="303" t="inlineStr">
        <is>
          <t>open</t>
        </is>
      </c>
      <c r="D867" s="302" t="inlineStr">
        <is>
          <t>One campaign microbiology certificate names a strain that is not its filed lot's</t>
        </is>
      </c>
      <c r="E867"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7"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7" s="302" t="inlineStr">
        <is>
          <t>Which lot 548/1079/26 belongs to: P050192, as the typed serial reads, or P060192, as the printed strain and the handwritten correction say?</t>
        </is>
      </c>
      <c r="H867" s="302" t="inlineStr">
        <is>
          <t>the scan 310826_548-1079-26_IJZ-MB_BSS052501-P050192.pdf in eCoA_DATABASE; tracker/split_manifest_IJZ-MB_2026-09-01.csv; intake_IJZMB_2026-09-16/reads_IJZMB.json</t>
        </is>
      </c>
    </row>
    <row r="868" ht="66" customHeight="1" s="70">
      <c r="A868" s="300" t="inlineStr">
        <is>
          <t>OI-38</t>
        </is>
      </c>
      <c r="B868" s="300" t="inlineStr">
        <is>
          <t>Certificate content</t>
        </is>
      </c>
      <c r="C868" s="303" t="inlineStr">
        <is>
          <t>open</t>
        </is>
      </c>
      <c r="D868" s="302" t="inlineStr">
        <is>
          <t>Fourteen reissues carry the initial result while a later one for the same lot is on file</t>
        </is>
      </c>
      <c r="E868"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8"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8"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8" s="302" t="inlineStr">
        <is>
          <t>intake_IJZMB_2026-09-16/carried_microbiology_2026-09-16.csv (26 rows, 12 reissues); tracker/RESULT_SUPERSESSION_2026-09-16.md section 1 (31 rows, 14 reissues); build_coq_schedule.py ST_CARRIED; the ruling of 15.09.2026</t>
        </is>
      </c>
    </row>
    <row r="869" ht="66" customHeight="1" s="70">
      <c r="A869" s="300" t="inlineStr">
        <is>
          <t>OI-39</t>
        </is>
      </c>
      <c r="B869" s="300" t="inlineStr">
        <is>
          <t>Batch identity</t>
        </is>
      </c>
      <c r="C869" s="303" t="inlineStr">
        <is>
          <t>open</t>
        </is>
      </c>
      <c r="D869" s="302" t="inlineStr">
        <is>
          <t>Two register blocks carry two sublots each, and the certificate prints one of them</t>
        </is>
      </c>
      <c r="E869"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69"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69"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69" s="302" t="inlineStr">
        <is>
          <t>tracker/RESULT_SUPERSESSION_2026-09-16.md section 3; the register block J31122501 (10 certificates); tracker/batch_dates.csv row 64; OI-12 for the JD112501 half</t>
        </is>
      </c>
    </row>
    <row r="870" ht="66" customHeight="1" s="70">
      <c r="A870" s="300" t="inlineStr">
        <is>
          <t>OI-40</t>
        </is>
      </c>
      <c r="B870" s="300" t="inlineStr">
        <is>
          <t>Document identity</t>
        </is>
      </c>
      <c r="C870" s="303" t="inlineStr">
        <is>
          <t>open</t>
        </is>
      </c>
      <c r="D870" s="302" t="inlineStr">
        <is>
          <t>Six lots hold two register rows for one testing, the results on the composite row</t>
        </is>
      </c>
      <c r="E870"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70"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70"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70" s="302" t="inlineStr">
        <is>
          <t>register rows 123/124, 127/128, 131/132, 135/136, 139/140, 163/165; tracker/HANDOVER_RESPONSE_2026-09-16.md §2.2</t>
        </is>
      </c>
    </row>
    <row r="871" ht="66" customHeight="1" s="70">
      <c r="A871" s="300" t="inlineStr">
        <is>
          <t>OI-41</t>
        </is>
      </c>
      <c r="B871" s="300" t="inlineStr">
        <is>
          <t>Document content</t>
        </is>
      </c>
      <c r="C871" s="303" t="inlineStr">
        <is>
          <t>open</t>
        </is>
      </c>
      <c r="D871" s="302" t="inlineStr">
        <is>
          <t>Forty-eight certificates print no result for the three determinations done in-house — and what remains is documents, not routing</t>
        </is>
      </c>
      <c r="E871" s="302"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1" s="302"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1"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1" s="302" t="inlineStr">
        <is>
          <t>44 lots, 82 certificates, 246 determination rows; build_coq_schedule.ST_ICOA; export_coq_artifact_data.py (the 09.09 pass fill); tracker/FLEET_FINDINGS_2026-09-16.md (audit B); tracker/HANDOVER_RESPONSE_2026-09-16.md §2.1</t>
        </is>
      </c>
    </row>
    <row r="872" ht="66" customHeight="1" s="70">
      <c r="A872" s="300" t="inlineStr">
        <is>
          <t>OI-42</t>
        </is>
      </c>
      <c r="B872" s="300" t="inlineStr">
        <is>
          <t>Record integrity</t>
        </is>
      </c>
      <c r="C872" s="303" t="inlineStr">
        <is>
          <t>open</t>
        </is>
      </c>
      <c r="D872" s="302" t="inlineStr">
        <is>
          <t>Forty-four laboratory certificates are on Drive and in no record of the desk; 58 more are only in the 09.09 pass</t>
        </is>
      </c>
      <c r="E872"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2" s="302"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872"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2" s="302" t="inlineStr">
        <is>
          <t>tracker/FLEET_FINDINGS_2026-09-16.md (audit A); the Drive tree 1SmOicCRa8KEqoB-YlCojdap161YMQ-Di and _IN-HOUSE_PP 1bBGgFavrUTOu7PC7VVRcj0P4onWOAquN, enumerated 16.09.2026</t>
        </is>
      </c>
    </row>
    <row r="873" ht="66" customHeight="1" s="70">
      <c r="A873" s="300" t="inlineStr">
        <is>
          <t>OI-43</t>
        </is>
      </c>
      <c r="B873" s="300" t="inlineStr">
        <is>
          <t>Record integrity</t>
        </is>
      </c>
      <c r="C873" s="303" t="inlineStr">
        <is>
          <t>open</t>
        </is>
      </c>
      <c r="D873" s="302" t="inlineStr">
        <is>
          <t>Twenty-eight in-house certificates of analysis are on Drive with no desk entry — twelve of them for lots OI-41 names</t>
        </is>
      </c>
      <c r="E873"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3" s="302" t="inlineStr">
        <is>
          <t>Nothing read, nothing written: an in-house scan reaches the desk through the same two-read gate as a laboratory certificate, and the desk holds no read of any of the 28.</t>
        </is>
      </c>
      <c r="G873"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3" s="302" t="inlineStr">
        <is>
          <t>tracker/FLEET_FINDINGS_2026-09-16.md (audits A and B); the 41 scans in _IN-HOUSE_PP</t>
        </is>
      </c>
    </row>
    <row r="874" ht="66" customHeight="1" s="70">
      <c r="A874" s="300" t="inlineStr">
        <is>
          <t>OI-44</t>
        </is>
      </c>
      <c r="B874" s="300" t="inlineStr">
        <is>
          <t>Specification</t>
        </is>
      </c>
      <c r="C874" s="303" t="inlineStr">
        <is>
          <t>open</t>
        </is>
      </c>
      <c r="D874" s="302" t="inlineStr">
        <is>
          <t>The grade numerals were assigned against the desk's own rule, and 69 certificates cite a code that used to mean something else</t>
        </is>
      </c>
      <c r="E874"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4"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4"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4" s="302" t="inlineStr">
        <is>
          <t>potency_grades.py number(); potency_grades_2026-09-15.csv; product_specifications_QCSP001.json; tracker/FLEET_FINDINGS_2026-09-16.md (audit C)</t>
        </is>
      </c>
    </row>
    <row r="875" ht="66" customHeight="1" s="70">
      <c r="A875" s="300" t="inlineStr">
        <is>
          <t>OI-45</t>
        </is>
      </c>
      <c r="B875" s="300" t="inlineStr">
        <is>
          <t>Register cell</t>
        </is>
      </c>
      <c r="C875" s="303" t="inlineStr">
        <is>
          <t>open</t>
        </is>
      </c>
      <c r="D875" s="302" t="inlineStr">
        <is>
          <t>One in-house microbiology cell states two bounds that cannot both be true, and two certificates print it</t>
        </is>
      </c>
      <c r="E875" s="302"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5" s="302"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5" s="302" t="inlineStr">
        <is>
          <t>Is the intended reading “&lt; 10³ and &gt; 10²” — the same pair as every other block, with the bounds transposed in transcription? One word corrects the register cell and both certificates with it.</t>
        </is>
      </c>
      <c r="H875" s="302" t="inlineStr">
        <is>
          <t>coq_artifact_data.json reg[OPM1024]; design_handoff/out/_build_report.txt; design_handoff/toolchain/coq_check.js A11</t>
        </is>
      </c>
    </row>
    <row r="876" ht="66" customHeight="1" s="70">
      <c r="A876" s="300" t="inlineStr">
        <is>
          <t>OI-46</t>
        </is>
      </c>
      <c r="B876" s="300" t="inlineStr">
        <is>
          <t>Result read</t>
        </is>
      </c>
      <c r="C876" s="304" t="inlineStr">
        <is>
          <t>ruled</t>
        </is>
      </c>
      <c r="D876" s="302" t="inlineStr">
        <is>
          <t>Ten microbiology cells were read once and held; the Head of QC's own pass had all five values for every one of them</t>
        </is>
      </c>
      <c r="E876" s="302"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6" s="302"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6" s="302" t="inlineStr">
        <is>
          <t>Nothing. Two rows of the pass are still held and named in the script's output: 305-0549-26 carries ten values where five are wanted, and 85/2026 five where four are.</t>
        </is>
      </c>
      <c r="H876" s="302" t="inlineStr">
        <is>
          <t>cell_resolution_2026-09-09.tsv; apply_resolution_pass.py; verify_panels.py; intake_ijz_2026-09-16/reads_microbiology.json</t>
        </is>
      </c>
    </row>
    <row r="877" ht="66" customHeight="1" s="70">
      <c r="A877" s="300" t="inlineStr">
        <is>
          <t>OI-47</t>
        </is>
      </c>
      <c r="B877" s="300" t="inlineStr">
        <is>
          <t>Ingestion</t>
        </is>
      </c>
      <c r="C877" s="303" t="inlineStr">
        <is>
          <t>open</t>
        </is>
      </c>
      <c r="D877" s="302" t="inlineStr">
        <is>
          <t>Twenty-three certificates in the owner's database folder were never ingested, and every desk file recorded their absence as a coverage gap</t>
        </is>
      </c>
      <c r="E877" s="302"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7" s="302" t="inlineStr">
        <is>
          <t>The twenty-three documents are now in the release register, and the certificates print from them. The ingestion itself is untouched — the same folder may hold more that the corpus lacks, and nothing in the pipeline would say so.</t>
        </is>
      </c>
      <c r="G877" s="302" t="inlineStr">
        <is>
          <t>Should the desk re-run the CoA_DATABASE_2026 ingestion against the whole folder and reconcile it against the register, so that a coverage gap means the document does not exist rather than that it was not fetched?</t>
        </is>
      </c>
      <c r="H877" s="302" t="inlineStr">
        <is>
          <t>ingestion/coa_track/letta-imb-coas/ingest_coa_database_2026.py; exports/master_coa_table.tsv; tracker/DRIVE_DATABASE_INTAKE_2026-09-16.md</t>
        </is>
      </c>
    </row>
    <row r="878" ht="66" customHeight="1" s="70">
      <c r="A878" s="300" t="inlineStr">
        <is>
          <t>OI-48</t>
        </is>
      </c>
      <c r="B878" s="300" t="inlineStr">
        <is>
          <t>Document</t>
        </is>
      </c>
      <c r="C878" s="303" t="inlineStr">
        <is>
          <t>open</t>
        </is>
      </c>
      <c r="D878" s="302" t="inlineStr">
        <is>
          <t>One Tranche 3 mycotoxin certificate has not been read by anyone, and one lot's #10 waits on it</t>
        </is>
      </c>
      <c r="E878" s="302"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8" s="302"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8" s="302" t="inlineStr">
        <is>
          <t>Open 227-18-М/26 by hand and tell the desk the five analytes. It is the only certificate of the thirty that needs it — the six the Head of QC flagged on 16.09.2026 were flagged from one reader's failures, and five of those six are read.</t>
        </is>
      </c>
      <c r="H878" s="302" t="inlineStr">
        <is>
          <t>intake_227M_2026-09-16/reads.json; tracker/T3_MYCOTOXIN_INTAKE_2026-09-16.md; apply_227M_intake.py</t>
        </is>
      </c>
    </row>
    <row r="879" ht="66" customHeight="1" s="70">
      <c r="A879" s="300" t="inlineStr">
        <is>
          <t>OI-35</t>
        </is>
      </c>
      <c r="B879" s="300" t="inlineStr">
        <is>
          <t>Tracker scope</t>
        </is>
      </c>
      <c r="C879" s="303" t="inlineStr">
        <is>
          <t>open</t>
        </is>
      </c>
      <c r="D879" s="302" t="inlineStr">
        <is>
          <t>The tracker does not carry the documents of the 09.09 pass that eleven certificates print from</t>
        </is>
      </c>
      <c r="E879"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79" s="302" t="inlineStr">
        <is>
          <t>Recorded, not built: the 17 documents need the two-read intake the 220-М, 227-К and 220-К certificates had before the tracker credits them, and the certificate rows that rest on them are marked on the references table as single-read.</t>
        </is>
      </c>
      <c r="G879" s="302" t="inlineStr">
        <is>
          <t>Whether the desk should read the 17 documents of the 09.09 pass through the two-read gate now, so that the tracker and the certificates cite one record — or whether the certificates that print from a single read (GG1024 above all) wait for it.</t>
        </is>
      </c>
      <c r="H879" s="302" t="inlineStr">
        <is>
          <t>tracker/TRUTH_CHECK_2026-09-15.md (T5); cell_resolution_2026-09-09.tsv; coq_artifact_data.json rows citing those codes</t>
        </is>
      </c>
    </row>
    <row r="880" ht="66" customHeight="1" s="70">
      <c r="A880" s="300" t="inlineStr">
        <is>
          <t>OI-36</t>
        </is>
      </c>
      <c r="B880" s="300" t="inlineStr">
        <is>
          <t>Record integrity</t>
        </is>
      </c>
      <c r="C880" s="303" t="inlineStr">
        <is>
          <t>open</t>
        </is>
      </c>
      <c r="D880" s="302" t="inlineStr">
        <is>
          <t>Four two-read corpus records passed the gate with their reads disagreeing on a comparator</t>
        </is>
      </c>
      <c r="E880"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80" s="302" t="inlineStr">
        <is>
          <t>The four tracker cells are corrected from a third read of each page (tracker/value_corrections_2026-09-15.json, applied in values_of). The corpus records and the pass table are the ingestion's and are left as they are, listed here.</t>
        </is>
      </c>
      <c r="G880" s="302" t="inlineStr">
        <is>
          <t>Whether the ingestion's reconciliation should treat a comparator ('&lt;', '&gt;') as part of the result when it compares two reads, and re-gate the four records; and whether the three pass-table cells should be corrected or the rows retired.</t>
        </is>
      </c>
      <c r="H880" s="302" t="inlineStr">
        <is>
          <t>tracker/TRUTH_CHECK_2026-09-15.md (T3, T4, T5); ingestion/ecoa_runner/records_corpus.json; the four page reads of 15.09.2026</t>
        </is>
      </c>
    </row>
    <row r="881" ht="66" customHeight="1" s="70">
      <c r="A881" s="300" t="inlineStr">
        <is>
          <t>OI-13</t>
        </is>
      </c>
      <c r="B881" s="300" t="inlineStr">
        <is>
          <t>Panel scope</t>
        </is>
      </c>
      <c r="C881" s="303" t="inlineStr">
        <is>
          <t>open</t>
        </is>
      </c>
      <c r="D881" s="302" t="inlineStr">
        <is>
          <t>The expanded microbiology panel HAS been run and no certificate says so</t>
        </is>
      </c>
      <c r="E881"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1"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1"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1" s="302" t="inlineStr">
        <is>
          <t>Ph. Eur. 2.8.13; Ph. Eur. 2.6.13 expanded panel</t>
        </is>
      </c>
    </row>
    <row r="882" ht="66" customHeight="1" s="70">
      <c r="A882" s="300" t="inlineStr">
        <is>
          <t>OI-14</t>
        </is>
      </c>
      <c r="B882" s="300" t="inlineStr">
        <is>
          <t>Document content</t>
        </is>
      </c>
      <c r="C882" s="303" t="inlineStr">
        <is>
          <t>open</t>
        </is>
      </c>
      <c r="D882" s="302" t="inlineStr">
        <is>
          <t>Two fields still print a specimen or a placeholder</t>
        </is>
      </c>
      <c r="E882" s="302" t="inlineStr">
        <is>
          <t>The two approvers' names are the master template's specimen. The potency acceptance range is a bracketed placeholder in both places it prints.</t>
        </is>
      </c>
      <c r="F882"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2" s="302" t="inlineStr">
        <is>
          <t>The approvers' names and titles; the potency range per grade.</t>
        </is>
      </c>
      <c r="H882" s="302" t="inlineStr">
        <is>
          <t>_CoQ_MASTER_Template.html; 22 drafts</t>
        </is>
      </c>
    </row>
    <row r="883" ht="66" customHeight="1" s="70">
      <c r="A883" s="300" t="inlineStr">
        <is>
          <t>OI-15</t>
        </is>
      </c>
      <c r="B883" s="300" t="inlineStr">
        <is>
          <t>Method status</t>
        </is>
      </c>
      <c r="C883" s="303" t="inlineStr">
        <is>
          <t>open</t>
        </is>
      </c>
      <c r="D883" s="302" t="inlineStr">
        <is>
          <t>The pesticide acceptance criterion is stated as ≤ LOQ, which is not the Ph. Eur. test</t>
        </is>
      </c>
      <c r="E883"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3" s="302" t="inlineStr">
        <is>
          <t>The result is printed as the laboratory reports it.</t>
        </is>
      </c>
      <c r="G883" s="302" t="inlineStr">
        <is>
          <t>Restate the criterion as the Ph. Eur. maximum table, and say how a conforming detection should print beside 28 not-detected residues.</t>
        </is>
      </c>
      <c r="H883" s="302" t="inlineStr">
        <is>
          <t>IJZ 2994/2025, 19.06.2025, OPM 1024_02 (P050062); verdict on the page: ОДГОВАРА</t>
        </is>
      </c>
    </row>
    <row r="884" ht="66" customHeight="1" s="70">
      <c r="A884" s="300" t="inlineStr">
        <is>
          <t>OI-16</t>
        </is>
      </c>
      <c r="B884" s="300" t="inlineStr">
        <is>
          <t>Result</t>
        </is>
      </c>
      <c r="C884" s="303" t="inlineStr">
        <is>
          <t>open</t>
        </is>
      </c>
      <c r="D884" s="302" t="inlineStr">
        <is>
          <t>One lot's foreign matter is reported by the laboratory as not conforming</t>
        </is>
      </c>
      <c r="E884"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4" s="302" t="inlineStr">
        <is>
          <t>Flagged OOS. An out-of-specification result needs an investigation record.</t>
        </is>
      </c>
      <c r="G884" s="302" t="inlineStr">
        <is>
          <t>Confirm the non-conformity with CNP and open the deviation, or obtain a corrected certificate.</t>
        </is>
      </c>
      <c r="H884" s="302" t="inlineStr">
        <is>
          <t>FB032601; ППК26127, 21.07.2026 [CNP]</t>
        </is>
      </c>
    </row>
    <row r="885" ht="66" customHeight="1" s="70">
      <c r="A885" s="300" t="inlineStr">
        <is>
          <t>OI-17</t>
        </is>
      </c>
      <c r="B885" s="300" t="inlineStr">
        <is>
          <t>Result</t>
        </is>
      </c>
      <c r="C885" s="303" t="inlineStr">
        <is>
          <t>open</t>
        </is>
      </c>
      <c r="D885" s="302" t="inlineStr">
        <is>
          <t>Thirteen lots exceed a criterion — every one of them on #9.2, and on nothing else in the whole set</t>
        </is>
      </c>
      <c r="E885" s="302"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5" s="302"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885" s="302"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5" s="302" t="inlineStr">
        <is>
          <t>Ph. Eur. 5.1.4; 13 lots, all #9.2; QCSP 001; mark_microbial_band.py</t>
        </is>
      </c>
    </row>
    <row r="886" ht="66" customHeight="1" s="70">
      <c r="A886" s="300" t="inlineStr">
        <is>
          <t>OI-18</t>
        </is>
      </c>
      <c r="B886" s="300" t="inlineStr">
        <is>
          <t>Document content</t>
        </is>
      </c>
      <c r="C886" s="304" t="inlineStr">
        <is>
          <t>ruled</t>
        </is>
      </c>
      <c r="D886" s="302" t="inlineStr">
        <is>
          <t>The same assertion printed bilingually on some certificates and in English on others</t>
        </is>
      </c>
      <c r="E886" s="302" t="inlineStr">
        <is>
          <t>Identification A and foreign matter print Conforms on 51 determinations and Conforms | Соодветствува on 12 — the certificate's own English | Macedonian pattern, applied to some cells and not others.</t>
        </is>
      </c>
      <c r="F886"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6" s="302" t="inlineStr">
        <is>
          <t>Nothing further.</t>
        </is>
      </c>
      <c r="H886" s="302" t="inlineStr">
        <is>
          <t>375 determinations; .r-conform .mk in _CoQ_MASTER_Template.html</t>
        </is>
      </c>
    </row>
    <row r="887" ht="66" customHeight="1" s="70">
      <c r="A887" s="300" t="inlineStr">
        <is>
          <t>OI-19</t>
        </is>
      </c>
      <c r="B887" s="300" t="inlineStr">
        <is>
          <t>Result</t>
        </is>
      </c>
      <c r="C887" s="303" t="inlineStr">
        <is>
          <t>open</t>
        </is>
      </c>
      <c r="D887" s="302" t="inlineStr">
        <is>
          <t>One ochratoxin result prints as a working note rather than a value</t>
        </is>
      </c>
      <c r="E887" s="302" t="inlineStr">
        <is>
          <t>2.06 — DETECTED, &gt;LOQ on Ochratoxin A. The limit is 20 µg/kg so it conforms, but the cell carries the reader's note instead of the figure and its qualifier.</t>
        </is>
      </c>
      <c r="F887" s="302" t="inlineStr">
        <is>
          <t>Printed as the desk holds it.</t>
        </is>
      </c>
      <c r="G887" s="302" t="inlineStr">
        <is>
          <t>How should a conforming detection print — the figure alone, or the figure with a detected qualifier? The same question as OI-15 for pesticides.</t>
        </is>
      </c>
      <c r="H887" s="302" t="inlineStr">
        <is>
          <t>#10.3 Ochratoxin A, 1 determination</t>
        </is>
      </c>
    </row>
    <row r="888" ht="66" customHeight="1" s="70">
      <c r="A888" s="300" t="inlineStr">
        <is>
          <t>OI-24</t>
        </is>
      </c>
      <c r="B888" s="300" t="inlineStr">
        <is>
          <t>Document content</t>
        </is>
      </c>
      <c r="C888" s="303" t="inlineStr">
        <is>
          <t>open</t>
        </is>
      </c>
      <c r="D888" s="302" t="inlineStr">
        <is>
          <t>The Identification C result no longer states the method on the face of the document</t>
        </is>
      </c>
      <c r="E888"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8" s="302" t="inlineStr">
        <is>
          <t>Shortened to "Conforms | Одговара" like every other identity row. The basis for Identification C stays in the Section 03 citation, where a basis belongs.</t>
        </is>
      </c>
      <c r="G888" s="302" t="inlineStr">
        <is>
          <t>Do you want the method restated in the result cell? It would need a wider results column, which is a change to the master.</t>
        </is>
      </c>
      <c r="H888" s="302" t="inlineStr">
        <is>
          <t>#3 Identification C; 35 determinations</t>
        </is>
      </c>
    </row>
    <row r="889" ht="66" customHeight="1" s="70">
      <c r="A889" s="300" t="inlineStr">
        <is>
          <t>OI-27</t>
        </is>
      </c>
      <c r="B889" s="300" t="inlineStr">
        <is>
          <t>Document identity</t>
        </is>
      </c>
      <c r="C889" s="304" t="inlineStr">
        <is>
          <t>ruled</t>
        </is>
      </c>
      <c r="D889" s="302" t="inlineStr">
        <is>
          <t>The register sheet carried 60 of the series' 95 internal certificates</t>
        </is>
      </c>
      <c r="E889"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9"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9"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9" s="302" t="inlineStr">
        <is>
          <t>95 of 95 series codes on the sheet (was 60); 166 rows; verify_workbook.py 0 findings</t>
        </is>
      </c>
    </row>
    <row r="890" ht="66" customHeight="1" s="70">
      <c r="A890" s="300" t="inlineStr">
        <is>
          <t>OI-26</t>
        </is>
      </c>
      <c r="B890" s="300" t="inlineStr">
        <is>
          <t>Document identity</t>
        </is>
      </c>
      <c r="C890" s="304" t="inlineStr">
        <is>
          <t>ruled</t>
        </is>
      </c>
      <c r="D890" s="302" t="inlineStr">
        <is>
          <t>The internal-CoA number was defined twice and the two disagreed on every comparable row</t>
        </is>
      </c>
      <c r="E890"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90"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90" s="302" t="inlineStr">
        <is>
          <t>Nothing. Recorded because the numbers moved: de-duplicating shifted every code from 045 onward, so any code quoted before 11.09.2026 is stale.</t>
        </is>
      </c>
      <c r="H890" s="302" t="inlineStr">
        <is>
          <t>icoa_register.py and the iCoA Register sheet; 49 of 49 differed, now 0</t>
        </is>
      </c>
    </row>
    <row r="891" ht="66" customHeight="1" s="70">
      <c r="A891" s="300" t="inlineStr">
        <is>
          <t>OI-25</t>
        </is>
      </c>
      <c r="B891" s="300" t="inlineStr">
        <is>
          <t>Document rendering</t>
        </is>
      </c>
      <c r="C891" s="304" t="inlineStr">
        <is>
          <t>ruled</t>
        </is>
      </c>
      <c r="D891" s="302" t="inlineStr">
        <is>
          <t>The A4 page was never measured with the fonts it prints in</t>
        </is>
      </c>
      <c r="E891"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1"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1" s="302" t="inlineStr">
        <is>
          <t>Nothing. Recorded because the claim had been made and was not true, and because the page has very little slack: the next thing that adds a line will need this check.</t>
        </is>
      </c>
      <c r="H891" s="302" t="inlineStr">
        <is>
          <t>build_coq_drafts.py page-height report; measured 5 of 22 -&gt; 0 of 22 losing content</t>
        </is>
      </c>
    </row>
    <row r="892" ht="66" customHeight="1" s="70">
      <c r="A892" s="300" t="inlineStr">
        <is>
          <t>OI-23</t>
        </is>
      </c>
      <c r="B892" s="300" t="inlineStr">
        <is>
          <t>Document content</t>
        </is>
      </c>
      <c r="C892" s="303" t="inlineStr">
        <is>
          <t>open</t>
        </is>
      </c>
      <c r="D892" s="302" t="inlineStr">
        <is>
          <t>The Macedonian for an absent organism was chosen from the laboratories' own usage</t>
        </is>
      </c>
      <c r="E892"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2" s="302" t="inlineStr">
        <is>
          <t>The certificate prints "Absent | Отсутна" on 92 determinations: CNP's own most-used form ("отсутна/25 g"), capitalised, rather than a term translated afresh for a controlled document.</t>
        </is>
      </c>
      <c r="G892" s="302" t="inlineStr">
        <is>
          <t>Confirm Отсутна, or give the term the two absence rows should carry.</t>
        </is>
      </c>
      <c r="H892" s="302" t="inlineStr">
        <is>
          <t>#9.4 Salmonella, #9.5 E. coli; 92 determinations</t>
        </is>
      </c>
    </row>
    <row r="893" ht="66" customHeight="1" s="70">
      <c r="A893" s="300" t="inlineStr">
        <is>
          <t>OI-22</t>
        </is>
      </c>
      <c r="B893" s="300" t="inlineStr">
        <is>
          <t>Result reading</t>
        </is>
      </c>
      <c r="C893" s="304" t="inlineStr">
        <is>
          <t>ruled</t>
        </is>
      </c>
      <c r="D893" s="302" t="inlineStr">
        <is>
          <t>An analyte the laboratory never tested was printing a line on the certificate</t>
        </is>
      </c>
      <c r="E893"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3"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3" s="302" t="inlineStr">
        <is>
          <t>Nothing. Recorded because it is the boundary of the ND ruling: n.r. printed by a laboratory as a result means ND, and an analyte absent from the panel is not a result at all.</t>
        </is>
      </c>
      <c r="H893" s="302" t="inlineStr">
        <is>
          <t>BG1024 release vs 12-month retest, verified through fillCoq in headless Chromium</t>
        </is>
      </c>
    </row>
    <row r="894" ht="66" customHeight="1" s="70">
      <c r="A894" s="300" t="inlineStr">
        <is>
          <t>OI-21</t>
        </is>
      </c>
      <c r="B894" s="300" t="inlineStr">
        <is>
          <t>Document rendering</t>
        </is>
      </c>
      <c r="C894" s="304" t="inlineStr">
        <is>
          <t>ruled</t>
        </is>
      </c>
      <c r="D894" s="302" t="inlineStr">
        <is>
          <t>Sixty-six faces in the tranche PDFs embedded as Type 3 rather than outlines</t>
        </is>
      </c>
      <c r="E894"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4" s="302" t="inlineStr">
        <is>
          <t>Fixed: italic 600 and 700 added to the font request in both print_coq_pdfs.py and house_fonts.py, and the rule written down beside them — when a stylesheet sets an italic weight, that weight belongs in FAMILIES.</t>
        </is>
      </c>
      <c r="G894" s="302" t="inlineStr">
        <is>
          <t>Nothing. Recorded because the first Type 3 fix (pinning the variable axes) looked complete and was not: it fixes the faces the page asks for by name, never one the page never asked for.</t>
        </is>
      </c>
      <c r="H894" s="302" t="inlineStr">
        <is>
          <t>print_coq_pdfs.py FAMILIES; pdffonts on both tranche PDFs</t>
        </is>
      </c>
    </row>
    <row r="895" ht="66" customHeight="1" s="70">
      <c r="A895" s="300" t="inlineStr">
        <is>
          <t>OI-20</t>
        </is>
      </c>
      <c r="B895" s="300" t="inlineStr">
        <is>
          <t>Desk status</t>
        </is>
      </c>
      <c r="C895" s="303" t="inlineStr">
        <is>
          <t>open</t>
        </is>
      </c>
      <c r="D895" s="302" t="inlineStr">
        <is>
          <t>Nine result cells hold a desk status instead of a value</t>
        </is>
      </c>
      <c r="E895" s="302" t="inlineStr">
        <is>
          <t>not ingested (the document exists but has not been extracted into the eCoA database) on 5 cells, held for review (the two independent reads disagreed) on 3, and one Identification C awaiting a decision.</t>
        </is>
      </c>
      <c r="F895" s="302" t="inlineStr">
        <is>
          <t>Each is carried on the Work Order sheet with what it needs; none reaches a certificate.</t>
        </is>
      </c>
      <c r="G895" s="302" t="inlineStr">
        <is>
          <t>Nothing — these are desk work, listed so the count is visible.</t>
        </is>
      </c>
      <c r="H895" s="302" t="inlineStr">
        <is>
          <t>Work Order sheet</t>
        </is>
      </c>
    </row>
    <row r="896" ht="66" customHeight="1" s="70">
      <c r="A896" s="300" t="inlineStr">
        <is>
          <t>OI-49</t>
        </is>
      </c>
      <c r="B896" s="300" t="inlineStr">
        <is>
          <t>Document identity</t>
        </is>
      </c>
      <c r="C896" s="303" t="inlineStr">
        <is>
          <t>open</t>
        </is>
      </c>
      <c r="D896" s="302" t="inlineStr">
        <is>
          <t>Eight certificates still credit the in-house certificate beyond identification A, identification B and foreign matter</t>
        </is>
      </c>
      <c r="E896" s="302"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6" s="302" t="inlineStr">
        <is>
          <t>Kept as the 10.09 ruling says, with one date per document; the internal certificates of those four lots list the parameters they cover.</t>
        </is>
      </c>
      <c r="G896" s="302"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6" s="302" t="inlineStr">
        <is>
          <t>apply_lab_attribution.py; icoa_register_2026-09-10.csv (covers_in_house); design_handoff/docs/REBUILD_v40.md §3f</t>
        </is>
      </c>
    </row>
    <row r="897" ht="66" customHeight="1" s="70">
      <c r="A897" s="300" t="inlineStr">
        <is>
          <t>OI-50</t>
        </is>
      </c>
      <c r="B897" s="300" t="inlineStr">
        <is>
          <t>Specification</t>
        </is>
      </c>
      <c r="C897" s="303" t="inlineStr">
        <is>
          <t>open</t>
        </is>
      </c>
      <c r="D897" s="302" t="inlineStr">
        <is>
          <t>Wedding Cake: one result, a first specification of 26.00 ± 2.60 %, four older issued WED documents it supersedes, dominance still to be determined</t>
        </is>
      </c>
      <c r="E897" s="302"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7" s="302" t="inlineStr">
        <is>
          <t>Grade, code, window and attributes print; the dominance is not guessed.</t>
        </is>
      </c>
      <c r="G897" s="302" t="inlineStr">
        <is>
          <t>The dominance (indica : sativa) of Wedding Cake, and confirmation that QCSP_001_WED-I_v.01 at 26.00 ± 2.60 % is the first specification of the new series and supersedes the four issued WED documents.</t>
        </is>
      </c>
      <c r="H897" s="302" t="inlineStr">
        <is>
          <t>specs/Potency_specifications_25_2026-09-17.pdf; apply_potency_grades.py; spec_attributes_2026-09-10.csv</t>
        </is>
      </c>
    </row>
    <row r="898" ht="66" customHeight="1" s="70">
      <c r="A898" s="300" t="inlineStr">
        <is>
          <t>OI-51</t>
        </is>
      </c>
      <c r="B898" s="300" t="inlineStr">
        <is>
          <t>Register cell</t>
        </is>
      </c>
      <c r="C898" s="303" t="inlineStr">
        <is>
          <t>open</t>
        </is>
      </c>
      <c r="D898" s="302" t="inlineStr">
        <is>
          <t>Six release-register blocks file a CNP certificate under the in-house CoA's number and date</t>
        </is>
      </c>
      <c r="E898" s="302"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898" s="302" t="inlineStr">
        <is>
          <t>The certificates print the CNP date; the register still prints the combined name and the in-house date.</t>
        </is>
      </c>
      <c r="G898" s="302" t="inlineStr">
        <is>
          <t>Whether to correct the six register cells to the CNP code and its issue date (apply_register_corrections.py is the mechanism).</t>
        </is>
      </c>
      <c r="H898" s="302" t="inlineStr">
        <is>
          <t>check_thc_consistency.py; apply_lab_attribution.py (R5); ingestion/ragflow/cache</t>
        </is>
      </c>
    </row>
    <row r="899" ht="66" customHeight="1" s="70">
      <c r="A899" s="300" t="inlineStr">
        <is>
          <t>OI-52</t>
        </is>
      </c>
      <c r="B899" s="300" t="inlineStr">
        <is>
          <t>Result</t>
        </is>
      </c>
      <c r="C899" s="303" t="inlineStr">
        <is>
          <t>open</t>
        </is>
      </c>
      <c r="D899" s="302" t="inlineStr">
        <is>
          <t>Loss on drying: seven reissues cite an older document than the newest one on file for the lot</t>
        </is>
      </c>
      <c r="E899" s="302"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899" s="302"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899" s="302" t="inlineStr">
        <is>
          <t>Does the ruling of 17.09.2026 reach loss on drying — should CoQ-PP_26-095 cite ППК25174 and CoQ-PP_26-153 cite 100-1-ГС/26? And does it reach every determination, as a standing rule, rather than being asked family by family?</t>
        </is>
      </c>
      <c r="H899" s="302" t="inlineStr">
        <is>
          <t>apply_microbiology_retest.py; tracker/LoD_Check_2026-09-17.md; OI-51</t>
        </is>
      </c>
    </row>
    <row r="900" ht="66" customHeight="1" s="70">
      <c r="A900" s="300" t="inlineStr">
        <is>
          <t>OI-53</t>
        </is>
      </c>
      <c r="B900" s="300" t="inlineStr">
        <is>
          <t>Result</t>
        </is>
      </c>
      <c r="C900" s="303" t="inlineStr">
        <is>
          <t>open</t>
        </is>
      </c>
      <c r="D900" s="302" t="inlineStr">
        <is>
          <t>Thirteen lots have no loss-on-drying determination at all — 26 certificates print “not tested”</t>
        </is>
      </c>
      <c r="E900" s="302"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900" s="302" t="inlineStr">
        <is>
          <t>The two Wedding Cake certificates now print 6,8 % and cite 031-3-ГС/26. The other 26 certificates keep “not tested — no certificate covers it”, which is the truth of them. apply_lod_source.py is the standing rule and lod_check.py the census that shows it.</t>
        </is>
      </c>
      <c r="G900" s="302" t="inlineStr">
        <is>
          <t>These thirteen lots need loss on drying determined — or a ruling that they are released without it. Farmahem’s ГС report is one parameter on one page and would close all thirteen in a single submission.</t>
        </is>
      </c>
      <c r="H900" s="302" t="inlineStr">
        <is>
          <t>apply_lod_source.py; lod_check.py; tracker/LoD_Check_2026-09-17.md; intake_LoD031_2026-09-17; OI-42</t>
        </is>
      </c>
    </row>
    <row r="901" ht="66" customHeight="1" s="70">
      <c r="A901" s="300" t="inlineStr">
        <is>
          <t>OI-54</t>
        </is>
      </c>
      <c r="B901" s="300" t="inlineStr">
        <is>
          <t>Result</t>
        </is>
      </c>
      <c r="C901" s="304" t="inlineStr">
        <is>
          <t>ruled</t>
        </is>
      </c>
      <c r="D901" s="302" t="inlineStr">
        <is>
          <t>Two release certificates were printing the retest of a determination instead of the release testing</t>
        </is>
      </c>
      <c r="E901" s="302"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901" s="302"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901" s="302" t="inlineStr">
        <is>
          <t>Nothing — the Head of QC named the defect and the rule that fixes it is his own of 10.09.2026. Recorded so the next reader knows why two certificates changed.</t>
        </is>
      </c>
      <c r="H901" s="302" t="inlineStr">
        <is>
          <t>apply_release_round.py; intake_release_round_2026-09-17; the reads of 471-0862-25 and 2471/2025 of 17.09.2026</t>
        </is>
      </c>
    </row>
    <row r="902" ht="66" customHeight="1" s="70">
      <c r="A902" s="300" t="inlineStr">
        <is>
          <t>OI-55</t>
        </is>
      </c>
      <c r="B902" s="300" t="inlineStr">
        <is>
          <t>Result</t>
        </is>
      </c>
      <c r="C902" s="303" t="inlineStr">
        <is>
          <t>open</t>
        </is>
      </c>
      <c r="D902" s="302" t="inlineStr">
        <is>
          <t>P060382 has no heavy-metal, pesticide or loss-on-drying determination — searched again on 17.09.2026</t>
        </is>
      </c>
      <c r="E902" s="302"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902" s="302" t="inlineStr">
        <is>
          <t>Nothing written. The certificate prints “not tested — no certificate covers it” for #8, #11 and #12 because that is the truth of the record.</t>
        </is>
      </c>
      <c r="G902" s="302"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902" s="302" t="inlineStr">
        <is>
          <t>197-21-М/26 read 17.09.2026; cell_resolution_2026-09-09.tsv; PP_Spec_Parameter_Listing.xlsx; Drive lot folder P060382_SCR012603; OI-53</t>
        </is>
      </c>
    </row>
    <row r="905" ht="20" customHeight="1" s="70">
      <c r="A905" s="253" t="inlineStr">
        <is>
          <t>NOT TESTED REVIEW</t>
        </is>
      </c>
    </row>
    <row r="906">
      <c r="A906" s="305" t="inlineStr">
        <is>
          <t>CoQ</t>
        </is>
      </c>
      <c r="B906" s="305" t="inlineStr">
        <is>
          <t>Batch</t>
        </is>
      </c>
      <c r="C906" s="305" t="inlineStr">
        <is>
          <t>Series</t>
        </is>
      </c>
      <c r="D906" s="305" t="inlineStr">
        <is>
          <t>Parameter</t>
        </is>
      </c>
      <c r="E906" s="305" t="inlineStr">
        <is>
          <t>Cell</t>
        </is>
      </c>
    </row>
    <row r="907">
      <c r="A907" s="245" t="inlineStr">
        <is>
          <t>CoQ-PP_26-001</t>
        </is>
      </c>
      <c r="B907" s="245" t="inlineStr">
        <is>
          <t>CJ1024</t>
        </is>
      </c>
      <c r="C907" s="245" t="inlineStr">
        <is>
          <t>release (predicted)</t>
        </is>
      </c>
      <c r="D907" s="245" t="inlineStr">
        <is>
          <t>#6</t>
        </is>
      </c>
      <c r="E907" s="246" t="inlineStr">
        <is>
          <t>n/t</t>
        </is>
      </c>
    </row>
    <row r="908">
      <c r="A908" s="245" t="inlineStr">
        <is>
          <t>CoQ-PP_26-001</t>
        </is>
      </c>
      <c r="B908" s="245" t="inlineStr">
        <is>
          <t>CJ1024</t>
        </is>
      </c>
      <c r="C908" s="245" t="inlineStr">
        <is>
          <t>release (predicted)</t>
        </is>
      </c>
      <c r="D908" s="245" t="inlineStr">
        <is>
          <t>#10</t>
        </is>
      </c>
      <c r="E908" s="246" t="inlineStr">
        <is>
          <t>750/2025 27.02.25 IJZ; n/t 10.1,10.3</t>
        </is>
      </c>
    </row>
    <row r="909">
      <c r="A909" s="245" t="inlineStr">
        <is>
          <t>CoQ-PP_26-002</t>
        </is>
      </c>
      <c r="B909" s="245" t="inlineStr">
        <is>
          <t>BSS1024</t>
        </is>
      </c>
      <c r="C909" s="245" t="inlineStr">
        <is>
          <t>release</t>
        </is>
      </c>
      <c r="D909" s="245" t="inlineStr">
        <is>
          <t>#10</t>
        </is>
      </c>
      <c r="E909" s="246" t="inlineStr">
        <is>
          <t>751/2025 27.02.25 IJZ; also 197-2-М/26; n/t 10.1,10.3</t>
        </is>
      </c>
    </row>
    <row r="910">
      <c r="A910" s="245" t="inlineStr">
        <is>
          <t>CoQ-PP_26-003</t>
        </is>
      </c>
      <c r="B910" s="245" t="inlineStr">
        <is>
          <t>BG1024</t>
        </is>
      </c>
      <c r="C910" s="245" t="inlineStr">
        <is>
          <t>release</t>
        </is>
      </c>
      <c r="D910" s="245" t="inlineStr">
        <is>
          <t>#10</t>
        </is>
      </c>
      <c r="E910" s="246" t="inlineStr">
        <is>
          <t>752/2025 27.02.25 IJZ; also 197-1-М/26; n/t 10.1,10.3</t>
        </is>
      </c>
    </row>
    <row r="911">
      <c r="A911" s="245" t="inlineStr">
        <is>
          <t>CoQ-PP_26-004</t>
        </is>
      </c>
      <c r="B911" s="245" t="inlineStr">
        <is>
          <t>GG1024</t>
        </is>
      </c>
      <c r="C911" s="245" t="inlineStr">
        <is>
          <t>release</t>
        </is>
      </c>
      <c r="D911" s="245" t="inlineStr">
        <is>
          <t>#3</t>
        </is>
      </c>
      <c r="E911" s="246" t="inlineStr">
        <is>
          <t>n/t</t>
        </is>
      </c>
    </row>
    <row r="912">
      <c r="A912" s="245" t="inlineStr">
        <is>
          <t>CoQ-PP_26-004</t>
        </is>
      </c>
      <c r="B912" s="245" t="inlineStr">
        <is>
          <t>GG1024</t>
        </is>
      </c>
      <c r="C912" s="245" t="inlineStr">
        <is>
          <t>release</t>
        </is>
      </c>
      <c r="D912" s="245" t="inlineStr">
        <is>
          <t>#4</t>
        </is>
      </c>
      <c r="E912" s="246" t="inlineStr">
        <is>
          <t>n/t</t>
        </is>
      </c>
    </row>
    <row r="913">
      <c r="A913" s="245" t="inlineStr">
        <is>
          <t>CoQ-PP_26-004</t>
        </is>
      </c>
      <c r="B913" s="245" t="inlineStr">
        <is>
          <t>GG1024</t>
        </is>
      </c>
      <c r="C913" s="245" t="inlineStr">
        <is>
          <t>release</t>
        </is>
      </c>
      <c r="D913" s="245" t="inlineStr">
        <is>
          <t>#5</t>
        </is>
      </c>
      <c r="E913" s="246" t="inlineStr">
        <is>
          <t>n/t</t>
        </is>
      </c>
    </row>
    <row r="914">
      <c r="A914" s="245" t="inlineStr">
        <is>
          <t>CoQ-PP_26-004</t>
        </is>
      </c>
      <c r="B914" s="245" t="inlineStr">
        <is>
          <t>GG1024</t>
        </is>
      </c>
      <c r="C914" s="245" t="inlineStr">
        <is>
          <t>release</t>
        </is>
      </c>
      <c r="D914" s="245" t="inlineStr">
        <is>
          <t>#6</t>
        </is>
      </c>
      <c r="E914" s="246" t="inlineStr">
        <is>
          <t>n/t</t>
        </is>
      </c>
    </row>
    <row r="915">
      <c r="A915" s="245" t="inlineStr">
        <is>
          <t>CoQ-PP_26-004</t>
        </is>
      </c>
      <c r="B915" s="245" t="inlineStr">
        <is>
          <t>GG1024</t>
        </is>
      </c>
      <c r="C915" s="245" t="inlineStr">
        <is>
          <t>release</t>
        </is>
      </c>
      <c r="D915" s="245" t="inlineStr">
        <is>
          <t>#10</t>
        </is>
      </c>
      <c r="E915" s="246" t="inlineStr">
        <is>
          <t>748/2025 04.03.25 IJZ; also 220-9-М/26; n/t 10.1,10.3</t>
        </is>
      </c>
    </row>
    <row r="916">
      <c r="A916" s="245" t="inlineStr">
        <is>
          <t>CoQ-PP_26-005</t>
        </is>
      </c>
      <c r="B916" s="245" t="inlineStr">
        <is>
          <t>HPA1024</t>
        </is>
      </c>
      <c r="C916" s="245" t="inlineStr">
        <is>
          <t>release</t>
        </is>
      </c>
      <c r="D916" s="245" t="inlineStr">
        <is>
          <t>#3</t>
        </is>
      </c>
      <c r="E916" s="246" t="inlineStr">
        <is>
          <t>n/t</t>
        </is>
      </c>
    </row>
    <row r="917">
      <c r="A917" s="245" t="inlineStr">
        <is>
          <t>CoQ-PP_26-005</t>
        </is>
      </c>
      <c r="B917" s="245" t="inlineStr">
        <is>
          <t>HPA1024</t>
        </is>
      </c>
      <c r="C917" s="245" t="inlineStr">
        <is>
          <t>release</t>
        </is>
      </c>
      <c r="D917" s="245" t="inlineStr">
        <is>
          <t>#6</t>
        </is>
      </c>
      <c r="E917" s="246" t="inlineStr">
        <is>
          <t>n/t</t>
        </is>
      </c>
    </row>
    <row r="918">
      <c r="A918" s="245" t="inlineStr">
        <is>
          <t>CoQ-PP_26-005</t>
        </is>
      </c>
      <c r="B918" s="245" t="inlineStr">
        <is>
          <t>HPA1024</t>
        </is>
      </c>
      <c r="C918" s="245" t="inlineStr">
        <is>
          <t>release</t>
        </is>
      </c>
      <c r="D918" s="245" t="inlineStr">
        <is>
          <t>#8</t>
        </is>
      </c>
      <c r="E918" s="246" t="inlineStr">
        <is>
          <t>n/t</t>
        </is>
      </c>
    </row>
    <row r="919">
      <c r="A919" s="245" t="inlineStr">
        <is>
          <t>CoQ-PP_26-005</t>
        </is>
      </c>
      <c r="B919" s="245" t="inlineStr">
        <is>
          <t>HPA1024</t>
        </is>
      </c>
      <c r="C919" s="245" t="inlineStr">
        <is>
          <t>release</t>
        </is>
      </c>
      <c r="D919" s="245" t="inlineStr">
        <is>
          <t>#10</t>
        </is>
      </c>
      <c r="E919" s="246" t="inlineStr">
        <is>
          <t>iCoA-PP_26-005 03.06.26 PP; also 197-13-М/26; n/t 10.1,10.3</t>
        </is>
      </c>
    </row>
    <row r="920">
      <c r="A920" s="245" t="inlineStr">
        <is>
          <t>CoQ-PP_26-006</t>
        </is>
      </c>
      <c r="B920" s="245" t="inlineStr">
        <is>
          <t>OPM1024</t>
        </is>
      </c>
      <c r="C920" s="245" t="inlineStr">
        <is>
          <t>release</t>
        </is>
      </c>
      <c r="D920" s="245" t="inlineStr">
        <is>
          <t>#3</t>
        </is>
      </c>
      <c r="E920" s="246" t="inlineStr">
        <is>
          <t>n/t</t>
        </is>
      </c>
    </row>
    <row r="921">
      <c r="A921" s="245" t="inlineStr">
        <is>
          <t>CoQ-PP_26-006</t>
        </is>
      </c>
      <c r="B921" s="245" t="inlineStr">
        <is>
          <t>OPM1024</t>
        </is>
      </c>
      <c r="C921" s="245" t="inlineStr">
        <is>
          <t>release</t>
        </is>
      </c>
      <c r="D921" s="245" t="inlineStr">
        <is>
          <t>#6</t>
        </is>
      </c>
      <c r="E921" s="246" t="inlineStr">
        <is>
          <t>n/t</t>
        </is>
      </c>
    </row>
    <row r="922">
      <c r="A922" s="245" t="inlineStr">
        <is>
          <t>CoQ-PP_26-006</t>
        </is>
      </c>
      <c r="B922" s="245" t="inlineStr">
        <is>
          <t>OPM1024</t>
        </is>
      </c>
      <c r="C922" s="245" t="inlineStr">
        <is>
          <t>release</t>
        </is>
      </c>
      <c r="D922" s="245" t="inlineStr">
        <is>
          <t>#8</t>
        </is>
      </c>
      <c r="E922" s="246" t="inlineStr">
        <is>
          <t>n/t</t>
        </is>
      </c>
    </row>
    <row r="923">
      <c r="A923" s="245" t="inlineStr">
        <is>
          <t>CoQ-PP_26-006</t>
        </is>
      </c>
      <c r="B923" s="245" t="inlineStr">
        <is>
          <t>OPM1024</t>
        </is>
      </c>
      <c r="C923" s="245" t="inlineStr">
        <is>
          <t>release</t>
        </is>
      </c>
      <c r="D923" s="245" t="inlineStr">
        <is>
          <t>#10</t>
        </is>
      </c>
      <c r="E923" s="246" t="inlineStr">
        <is>
          <t>iCoA-PP_26-006 03.06.26 PP; also 197-17-М/26; n/t 10.1,10.3</t>
        </is>
      </c>
    </row>
    <row r="924">
      <c r="A924" s="245" t="inlineStr">
        <is>
          <t>CoQ-PP_26-007</t>
        </is>
      </c>
      <c r="B924" s="245" t="inlineStr">
        <is>
          <t>P050022 (GP0824_02)</t>
        </is>
      </c>
      <c r="C924" s="245" t="inlineStr">
        <is>
          <t>release</t>
        </is>
      </c>
      <c r="D924" s="245" t="inlineStr">
        <is>
          <t>#10</t>
        </is>
      </c>
      <c r="E924" s="246" t="inlineStr">
        <is>
          <t>2471-2025 30.05.25 IJZ; also 197-11-М/26; n/t 10.1,10.3</t>
        </is>
      </c>
    </row>
    <row r="925">
      <c r="A925" s="245" t="inlineStr">
        <is>
          <t>CoQ-PP_26-008</t>
        </is>
      </c>
      <c r="B925" s="245" t="inlineStr">
        <is>
          <t>P050012 (GG1024_02)</t>
        </is>
      </c>
      <c r="C925" s="245" t="inlineStr">
        <is>
          <t>release (predicted)</t>
        </is>
      </c>
      <c r="D925" s="245" t="inlineStr">
        <is>
          <t>#6</t>
        </is>
      </c>
      <c r="E925" s="246" t="inlineStr">
        <is>
          <t>n/t</t>
        </is>
      </c>
    </row>
    <row r="926">
      <c r="A926" s="245" t="inlineStr">
        <is>
          <t>CoQ-PP_26-008</t>
        </is>
      </c>
      <c r="B926" s="245" t="inlineStr">
        <is>
          <t>P050012 (GG1024_02)</t>
        </is>
      </c>
      <c r="C926" s="245" t="inlineStr">
        <is>
          <t>release (predicted)</t>
        </is>
      </c>
      <c r="D926" s="245" t="inlineStr">
        <is>
          <t>#10</t>
        </is>
      </c>
      <c r="E926" s="246" t="inlineStr">
        <is>
          <t>2472/2025 30.05.25 IJZ; n/t 10.1,10.3</t>
        </is>
      </c>
    </row>
    <row r="927">
      <c r="A927" s="245" t="inlineStr">
        <is>
          <t>CoQ-PP_26-009</t>
        </is>
      </c>
      <c r="B927" s="245" t="inlineStr">
        <is>
          <t>P050032 (MB0824_04)</t>
        </is>
      </c>
      <c r="C927" s="245" t="inlineStr">
        <is>
          <t>release (predicted)</t>
        </is>
      </c>
      <c r="D927" s="245" t="inlineStr">
        <is>
          <t>#6</t>
        </is>
      </c>
      <c r="E927" s="246" t="inlineStr">
        <is>
          <t>n/t</t>
        </is>
      </c>
    </row>
    <row r="928">
      <c r="A928" s="245" t="inlineStr">
        <is>
          <t>CoQ-PP_26-009</t>
        </is>
      </c>
      <c r="B928" s="245" t="inlineStr">
        <is>
          <t>P050032 (MB0824_04)</t>
        </is>
      </c>
      <c r="C928" s="245" t="inlineStr">
        <is>
          <t>release (predicted)</t>
        </is>
      </c>
      <c r="D928" s="245" t="inlineStr">
        <is>
          <t>#10</t>
        </is>
      </c>
      <c r="E928" s="246" t="inlineStr">
        <is>
          <t>2157/2025 07.05.25 IJZ; n/t 10.1,10.3</t>
        </is>
      </c>
    </row>
    <row r="929">
      <c r="A929" s="245" t="inlineStr">
        <is>
          <t>CoQ-PP_26-010</t>
        </is>
      </c>
      <c r="B929" s="245" t="inlineStr">
        <is>
          <t>P050042 (OMP1024_01)</t>
        </is>
      </c>
      <c r="C929" s="245" t="inlineStr">
        <is>
          <t>release</t>
        </is>
      </c>
      <c r="D929" s="245" t="inlineStr">
        <is>
          <t>#10</t>
        </is>
      </c>
      <c r="E929" s="246" t="inlineStr">
        <is>
          <t>2156/2025 07.05.25 IJZ; also 220-21-М/26; n/t 10.1,10.3</t>
        </is>
      </c>
    </row>
    <row r="930">
      <c r="A930" s="245" t="inlineStr">
        <is>
          <t>CoQ-PP_26-011</t>
        </is>
      </c>
      <c r="B930" s="245" t="inlineStr">
        <is>
          <t>P050052 (HPA1024_01)</t>
        </is>
      </c>
      <c r="C930" s="245" t="inlineStr">
        <is>
          <t>release</t>
        </is>
      </c>
      <c r="D930" s="245" t="inlineStr">
        <is>
          <t>#10</t>
        </is>
      </c>
      <c r="E930" s="246" t="inlineStr">
        <is>
          <t>2995/2025 19.06.25 IJZ; also 197-14-М/26; n/t 10.1,10.3</t>
        </is>
      </c>
    </row>
    <row r="931">
      <c r="A931" s="245" t="inlineStr">
        <is>
          <t>CoQ-PP_26-012</t>
        </is>
      </c>
      <c r="B931" s="245" t="inlineStr">
        <is>
          <t>P050062 (OPM1024_02)</t>
        </is>
      </c>
      <c r="C931" s="245" t="inlineStr">
        <is>
          <t>release</t>
        </is>
      </c>
      <c r="D931" s="245" t="inlineStr">
        <is>
          <t>#10</t>
        </is>
      </c>
      <c r="E931" s="246" t="inlineStr">
        <is>
          <t>2994/2025 19.06.25 IJZ; also 197-18-М/26; n/t 10.1,10.3</t>
        </is>
      </c>
    </row>
    <row r="932">
      <c r="A932" s="245" t="inlineStr">
        <is>
          <t>CoQ-PP_26-013</t>
        </is>
      </c>
      <c r="B932" s="245" t="inlineStr">
        <is>
          <t>P050072 (GP0824_03)</t>
        </is>
      </c>
      <c r="C932" s="245" t="inlineStr">
        <is>
          <t>release</t>
        </is>
      </c>
      <c r="D932" s="245" t="inlineStr">
        <is>
          <t>#10</t>
        </is>
      </c>
      <c r="E932" s="246" t="inlineStr">
        <is>
          <t>3178/2025 26.06.25 IJZ; also 220-11-М/26; n/t 10.1,10.3</t>
        </is>
      </c>
    </row>
    <row r="933">
      <c r="A933" s="245" t="inlineStr">
        <is>
          <t>CoQ-PP_26-014</t>
        </is>
      </c>
      <c r="B933" s="245" t="inlineStr">
        <is>
          <t>P050082 (OPM1024_03)</t>
        </is>
      </c>
      <c r="C933" s="245" t="inlineStr">
        <is>
          <t>release</t>
        </is>
      </c>
      <c r="D933" s="245" t="inlineStr">
        <is>
          <t>#10</t>
        </is>
      </c>
      <c r="E933" s="246" t="inlineStr">
        <is>
          <t>3636/2025 28.07.25 IJZ; also 220-23-М/26; n/t 10.1,10.3</t>
        </is>
      </c>
    </row>
    <row r="934">
      <c r="A934" s="245" t="inlineStr">
        <is>
          <t>CoQ-PP_26-015</t>
        </is>
      </c>
      <c r="B934" s="245" t="inlineStr">
        <is>
          <t>P050092 (GG1024_01)</t>
        </is>
      </c>
      <c r="C934" s="245" t="inlineStr">
        <is>
          <t>release</t>
        </is>
      </c>
      <c r="D934" s="245" t="inlineStr">
        <is>
          <t>#10</t>
        </is>
      </c>
      <c r="E934" s="246" t="inlineStr">
        <is>
          <t>1766/2025 11.04.25 IJZ; also 197-9-М/26; n/t 10.1,10.3</t>
        </is>
      </c>
    </row>
    <row r="935">
      <c r="A935" s="245" t="inlineStr">
        <is>
          <t>CoQ-PP_26-016</t>
        </is>
      </c>
      <c r="B935" s="245" t="inlineStr">
        <is>
          <t>P050102 (GP0824_01)</t>
        </is>
      </c>
      <c r="C935" s="245" t="inlineStr">
        <is>
          <t>release (predicted)</t>
        </is>
      </c>
      <c r="D935" s="245" t="inlineStr">
        <is>
          <t>#6</t>
        </is>
      </c>
      <c r="E935" s="246" t="inlineStr">
        <is>
          <t>n/t</t>
        </is>
      </c>
    </row>
    <row r="936">
      <c r="A936" s="245" t="inlineStr">
        <is>
          <t>CoQ-PP_26-016</t>
        </is>
      </c>
      <c r="B936" s="245" t="inlineStr">
        <is>
          <t>P050102 (GP0824_01)</t>
        </is>
      </c>
      <c r="C936" s="245" t="inlineStr">
        <is>
          <t>release (predicted)</t>
        </is>
      </c>
      <c r="D936" s="245" t="inlineStr">
        <is>
          <t>#10</t>
        </is>
      </c>
      <c r="E936" s="246" t="inlineStr">
        <is>
          <t>1767/2025 11.04.25 IJZ; n/t 10.1,10.3</t>
        </is>
      </c>
    </row>
    <row r="937">
      <c r="A937" s="245" t="inlineStr">
        <is>
          <t>CoQ-PP_26-017</t>
        </is>
      </c>
      <c r="B937" s="245" t="inlineStr">
        <is>
          <t>P050112 (MB0824_05)</t>
        </is>
      </c>
      <c r="C937" s="245" t="inlineStr">
        <is>
          <t>release</t>
        </is>
      </c>
      <c r="D937" s="245" t="inlineStr">
        <is>
          <t>#10</t>
        </is>
      </c>
      <c r="E937" s="246" t="inlineStr">
        <is>
          <t>3638/2025 28.07.25 IJZ; also 220-20-М/26; n/t 10.1,10.3</t>
        </is>
      </c>
    </row>
    <row r="938">
      <c r="A938" s="245" t="inlineStr">
        <is>
          <t>CoQ-PP_26-018</t>
        </is>
      </c>
      <c r="B938" s="245" t="inlineStr">
        <is>
          <t>P050122 (BSS1024_01)</t>
        </is>
      </c>
      <c r="C938" s="245" t="inlineStr">
        <is>
          <t>release (predicted)</t>
        </is>
      </c>
      <c r="D938" s="245" t="inlineStr">
        <is>
          <t>#6</t>
        </is>
      </c>
      <c r="E938" s="246" t="inlineStr">
        <is>
          <t>n/t</t>
        </is>
      </c>
    </row>
    <row r="939">
      <c r="A939" s="245" t="inlineStr">
        <is>
          <t>CoQ-PP_26-018</t>
        </is>
      </c>
      <c r="B939" s="245" t="inlineStr">
        <is>
          <t>P050122 (BSS1024_01)</t>
        </is>
      </c>
      <c r="C939" s="245" t="inlineStr">
        <is>
          <t>release (predicted)</t>
        </is>
      </c>
      <c r="D939" s="245" t="inlineStr">
        <is>
          <t>#10</t>
        </is>
      </c>
      <c r="E939" s="246" t="inlineStr">
        <is>
          <t>3177/2025 26.06.25 IJZ; n/t 10.1,10.3</t>
        </is>
      </c>
    </row>
    <row r="940">
      <c r="A940" s="245" t="inlineStr">
        <is>
          <t>CoQ-PP_26-019</t>
        </is>
      </c>
      <c r="B940" s="245" t="inlineStr">
        <is>
          <t>P050132 (OPM052501)</t>
        </is>
      </c>
      <c r="C940" s="245" t="inlineStr">
        <is>
          <t>release (predicted)</t>
        </is>
      </c>
      <c r="D940" s="245" t="inlineStr">
        <is>
          <t>#6</t>
        </is>
      </c>
      <c r="E940" s="246" t="inlineStr">
        <is>
          <t>n/t</t>
        </is>
      </c>
    </row>
    <row r="941">
      <c r="A941" s="245" t="inlineStr">
        <is>
          <t>CoQ-PP_26-019</t>
        </is>
      </c>
      <c r="B941" s="245" t="inlineStr">
        <is>
          <t>P050132 (OPM052501)</t>
        </is>
      </c>
      <c r="C941" s="245" t="inlineStr">
        <is>
          <t>release (predicted)</t>
        </is>
      </c>
      <c r="D941" s="245" t="inlineStr">
        <is>
          <t>#10</t>
        </is>
      </c>
      <c r="E941" s="246" t="inlineStr">
        <is>
          <t>4157/2025 29.08.25 IJZ; n/t 10.1,10.3</t>
        </is>
      </c>
    </row>
    <row r="942">
      <c r="A942" s="245" t="inlineStr">
        <is>
          <t>CoQ-PP_26-020</t>
        </is>
      </c>
      <c r="B942" s="245" t="inlineStr">
        <is>
          <t>P050152 (GP052501)</t>
        </is>
      </c>
      <c r="C942" s="245" t="inlineStr">
        <is>
          <t>release</t>
        </is>
      </c>
      <c r="D942" s="245" t="inlineStr">
        <is>
          <t>#10</t>
        </is>
      </c>
      <c r="E942" s="246" t="inlineStr">
        <is>
          <t>4348/2025 15.09.25 IJZ; also 197-10-М/26; n/t 10.1,10.3</t>
        </is>
      </c>
    </row>
    <row r="943">
      <c r="A943" s="245" t="inlineStr">
        <is>
          <t>CoQ-PP_26-021</t>
        </is>
      </c>
      <c r="B943" s="245" t="inlineStr">
        <is>
          <t>P050142 (BSS1024_01/2)</t>
        </is>
      </c>
      <c r="C943" s="245" t="inlineStr">
        <is>
          <t>release (predicted)</t>
        </is>
      </c>
      <c r="D943" s="245" t="inlineStr">
        <is>
          <t>#4</t>
        </is>
      </c>
      <c r="E943" s="246" t="inlineStr">
        <is>
          <t>n/t</t>
        </is>
      </c>
    </row>
    <row r="944">
      <c r="A944" s="245" t="inlineStr">
        <is>
          <t>CoQ-PP_26-021</t>
        </is>
      </c>
      <c r="B944" s="245" t="inlineStr">
        <is>
          <t>P050142 (BSS1024_01/2)</t>
        </is>
      </c>
      <c r="C944" s="245" t="inlineStr">
        <is>
          <t>release (predicted)</t>
        </is>
      </c>
      <c r="D944" s="245" t="inlineStr">
        <is>
          <t>#5</t>
        </is>
      </c>
      <c r="E944" s="246" t="inlineStr">
        <is>
          <t>n/t</t>
        </is>
      </c>
    </row>
    <row r="945">
      <c r="A945" s="245" t="inlineStr">
        <is>
          <t>CoQ-PP_26-021</t>
        </is>
      </c>
      <c r="B945" s="245" t="inlineStr">
        <is>
          <t>P050142 (BSS1024_01/2)</t>
        </is>
      </c>
      <c r="C945" s="245" t="inlineStr">
        <is>
          <t>release (predicted)</t>
        </is>
      </c>
      <c r="D945" s="245" t="inlineStr">
        <is>
          <t>#6</t>
        </is>
      </c>
      <c r="E945" s="246" t="inlineStr">
        <is>
          <t>n/t</t>
        </is>
      </c>
    </row>
    <row r="946">
      <c r="A946" s="245" t="inlineStr">
        <is>
          <t>CoQ-PP_26-021</t>
        </is>
      </c>
      <c r="B946" s="245" t="inlineStr">
        <is>
          <t>P050142 (BSS1024_01/2)</t>
        </is>
      </c>
      <c r="C946" s="245" t="inlineStr">
        <is>
          <t>release (predicted)</t>
        </is>
      </c>
      <c r="D946" s="245" t="inlineStr">
        <is>
          <t>#8</t>
        </is>
      </c>
      <c r="E946" s="246" t="inlineStr">
        <is>
          <t>n/t</t>
        </is>
      </c>
    </row>
    <row r="947">
      <c r="A947" s="245" t="inlineStr">
        <is>
          <t>CoQ-PP_26-021</t>
        </is>
      </c>
      <c r="B947" s="245" t="inlineStr">
        <is>
          <t>P050142 (BSS1024_01/2)</t>
        </is>
      </c>
      <c r="C947" s="245" t="inlineStr">
        <is>
          <t>release (predicted)</t>
        </is>
      </c>
      <c r="D947" s="245" t="inlineStr">
        <is>
          <t>#9</t>
        </is>
      </c>
      <c r="E947" s="246" t="inlineStr">
        <is>
          <t>n/t</t>
        </is>
      </c>
    </row>
    <row r="948">
      <c r="A948" s="245" t="inlineStr">
        <is>
          <t>CoQ-PP_26-021</t>
        </is>
      </c>
      <c r="B948" s="245" t="inlineStr">
        <is>
          <t>P050142 (BSS1024_01/2)</t>
        </is>
      </c>
      <c r="C948" s="245" t="inlineStr">
        <is>
          <t>release (predicted)</t>
        </is>
      </c>
      <c r="D948" s="245" t="inlineStr">
        <is>
          <t>#10</t>
        </is>
      </c>
      <c r="E948" s="246" t="inlineStr">
        <is>
          <t>n/t</t>
        </is>
      </c>
    </row>
    <row r="949">
      <c r="A949" s="245" t="inlineStr">
        <is>
          <t>CoQ-PP_26-021</t>
        </is>
      </c>
      <c r="B949" s="245" t="inlineStr">
        <is>
          <t>P050142 (BSS1024_01/2)</t>
        </is>
      </c>
      <c r="C949" s="245" t="inlineStr">
        <is>
          <t>release (predicted)</t>
        </is>
      </c>
      <c r="D949" s="245" t="inlineStr">
        <is>
          <t>#11</t>
        </is>
      </c>
      <c r="E949" s="246" t="inlineStr">
        <is>
          <t>n/t</t>
        </is>
      </c>
    </row>
    <row r="950">
      <c r="A950" s="245" t="inlineStr">
        <is>
          <t>CoQ-PP_26-021</t>
        </is>
      </c>
      <c r="B950" s="245" t="inlineStr">
        <is>
          <t>P050142 (BSS1024_01/2)</t>
        </is>
      </c>
      <c r="C950" s="245" t="inlineStr">
        <is>
          <t>release (predicted)</t>
        </is>
      </c>
      <c r="D950" s="245" t="inlineStr">
        <is>
          <t>#12</t>
        </is>
      </c>
      <c r="E950" s="246" t="inlineStr">
        <is>
          <t>n/t</t>
        </is>
      </c>
    </row>
    <row r="951">
      <c r="A951" s="245" t="inlineStr">
        <is>
          <t>CoQ-PP_26-022</t>
        </is>
      </c>
      <c r="B951" s="245" t="inlineStr">
        <is>
          <t>P050162 (CJ052501/01)</t>
        </is>
      </c>
      <c r="C951" s="245" t="inlineStr">
        <is>
          <t>release</t>
        </is>
      </c>
      <c r="D951" s="245" t="inlineStr">
        <is>
          <t>#10</t>
        </is>
      </c>
      <c r="E951" s="246" t="inlineStr">
        <is>
          <t>4350/2025 15.09.25 IJZ; also 197-3-М/26; n/t 10.1,10.3</t>
        </is>
      </c>
    </row>
    <row r="952">
      <c r="A952" s="245" t="inlineStr">
        <is>
          <t>CoQ-PP_26-023</t>
        </is>
      </c>
      <c r="B952" s="245" t="inlineStr">
        <is>
          <t>P050172 (CJ052501-2)</t>
        </is>
      </c>
      <c r="C952" s="245" t="inlineStr">
        <is>
          <t>release (predicted)</t>
        </is>
      </c>
      <c r="D952" s="245" t="inlineStr">
        <is>
          <t>#6</t>
        </is>
      </c>
      <c r="E952" s="246" t="inlineStr">
        <is>
          <t>n/t</t>
        </is>
      </c>
    </row>
    <row r="953">
      <c r="A953" s="245" t="inlineStr">
        <is>
          <t>CoQ-PP_26-023</t>
        </is>
      </c>
      <c r="B953" s="245" t="inlineStr">
        <is>
          <t>P050172 (CJ052501-2)</t>
        </is>
      </c>
      <c r="C953" s="245" t="inlineStr">
        <is>
          <t>release (predicted)</t>
        </is>
      </c>
      <c r="D953" s="245" t="inlineStr">
        <is>
          <t>#10</t>
        </is>
      </c>
      <c r="E953" s="246" t="inlineStr">
        <is>
          <t>4349/2025 15.09.25 IJZ; n/t 10.1,10.3</t>
        </is>
      </c>
    </row>
    <row r="954">
      <c r="A954" s="245" t="inlineStr">
        <is>
          <t>CoQ-PP_26-024</t>
        </is>
      </c>
      <c r="B954" s="245" t="inlineStr">
        <is>
          <t>P050182 (HPA052501)</t>
        </is>
      </c>
      <c r="C954" s="245" t="inlineStr">
        <is>
          <t>release</t>
        </is>
      </c>
      <c r="D954" s="245" t="inlineStr">
        <is>
          <t>#10</t>
        </is>
      </c>
      <c r="E954" s="246" t="inlineStr">
        <is>
          <t>4352/2025 15.09.25 IJZ; also 220-15-М/26; n/t 10.1,10.3</t>
        </is>
      </c>
    </row>
    <row r="955">
      <c r="A955" s="245" t="inlineStr">
        <is>
          <t>CoQ-PP_26-025</t>
        </is>
      </c>
      <c r="B955" s="245" t="inlineStr">
        <is>
          <t>P050192 (BSS052501)</t>
        </is>
      </c>
      <c r="C955" s="245" t="inlineStr">
        <is>
          <t>release</t>
        </is>
      </c>
      <c r="D955" s="245" t="inlineStr">
        <is>
          <t>#3</t>
        </is>
      </c>
      <c r="E955" s="246" t="inlineStr">
        <is>
          <t>n/t</t>
        </is>
      </c>
    </row>
    <row r="956">
      <c r="A956" s="245" t="inlineStr">
        <is>
          <t>CoQ-PP_26-025</t>
        </is>
      </c>
      <c r="B956" s="245" t="inlineStr">
        <is>
          <t>P050192 (BSS052501)</t>
        </is>
      </c>
      <c r="C956" s="245" t="inlineStr">
        <is>
          <t>release</t>
        </is>
      </c>
      <c r="D956" s="245" t="inlineStr">
        <is>
          <t>#6</t>
        </is>
      </c>
      <c r="E956" s="246" t="inlineStr">
        <is>
          <t>n/t</t>
        </is>
      </c>
    </row>
    <row r="957">
      <c r="A957" s="245" t="inlineStr">
        <is>
          <t>CoQ-PP_26-025</t>
        </is>
      </c>
      <c r="B957" s="245" t="inlineStr">
        <is>
          <t>P050192 (BSS052501)</t>
        </is>
      </c>
      <c r="C957" s="245" t="inlineStr">
        <is>
          <t>release</t>
        </is>
      </c>
      <c r="D957" s="245" t="inlineStr">
        <is>
          <t>#10</t>
        </is>
      </c>
      <c r="E957" s="246" t="inlineStr">
        <is>
          <t>276-31-М/25 04.12.25 FHM-M; also 220-2-М/26; n/t 10.2</t>
        </is>
      </c>
    </row>
    <row r="958">
      <c r="A958" s="245" t="inlineStr">
        <is>
          <t>CoQ-PP_26-026</t>
        </is>
      </c>
      <c r="B958" s="245" t="inlineStr">
        <is>
          <t>P050202 (GP062501)</t>
        </is>
      </c>
      <c r="C958" s="245" t="inlineStr">
        <is>
          <t>release (predicted)</t>
        </is>
      </c>
      <c r="D958" s="245" t="inlineStr">
        <is>
          <t>#3</t>
        </is>
      </c>
      <c r="E958" s="246" t="inlineStr">
        <is>
          <t>n/t</t>
        </is>
      </c>
    </row>
    <row r="959">
      <c r="A959" s="245" t="inlineStr">
        <is>
          <t>CoQ-PP_26-026</t>
        </is>
      </c>
      <c r="B959" s="245" t="inlineStr">
        <is>
          <t>P050202 (GP062501)</t>
        </is>
      </c>
      <c r="C959" s="245" t="inlineStr">
        <is>
          <t>release (predicted)</t>
        </is>
      </c>
      <c r="D959" s="245" t="inlineStr">
        <is>
          <t>#6</t>
        </is>
      </c>
      <c r="E959" s="246" t="inlineStr">
        <is>
          <t>n/t</t>
        </is>
      </c>
    </row>
    <row r="960">
      <c r="A960" s="245" t="inlineStr">
        <is>
          <t>CoQ-PP_26-026</t>
        </is>
      </c>
      <c r="B960" s="245" t="inlineStr">
        <is>
          <t>P050202 (GP062501)</t>
        </is>
      </c>
      <c r="C960" s="245" t="inlineStr">
        <is>
          <t>release (predicted)</t>
        </is>
      </c>
      <c r="D960" s="245" t="inlineStr">
        <is>
          <t>#10</t>
        </is>
      </c>
      <c r="E960" s="246" t="inlineStr">
        <is>
          <t>4762/2025 08.10.25 IJZ; n/t 10.1,10.3</t>
        </is>
      </c>
    </row>
    <row r="961">
      <c r="A961" s="245" t="inlineStr">
        <is>
          <t>CoQ-PP_26-027</t>
        </is>
      </c>
      <c r="B961" s="245" t="inlineStr">
        <is>
          <t>P050212 (CJ062501-2)</t>
        </is>
      </c>
      <c r="C961" s="245" t="inlineStr">
        <is>
          <t>release (predicted)</t>
        </is>
      </c>
      <c r="D961" s="245" t="inlineStr">
        <is>
          <t>#10</t>
        </is>
      </c>
      <c r="E961" s="246" t="inlineStr">
        <is>
          <t>4908/2025 24.10.25 IJZ; also 197-4-М/26; n/t 10.1,10.3</t>
        </is>
      </c>
    </row>
    <row r="962">
      <c r="A962" s="245" t="inlineStr">
        <is>
          <t>CoQ-PP_26-028</t>
        </is>
      </c>
      <c r="B962" s="245" t="inlineStr">
        <is>
          <t>P050222 (CJ062501/1)</t>
        </is>
      </c>
      <c r="C962" s="245" t="inlineStr">
        <is>
          <t>release</t>
        </is>
      </c>
      <c r="D962" s="245" t="inlineStr">
        <is>
          <t>#10</t>
        </is>
      </c>
      <c r="E962" s="246" t="inlineStr">
        <is>
          <t>4907/2025 24.10.25 IJZ; also 220-3-М/26; n/t 10.1,10.3</t>
        </is>
      </c>
    </row>
    <row r="963">
      <c r="A963" s="245" t="inlineStr">
        <is>
          <t>CoQ-PP_26-029</t>
        </is>
      </c>
      <c r="B963" s="245" t="inlineStr">
        <is>
          <t>P050252 (CJ072501)</t>
        </is>
      </c>
      <c r="C963" s="245" t="inlineStr">
        <is>
          <t>release (predicted)</t>
        </is>
      </c>
      <c r="D963" s="245" t="inlineStr">
        <is>
          <t>#6</t>
        </is>
      </c>
      <c r="E963" s="246" t="inlineStr">
        <is>
          <t>n/t</t>
        </is>
      </c>
    </row>
    <row r="964">
      <c r="A964" s="245" t="inlineStr">
        <is>
          <t>CoQ-PP_26-029</t>
        </is>
      </c>
      <c r="B964" s="245" t="inlineStr">
        <is>
          <t>P050252 (CJ072501)</t>
        </is>
      </c>
      <c r="C964" s="245" t="inlineStr">
        <is>
          <t>release (predicted)</t>
        </is>
      </c>
      <c r="D964" s="245" t="inlineStr">
        <is>
          <t>#10</t>
        </is>
      </c>
      <c r="E964" s="246" t="inlineStr">
        <is>
          <t>5697/2025 02.12.25 IJZ; n/t 10.1,10.3</t>
        </is>
      </c>
    </row>
    <row r="965">
      <c r="A965" s="245" t="inlineStr">
        <is>
          <t>CoQ-PP_26-030</t>
        </is>
      </c>
      <c r="B965" s="245" t="inlineStr">
        <is>
          <t>P050262 (WC072501)</t>
        </is>
      </c>
      <c r="C965" s="245" t="inlineStr">
        <is>
          <t>release (predicted)</t>
        </is>
      </c>
      <c r="D965" s="245" t="inlineStr">
        <is>
          <t>#6</t>
        </is>
      </c>
      <c r="E965" s="246" t="inlineStr">
        <is>
          <t>n/t</t>
        </is>
      </c>
    </row>
    <row r="966">
      <c r="A966" s="245" t="inlineStr">
        <is>
          <t>CoQ-PP_26-030</t>
        </is>
      </c>
      <c r="B966" s="245" t="inlineStr">
        <is>
          <t>P050262 (WC072501)</t>
        </is>
      </c>
      <c r="C966" s="245" t="inlineStr">
        <is>
          <t>release (predicted)</t>
        </is>
      </c>
      <c r="D966" s="245" t="inlineStr">
        <is>
          <t>#10</t>
        </is>
      </c>
      <c r="E966" s="246" t="inlineStr">
        <is>
          <t>5699/2025 02.12.25 IJZ; n/t 10.1,10.3</t>
        </is>
      </c>
    </row>
    <row r="967">
      <c r="A967" s="245" t="inlineStr">
        <is>
          <t>CoQ-PP_26-031</t>
        </is>
      </c>
      <c r="B967" s="245" t="inlineStr">
        <is>
          <t>P050272 (PM072501)</t>
        </is>
      </c>
      <c r="C967" s="245" t="inlineStr">
        <is>
          <t>release (predicted)</t>
        </is>
      </c>
      <c r="D967" s="245" t="inlineStr">
        <is>
          <t>#6</t>
        </is>
      </c>
      <c r="E967" s="246" t="inlineStr">
        <is>
          <t>n/t</t>
        </is>
      </c>
    </row>
    <row r="968">
      <c r="A968" s="245" t="inlineStr">
        <is>
          <t>CoQ-PP_26-031</t>
        </is>
      </c>
      <c r="B968" s="245" t="inlineStr">
        <is>
          <t>P050272 (PM072501)</t>
        </is>
      </c>
      <c r="C968" s="245" t="inlineStr">
        <is>
          <t>release (predicted)</t>
        </is>
      </c>
      <c r="D968" s="245" t="inlineStr">
        <is>
          <t>#10</t>
        </is>
      </c>
      <c r="E968" s="246" t="inlineStr">
        <is>
          <t>5698/2025 02.12.25 IJZ; n/t 10.1,10.3</t>
        </is>
      </c>
    </row>
    <row r="969">
      <c r="A969" s="245" t="inlineStr">
        <is>
          <t>CoQ-PP_26-032</t>
        </is>
      </c>
      <c r="B969" s="245" t="inlineStr">
        <is>
          <t>P050282 (CLE072501)</t>
        </is>
      </c>
      <c r="C969" s="245" t="inlineStr">
        <is>
          <t>release</t>
        </is>
      </c>
      <c r="D969" s="245" t="inlineStr">
        <is>
          <t>#10</t>
        </is>
      </c>
      <c r="E969" s="246" t="inlineStr">
        <is>
          <t>5700/2025 02.12.25 IJZ; also 220-7-М/26; n/t 10.1,10.3</t>
        </is>
      </c>
    </row>
    <row r="970">
      <c r="A970" s="245" t="inlineStr">
        <is>
          <t>CoQ-PP_26-033</t>
        </is>
      </c>
      <c r="B970" s="245" t="inlineStr">
        <is>
          <t>P050292 (GP072501-1)</t>
        </is>
      </c>
      <c r="C970" s="245" t="inlineStr">
        <is>
          <t>release (predicted)</t>
        </is>
      </c>
      <c r="D970" s="245" t="inlineStr">
        <is>
          <t>#6</t>
        </is>
      </c>
      <c r="E970" s="246" t="inlineStr">
        <is>
          <t>n/t</t>
        </is>
      </c>
    </row>
    <row r="971">
      <c r="A971" s="245" t="inlineStr">
        <is>
          <t>CoQ-PP_26-033</t>
        </is>
      </c>
      <c r="B971" s="245" t="inlineStr">
        <is>
          <t>P050292 (GP072501-1)</t>
        </is>
      </c>
      <c r="C971" s="245" t="inlineStr">
        <is>
          <t>release (predicted)</t>
        </is>
      </c>
      <c r="D971" s="245" t="inlineStr">
        <is>
          <t>#10</t>
        </is>
      </c>
      <c r="E971" s="246" t="inlineStr">
        <is>
          <t>5886/2025 12.12.25 IJZ; n/t 10.1,10.3</t>
        </is>
      </c>
    </row>
    <row r="972">
      <c r="A972" s="245" t="inlineStr">
        <is>
          <t>CoQ-PP_26-034</t>
        </is>
      </c>
      <c r="B972" s="245" t="inlineStr">
        <is>
          <t>P050302 (GP072501/2)</t>
        </is>
      </c>
      <c r="C972" s="245" t="inlineStr">
        <is>
          <t>release</t>
        </is>
      </c>
      <c r="D972" s="245" t="inlineStr">
        <is>
          <t>#10</t>
        </is>
      </c>
      <c r="E972" s="246" t="inlineStr">
        <is>
          <t>5887/2025 12.12.25 IJZ; also 220-10-М/26; n/t 10.1,10.3</t>
        </is>
      </c>
    </row>
    <row r="973">
      <c r="A973" s="245" t="inlineStr">
        <is>
          <t>CoQ-PP_26-035</t>
        </is>
      </c>
      <c r="B973" s="245" t="inlineStr">
        <is>
          <t>P050312 (GP082501/1)</t>
        </is>
      </c>
      <c r="C973" s="245" t="inlineStr">
        <is>
          <t>release</t>
        </is>
      </c>
      <c r="D973" s="245" t="inlineStr">
        <is>
          <t>#10</t>
        </is>
      </c>
      <c r="E973" s="246" t="inlineStr">
        <is>
          <t>5888/2025 12.12.25 IJZ; also 220-12-М/26; n/t 10.1,10.3</t>
        </is>
      </c>
    </row>
    <row r="974">
      <c r="A974" s="245" t="inlineStr">
        <is>
          <t>CoQ-PP_26-036</t>
        </is>
      </c>
      <c r="B974" s="245" t="inlineStr">
        <is>
          <t>P050322 (GP082501/2)</t>
        </is>
      </c>
      <c r="C974" s="245" t="inlineStr">
        <is>
          <t>release</t>
        </is>
      </c>
      <c r="D974" s="245" t="inlineStr">
        <is>
          <t>#10</t>
        </is>
      </c>
      <c r="E974" s="246" t="inlineStr">
        <is>
          <t>5889/2025 12.12.25 IJZ; also 197-12-М/26; n/t 10.1,10.3</t>
        </is>
      </c>
    </row>
    <row r="975">
      <c r="A975" s="245" t="inlineStr">
        <is>
          <t>CoQ-PP_26-037</t>
        </is>
      </c>
      <c r="B975" s="245" t="inlineStr">
        <is>
          <t>P060012 (WC082501)</t>
        </is>
      </c>
      <c r="C975" s="245" t="inlineStr">
        <is>
          <t>release</t>
        </is>
      </c>
      <c r="D975" s="245" t="inlineStr">
        <is>
          <t>#10</t>
        </is>
      </c>
      <c r="E975" s="246" t="inlineStr">
        <is>
          <t>80/2026 02.02.26 IJZ; also 220-28-М/26; n/t 10.1,10.3</t>
        </is>
      </c>
    </row>
    <row r="976">
      <c r="A976" s="245" t="inlineStr">
        <is>
          <t>CoQ-PP_26-038</t>
        </is>
      </c>
      <c r="B976" s="245" t="inlineStr">
        <is>
          <t>P060022 (CJ082501/1)</t>
        </is>
      </c>
      <c r="C976" s="245" t="inlineStr">
        <is>
          <t>release</t>
        </is>
      </c>
      <c r="D976" s="245" t="inlineStr">
        <is>
          <t>#10</t>
        </is>
      </c>
      <c r="E976" s="246" t="inlineStr">
        <is>
          <t>81/2026 02.02.26 IJZ; also 220-4-М/26; n/t 10.1,10.3</t>
        </is>
      </c>
    </row>
    <row r="977">
      <c r="A977" s="245" t="inlineStr">
        <is>
          <t>CoQ-PP_26-039</t>
        </is>
      </c>
      <c r="B977" s="245" t="inlineStr">
        <is>
          <t>P060032 (CJ082501/2)</t>
        </is>
      </c>
      <c r="C977" s="245" t="inlineStr">
        <is>
          <t>release</t>
        </is>
      </c>
      <c r="D977" s="245" t="inlineStr">
        <is>
          <t>#10</t>
        </is>
      </c>
      <c r="E977" s="246" t="inlineStr">
        <is>
          <t>82/2026 02.02.26 IJZ; also 197-5-М/26; n/t 10.1,10.3</t>
        </is>
      </c>
    </row>
    <row r="978">
      <c r="A978" s="245" t="inlineStr">
        <is>
          <t>CoQ-PP_26-040</t>
        </is>
      </c>
      <c r="B978" s="245" t="inlineStr">
        <is>
          <t>P060042 (OPM092501)</t>
        </is>
      </c>
      <c r="C978" s="245" t="inlineStr">
        <is>
          <t>release</t>
        </is>
      </c>
      <c r="D978" s="245" t="inlineStr">
        <is>
          <t>#10</t>
        </is>
      </c>
      <c r="E978" s="246" t="inlineStr">
        <is>
          <t>87/2026 03.02.26 IJZ; also 220-22-М/26; n/t 10.1,10.3</t>
        </is>
      </c>
    </row>
    <row r="979">
      <c r="A979" s="245" t="inlineStr">
        <is>
          <t>CoQ-PP_26-041</t>
        </is>
      </c>
      <c r="B979" s="245" t="inlineStr">
        <is>
          <t>P060052 (AB092501)</t>
        </is>
      </c>
      <c r="C979" s="245" t="inlineStr">
        <is>
          <t>release (predicted)</t>
        </is>
      </c>
      <c r="D979" s="245" t="inlineStr">
        <is>
          <t>#6</t>
        </is>
      </c>
      <c r="E979" s="246" t="inlineStr">
        <is>
          <t>n/t</t>
        </is>
      </c>
    </row>
    <row r="980">
      <c r="A980" s="245" t="inlineStr">
        <is>
          <t>CoQ-PP_26-041</t>
        </is>
      </c>
      <c r="B980" s="245" t="inlineStr">
        <is>
          <t>P060052 (AB092501)</t>
        </is>
      </c>
      <c r="C980" s="245" t="inlineStr">
        <is>
          <t>release (predicted)</t>
        </is>
      </c>
      <c r="D980" s="245" t="inlineStr">
        <is>
          <t>#10</t>
        </is>
      </c>
      <c r="E980" s="246" t="inlineStr">
        <is>
          <t>84/2026 02.02.26 IJZ; n/t 10.1,10.3</t>
        </is>
      </c>
    </row>
    <row r="981">
      <c r="A981" s="245" t="inlineStr">
        <is>
          <t>CoQ-PP_26-042</t>
        </is>
      </c>
      <c r="B981" s="245" t="inlineStr">
        <is>
          <t>P060062 (PM092501)</t>
        </is>
      </c>
      <c r="C981" s="245" t="inlineStr">
        <is>
          <t>release</t>
        </is>
      </c>
      <c r="D981" s="245" t="inlineStr">
        <is>
          <t>#10</t>
        </is>
      </c>
      <c r="E981" s="246" t="inlineStr">
        <is>
          <t>83/2026 02.02.26 IJZ; also 197-20-М/26; n/t 10.1,10.3</t>
        </is>
      </c>
    </row>
    <row r="982">
      <c r="A982" s="245" t="inlineStr">
        <is>
          <t>CoQ-PP_26-043</t>
        </is>
      </c>
      <c r="B982" s="245" t="inlineStr">
        <is>
          <t>P060072 (CJ092501)</t>
        </is>
      </c>
      <c r="C982" s="245" t="inlineStr">
        <is>
          <t>release</t>
        </is>
      </c>
      <c r="D982" s="245" t="inlineStr">
        <is>
          <t>#10</t>
        </is>
      </c>
      <c r="E982" s="246" t="inlineStr">
        <is>
          <t>86/2026 02.02.26 IJZ; also 220-5-М/26; n/t 10.1,10.3</t>
        </is>
      </c>
    </row>
    <row r="983">
      <c r="A983" s="245" t="inlineStr">
        <is>
          <t>CoQ-PP_26-044</t>
        </is>
      </c>
      <c r="B983" s="245" t="inlineStr">
        <is>
          <t>P060082 (SJ092501)</t>
        </is>
      </c>
      <c r="C983" s="245" t="inlineStr">
        <is>
          <t>release</t>
        </is>
      </c>
      <c r="D983" s="245" t="inlineStr">
        <is>
          <t>#10</t>
        </is>
      </c>
      <c r="E983" s="246" t="inlineStr">
        <is>
          <t>85/2026 02.02.26 IJZ; also 220-27-М/26; n/t 10.1,10.3</t>
        </is>
      </c>
    </row>
    <row r="984">
      <c r="A984" s="245" t="inlineStr">
        <is>
          <t>CoQ-PP_26-045</t>
        </is>
      </c>
      <c r="B984" s="245" t="inlineStr">
        <is>
          <t>P060092 (GP092501)</t>
        </is>
      </c>
      <c r="C984" s="245" t="inlineStr">
        <is>
          <t>release</t>
        </is>
      </c>
      <c r="D984" s="245" t="inlineStr">
        <is>
          <t>#10</t>
        </is>
      </c>
      <c r="E984" s="246" t="inlineStr">
        <is>
          <t>88/2026 03.02.26 IJZ; also 220-13-М/26; n/t 10.1,10.3</t>
        </is>
      </c>
    </row>
    <row r="985">
      <c r="A985" s="245" t="inlineStr">
        <is>
          <t>CoQ-PP_26-046</t>
        </is>
      </c>
      <c r="B985" s="245" t="inlineStr">
        <is>
          <t>P060102 (WED102501)</t>
        </is>
      </c>
      <c r="C985" s="245" t="inlineStr">
        <is>
          <t>release (predicted)</t>
        </is>
      </c>
      <c r="D985" s="245" t="inlineStr">
        <is>
          <t>#4</t>
        </is>
      </c>
      <c r="E985" s="246" t="inlineStr">
        <is>
          <t>n/t</t>
        </is>
      </c>
    </row>
    <row r="986">
      <c r="A986" s="245" t="inlineStr">
        <is>
          <t>CoQ-PP_26-046</t>
        </is>
      </c>
      <c r="B986" s="245" t="inlineStr">
        <is>
          <t>P060102 (WED102501)</t>
        </is>
      </c>
      <c r="C986" s="245" t="inlineStr">
        <is>
          <t>release (predicted)</t>
        </is>
      </c>
      <c r="D986" s="245" t="inlineStr">
        <is>
          <t>#5</t>
        </is>
      </c>
      <c r="E986" s="246" t="inlineStr">
        <is>
          <t>n/t</t>
        </is>
      </c>
    </row>
    <row r="987">
      <c r="A987" s="245" t="inlineStr">
        <is>
          <t>CoQ-PP_26-046</t>
        </is>
      </c>
      <c r="B987" s="245" t="inlineStr">
        <is>
          <t>P060102 (WED102501)</t>
        </is>
      </c>
      <c r="C987" s="245" t="inlineStr">
        <is>
          <t>release (predicted)</t>
        </is>
      </c>
      <c r="D987" s="245" t="inlineStr">
        <is>
          <t>#6</t>
        </is>
      </c>
      <c r="E987" s="246" t="inlineStr">
        <is>
          <t>n/t</t>
        </is>
      </c>
    </row>
    <row r="988">
      <c r="A988" s="245" t="inlineStr">
        <is>
          <t>CoQ-PP_26-046</t>
        </is>
      </c>
      <c r="B988" s="245" t="inlineStr">
        <is>
          <t>P060102 (WED102501)</t>
        </is>
      </c>
      <c r="C988" s="245" t="inlineStr">
        <is>
          <t>release (predicted)</t>
        </is>
      </c>
      <c r="D988" s="245" t="inlineStr">
        <is>
          <t>#9</t>
        </is>
      </c>
      <c r="E988" s="246" t="inlineStr">
        <is>
          <t>n/t</t>
        </is>
      </c>
    </row>
    <row r="989">
      <c r="A989" s="245" t="inlineStr">
        <is>
          <t>CoQ-PP_26-046</t>
        </is>
      </c>
      <c r="B989" s="245" t="inlineStr">
        <is>
          <t>P060102 (WED102501)</t>
        </is>
      </c>
      <c r="C989" s="245" t="inlineStr">
        <is>
          <t>release (predicted)</t>
        </is>
      </c>
      <c r="D989" s="245" t="inlineStr">
        <is>
          <t>#10</t>
        </is>
      </c>
      <c r="E989" s="246" t="inlineStr">
        <is>
          <t>n/t</t>
        </is>
      </c>
    </row>
    <row r="990">
      <c r="A990" s="245" t="inlineStr">
        <is>
          <t>CoQ-PP_26-046</t>
        </is>
      </c>
      <c r="B990" s="245" t="inlineStr">
        <is>
          <t>P060102 (WED102501)</t>
        </is>
      </c>
      <c r="C990" s="245" t="inlineStr">
        <is>
          <t>release (predicted)</t>
        </is>
      </c>
      <c r="D990" s="245" t="inlineStr">
        <is>
          <t>#11</t>
        </is>
      </c>
      <c r="E990" s="246" t="inlineStr">
        <is>
          <t>n/t</t>
        </is>
      </c>
    </row>
    <row r="991">
      <c r="A991" s="245" t="inlineStr">
        <is>
          <t>CoQ-PP_26-046</t>
        </is>
      </c>
      <c r="B991" s="245" t="inlineStr">
        <is>
          <t>P060102 (WED102501)</t>
        </is>
      </c>
      <c r="C991" s="245" t="inlineStr">
        <is>
          <t>release (predicted)</t>
        </is>
      </c>
      <c r="D991" s="245" t="inlineStr">
        <is>
          <t>#12</t>
        </is>
      </c>
      <c r="E991" s="246" t="inlineStr">
        <is>
          <t>n/t</t>
        </is>
      </c>
    </row>
    <row r="992">
      <c r="A992" s="245" t="inlineStr">
        <is>
          <t>CoQ-PP_26-047</t>
        </is>
      </c>
      <c r="B992" s="245" t="inlineStr">
        <is>
          <t>P060112 (PUM102501)</t>
        </is>
      </c>
      <c r="C992" s="245" t="inlineStr">
        <is>
          <t>release</t>
        </is>
      </c>
      <c r="D992" s="245" t="inlineStr">
        <is>
          <t>#4</t>
        </is>
      </c>
      <c r="E992" s="246" t="inlineStr">
        <is>
          <t>n/t</t>
        </is>
      </c>
    </row>
    <row r="993">
      <c r="A993" s="245" t="inlineStr">
        <is>
          <t>CoQ-PP_26-047</t>
        </is>
      </c>
      <c r="B993" s="245" t="inlineStr">
        <is>
          <t>P060112 (PUM102501)</t>
        </is>
      </c>
      <c r="C993" s="245" t="inlineStr">
        <is>
          <t>release</t>
        </is>
      </c>
      <c r="D993" s="245" t="inlineStr">
        <is>
          <t>#10</t>
        </is>
      </c>
      <c r="E993" s="246" t="inlineStr">
        <is>
          <t>327/2026 11.02.26 IJZ; also 220-25-М/26; n/t 10.1,10.3</t>
        </is>
      </c>
    </row>
    <row r="994">
      <c r="A994" s="245" t="inlineStr">
        <is>
          <t>CoQ-PP_26-048</t>
        </is>
      </c>
      <c r="B994" s="245" t="inlineStr">
        <is>
          <t>P060122 (ACC102501)</t>
        </is>
      </c>
      <c r="C994" s="245" t="inlineStr">
        <is>
          <t>release</t>
        </is>
      </c>
      <c r="D994" s="245" t="inlineStr">
        <is>
          <t>#4</t>
        </is>
      </c>
      <c r="E994" s="246" t="inlineStr">
        <is>
          <t>n/t</t>
        </is>
      </c>
    </row>
    <row r="995">
      <c r="A995" s="245" t="inlineStr">
        <is>
          <t>CoQ-PP_26-048</t>
        </is>
      </c>
      <c r="B995" s="245" t="inlineStr">
        <is>
          <t>P060122 (ACC102501)</t>
        </is>
      </c>
      <c r="C995" s="245" t="inlineStr">
        <is>
          <t>release</t>
        </is>
      </c>
      <c r="D995" s="245" t="inlineStr">
        <is>
          <t>#5</t>
        </is>
      </c>
      <c r="E995" s="246" t="inlineStr">
        <is>
          <t>n/t</t>
        </is>
      </c>
    </row>
    <row r="996">
      <c r="A996" s="245" t="inlineStr">
        <is>
          <t>CoQ-PP_26-048</t>
        </is>
      </c>
      <c r="B996" s="245" t="inlineStr">
        <is>
          <t>P060122 (ACC102501)</t>
        </is>
      </c>
      <c r="C996" s="245" t="inlineStr">
        <is>
          <t>release</t>
        </is>
      </c>
      <c r="D996" s="245" t="inlineStr">
        <is>
          <t>#6</t>
        </is>
      </c>
      <c r="E996" s="246" t="inlineStr">
        <is>
          <t>n/t</t>
        </is>
      </c>
    </row>
    <row r="997">
      <c r="A997" s="245" t="inlineStr">
        <is>
          <t>CoQ-PP_26-048</t>
        </is>
      </c>
      <c r="B997" s="245" t="inlineStr">
        <is>
          <t>P060122 (ACC102501)</t>
        </is>
      </c>
      <c r="C997" s="245" t="inlineStr">
        <is>
          <t>release</t>
        </is>
      </c>
      <c r="D997" s="245" t="inlineStr">
        <is>
          <t>#10</t>
        </is>
      </c>
      <c r="E997" s="246" t="inlineStr">
        <is>
          <t>326/2026 11.02.26 IJZ; also 220-1-М/26; n/t 10.1,10.3</t>
        </is>
      </c>
    </row>
    <row r="998">
      <c r="A998" s="245" t="inlineStr">
        <is>
          <t>CoQ-PP_26-049</t>
        </is>
      </c>
      <c r="B998" s="245" t="inlineStr">
        <is>
          <t>P060132 (CF102501)</t>
        </is>
      </c>
      <c r="C998" s="245" t="inlineStr">
        <is>
          <t>release</t>
        </is>
      </c>
      <c r="D998" s="245" t="inlineStr">
        <is>
          <t>#4</t>
        </is>
      </c>
      <c r="E998" s="246" t="inlineStr">
        <is>
          <t>n/t</t>
        </is>
      </c>
    </row>
    <row r="999">
      <c r="A999" s="245" t="inlineStr">
        <is>
          <t>CoQ-PP_26-049</t>
        </is>
      </c>
      <c r="B999" s="245" t="inlineStr">
        <is>
          <t>P060132 (CF102501)</t>
        </is>
      </c>
      <c r="C999" s="245" t="inlineStr">
        <is>
          <t>release</t>
        </is>
      </c>
      <c r="D999" s="245" t="inlineStr">
        <is>
          <t>#5</t>
        </is>
      </c>
      <c r="E999" s="246" t="inlineStr">
        <is>
          <t>n/t</t>
        </is>
      </c>
    </row>
    <row r="1000">
      <c r="A1000" s="245" t="inlineStr">
        <is>
          <t>CoQ-PP_26-049</t>
        </is>
      </c>
      <c r="B1000" s="245" t="inlineStr">
        <is>
          <t>P060132 (CF102501)</t>
        </is>
      </c>
      <c r="C1000" s="245" t="inlineStr">
        <is>
          <t>release</t>
        </is>
      </c>
      <c r="D1000" s="245" t="inlineStr">
        <is>
          <t>#6</t>
        </is>
      </c>
      <c r="E1000" s="246" t="inlineStr">
        <is>
          <t>n/t</t>
        </is>
      </c>
    </row>
    <row r="1001">
      <c r="A1001" s="245" t="inlineStr">
        <is>
          <t>CoQ-PP_26-049</t>
        </is>
      </c>
      <c r="B1001" s="245" t="inlineStr">
        <is>
          <t>P060132 (CF102501)</t>
        </is>
      </c>
      <c r="C1001" s="245" t="inlineStr">
        <is>
          <t>release</t>
        </is>
      </c>
      <c r="D1001" s="245" t="inlineStr">
        <is>
          <t>#10</t>
        </is>
      </c>
      <c r="E1001" s="246" t="inlineStr">
        <is>
          <t>330/2026 11.02.26 IJZ; also 220-6-М/26; n/t 10.1,10.3</t>
        </is>
      </c>
    </row>
    <row r="1002">
      <c r="A1002" s="245" t="inlineStr">
        <is>
          <t>CoQ-PP_26-050</t>
        </is>
      </c>
      <c r="B1002" s="245" t="inlineStr">
        <is>
          <t>P060142 (GRC102501/1)</t>
        </is>
      </c>
      <c r="C1002" s="245" t="inlineStr">
        <is>
          <t>release (predicted)</t>
        </is>
      </c>
      <c r="D1002" s="245" t="inlineStr">
        <is>
          <t>#4</t>
        </is>
      </c>
      <c r="E1002" s="246" t="inlineStr">
        <is>
          <t>n/t</t>
        </is>
      </c>
    </row>
    <row r="1003">
      <c r="A1003" s="245" t="inlineStr">
        <is>
          <t>CoQ-PP_26-050</t>
        </is>
      </c>
      <c r="B1003" s="245" t="inlineStr">
        <is>
          <t>P060142 (GRC102501/1)</t>
        </is>
      </c>
      <c r="C1003" s="245" t="inlineStr">
        <is>
          <t>release (predicted)</t>
        </is>
      </c>
      <c r="D1003" s="245" t="inlineStr">
        <is>
          <t>#5</t>
        </is>
      </c>
      <c r="E1003" s="246" t="inlineStr">
        <is>
          <t>n/t</t>
        </is>
      </c>
    </row>
    <row r="1004">
      <c r="A1004" s="245" t="inlineStr">
        <is>
          <t>CoQ-PP_26-050</t>
        </is>
      </c>
      <c r="B1004" s="245" t="inlineStr">
        <is>
          <t>P060142 (GRC102501/1)</t>
        </is>
      </c>
      <c r="C1004" s="245" t="inlineStr">
        <is>
          <t>release (predicted)</t>
        </is>
      </c>
      <c r="D1004" s="245" t="inlineStr">
        <is>
          <t>#6</t>
        </is>
      </c>
      <c r="E1004" s="246" t="inlineStr">
        <is>
          <t>n/t</t>
        </is>
      </c>
    </row>
    <row r="1005">
      <c r="A1005" s="245" t="inlineStr">
        <is>
          <t>CoQ-PP_26-050</t>
        </is>
      </c>
      <c r="B1005" s="245" t="inlineStr">
        <is>
          <t>P060142 (GRC102501/1)</t>
        </is>
      </c>
      <c r="C1005" s="245" t="inlineStr">
        <is>
          <t>release (predicted)</t>
        </is>
      </c>
      <c r="D1005" s="245" t="inlineStr">
        <is>
          <t>#8</t>
        </is>
      </c>
      <c r="E1005" s="246" t="inlineStr">
        <is>
          <t>n/t</t>
        </is>
      </c>
    </row>
    <row r="1006">
      <c r="A1006" s="245" t="inlineStr">
        <is>
          <t>CoQ-PP_26-050</t>
        </is>
      </c>
      <c r="B1006" s="245" t="inlineStr">
        <is>
          <t>P060142 (GRC102501/1)</t>
        </is>
      </c>
      <c r="C1006" s="245" t="inlineStr">
        <is>
          <t>release (predicted)</t>
        </is>
      </c>
      <c r="D1006" s="245" t="inlineStr">
        <is>
          <t>#9</t>
        </is>
      </c>
      <c r="E1006" s="246" t="inlineStr">
        <is>
          <t>n/t</t>
        </is>
      </c>
    </row>
    <row r="1007">
      <c r="A1007" s="245" t="inlineStr">
        <is>
          <t>CoQ-PP_26-050</t>
        </is>
      </c>
      <c r="B1007" s="245" t="inlineStr">
        <is>
          <t>P060142 (GRC102501/1)</t>
        </is>
      </c>
      <c r="C1007" s="245" t="inlineStr">
        <is>
          <t>release (predicted)</t>
        </is>
      </c>
      <c r="D1007" s="245" t="inlineStr">
        <is>
          <t>#10</t>
        </is>
      </c>
      <c r="E1007" s="246" t="inlineStr">
        <is>
          <t>n/t</t>
        </is>
      </c>
    </row>
    <row r="1008">
      <c r="A1008" s="245" t="inlineStr">
        <is>
          <t>CoQ-PP_26-050</t>
        </is>
      </c>
      <c r="B1008" s="245" t="inlineStr">
        <is>
          <t>P060142 (GRC102501/1)</t>
        </is>
      </c>
      <c r="C1008" s="245" t="inlineStr">
        <is>
          <t>release (predicted)</t>
        </is>
      </c>
      <c r="D1008" s="245" t="inlineStr">
        <is>
          <t>#11</t>
        </is>
      </c>
      <c r="E1008" s="246" t="inlineStr">
        <is>
          <t>n/t</t>
        </is>
      </c>
    </row>
    <row r="1009">
      <c r="A1009" s="245" t="inlineStr">
        <is>
          <t>CoQ-PP_26-050</t>
        </is>
      </c>
      <c r="B1009" s="245" t="inlineStr">
        <is>
          <t>P060142 (GRC102501/1)</t>
        </is>
      </c>
      <c r="C1009" s="245" t="inlineStr">
        <is>
          <t>release (predicted)</t>
        </is>
      </c>
      <c r="D1009" s="245" t="inlineStr">
        <is>
          <t>#12</t>
        </is>
      </c>
      <c r="E1009" s="246" t="inlineStr">
        <is>
          <t>n/t</t>
        </is>
      </c>
    </row>
    <row r="1010">
      <c r="A1010" s="245" t="inlineStr">
        <is>
          <t>CoQ-PP_26-051</t>
        </is>
      </c>
      <c r="B1010" s="245" t="inlineStr">
        <is>
          <t>P060152 (J31102501)</t>
        </is>
      </c>
      <c r="C1010" s="245" t="inlineStr">
        <is>
          <t>release</t>
        </is>
      </c>
      <c r="D1010" s="245" t="inlineStr">
        <is>
          <t>#10</t>
        </is>
      </c>
      <c r="E1010" s="246" t="inlineStr">
        <is>
          <t>1056/2026 09.03.26 IJZ; also 197-16-М/26; n/t 10.1,10.3</t>
        </is>
      </c>
    </row>
    <row r="1011">
      <c r="A1011" s="245" t="inlineStr">
        <is>
          <t>CoQ-PP_26-052</t>
        </is>
      </c>
      <c r="B1011" s="245" t="inlineStr">
        <is>
          <t>SJ102501</t>
        </is>
      </c>
      <c r="C1011" s="245" t="inlineStr">
        <is>
          <t>release (predicted)</t>
        </is>
      </c>
      <c r="D1011" s="245" t="inlineStr">
        <is>
          <t>#9</t>
        </is>
      </c>
      <c r="E1011" s="246" t="inlineStr">
        <is>
          <t>n/t</t>
        </is>
      </c>
    </row>
    <row r="1012">
      <c r="A1012" s="245" t="inlineStr">
        <is>
          <t>CoQ-PP_26-052</t>
        </is>
      </c>
      <c r="B1012" s="245" t="inlineStr">
        <is>
          <t>SJ102501</t>
        </is>
      </c>
      <c r="C1012" s="245" t="inlineStr">
        <is>
          <t>release (predicted)</t>
        </is>
      </c>
      <c r="D1012" s="245" t="inlineStr">
        <is>
          <t>#10</t>
        </is>
      </c>
      <c r="E1012" s="246" t="inlineStr">
        <is>
          <t>n/t</t>
        </is>
      </c>
    </row>
    <row r="1013">
      <c r="A1013" s="245" t="inlineStr">
        <is>
          <t>CoQ-PP_26-052</t>
        </is>
      </c>
      <c r="B1013" s="245" t="inlineStr">
        <is>
          <t>SJ102501</t>
        </is>
      </c>
      <c r="C1013" s="245" t="inlineStr">
        <is>
          <t>release (predicted)</t>
        </is>
      </c>
      <c r="D1013" s="245" t="inlineStr">
        <is>
          <t>#11</t>
        </is>
      </c>
      <c r="E1013" s="246" t="inlineStr">
        <is>
          <t>n/t</t>
        </is>
      </c>
    </row>
    <row r="1014">
      <c r="A1014" s="245" t="inlineStr">
        <is>
          <t>CoQ-PP_26-052</t>
        </is>
      </c>
      <c r="B1014" s="245" t="inlineStr">
        <is>
          <t>SJ102501</t>
        </is>
      </c>
      <c r="C1014" s="245" t="inlineStr">
        <is>
          <t>release (predicted)</t>
        </is>
      </c>
      <c r="D1014" s="245" t="inlineStr">
        <is>
          <t>#12</t>
        </is>
      </c>
      <c r="E1014" s="246" t="inlineStr">
        <is>
          <t>n/t</t>
        </is>
      </c>
    </row>
    <row r="1015">
      <c r="A1015" s="245" t="inlineStr">
        <is>
          <t>CoQ-PP_26-053</t>
        </is>
      </c>
      <c r="B1015" s="245" t="inlineStr">
        <is>
          <t>P060172 (KC102501)</t>
        </is>
      </c>
      <c r="C1015" s="245" t="inlineStr">
        <is>
          <t>release</t>
        </is>
      </c>
      <c r="D1015" s="245" t="inlineStr">
        <is>
          <t>#10</t>
        </is>
      </c>
      <c r="E1015" s="246" t="inlineStr">
        <is>
          <t>1058/2026 09.03.26 IJZ; also 220-19-М/26; n/t 10.1,10.3</t>
        </is>
      </c>
    </row>
    <row r="1016">
      <c r="A1016" s="245" t="inlineStr">
        <is>
          <t>CoQ-PP_26-054</t>
        </is>
      </c>
      <c r="B1016" s="245" t="inlineStr">
        <is>
          <t>P060182 (GRC102501/2)</t>
        </is>
      </c>
      <c r="C1016" s="245" t="inlineStr">
        <is>
          <t>release</t>
        </is>
      </c>
      <c r="D1016" s="245" t="inlineStr">
        <is>
          <t>#9</t>
        </is>
      </c>
      <c r="E1016" s="246" t="inlineStr">
        <is>
          <t>n/t</t>
        </is>
      </c>
    </row>
    <row r="1017">
      <c r="A1017" s="245" t="inlineStr">
        <is>
          <t>CoQ-PP_26-054</t>
        </is>
      </c>
      <c r="B1017" s="245" t="inlineStr">
        <is>
          <t>P060182 (GRC102501/2)</t>
        </is>
      </c>
      <c r="C1017" s="245" t="inlineStr">
        <is>
          <t>release</t>
        </is>
      </c>
      <c r="D1017" s="245" t="inlineStr">
        <is>
          <t>#10</t>
        </is>
      </c>
      <c r="E1017" s="246" t="inlineStr">
        <is>
          <t>n/t</t>
        </is>
      </c>
    </row>
    <row r="1018">
      <c r="A1018" s="245" t="inlineStr">
        <is>
          <t>CoQ-PP_26-054</t>
        </is>
      </c>
      <c r="B1018" s="245" t="inlineStr">
        <is>
          <t>P060182 (GRC102501/2)</t>
        </is>
      </c>
      <c r="C1018" s="245" t="inlineStr">
        <is>
          <t>release</t>
        </is>
      </c>
      <c r="D1018" s="245" t="inlineStr">
        <is>
          <t>#11</t>
        </is>
      </c>
      <c r="E1018" s="246" t="inlineStr">
        <is>
          <t>n/t</t>
        </is>
      </c>
    </row>
    <row r="1019">
      <c r="A1019" s="245" t="inlineStr">
        <is>
          <t>CoQ-PP_26-055</t>
        </is>
      </c>
      <c r="B1019" s="245" t="inlineStr">
        <is>
          <t>SJ112501</t>
        </is>
      </c>
      <c r="C1019" s="245" t="inlineStr">
        <is>
          <t>release (predicted)</t>
        </is>
      </c>
      <c r="D1019" s="245" t="inlineStr">
        <is>
          <t>#9</t>
        </is>
      </c>
      <c r="E1019" s="246" t="inlineStr">
        <is>
          <t>n/t</t>
        </is>
      </c>
    </row>
    <row r="1020">
      <c r="A1020" s="245" t="inlineStr">
        <is>
          <t>CoQ-PP_26-055</t>
        </is>
      </c>
      <c r="B1020" s="245" t="inlineStr">
        <is>
          <t>SJ112501</t>
        </is>
      </c>
      <c r="C1020" s="245" t="inlineStr">
        <is>
          <t>release (predicted)</t>
        </is>
      </c>
      <c r="D1020" s="245" t="inlineStr">
        <is>
          <t>#10</t>
        </is>
      </c>
      <c r="E1020" s="246" t="inlineStr">
        <is>
          <t>n/t</t>
        </is>
      </c>
    </row>
    <row r="1021">
      <c r="A1021" s="245" t="inlineStr">
        <is>
          <t>CoQ-PP_26-055</t>
        </is>
      </c>
      <c r="B1021" s="245" t="inlineStr">
        <is>
          <t>SJ112501</t>
        </is>
      </c>
      <c r="C1021" s="245" t="inlineStr">
        <is>
          <t>release (predicted)</t>
        </is>
      </c>
      <c r="D1021" s="245" t="inlineStr">
        <is>
          <t>#11</t>
        </is>
      </c>
      <c r="E1021" s="246" t="inlineStr">
        <is>
          <t>n/t</t>
        </is>
      </c>
    </row>
    <row r="1022">
      <c r="A1022" s="245" t="inlineStr">
        <is>
          <t>CoQ-PP_26-055</t>
        </is>
      </c>
      <c r="B1022" s="245" t="inlineStr">
        <is>
          <t>SJ112501</t>
        </is>
      </c>
      <c r="C1022" s="245" t="inlineStr">
        <is>
          <t>release (predicted)</t>
        </is>
      </c>
      <c r="D1022" s="245" t="inlineStr">
        <is>
          <t>#12</t>
        </is>
      </c>
      <c r="E1022" s="246" t="inlineStr">
        <is>
          <t>n/t</t>
        </is>
      </c>
    </row>
    <row r="1023">
      <c r="A1023" s="245" t="inlineStr">
        <is>
          <t>CoQ-PP_26-056</t>
        </is>
      </c>
      <c r="B1023" s="245" t="inlineStr">
        <is>
          <t>J31112501</t>
        </is>
      </c>
      <c r="C1023" s="245" t="inlineStr">
        <is>
          <t>release (predicted)</t>
        </is>
      </c>
      <c r="D1023" s="245" t="inlineStr">
        <is>
          <t>#9</t>
        </is>
      </c>
      <c r="E1023" s="246" t="inlineStr">
        <is>
          <t>n/t</t>
        </is>
      </c>
    </row>
    <row r="1024">
      <c r="A1024" s="245" t="inlineStr">
        <is>
          <t>CoQ-PP_26-056</t>
        </is>
      </c>
      <c r="B1024" s="245" t="inlineStr">
        <is>
          <t>J31112501</t>
        </is>
      </c>
      <c r="C1024" s="245" t="inlineStr">
        <is>
          <t>release (predicted)</t>
        </is>
      </c>
      <c r="D1024" s="245" t="inlineStr">
        <is>
          <t>#10</t>
        </is>
      </c>
      <c r="E1024" s="246" t="inlineStr">
        <is>
          <t>n/t</t>
        </is>
      </c>
    </row>
    <row r="1025">
      <c r="A1025" s="245" t="inlineStr">
        <is>
          <t>CoQ-PP_26-056</t>
        </is>
      </c>
      <c r="B1025" s="245" t="inlineStr">
        <is>
          <t>J31112501</t>
        </is>
      </c>
      <c r="C1025" s="245" t="inlineStr">
        <is>
          <t>release (predicted)</t>
        </is>
      </c>
      <c r="D1025" s="245" t="inlineStr">
        <is>
          <t>#11</t>
        </is>
      </c>
      <c r="E1025" s="246" t="inlineStr">
        <is>
          <t>n/t</t>
        </is>
      </c>
    </row>
    <row r="1026">
      <c r="A1026" s="245" t="inlineStr">
        <is>
          <t>CoQ-PP_26-056</t>
        </is>
      </c>
      <c r="B1026" s="245" t="inlineStr">
        <is>
          <t>J31112501</t>
        </is>
      </c>
      <c r="C1026" s="245" t="inlineStr">
        <is>
          <t>release (predicted)</t>
        </is>
      </c>
      <c r="D1026" s="245" t="inlineStr">
        <is>
          <t>#12</t>
        </is>
      </c>
      <c r="E1026" s="246" t="inlineStr">
        <is>
          <t>n/t</t>
        </is>
      </c>
    </row>
    <row r="1027">
      <c r="A1027" s="245" t="inlineStr">
        <is>
          <t>CoQ-PP_26-057</t>
        </is>
      </c>
      <c r="B1027" s="245" t="inlineStr">
        <is>
          <t>P060212 (JD112501)</t>
        </is>
      </c>
      <c r="C1027" s="245" t="inlineStr">
        <is>
          <t>release</t>
        </is>
      </c>
      <c r="D1027" s="245" t="inlineStr">
        <is>
          <t>#10</t>
        </is>
      </c>
      <c r="E1027" s="246" t="inlineStr">
        <is>
          <t>2361/2026 30.04.26 IJZ; also 197-15-М/26; n/t 10.1,10.3</t>
        </is>
      </c>
    </row>
    <row r="1028">
      <c r="A1028" s="245" t="inlineStr">
        <is>
          <t>CoQ-PP_26-058</t>
        </is>
      </c>
      <c r="B1028" s="245" t="inlineStr">
        <is>
          <t>OPM112501</t>
        </is>
      </c>
      <c r="C1028" s="245" t="inlineStr">
        <is>
          <t>release (predicted)</t>
        </is>
      </c>
      <c r="D1028" s="245" t="inlineStr">
        <is>
          <t>#6</t>
        </is>
      </c>
      <c r="E1028" s="246" t="inlineStr">
        <is>
          <t>n/t</t>
        </is>
      </c>
    </row>
    <row r="1029">
      <c r="A1029" s="245" t="inlineStr">
        <is>
          <t>CoQ-PP_26-058</t>
        </is>
      </c>
      <c r="B1029" s="245" t="inlineStr">
        <is>
          <t>OPM112501</t>
        </is>
      </c>
      <c r="C1029" s="245" t="inlineStr">
        <is>
          <t>release (predicted)</t>
        </is>
      </c>
      <c r="D1029" s="245" t="inlineStr">
        <is>
          <t>#9</t>
        </is>
      </c>
      <c r="E1029" s="246" t="inlineStr">
        <is>
          <t>n/t</t>
        </is>
      </c>
    </row>
    <row r="1030">
      <c r="A1030" s="245" t="inlineStr">
        <is>
          <t>CoQ-PP_26-058</t>
        </is>
      </c>
      <c r="B1030" s="245" t="inlineStr">
        <is>
          <t>OPM112501</t>
        </is>
      </c>
      <c r="C1030" s="245" t="inlineStr">
        <is>
          <t>release (predicted)</t>
        </is>
      </c>
      <c r="D1030" s="245" t="inlineStr">
        <is>
          <t>#10</t>
        </is>
      </c>
      <c r="E1030" s="246" t="inlineStr">
        <is>
          <t>n/t</t>
        </is>
      </c>
    </row>
    <row r="1031">
      <c r="A1031" s="245" t="inlineStr">
        <is>
          <t>CoQ-PP_26-058</t>
        </is>
      </c>
      <c r="B1031" s="245" t="inlineStr">
        <is>
          <t>OPM112501</t>
        </is>
      </c>
      <c r="C1031" s="245" t="inlineStr">
        <is>
          <t>release (predicted)</t>
        </is>
      </c>
      <c r="D1031" s="245" t="inlineStr">
        <is>
          <t>#11</t>
        </is>
      </c>
      <c r="E1031" s="246" t="inlineStr">
        <is>
          <t>n/t</t>
        </is>
      </c>
    </row>
    <row r="1032">
      <c r="A1032" s="245" t="inlineStr">
        <is>
          <t>CoQ-PP_26-058</t>
        </is>
      </c>
      <c r="B1032" s="245" t="inlineStr">
        <is>
          <t>OPM112501</t>
        </is>
      </c>
      <c r="C1032" s="245" t="inlineStr">
        <is>
          <t>release (predicted)</t>
        </is>
      </c>
      <c r="D1032" s="245" t="inlineStr">
        <is>
          <t>#12</t>
        </is>
      </c>
      <c r="E1032" s="246" t="inlineStr">
        <is>
          <t>n/t</t>
        </is>
      </c>
    </row>
    <row r="1033">
      <c r="A1033" s="245" t="inlineStr">
        <is>
          <t>CoQ-PP_26-059</t>
        </is>
      </c>
      <c r="B1033" s="245" t="inlineStr">
        <is>
          <t>P060232 (PM112501)</t>
        </is>
      </c>
      <c r="C1033" s="245" t="inlineStr">
        <is>
          <t>release</t>
        </is>
      </c>
      <c r="D1033" s="245" t="inlineStr">
        <is>
          <t>#10</t>
        </is>
      </c>
      <c r="E1033" s="246" t="inlineStr">
        <is>
          <t>1059/2026 09.03.26 IJZ; also 220-24-М/26; n/t 10.1,10.3</t>
        </is>
      </c>
    </row>
    <row r="1034">
      <c r="A1034" s="245" t="inlineStr">
        <is>
          <t>CoQ-PP_26-060</t>
        </is>
      </c>
      <c r="B1034" s="245" t="inlineStr">
        <is>
          <t>P060242 (OPM122501)</t>
        </is>
      </c>
      <c r="C1034" s="245" t="inlineStr">
        <is>
          <t>release</t>
        </is>
      </c>
      <c r="D1034" s="245" t="inlineStr">
        <is>
          <t>#10</t>
        </is>
      </c>
      <c r="E1034" s="246" t="inlineStr">
        <is>
          <t>1627/2026 23.04.26 IJZ; also 197-19-М/26; n/t 10.1,10.3</t>
        </is>
      </c>
    </row>
    <row r="1035">
      <c r="A1035" s="245" t="inlineStr">
        <is>
          <t>CoQ-PP_26-061</t>
        </is>
      </c>
      <c r="B1035" s="245" t="inlineStr">
        <is>
          <t>GG112501</t>
        </is>
      </c>
      <c r="C1035" s="245" t="inlineStr">
        <is>
          <t>release (predicted)</t>
        </is>
      </c>
      <c r="D1035" s="245" t="inlineStr">
        <is>
          <t>#6</t>
        </is>
      </c>
      <c r="E1035" s="246" t="inlineStr">
        <is>
          <t>n/t</t>
        </is>
      </c>
    </row>
    <row r="1036">
      <c r="A1036" s="245" t="inlineStr">
        <is>
          <t>CoQ-PP_26-061</t>
        </is>
      </c>
      <c r="B1036" s="245" t="inlineStr">
        <is>
          <t>GG112501</t>
        </is>
      </c>
      <c r="C1036" s="245" t="inlineStr">
        <is>
          <t>release (predicted)</t>
        </is>
      </c>
      <c r="D1036" s="245" t="inlineStr">
        <is>
          <t>#10</t>
        </is>
      </c>
      <c r="E1036" s="246" t="inlineStr">
        <is>
          <t>2358/2026 29.04.26 IJZ; n/t 10.1,10.3</t>
        </is>
      </c>
    </row>
    <row r="1037">
      <c r="A1037" s="245" t="inlineStr">
        <is>
          <t>CoQ-PP_26-062</t>
        </is>
      </c>
      <c r="B1037" s="245" t="inlineStr">
        <is>
          <t>J31122501</t>
        </is>
      </c>
      <c r="C1037" s="245" t="inlineStr">
        <is>
          <t>release (predicted)</t>
        </is>
      </c>
      <c r="D1037" s="245" t="inlineStr">
        <is>
          <t>#10</t>
        </is>
      </c>
      <c r="E1037" s="246" t="inlineStr">
        <is>
          <t>1628/2026 23.04.26 IJZ; also 1625/2026; n/t 10.1,10.3</t>
        </is>
      </c>
    </row>
    <row r="1038">
      <c r="A1038" s="245" t="inlineStr">
        <is>
          <t>CoQ-PP_26-063</t>
        </is>
      </c>
      <c r="B1038" s="245" t="inlineStr">
        <is>
          <t>CC112501</t>
        </is>
      </c>
      <c r="C1038" s="245" t="inlineStr">
        <is>
          <t>release (predicted)</t>
        </is>
      </c>
      <c r="D1038" s="245" t="inlineStr">
        <is>
          <t>#6</t>
        </is>
      </c>
      <c r="E1038" s="246" t="inlineStr">
        <is>
          <t>n/t</t>
        </is>
      </c>
    </row>
    <row r="1039">
      <c r="A1039" s="245" t="inlineStr">
        <is>
          <t>CoQ-PP_26-063</t>
        </is>
      </c>
      <c r="B1039" s="245" t="inlineStr">
        <is>
          <t>CC112501</t>
        </is>
      </c>
      <c r="C1039" s="245" t="inlineStr">
        <is>
          <t>release (predicted)</t>
        </is>
      </c>
      <c r="D1039" s="245" t="inlineStr">
        <is>
          <t>#10</t>
        </is>
      </c>
      <c r="E1039" s="246" t="inlineStr">
        <is>
          <t>2359/2026 29.04.26 IJZ; n/t 10.1,10.3</t>
        </is>
      </c>
    </row>
    <row r="1040">
      <c r="A1040" s="245" t="inlineStr">
        <is>
          <t>CoQ-PP_26-064</t>
        </is>
      </c>
      <c r="B1040" s="245" t="inlineStr">
        <is>
          <t>P060282 (SCR112501)</t>
        </is>
      </c>
      <c r="C1040" s="245" t="inlineStr">
        <is>
          <t>release</t>
        </is>
      </c>
      <c r="D1040" s="245" t="inlineStr">
        <is>
          <t>#10</t>
        </is>
      </c>
      <c r="E1040" s="246" t="inlineStr">
        <is>
          <t>2360/2026 29.04.26 IJZ; also 220-26-М/26; n/t 10.1,10.3</t>
        </is>
      </c>
    </row>
    <row r="1041">
      <c r="A1041" s="245" t="inlineStr">
        <is>
          <t>CoQ-PP_26-065</t>
        </is>
      </c>
      <c r="B1041" s="245" t="inlineStr">
        <is>
          <t>FB112501</t>
        </is>
      </c>
      <c r="C1041" s="245" t="inlineStr">
        <is>
          <t>release (predicted)</t>
        </is>
      </c>
      <c r="D1041" s="245" t="inlineStr">
        <is>
          <t>#6</t>
        </is>
      </c>
      <c r="E1041" s="246" t="inlineStr">
        <is>
          <t>n/t</t>
        </is>
      </c>
    </row>
    <row r="1042">
      <c r="A1042" s="245" t="inlineStr">
        <is>
          <t>CoQ-PP_26-065</t>
        </is>
      </c>
      <c r="B1042" s="245" t="inlineStr">
        <is>
          <t>FB112501</t>
        </is>
      </c>
      <c r="C1042" s="245" t="inlineStr">
        <is>
          <t>release (predicted)</t>
        </is>
      </c>
      <c r="D1042" s="245" t="inlineStr">
        <is>
          <t>#10</t>
        </is>
      </c>
      <c r="E1042" s="246" t="inlineStr">
        <is>
          <t>2357/2026 29.04.26 IJZ; n/t 10.1,10.3</t>
        </is>
      </c>
    </row>
    <row r="1043">
      <c r="A1043" s="245" t="inlineStr">
        <is>
          <t>CoQ-PP_26-066</t>
        </is>
      </c>
      <c r="B1043" s="245" t="inlineStr">
        <is>
          <t>GG012601</t>
        </is>
      </c>
      <c r="C1043" s="245" t="inlineStr">
        <is>
          <t>release (predicted)</t>
        </is>
      </c>
      <c r="D1043" s="245" t="inlineStr">
        <is>
          <t>#6</t>
        </is>
      </c>
      <c r="E1043" s="246" t="inlineStr">
        <is>
          <t>n/t</t>
        </is>
      </c>
    </row>
    <row r="1044">
      <c r="A1044" s="245" t="inlineStr">
        <is>
          <t>CoQ-PP_26-066</t>
        </is>
      </c>
      <c r="B1044" s="245" t="inlineStr">
        <is>
          <t>GG012601</t>
        </is>
      </c>
      <c r="C1044" s="245" t="inlineStr">
        <is>
          <t>release (predicted)</t>
        </is>
      </c>
      <c r="D1044" s="245" t="inlineStr">
        <is>
          <t>#10</t>
        </is>
      </c>
      <c r="E1044" s="246" t="inlineStr">
        <is>
          <t>2364/2026 30.04.26 IJZ; n/t 10.1,10.3</t>
        </is>
      </c>
    </row>
    <row r="1045">
      <c r="A1045" s="245" t="inlineStr">
        <is>
          <t>CoQ-PP_26-067</t>
        </is>
      </c>
      <c r="B1045" s="245" t="inlineStr">
        <is>
          <t>JD012601</t>
        </is>
      </c>
      <c r="C1045" s="245" t="inlineStr">
        <is>
          <t>release (predicted)</t>
        </is>
      </c>
      <c r="D1045" s="245" t="inlineStr">
        <is>
          <t>#6</t>
        </is>
      </c>
      <c r="E1045" s="246" t="inlineStr">
        <is>
          <t>n/t</t>
        </is>
      </c>
    </row>
    <row r="1046">
      <c r="A1046" s="245" t="inlineStr">
        <is>
          <t>CoQ-PP_26-067</t>
        </is>
      </c>
      <c r="B1046" s="245" t="inlineStr">
        <is>
          <t>JD012601</t>
        </is>
      </c>
      <c r="C1046" s="245" t="inlineStr">
        <is>
          <t>release (predicted)</t>
        </is>
      </c>
      <c r="D1046" s="245" t="inlineStr">
        <is>
          <t>#10</t>
        </is>
      </c>
      <c r="E1046" s="246" t="inlineStr">
        <is>
          <t>2363/2026 30.04.26 IJZ; n/t 10.1,10.3</t>
        </is>
      </c>
    </row>
    <row r="1047">
      <c r="A1047" s="245" t="inlineStr">
        <is>
          <t>CoQ-PP_26-068</t>
        </is>
      </c>
      <c r="B1047" s="245" t="inlineStr">
        <is>
          <t>P060332</t>
        </is>
      </c>
      <c r="C1047" s="245" t="inlineStr">
        <is>
          <t>release (predicted)</t>
        </is>
      </c>
      <c r="D1047" s="245" t="inlineStr">
        <is>
          <t>#4</t>
        </is>
      </c>
      <c r="E1047" s="246" t="inlineStr">
        <is>
          <t>n/t</t>
        </is>
      </c>
    </row>
    <row r="1048">
      <c r="A1048" s="245" t="inlineStr">
        <is>
          <t>CoQ-PP_26-068</t>
        </is>
      </c>
      <c r="B1048" s="245" t="inlineStr">
        <is>
          <t>P060332</t>
        </is>
      </c>
      <c r="C1048" s="245" t="inlineStr">
        <is>
          <t>release (predicted)</t>
        </is>
      </c>
      <c r="D1048" s="245" t="inlineStr">
        <is>
          <t>#5</t>
        </is>
      </c>
      <c r="E1048" s="246" t="inlineStr">
        <is>
          <t>n/t</t>
        </is>
      </c>
    </row>
    <row r="1049">
      <c r="A1049" s="245" t="inlineStr">
        <is>
          <t>CoQ-PP_26-068</t>
        </is>
      </c>
      <c r="B1049" s="245" t="inlineStr">
        <is>
          <t>P060332</t>
        </is>
      </c>
      <c r="C1049" s="245" t="inlineStr">
        <is>
          <t>release (predicted)</t>
        </is>
      </c>
      <c r="D1049" s="245" t="inlineStr">
        <is>
          <t>#6</t>
        </is>
      </c>
      <c r="E1049" s="246" t="inlineStr">
        <is>
          <t>n/t</t>
        </is>
      </c>
    </row>
    <row r="1050">
      <c r="A1050" s="245" t="inlineStr">
        <is>
          <t>CoQ-PP_26-068</t>
        </is>
      </c>
      <c r="B1050" s="245" t="inlineStr">
        <is>
          <t>P060332</t>
        </is>
      </c>
      <c r="C1050" s="245" t="inlineStr">
        <is>
          <t>release (predicted)</t>
        </is>
      </c>
      <c r="D1050" s="245" t="inlineStr">
        <is>
          <t>#8</t>
        </is>
      </c>
      <c r="E1050" s="246" t="inlineStr">
        <is>
          <t>n/t</t>
        </is>
      </c>
    </row>
    <row r="1051">
      <c r="A1051" s="245" t="inlineStr">
        <is>
          <t>CoQ-PP_26-068</t>
        </is>
      </c>
      <c r="B1051" s="245" t="inlineStr">
        <is>
          <t>P060332</t>
        </is>
      </c>
      <c r="C1051" s="245" t="inlineStr">
        <is>
          <t>release (predicted)</t>
        </is>
      </c>
      <c r="D1051" s="245" t="inlineStr">
        <is>
          <t>#10</t>
        </is>
      </c>
      <c r="E1051" s="246" t="inlineStr">
        <is>
          <t>n/t</t>
        </is>
      </c>
    </row>
    <row r="1052">
      <c r="A1052" s="245" t="inlineStr">
        <is>
          <t>CoQ-PP_26-068</t>
        </is>
      </c>
      <c r="B1052" s="245" t="inlineStr">
        <is>
          <t>P060332</t>
        </is>
      </c>
      <c r="C1052" s="245" t="inlineStr">
        <is>
          <t>release (predicted)</t>
        </is>
      </c>
      <c r="D1052" s="245" t="inlineStr">
        <is>
          <t>#11</t>
        </is>
      </c>
      <c r="E1052" s="246" t="inlineStr">
        <is>
          <t>n/t</t>
        </is>
      </c>
    </row>
    <row r="1053">
      <c r="A1053" s="245" t="inlineStr">
        <is>
          <t>CoQ-PP_26-068</t>
        </is>
      </c>
      <c r="B1053" s="245" t="inlineStr">
        <is>
          <t>P060332</t>
        </is>
      </c>
      <c r="C1053" s="245" t="inlineStr">
        <is>
          <t>release (predicted)</t>
        </is>
      </c>
      <c r="D1053" s="245" t="inlineStr">
        <is>
          <t>#12</t>
        </is>
      </c>
      <c r="E1053" s="246" t="inlineStr">
        <is>
          <t>n/t</t>
        </is>
      </c>
    </row>
    <row r="1054">
      <c r="A1054" s="245" t="inlineStr">
        <is>
          <t>CoQ-PP_26-069</t>
        </is>
      </c>
      <c r="B1054" s="245" t="inlineStr">
        <is>
          <t>P060322 (FB012601/1)</t>
        </is>
      </c>
      <c r="C1054" s="245" t="inlineStr">
        <is>
          <t>release</t>
        </is>
      </c>
      <c r="D1054" s="245" t="inlineStr">
        <is>
          <t>#10</t>
        </is>
      </c>
      <c r="E1054" s="246" t="inlineStr">
        <is>
          <t>2362/2026 30.04.26 IJZ; also 220-8-М/26; n/t 10.1,10.3</t>
        </is>
      </c>
    </row>
    <row r="1055">
      <c r="A1055" s="245" t="inlineStr">
        <is>
          <t>CoQ-PP_26-070</t>
        </is>
      </c>
      <c r="B1055" s="245" t="inlineStr">
        <is>
          <t>P060352 (FB012602)</t>
        </is>
      </c>
      <c r="C1055" s="245" t="inlineStr">
        <is>
          <t>release</t>
        </is>
      </c>
      <c r="D1055" s="245" t="inlineStr">
        <is>
          <t>#4</t>
        </is>
      </c>
      <c r="E1055" s="246" t="inlineStr">
        <is>
          <t>n/t</t>
        </is>
      </c>
    </row>
    <row r="1056">
      <c r="A1056" s="245" t="inlineStr">
        <is>
          <t>CoQ-PP_26-070</t>
        </is>
      </c>
      <c r="B1056" s="245" t="inlineStr">
        <is>
          <t>P060352 (FB012602)</t>
        </is>
      </c>
      <c r="C1056" s="245" t="inlineStr">
        <is>
          <t>release</t>
        </is>
      </c>
      <c r="D1056" s="245" t="inlineStr">
        <is>
          <t>#5</t>
        </is>
      </c>
      <c r="E1056" s="246" t="inlineStr">
        <is>
          <t>n/t</t>
        </is>
      </c>
    </row>
    <row r="1057">
      <c r="A1057" s="245" t="inlineStr">
        <is>
          <t>CoQ-PP_26-070</t>
        </is>
      </c>
      <c r="B1057" s="245" t="inlineStr">
        <is>
          <t>P060352 (FB012602)</t>
        </is>
      </c>
      <c r="C1057" s="245" t="inlineStr">
        <is>
          <t>release</t>
        </is>
      </c>
      <c r="D1057" s="245" t="inlineStr">
        <is>
          <t>#6</t>
        </is>
      </c>
      <c r="E1057" s="246" t="inlineStr">
        <is>
          <t>n/t</t>
        </is>
      </c>
    </row>
    <row r="1058">
      <c r="A1058" s="245" t="inlineStr">
        <is>
          <t>CoQ-PP_26-070</t>
        </is>
      </c>
      <c r="B1058" s="245" t="inlineStr">
        <is>
          <t>P060352 (FB012602)</t>
        </is>
      </c>
      <c r="C1058" s="245" t="inlineStr">
        <is>
          <t>release</t>
        </is>
      </c>
      <c r="D1058" s="245" t="inlineStr">
        <is>
          <t>#8</t>
        </is>
      </c>
      <c r="E1058" s="246" t="inlineStr">
        <is>
          <t>n/t</t>
        </is>
      </c>
    </row>
    <row r="1059">
      <c r="A1059" s="245" t="inlineStr">
        <is>
          <t>CoQ-PP_26-070</t>
        </is>
      </c>
      <c r="B1059" s="245" t="inlineStr">
        <is>
          <t>P060352 (FB012602)</t>
        </is>
      </c>
      <c r="C1059" s="245" t="inlineStr">
        <is>
          <t>release</t>
        </is>
      </c>
      <c r="D1059" s="245" t="inlineStr">
        <is>
          <t>#10</t>
        </is>
      </c>
      <c r="E1059" s="246" t="inlineStr">
        <is>
          <t>n/t</t>
        </is>
      </c>
    </row>
    <row r="1060">
      <c r="A1060" s="245" t="inlineStr">
        <is>
          <t>CoQ-PP_26-070</t>
        </is>
      </c>
      <c r="B1060" s="245" t="inlineStr">
        <is>
          <t>P060352 (FB012602)</t>
        </is>
      </c>
      <c r="C1060" s="245" t="inlineStr">
        <is>
          <t>release</t>
        </is>
      </c>
      <c r="D1060" s="245" t="inlineStr">
        <is>
          <t>#11</t>
        </is>
      </c>
      <c r="E1060" s="246" t="inlineStr">
        <is>
          <t>n/t</t>
        </is>
      </c>
    </row>
    <row r="1061">
      <c r="A1061" s="245" t="inlineStr">
        <is>
          <t>CoQ-PP_26-070</t>
        </is>
      </c>
      <c r="B1061" s="245" t="inlineStr">
        <is>
          <t>P060352 (FB012602)</t>
        </is>
      </c>
      <c r="C1061" s="245" t="inlineStr">
        <is>
          <t>release</t>
        </is>
      </c>
      <c r="D1061" s="245" t="inlineStr">
        <is>
          <t>#12</t>
        </is>
      </c>
      <c r="E1061" s="246" t="inlineStr">
        <is>
          <t>n/t</t>
        </is>
      </c>
    </row>
    <row r="1062">
      <c r="A1062" s="245" t="inlineStr">
        <is>
          <t>CoQ-PP_26-071</t>
        </is>
      </c>
      <c r="B1062" s="245" t="inlineStr">
        <is>
          <t>P060362 (JD012603/01)</t>
        </is>
      </c>
      <c r="C1062" s="245" t="inlineStr">
        <is>
          <t>release</t>
        </is>
      </c>
      <c r="D1062" s="245" t="inlineStr">
        <is>
          <t>#4</t>
        </is>
      </c>
      <c r="E1062" s="246" t="inlineStr">
        <is>
          <t>n/t</t>
        </is>
      </c>
    </row>
    <row r="1063">
      <c r="A1063" s="245" t="inlineStr">
        <is>
          <t>CoQ-PP_26-071</t>
        </is>
      </c>
      <c r="B1063" s="245" t="inlineStr">
        <is>
          <t>P060362 (JD012603/01)</t>
        </is>
      </c>
      <c r="C1063" s="245" t="inlineStr">
        <is>
          <t>release</t>
        </is>
      </c>
      <c r="D1063" s="245" t="inlineStr">
        <is>
          <t>#5</t>
        </is>
      </c>
      <c r="E1063" s="246" t="inlineStr">
        <is>
          <t>n/t</t>
        </is>
      </c>
    </row>
    <row r="1064">
      <c r="A1064" s="245" t="inlineStr">
        <is>
          <t>CoQ-PP_26-071</t>
        </is>
      </c>
      <c r="B1064" s="245" t="inlineStr">
        <is>
          <t>P060362 (JD012603/01)</t>
        </is>
      </c>
      <c r="C1064" s="245" t="inlineStr">
        <is>
          <t>release</t>
        </is>
      </c>
      <c r="D1064" s="245" t="inlineStr">
        <is>
          <t>#6</t>
        </is>
      </c>
      <c r="E1064" s="246" t="inlineStr">
        <is>
          <t>n/t</t>
        </is>
      </c>
    </row>
    <row r="1065">
      <c r="A1065" s="245" t="inlineStr">
        <is>
          <t>CoQ-PP_26-071</t>
        </is>
      </c>
      <c r="B1065" s="245" t="inlineStr">
        <is>
          <t>P060362 (JD012603/01)</t>
        </is>
      </c>
      <c r="C1065" s="245" t="inlineStr">
        <is>
          <t>release</t>
        </is>
      </c>
      <c r="D1065" s="245" t="inlineStr">
        <is>
          <t>#8</t>
        </is>
      </c>
      <c r="E1065" s="246" t="inlineStr">
        <is>
          <t>n/t</t>
        </is>
      </c>
    </row>
    <row r="1066">
      <c r="A1066" s="245" t="inlineStr">
        <is>
          <t>CoQ-PP_26-071</t>
        </is>
      </c>
      <c r="B1066" s="245" t="inlineStr">
        <is>
          <t>P060362 (JD012603/01)</t>
        </is>
      </c>
      <c r="C1066" s="245" t="inlineStr">
        <is>
          <t>release</t>
        </is>
      </c>
      <c r="D1066" s="245" t="inlineStr">
        <is>
          <t>#10</t>
        </is>
      </c>
      <c r="E1066" s="246" t="inlineStr">
        <is>
          <t>n/t</t>
        </is>
      </c>
    </row>
    <row r="1067">
      <c r="A1067" s="245" t="inlineStr">
        <is>
          <t>CoQ-PP_26-071</t>
        </is>
      </c>
      <c r="B1067" s="245" t="inlineStr">
        <is>
          <t>P060362 (JD012603/01)</t>
        </is>
      </c>
      <c r="C1067" s="245" t="inlineStr">
        <is>
          <t>release</t>
        </is>
      </c>
      <c r="D1067" s="245" t="inlineStr">
        <is>
          <t>#11</t>
        </is>
      </c>
      <c r="E1067" s="246" t="inlineStr">
        <is>
          <t>n/t</t>
        </is>
      </c>
    </row>
    <row r="1068">
      <c r="A1068" s="245" t="inlineStr">
        <is>
          <t>CoQ-PP_26-071</t>
        </is>
      </c>
      <c r="B1068" s="245" t="inlineStr">
        <is>
          <t>P060362 (JD012603/01)</t>
        </is>
      </c>
      <c r="C1068" s="245" t="inlineStr">
        <is>
          <t>release</t>
        </is>
      </c>
      <c r="D1068" s="245" t="inlineStr">
        <is>
          <t>#12</t>
        </is>
      </c>
      <c r="E1068" s="246" t="inlineStr">
        <is>
          <t>n/t</t>
        </is>
      </c>
    </row>
    <row r="1069">
      <c r="A1069" s="245" t="inlineStr">
        <is>
          <t>CoQ-PP_26-072</t>
        </is>
      </c>
      <c r="B1069" s="245" t="inlineStr">
        <is>
          <t>P060372 (CC012603)</t>
        </is>
      </c>
      <c r="C1069" s="245" t="inlineStr">
        <is>
          <t>release</t>
        </is>
      </c>
      <c r="D1069" s="245" t="inlineStr">
        <is>
          <t>#4</t>
        </is>
      </c>
      <c r="E1069" s="246" t="inlineStr">
        <is>
          <t>n/t</t>
        </is>
      </c>
    </row>
    <row r="1070">
      <c r="A1070" s="245" t="inlineStr">
        <is>
          <t>CoQ-PP_26-072</t>
        </is>
      </c>
      <c r="B1070" s="245" t="inlineStr">
        <is>
          <t>P060372 (CC012603)</t>
        </is>
      </c>
      <c r="C1070" s="245" t="inlineStr">
        <is>
          <t>release</t>
        </is>
      </c>
      <c r="D1070" s="245" t="inlineStr">
        <is>
          <t>#5</t>
        </is>
      </c>
      <c r="E1070" s="246" t="inlineStr">
        <is>
          <t>n/t</t>
        </is>
      </c>
    </row>
    <row r="1071">
      <c r="A1071" s="245" t="inlineStr">
        <is>
          <t>CoQ-PP_26-072</t>
        </is>
      </c>
      <c r="B1071" s="245" t="inlineStr">
        <is>
          <t>P060372 (CC012603)</t>
        </is>
      </c>
      <c r="C1071" s="245" t="inlineStr">
        <is>
          <t>release</t>
        </is>
      </c>
      <c r="D1071" s="245" t="inlineStr">
        <is>
          <t>#6</t>
        </is>
      </c>
      <c r="E1071" s="246" t="inlineStr">
        <is>
          <t>n/t</t>
        </is>
      </c>
    </row>
    <row r="1072">
      <c r="A1072" s="245" t="inlineStr">
        <is>
          <t>CoQ-PP_26-072</t>
        </is>
      </c>
      <c r="B1072" s="245" t="inlineStr">
        <is>
          <t>P060372 (CC012603)</t>
        </is>
      </c>
      <c r="C1072" s="245" t="inlineStr">
        <is>
          <t>release</t>
        </is>
      </c>
      <c r="D1072" s="245" t="inlineStr">
        <is>
          <t>#8</t>
        </is>
      </c>
      <c r="E1072" s="246" t="inlineStr">
        <is>
          <t>n/t</t>
        </is>
      </c>
    </row>
    <row r="1073">
      <c r="A1073" s="245" t="inlineStr">
        <is>
          <t>CoQ-PP_26-072</t>
        </is>
      </c>
      <c r="B1073" s="245" t="inlineStr">
        <is>
          <t>P060372 (CC012603)</t>
        </is>
      </c>
      <c r="C1073" s="245" t="inlineStr">
        <is>
          <t>release</t>
        </is>
      </c>
      <c r="D1073" s="245" t="inlineStr">
        <is>
          <t>#10</t>
        </is>
      </c>
      <c r="E1073" s="246" t="inlineStr">
        <is>
          <t>n/t</t>
        </is>
      </c>
    </row>
    <row r="1074">
      <c r="A1074" s="245" t="inlineStr">
        <is>
          <t>CoQ-PP_26-072</t>
        </is>
      </c>
      <c r="B1074" s="245" t="inlineStr">
        <is>
          <t>P060372 (CC012603)</t>
        </is>
      </c>
      <c r="C1074" s="245" t="inlineStr">
        <is>
          <t>release</t>
        </is>
      </c>
      <c r="D1074" s="245" t="inlineStr">
        <is>
          <t>#11</t>
        </is>
      </c>
      <c r="E1074" s="246" t="inlineStr">
        <is>
          <t>n/t</t>
        </is>
      </c>
    </row>
    <row r="1075">
      <c r="A1075" s="245" t="inlineStr">
        <is>
          <t>CoQ-PP_26-072</t>
        </is>
      </c>
      <c r="B1075" s="245" t="inlineStr">
        <is>
          <t>P060372 (CC012603)</t>
        </is>
      </c>
      <c r="C1075" s="245" t="inlineStr">
        <is>
          <t>release</t>
        </is>
      </c>
      <c r="D1075" s="245" t="inlineStr">
        <is>
          <t>#12</t>
        </is>
      </c>
      <c r="E1075" s="246" t="inlineStr">
        <is>
          <t>n/t</t>
        </is>
      </c>
    </row>
    <row r="1076">
      <c r="A1076" s="245" t="inlineStr">
        <is>
          <t>CoQ-PP_26-073</t>
        </is>
      </c>
      <c r="B1076" s="245" t="inlineStr">
        <is>
          <t>P060342 (SCR012601)</t>
        </is>
      </c>
      <c r="C1076" s="245" t="inlineStr">
        <is>
          <t>release (predicted)</t>
        </is>
      </c>
      <c r="D1076" s="245" t="inlineStr">
        <is>
          <t>#4</t>
        </is>
      </c>
      <c r="E1076" s="246" t="inlineStr">
        <is>
          <t>n/t</t>
        </is>
      </c>
    </row>
    <row r="1077">
      <c r="A1077" s="245" t="inlineStr">
        <is>
          <t>CoQ-PP_26-073</t>
        </is>
      </c>
      <c r="B1077" s="245" t="inlineStr">
        <is>
          <t>P060342 (SCR012601)</t>
        </is>
      </c>
      <c r="C1077" s="245" t="inlineStr">
        <is>
          <t>release (predicted)</t>
        </is>
      </c>
      <c r="D1077" s="245" t="inlineStr">
        <is>
          <t>#5</t>
        </is>
      </c>
      <c r="E1077" s="246" t="inlineStr">
        <is>
          <t>n/t</t>
        </is>
      </c>
    </row>
    <row r="1078">
      <c r="A1078" s="245" t="inlineStr">
        <is>
          <t>CoQ-PP_26-073</t>
        </is>
      </c>
      <c r="B1078" s="245" t="inlineStr">
        <is>
          <t>P060342 (SCR012601)</t>
        </is>
      </c>
      <c r="C1078" s="245" t="inlineStr">
        <is>
          <t>release (predicted)</t>
        </is>
      </c>
      <c r="D1078" s="245" t="inlineStr">
        <is>
          <t>#6</t>
        </is>
      </c>
      <c r="E1078" s="246" t="inlineStr">
        <is>
          <t>n/t</t>
        </is>
      </c>
    </row>
    <row r="1079">
      <c r="A1079" s="245" t="inlineStr">
        <is>
          <t>CoQ-PP_26-073</t>
        </is>
      </c>
      <c r="B1079" s="245" t="inlineStr">
        <is>
          <t>P060342 (SCR012601)</t>
        </is>
      </c>
      <c r="C1079" s="245" t="inlineStr">
        <is>
          <t>release (predicted)</t>
        </is>
      </c>
      <c r="D1079" s="245" t="inlineStr">
        <is>
          <t>#8</t>
        </is>
      </c>
      <c r="E1079" s="246" t="inlineStr">
        <is>
          <t>n/t</t>
        </is>
      </c>
    </row>
    <row r="1080">
      <c r="A1080" s="245" t="inlineStr">
        <is>
          <t>CoQ-PP_26-073</t>
        </is>
      </c>
      <c r="B1080" s="245" t="inlineStr">
        <is>
          <t>P060342 (SCR012601)</t>
        </is>
      </c>
      <c r="C1080" s="245" t="inlineStr">
        <is>
          <t>release (predicted)</t>
        </is>
      </c>
      <c r="D1080" s="245" t="inlineStr">
        <is>
          <t>#9</t>
        </is>
      </c>
      <c r="E1080" s="246" t="inlineStr">
        <is>
          <t>n/t</t>
        </is>
      </c>
    </row>
    <row r="1081">
      <c r="A1081" s="245" t="inlineStr">
        <is>
          <t>CoQ-PP_26-073</t>
        </is>
      </c>
      <c r="B1081" s="245" t="inlineStr">
        <is>
          <t>P060342 (SCR012601)</t>
        </is>
      </c>
      <c r="C1081" s="245" t="inlineStr">
        <is>
          <t>release (predicted)</t>
        </is>
      </c>
      <c r="D1081" s="245" t="inlineStr">
        <is>
          <t>#10</t>
        </is>
      </c>
      <c r="E1081" s="246" t="inlineStr">
        <is>
          <t>n/t</t>
        </is>
      </c>
    </row>
    <row r="1082">
      <c r="A1082" s="245" t="inlineStr">
        <is>
          <t>CoQ-PP_26-073</t>
        </is>
      </c>
      <c r="B1082" s="245" t="inlineStr">
        <is>
          <t>P060342 (SCR012601)</t>
        </is>
      </c>
      <c r="C1082" s="245" t="inlineStr">
        <is>
          <t>release (predicted)</t>
        </is>
      </c>
      <c r="D1082" s="245" t="inlineStr">
        <is>
          <t>#11</t>
        </is>
      </c>
      <c r="E1082" s="246" t="inlineStr">
        <is>
          <t>n/t</t>
        </is>
      </c>
    </row>
    <row r="1083">
      <c r="A1083" s="245" t="inlineStr">
        <is>
          <t>CoQ-PP_26-073</t>
        </is>
      </c>
      <c r="B1083" s="245" t="inlineStr">
        <is>
          <t>P060342 (SCR012601)</t>
        </is>
      </c>
      <c r="C1083" s="245" t="inlineStr">
        <is>
          <t>release (predicted)</t>
        </is>
      </c>
      <c r="D1083" s="245" t="inlineStr">
        <is>
          <t>#12</t>
        </is>
      </c>
      <c r="E1083" s="246" t="inlineStr">
        <is>
          <t>n/t</t>
        </is>
      </c>
    </row>
    <row r="1084">
      <c r="A1084" s="245" t="inlineStr">
        <is>
          <t>CoQ-PP_26-074</t>
        </is>
      </c>
      <c r="B1084" s="245" t="inlineStr">
        <is>
          <t>P060382 (SCR012603)</t>
        </is>
      </c>
      <c r="C1084" s="245" t="inlineStr">
        <is>
          <t>release</t>
        </is>
      </c>
      <c r="D1084" s="245" t="inlineStr">
        <is>
          <t>#4</t>
        </is>
      </c>
      <c r="E1084" s="246" t="inlineStr">
        <is>
          <t>n/t</t>
        </is>
      </c>
    </row>
    <row r="1085">
      <c r="A1085" s="245" t="inlineStr">
        <is>
          <t>CoQ-PP_26-074</t>
        </is>
      </c>
      <c r="B1085" s="245" t="inlineStr">
        <is>
          <t>P060382 (SCR012603)</t>
        </is>
      </c>
      <c r="C1085" s="245" t="inlineStr">
        <is>
          <t>release</t>
        </is>
      </c>
      <c r="D1085" s="245" t="inlineStr">
        <is>
          <t>#5</t>
        </is>
      </c>
      <c r="E1085" s="246" t="inlineStr">
        <is>
          <t>n/t</t>
        </is>
      </c>
    </row>
    <row r="1086">
      <c r="A1086" s="245" t="inlineStr">
        <is>
          <t>CoQ-PP_26-074</t>
        </is>
      </c>
      <c r="B1086" s="245" t="inlineStr">
        <is>
          <t>P060382 (SCR012603)</t>
        </is>
      </c>
      <c r="C1086" s="245" t="inlineStr">
        <is>
          <t>release</t>
        </is>
      </c>
      <c r="D1086" s="245" t="inlineStr">
        <is>
          <t>#6</t>
        </is>
      </c>
      <c r="E1086" s="246" t="inlineStr">
        <is>
          <t>n/t</t>
        </is>
      </c>
    </row>
    <row r="1087">
      <c r="A1087" s="245" t="inlineStr">
        <is>
          <t>CoQ-PP_26-074</t>
        </is>
      </c>
      <c r="B1087" s="245" t="inlineStr">
        <is>
          <t>P060382 (SCR012603)</t>
        </is>
      </c>
      <c r="C1087" s="245" t="inlineStr">
        <is>
          <t>release</t>
        </is>
      </c>
      <c r="D1087" s="245" t="inlineStr">
        <is>
          <t>#8</t>
        </is>
      </c>
      <c r="E1087" s="246" t="inlineStr">
        <is>
          <t>n/t</t>
        </is>
      </c>
    </row>
    <row r="1088">
      <c r="A1088" s="245" t="inlineStr">
        <is>
          <t>CoQ-PP_26-074</t>
        </is>
      </c>
      <c r="B1088" s="245" t="inlineStr">
        <is>
          <t>P060382 (SCR012603)</t>
        </is>
      </c>
      <c r="C1088" s="245" t="inlineStr">
        <is>
          <t>release</t>
        </is>
      </c>
      <c r="D1088" s="245" t="inlineStr">
        <is>
          <t>#10</t>
        </is>
      </c>
      <c r="E1088" s="246" t="inlineStr">
        <is>
          <t>n/t</t>
        </is>
      </c>
    </row>
    <row r="1089">
      <c r="A1089" s="245" t="inlineStr">
        <is>
          <t>CoQ-PP_26-074</t>
        </is>
      </c>
      <c r="B1089" s="245" t="inlineStr">
        <is>
          <t>P060382 (SCR012603)</t>
        </is>
      </c>
      <c r="C1089" s="245" t="inlineStr">
        <is>
          <t>release</t>
        </is>
      </c>
      <c r="D1089" s="245" t="inlineStr">
        <is>
          <t>#11</t>
        </is>
      </c>
      <c r="E1089" s="246" t="inlineStr">
        <is>
          <t>n/t</t>
        </is>
      </c>
    </row>
    <row r="1090">
      <c r="A1090" s="245" t="inlineStr">
        <is>
          <t>CoQ-PP_26-074</t>
        </is>
      </c>
      <c r="B1090" s="245" t="inlineStr">
        <is>
          <t>P060382 (SCR012603)</t>
        </is>
      </c>
      <c r="C1090" s="245" t="inlineStr">
        <is>
          <t>release</t>
        </is>
      </c>
      <c r="D1090" s="245" t="inlineStr">
        <is>
          <t>#12</t>
        </is>
      </c>
      <c r="E1090" s="246" t="inlineStr">
        <is>
          <t>n/t</t>
        </is>
      </c>
    </row>
    <row r="1091">
      <c r="A1091" s="245" t="inlineStr">
        <is>
          <t>CoQ-PP_26-075</t>
        </is>
      </c>
      <c r="B1091" s="245" t="inlineStr">
        <is>
          <t>FB012603V</t>
        </is>
      </c>
      <c r="C1091" s="245" t="inlineStr">
        <is>
          <t>release (predicted)</t>
        </is>
      </c>
      <c r="D1091" s="245" t="inlineStr">
        <is>
          <t>#9</t>
        </is>
      </c>
      <c r="E1091" s="246" t="inlineStr">
        <is>
          <t>n/t</t>
        </is>
      </c>
    </row>
    <row r="1092">
      <c r="A1092" s="245" t="inlineStr">
        <is>
          <t>CoQ-PP_26-075</t>
        </is>
      </c>
      <c r="B1092" s="245" t="inlineStr">
        <is>
          <t>FB012603V</t>
        </is>
      </c>
      <c r="C1092" s="245" t="inlineStr">
        <is>
          <t>release (predicted)</t>
        </is>
      </c>
      <c r="D1092" s="245" t="inlineStr">
        <is>
          <t>#10</t>
        </is>
      </c>
      <c r="E1092" s="246" t="inlineStr">
        <is>
          <t>n/t</t>
        </is>
      </c>
    </row>
    <row r="1093">
      <c r="A1093" s="245" t="inlineStr">
        <is>
          <t>CoQ-PP_26-075</t>
        </is>
      </c>
      <c r="B1093" s="245" t="inlineStr">
        <is>
          <t>FB012603V</t>
        </is>
      </c>
      <c r="C1093" s="245" t="inlineStr">
        <is>
          <t>release (predicted)</t>
        </is>
      </c>
      <c r="D1093" s="245" t="inlineStr">
        <is>
          <t>#11</t>
        </is>
      </c>
      <c r="E1093" s="246" t="inlineStr">
        <is>
          <t>n/t</t>
        </is>
      </c>
    </row>
    <row r="1094">
      <c r="A1094" s="245" t="inlineStr">
        <is>
          <t>CoQ-PP_26-075</t>
        </is>
      </c>
      <c r="B1094" s="245" t="inlineStr">
        <is>
          <t>FB012603V</t>
        </is>
      </c>
      <c r="C1094" s="245" t="inlineStr">
        <is>
          <t>release (predicted)</t>
        </is>
      </c>
      <c r="D1094" s="245" t="inlineStr">
        <is>
          <t>#12</t>
        </is>
      </c>
      <c r="E1094" s="246" t="inlineStr">
        <is>
          <t>n/t</t>
        </is>
      </c>
    </row>
    <row r="1095">
      <c r="A1095" s="245" t="inlineStr">
        <is>
          <t>CoQ-PP_26-076</t>
        </is>
      </c>
      <c r="B1095" s="245" t="inlineStr">
        <is>
          <t>P060422 (JD012603/02V)</t>
        </is>
      </c>
      <c r="C1095" s="245" t="inlineStr">
        <is>
          <t>release</t>
        </is>
      </c>
      <c r="D1095" s="245" t="inlineStr">
        <is>
          <t>#9</t>
        </is>
      </c>
      <c r="E1095" s="246" t="inlineStr">
        <is>
          <t>n/t</t>
        </is>
      </c>
    </row>
    <row r="1096">
      <c r="A1096" s="245" t="inlineStr">
        <is>
          <t>CoQ-PP_26-076</t>
        </is>
      </c>
      <c r="B1096" s="245" t="inlineStr">
        <is>
          <t>P060422 (JD012603/02V)</t>
        </is>
      </c>
      <c r="C1096" s="245" t="inlineStr">
        <is>
          <t>release</t>
        </is>
      </c>
      <c r="D1096" s="245" t="inlineStr">
        <is>
          <t>#10</t>
        </is>
      </c>
      <c r="E1096" s="246" t="inlineStr">
        <is>
          <t>n/t</t>
        </is>
      </c>
    </row>
    <row r="1097">
      <c r="A1097" s="245" t="inlineStr">
        <is>
          <t>CoQ-PP_26-076</t>
        </is>
      </c>
      <c r="B1097" s="245" t="inlineStr">
        <is>
          <t>P060422 (JD012603/02V)</t>
        </is>
      </c>
      <c r="C1097" s="245" t="inlineStr">
        <is>
          <t>release</t>
        </is>
      </c>
      <c r="D1097" s="245" t="inlineStr">
        <is>
          <t>#11</t>
        </is>
      </c>
      <c r="E1097" s="246" t="inlineStr">
        <is>
          <t>n/t</t>
        </is>
      </c>
    </row>
    <row r="1098">
      <c r="A1098" s="245" t="inlineStr">
        <is>
          <t>CoQ-PP_26-077</t>
        </is>
      </c>
      <c r="B1098" s="245" t="inlineStr">
        <is>
          <t>P060402 (GG012603)</t>
        </is>
      </c>
      <c r="C1098" s="245" t="inlineStr">
        <is>
          <t>release</t>
        </is>
      </c>
      <c r="D1098" s="245" t="inlineStr">
        <is>
          <t>#10</t>
        </is>
      </c>
      <c r="E1098" s="246" t="inlineStr">
        <is>
          <t>3659/2026 22.06.26 IJZ; also 197-8-М/26; n/t 10.1,10.3</t>
        </is>
      </c>
    </row>
    <row r="1099">
      <c r="A1099" s="245" t="inlineStr">
        <is>
          <t>CoQ-PP_26-078</t>
        </is>
      </c>
      <c r="B1099" s="245" t="inlineStr">
        <is>
          <t>P060412 (JD012603/02)</t>
        </is>
      </c>
      <c r="C1099" s="245" t="inlineStr">
        <is>
          <t>release</t>
        </is>
      </c>
      <c r="D1099" s="245" t="inlineStr">
        <is>
          <t>#9</t>
        </is>
      </c>
      <c r="E1099" s="246" t="inlineStr">
        <is>
          <t>n/t</t>
        </is>
      </c>
    </row>
    <row r="1100">
      <c r="A1100" s="245" t="inlineStr">
        <is>
          <t>CoQ-PP_26-078</t>
        </is>
      </c>
      <c r="B1100" s="245" t="inlineStr">
        <is>
          <t>P060412 (JD012603/02)</t>
        </is>
      </c>
      <c r="C1100" s="245" t="inlineStr">
        <is>
          <t>release</t>
        </is>
      </c>
      <c r="D1100" s="245" t="inlineStr">
        <is>
          <t>#10</t>
        </is>
      </c>
      <c r="E1100" s="246" t="inlineStr">
        <is>
          <t>n/t</t>
        </is>
      </c>
    </row>
    <row r="1101">
      <c r="A1101" s="245" t="inlineStr">
        <is>
          <t>CoQ-PP_26-078</t>
        </is>
      </c>
      <c r="B1101" s="245" t="inlineStr">
        <is>
          <t>P060412 (JD012603/02)</t>
        </is>
      </c>
      <c r="C1101" s="245" t="inlineStr">
        <is>
          <t>release</t>
        </is>
      </c>
      <c r="D1101" s="245" t="inlineStr">
        <is>
          <t>#11</t>
        </is>
      </c>
      <c r="E1101" s="246" t="inlineStr">
        <is>
          <t>n/t</t>
        </is>
      </c>
    </row>
    <row r="1102">
      <c r="A1102" s="245" t="inlineStr">
        <is>
          <t>CoQ-PP_26-079</t>
        </is>
      </c>
      <c r="B1102" s="245" t="inlineStr">
        <is>
          <t>FB012603</t>
        </is>
      </c>
      <c r="C1102" s="245" t="inlineStr">
        <is>
          <t>release (predicted)</t>
        </is>
      </c>
      <c r="D1102" s="245" t="inlineStr">
        <is>
          <t>#9</t>
        </is>
      </c>
      <c r="E1102" s="246" t="inlineStr">
        <is>
          <t>n/t</t>
        </is>
      </c>
    </row>
    <row r="1103">
      <c r="A1103" s="245" t="inlineStr">
        <is>
          <t>CoQ-PP_26-079</t>
        </is>
      </c>
      <c r="B1103" s="245" t="inlineStr">
        <is>
          <t>FB012603</t>
        </is>
      </c>
      <c r="C1103" s="245" t="inlineStr">
        <is>
          <t>release (predicted)</t>
        </is>
      </c>
      <c r="D1103" s="245" t="inlineStr">
        <is>
          <t>#10</t>
        </is>
      </c>
      <c r="E1103" s="246" t="inlineStr">
        <is>
          <t>n/t</t>
        </is>
      </c>
    </row>
    <row r="1104">
      <c r="A1104" s="245" t="inlineStr">
        <is>
          <t>CoQ-PP_26-079</t>
        </is>
      </c>
      <c r="B1104" s="245" t="inlineStr">
        <is>
          <t>FB012603</t>
        </is>
      </c>
      <c r="C1104" s="245" t="inlineStr">
        <is>
          <t>release (predicted)</t>
        </is>
      </c>
      <c r="D1104" s="245" t="inlineStr">
        <is>
          <t>#11</t>
        </is>
      </c>
      <c r="E1104" s="246" t="inlineStr">
        <is>
          <t>n/t</t>
        </is>
      </c>
    </row>
    <row r="1105">
      <c r="A1105" s="245" t="inlineStr">
        <is>
          <t>CoQ-PP_26-079</t>
        </is>
      </c>
      <c r="B1105" s="245" t="inlineStr">
        <is>
          <t>FB012603</t>
        </is>
      </c>
      <c r="C1105" s="245" t="inlineStr">
        <is>
          <t>release (predicted)</t>
        </is>
      </c>
      <c r="D1105" s="245" t="inlineStr">
        <is>
          <t>#12</t>
        </is>
      </c>
      <c r="E1105" s="246" t="inlineStr">
        <is>
          <t>n/t</t>
        </is>
      </c>
    </row>
    <row r="1106">
      <c r="A1106" s="245" t="inlineStr">
        <is>
          <t>CoQ-PP_26-080</t>
        </is>
      </c>
      <c r="B1106" s="245" t="inlineStr">
        <is>
          <t>SCR022601</t>
        </is>
      </c>
      <c r="C1106" s="245" t="inlineStr">
        <is>
          <t>release (predicted)</t>
        </is>
      </c>
      <c r="D1106" s="245" t="inlineStr">
        <is>
          <t>#9</t>
        </is>
      </c>
      <c r="E1106" s="246" t="inlineStr">
        <is>
          <t>n/t</t>
        </is>
      </c>
    </row>
    <row r="1107">
      <c r="A1107" s="245" t="inlineStr">
        <is>
          <t>CoQ-PP_26-080</t>
        </is>
      </c>
      <c r="B1107" s="245" t="inlineStr">
        <is>
          <t>SCR022601</t>
        </is>
      </c>
      <c r="C1107" s="245" t="inlineStr">
        <is>
          <t>release (predicted)</t>
        </is>
      </c>
      <c r="D1107" s="245" t="inlineStr">
        <is>
          <t>#10</t>
        </is>
      </c>
      <c r="E1107" s="246" t="inlineStr">
        <is>
          <t>n/t</t>
        </is>
      </c>
    </row>
    <row r="1108">
      <c r="A1108" s="245" t="inlineStr">
        <is>
          <t>CoQ-PP_26-080</t>
        </is>
      </c>
      <c r="B1108" s="245" t="inlineStr">
        <is>
          <t>SCR022601</t>
        </is>
      </c>
      <c r="C1108" s="245" t="inlineStr">
        <is>
          <t>release (predicted)</t>
        </is>
      </c>
      <c r="D1108" s="245" t="inlineStr">
        <is>
          <t>#11</t>
        </is>
      </c>
      <c r="E1108" s="246" t="inlineStr">
        <is>
          <t>n/t</t>
        </is>
      </c>
    </row>
    <row r="1109">
      <c r="A1109" s="245" t="inlineStr">
        <is>
          <t>CoQ-PP_26-080</t>
        </is>
      </c>
      <c r="B1109" s="245" t="inlineStr">
        <is>
          <t>SCR022601</t>
        </is>
      </c>
      <c r="C1109" s="245" t="inlineStr">
        <is>
          <t>release (predicted)</t>
        </is>
      </c>
      <c r="D1109" s="245" t="inlineStr">
        <is>
          <t>#12</t>
        </is>
      </c>
      <c r="E1109" s="246" t="inlineStr">
        <is>
          <t>n/t</t>
        </is>
      </c>
    </row>
    <row r="1110">
      <c r="A1110" s="245" t="inlineStr">
        <is>
          <t>CoQ-PP_26-081</t>
        </is>
      </c>
      <c r="B1110" s="245" t="inlineStr">
        <is>
          <t>FB032601</t>
        </is>
      </c>
      <c r="C1110" s="245" t="inlineStr">
        <is>
          <t>release (predicted)</t>
        </is>
      </c>
      <c r="D1110" s="245" t="inlineStr">
        <is>
          <t>#9</t>
        </is>
      </c>
      <c r="E1110" s="246" t="inlineStr">
        <is>
          <t>n/t</t>
        </is>
      </c>
    </row>
    <row r="1111">
      <c r="A1111" s="245" t="inlineStr">
        <is>
          <t>CoQ-PP_26-081</t>
        </is>
      </c>
      <c r="B1111" s="245" t="inlineStr">
        <is>
          <t>FB032601</t>
        </is>
      </c>
      <c r="C1111" s="245" t="inlineStr">
        <is>
          <t>release (predicted)</t>
        </is>
      </c>
      <c r="D1111" s="245" t="inlineStr">
        <is>
          <t>#10</t>
        </is>
      </c>
      <c r="E1111" s="246" t="inlineStr">
        <is>
          <t>n/t</t>
        </is>
      </c>
    </row>
    <row r="1112">
      <c r="A1112" s="245" t="inlineStr">
        <is>
          <t>CoQ-PP_26-081</t>
        </is>
      </c>
      <c r="B1112" s="245" t="inlineStr">
        <is>
          <t>FB032601</t>
        </is>
      </c>
      <c r="C1112" s="245" t="inlineStr">
        <is>
          <t>release (predicted)</t>
        </is>
      </c>
      <c r="D1112" s="245" t="inlineStr">
        <is>
          <t>#11</t>
        </is>
      </c>
      <c r="E1112" s="246" t="inlineStr">
        <is>
          <t>n/t</t>
        </is>
      </c>
    </row>
    <row r="1113">
      <c r="A1113" s="245" t="inlineStr">
        <is>
          <t>CoQ-PP_26-081</t>
        </is>
      </c>
      <c r="B1113" s="245" t="inlineStr">
        <is>
          <t>FB032601</t>
        </is>
      </c>
      <c r="C1113" s="245" t="inlineStr">
        <is>
          <t>release (predicted)</t>
        </is>
      </c>
      <c r="D1113" s="245" t="inlineStr">
        <is>
          <t>#12</t>
        </is>
      </c>
      <c r="E1113" s="246" t="inlineStr">
        <is>
          <t>n/t</t>
        </is>
      </c>
    </row>
    <row r="1114">
      <c r="A1114" s="245" t="inlineStr">
        <is>
          <t>CoQ-PP_26-082</t>
        </is>
      </c>
      <c r="B1114" s="245" t="inlineStr">
        <is>
          <t>GG032601</t>
        </is>
      </c>
      <c r="C1114" s="245" t="inlineStr">
        <is>
          <t>release (predicted)</t>
        </is>
      </c>
      <c r="D1114" s="245" t="inlineStr">
        <is>
          <t>#9</t>
        </is>
      </c>
      <c r="E1114" s="246" t="inlineStr">
        <is>
          <t>n/t</t>
        </is>
      </c>
    </row>
    <row r="1115">
      <c r="A1115" s="245" t="inlineStr">
        <is>
          <t>CoQ-PP_26-082</t>
        </is>
      </c>
      <c r="B1115" s="245" t="inlineStr">
        <is>
          <t>GG032601</t>
        </is>
      </c>
      <c r="C1115" s="245" t="inlineStr">
        <is>
          <t>release (predicted)</t>
        </is>
      </c>
      <c r="D1115" s="245" t="inlineStr">
        <is>
          <t>#10</t>
        </is>
      </c>
      <c r="E1115" s="246" t="inlineStr">
        <is>
          <t>n/t</t>
        </is>
      </c>
    </row>
    <row r="1116">
      <c r="A1116" s="245" t="inlineStr">
        <is>
          <t>CoQ-PP_26-082</t>
        </is>
      </c>
      <c r="B1116" s="245" t="inlineStr">
        <is>
          <t>GG032601</t>
        </is>
      </c>
      <c r="C1116" s="245" t="inlineStr">
        <is>
          <t>release (predicted)</t>
        </is>
      </c>
      <c r="D1116" s="245" t="inlineStr">
        <is>
          <t>#11</t>
        </is>
      </c>
      <c r="E1116" s="246" t="inlineStr">
        <is>
          <t>n/t</t>
        </is>
      </c>
    </row>
    <row r="1117">
      <c r="A1117" s="245" t="inlineStr">
        <is>
          <t>CoQ-PP_26-082</t>
        </is>
      </c>
      <c r="B1117" s="245" t="inlineStr">
        <is>
          <t>GG032601</t>
        </is>
      </c>
      <c r="C1117" s="245" t="inlineStr">
        <is>
          <t>release (predicted)</t>
        </is>
      </c>
      <c r="D1117" s="245" t="inlineStr">
        <is>
          <t>#12</t>
        </is>
      </c>
      <c r="E1117" s="246" t="inlineStr">
        <is>
          <t>n/t</t>
        </is>
      </c>
    </row>
    <row r="1118">
      <c r="A1118" s="245" t="inlineStr">
        <is>
          <t>CoQ-PP_26-083</t>
        </is>
      </c>
      <c r="B1118" s="245" t="inlineStr">
        <is>
          <t>JD022601</t>
        </is>
      </c>
      <c r="C1118" s="245" t="inlineStr">
        <is>
          <t>release (predicted)</t>
        </is>
      </c>
      <c r="D1118" s="245" t="inlineStr">
        <is>
          <t>#9</t>
        </is>
      </c>
      <c r="E1118" s="246" t="inlineStr">
        <is>
          <t>n/t</t>
        </is>
      </c>
    </row>
    <row r="1119">
      <c r="A1119" s="245" t="inlineStr">
        <is>
          <t>CoQ-PP_26-083</t>
        </is>
      </c>
      <c r="B1119" s="245" t="inlineStr">
        <is>
          <t>JD022601</t>
        </is>
      </c>
      <c r="C1119" s="245" t="inlineStr">
        <is>
          <t>release (predicted)</t>
        </is>
      </c>
      <c r="D1119" s="245" t="inlineStr">
        <is>
          <t>#10</t>
        </is>
      </c>
      <c r="E1119" s="246" t="inlineStr">
        <is>
          <t>n/t</t>
        </is>
      </c>
    </row>
    <row r="1120">
      <c r="A1120" s="245" t="inlineStr">
        <is>
          <t>CoQ-PP_26-083</t>
        </is>
      </c>
      <c r="B1120" s="245" t="inlineStr">
        <is>
          <t>JD022601</t>
        </is>
      </c>
      <c r="C1120" s="245" t="inlineStr">
        <is>
          <t>release (predicted)</t>
        </is>
      </c>
      <c r="D1120" s="245" t="inlineStr">
        <is>
          <t>#11</t>
        </is>
      </c>
      <c r="E1120" s="246" t="inlineStr">
        <is>
          <t>n/t</t>
        </is>
      </c>
    </row>
    <row r="1121">
      <c r="A1121" s="245" t="inlineStr">
        <is>
          <t>CoQ-PP_26-083</t>
        </is>
      </c>
      <c r="B1121" s="245" t="inlineStr">
        <is>
          <t>JD022601</t>
        </is>
      </c>
      <c r="C1121" s="245" t="inlineStr">
        <is>
          <t>release (predicted)</t>
        </is>
      </c>
      <c r="D1121" s="245" t="inlineStr">
        <is>
          <t>#12</t>
        </is>
      </c>
      <c r="E1121" s="246" t="inlineStr">
        <is>
          <t>n/t</t>
        </is>
      </c>
    </row>
    <row r="1122">
      <c r="A1122" s="245" t="inlineStr">
        <is>
          <t>CoQ-PP_26-084</t>
        </is>
      </c>
      <c r="B1122" s="245" t="inlineStr">
        <is>
          <t>P060492 (JD042601)</t>
        </is>
      </c>
      <c r="C1122" s="245" t="inlineStr">
        <is>
          <t>release (predicted)</t>
        </is>
      </c>
      <c r="D1122" s="245" t="inlineStr">
        <is>
          <t>#4</t>
        </is>
      </c>
      <c r="E1122" s="246" t="inlineStr">
        <is>
          <t>n/t</t>
        </is>
      </c>
    </row>
    <row r="1123">
      <c r="A1123" s="245" t="inlineStr">
        <is>
          <t>CoQ-PP_26-084</t>
        </is>
      </c>
      <c r="B1123" s="245" t="inlineStr">
        <is>
          <t>P060492 (JD042601)</t>
        </is>
      </c>
      <c r="C1123" s="245" t="inlineStr">
        <is>
          <t>release (predicted)</t>
        </is>
      </c>
      <c r="D1123" s="245" t="inlineStr">
        <is>
          <t>#5</t>
        </is>
      </c>
      <c r="E1123" s="246" t="inlineStr">
        <is>
          <t>n/t</t>
        </is>
      </c>
    </row>
    <row r="1124">
      <c r="A1124" s="245" t="inlineStr">
        <is>
          <t>CoQ-PP_26-084</t>
        </is>
      </c>
      <c r="B1124" s="245" t="inlineStr">
        <is>
          <t>P060492 (JD042601)</t>
        </is>
      </c>
      <c r="C1124" s="245" t="inlineStr">
        <is>
          <t>release (predicted)</t>
        </is>
      </c>
      <c r="D1124" s="245" t="inlineStr">
        <is>
          <t>#6</t>
        </is>
      </c>
      <c r="E1124" s="246" t="inlineStr">
        <is>
          <t>n/t</t>
        </is>
      </c>
    </row>
    <row r="1125">
      <c r="A1125" s="245" t="inlineStr">
        <is>
          <t>CoQ-PP_26-084</t>
        </is>
      </c>
      <c r="B1125" s="245" t="inlineStr">
        <is>
          <t>P060492 (JD042601)</t>
        </is>
      </c>
      <c r="C1125" s="245" t="inlineStr">
        <is>
          <t>release (predicted)</t>
        </is>
      </c>
      <c r="D1125" s="245" t="inlineStr">
        <is>
          <t>#8</t>
        </is>
      </c>
      <c r="E1125" s="246" t="inlineStr">
        <is>
          <t>n/t</t>
        </is>
      </c>
    </row>
    <row r="1126">
      <c r="A1126" s="245" t="inlineStr">
        <is>
          <t>CoQ-PP_26-084</t>
        </is>
      </c>
      <c r="B1126" s="245" t="inlineStr">
        <is>
          <t>P060492 (JD042601)</t>
        </is>
      </c>
      <c r="C1126" s="245" t="inlineStr">
        <is>
          <t>release (predicted)</t>
        </is>
      </c>
      <c r="D1126" s="245" t="inlineStr">
        <is>
          <t>#9</t>
        </is>
      </c>
      <c r="E1126" s="246" t="inlineStr">
        <is>
          <t>n/t</t>
        </is>
      </c>
    </row>
    <row r="1127">
      <c r="A1127" s="245" t="inlineStr">
        <is>
          <t>CoQ-PP_26-084</t>
        </is>
      </c>
      <c r="B1127" s="245" t="inlineStr">
        <is>
          <t>P060492 (JD042601)</t>
        </is>
      </c>
      <c r="C1127" s="245" t="inlineStr">
        <is>
          <t>release (predicted)</t>
        </is>
      </c>
      <c r="D1127" s="245" t="inlineStr">
        <is>
          <t>#10</t>
        </is>
      </c>
      <c r="E1127" s="246" t="inlineStr">
        <is>
          <t>n/t</t>
        </is>
      </c>
    </row>
    <row r="1128">
      <c r="A1128" s="245" t="inlineStr">
        <is>
          <t>CoQ-PP_26-084</t>
        </is>
      </c>
      <c r="B1128" s="245" t="inlineStr">
        <is>
          <t>P060492 (JD042601)</t>
        </is>
      </c>
      <c r="C1128" s="245" t="inlineStr">
        <is>
          <t>release (predicted)</t>
        </is>
      </c>
      <c r="D1128" s="245" t="inlineStr">
        <is>
          <t>#11</t>
        </is>
      </c>
      <c r="E1128" s="246" t="inlineStr">
        <is>
          <t>n/t</t>
        </is>
      </c>
    </row>
    <row r="1129">
      <c r="A1129" s="245" t="inlineStr">
        <is>
          <t>CoQ-PP_26-084</t>
        </is>
      </c>
      <c r="B1129" s="245" t="inlineStr">
        <is>
          <t>P060492 (JD042601)</t>
        </is>
      </c>
      <c r="C1129" s="245" t="inlineStr">
        <is>
          <t>release (predicted)</t>
        </is>
      </c>
      <c r="D1129" s="245" t="inlineStr">
        <is>
          <t>#12</t>
        </is>
      </c>
      <c r="E1129" s="246" t="inlineStr">
        <is>
          <t>n/t</t>
        </is>
      </c>
    </row>
    <row r="1130">
      <c r="A1130" s="245" t="inlineStr">
        <is>
          <t>CoQ-PP_26-087</t>
        </is>
      </c>
      <c r="B1130" s="245" t="inlineStr">
        <is>
          <t>P060332</t>
        </is>
      </c>
      <c r="C1130" s="245" t="inlineStr">
        <is>
          <t>retest (predicted)</t>
        </is>
      </c>
      <c r="D1130" s="245" t="inlineStr">
        <is>
          <t>#8</t>
        </is>
      </c>
      <c r="E1130" s="246" t="inlineStr">
        <is>
          <t>n/t (initial)</t>
        </is>
      </c>
    </row>
    <row r="1131">
      <c r="A1131" s="245" t="inlineStr">
        <is>
          <t>CoQ-PP_26-087</t>
        </is>
      </c>
      <c r="B1131" s="245" t="inlineStr">
        <is>
          <t>P060332</t>
        </is>
      </c>
      <c r="C1131" s="245" t="inlineStr">
        <is>
          <t>retest (predicted)</t>
        </is>
      </c>
      <c r="D1131" s="245" t="inlineStr">
        <is>
          <t>#11</t>
        </is>
      </c>
      <c r="E1131" s="246" t="inlineStr">
        <is>
          <t>n/t (initial)</t>
        </is>
      </c>
    </row>
    <row r="1132">
      <c r="A1132" s="245" t="inlineStr">
        <is>
          <t>CoQ-PP_26-087</t>
        </is>
      </c>
      <c r="B1132" s="245" t="inlineStr">
        <is>
          <t>P060332</t>
        </is>
      </c>
      <c r="C1132" s="245" t="inlineStr">
        <is>
          <t>retest (predicted)</t>
        </is>
      </c>
      <c r="D1132" s="245" t="inlineStr">
        <is>
          <t>#12</t>
        </is>
      </c>
      <c r="E1132" s="246" t="inlineStr">
        <is>
          <t>n/t (initial)</t>
        </is>
      </c>
    </row>
    <row r="1133">
      <c r="A1133" s="245" t="inlineStr">
        <is>
          <t>CoQ-PP_26-090</t>
        </is>
      </c>
      <c r="B1133" s="245" t="inlineStr">
        <is>
          <t>P060352 (FB012602)</t>
        </is>
      </c>
      <c r="C1133" s="245" t="inlineStr">
        <is>
          <t>retest (predicted)</t>
        </is>
      </c>
      <c r="D1133" s="245" t="inlineStr">
        <is>
          <t>#8</t>
        </is>
      </c>
      <c r="E1133" s="246" t="inlineStr">
        <is>
          <t>n/t (initial)</t>
        </is>
      </c>
    </row>
    <row r="1134">
      <c r="A1134" s="245" t="inlineStr">
        <is>
          <t>CoQ-PP_26-090</t>
        </is>
      </c>
      <c r="B1134" s="245" t="inlineStr">
        <is>
          <t>P060352 (FB012602)</t>
        </is>
      </c>
      <c r="C1134" s="245" t="inlineStr">
        <is>
          <t>retest (predicted)</t>
        </is>
      </c>
      <c r="D1134" s="245" t="inlineStr">
        <is>
          <t>#11</t>
        </is>
      </c>
      <c r="E1134" s="246" t="inlineStr">
        <is>
          <t>n/t (initial)</t>
        </is>
      </c>
    </row>
    <row r="1135">
      <c r="A1135" s="245" t="inlineStr">
        <is>
          <t>CoQ-PP_26-090</t>
        </is>
      </c>
      <c r="B1135" s="245" t="inlineStr">
        <is>
          <t>P060352 (FB012602)</t>
        </is>
      </c>
      <c r="C1135" s="245" t="inlineStr">
        <is>
          <t>retest (predicted)</t>
        </is>
      </c>
      <c r="D1135" s="245" t="inlineStr">
        <is>
          <t>#12</t>
        </is>
      </c>
      <c r="E1135" s="246" t="inlineStr">
        <is>
          <t>n/t (initial)</t>
        </is>
      </c>
    </row>
    <row r="1136">
      <c r="A1136" s="245" t="inlineStr">
        <is>
          <t>CoQ-PP_26-096</t>
        </is>
      </c>
      <c r="B1136" s="245" t="inlineStr">
        <is>
          <t>HPA1024</t>
        </is>
      </c>
      <c r="C1136" s="245" t="inlineStr">
        <is>
          <t>retest</t>
        </is>
      </c>
      <c r="D1136" s="245" t="inlineStr">
        <is>
          <t>#8</t>
        </is>
      </c>
      <c r="E1136" s="246" t="inlineStr">
        <is>
          <t>n/t (initial)</t>
        </is>
      </c>
    </row>
    <row r="1137">
      <c r="A1137" s="245" t="inlineStr">
        <is>
          <t>CoQ-PP_26-100</t>
        </is>
      </c>
      <c r="B1137" s="245" t="inlineStr">
        <is>
          <t>OPM1024</t>
        </is>
      </c>
      <c r="C1137" s="245" t="inlineStr">
        <is>
          <t>retest</t>
        </is>
      </c>
      <c r="D1137" s="245" t="inlineStr">
        <is>
          <t>#8</t>
        </is>
      </c>
      <c r="E1137" s="246" t="inlineStr">
        <is>
          <t>n/t (initial)</t>
        </is>
      </c>
    </row>
    <row r="1138">
      <c r="A1138" s="245" t="inlineStr">
        <is>
          <t>CoQ-PP_26-104</t>
        </is>
      </c>
      <c r="B1138" s="245" t="inlineStr">
        <is>
          <t>P060382 (SCR012603)</t>
        </is>
      </c>
      <c r="C1138" s="245" t="inlineStr">
        <is>
          <t>retest (predicted)</t>
        </is>
      </c>
      <c r="D1138" s="245" t="inlineStr">
        <is>
          <t>#8</t>
        </is>
      </c>
      <c r="E1138" s="246" t="inlineStr">
        <is>
          <t>n/t (initial)</t>
        </is>
      </c>
    </row>
    <row r="1139">
      <c r="A1139" s="245" t="inlineStr">
        <is>
          <t>CoQ-PP_26-104</t>
        </is>
      </c>
      <c r="B1139" s="245" t="inlineStr">
        <is>
          <t>P060382 (SCR012603)</t>
        </is>
      </c>
      <c r="C1139" s="245" t="inlineStr">
        <is>
          <t>retest (predicted)</t>
        </is>
      </c>
      <c r="D1139" s="245" t="inlineStr">
        <is>
          <t>#11</t>
        </is>
      </c>
      <c r="E1139" s="246" t="inlineStr">
        <is>
          <t>n/t (initial)</t>
        </is>
      </c>
    </row>
    <row r="1140">
      <c r="A1140" s="245" t="inlineStr">
        <is>
          <t>CoQ-PP_26-104</t>
        </is>
      </c>
      <c r="B1140" s="245" t="inlineStr">
        <is>
          <t>P060382 (SCR012603)</t>
        </is>
      </c>
      <c r="C1140" s="245" t="inlineStr">
        <is>
          <t>retest (predicted)</t>
        </is>
      </c>
      <c r="D1140" s="245" t="inlineStr">
        <is>
          <t>#12</t>
        </is>
      </c>
      <c r="E1140" s="246" t="inlineStr">
        <is>
          <t>n/t (initial)</t>
        </is>
      </c>
    </row>
    <row r="1141">
      <c r="A1141" s="245" t="inlineStr">
        <is>
          <t>CoQ-PP_26-108</t>
        </is>
      </c>
      <c r="B1141" s="245" t="inlineStr">
        <is>
          <t>P060372 (CC012603)</t>
        </is>
      </c>
      <c r="C1141" s="245" t="inlineStr">
        <is>
          <t>retest (predicted)</t>
        </is>
      </c>
      <c r="D1141" s="245" t="inlineStr">
        <is>
          <t>#8</t>
        </is>
      </c>
      <c r="E1141" s="246" t="inlineStr">
        <is>
          <t>n/t (initial)</t>
        </is>
      </c>
    </row>
    <row r="1142">
      <c r="A1142" s="245" t="inlineStr">
        <is>
          <t>CoQ-PP_26-108</t>
        </is>
      </c>
      <c r="B1142" s="245" t="inlineStr">
        <is>
          <t>P060372 (CC012603)</t>
        </is>
      </c>
      <c r="C1142" s="245" t="inlineStr">
        <is>
          <t>retest (predicted)</t>
        </is>
      </c>
      <c r="D1142" s="245" t="inlineStr">
        <is>
          <t>#11</t>
        </is>
      </c>
      <c r="E1142" s="246" t="inlineStr">
        <is>
          <t>n/t (initial)</t>
        </is>
      </c>
    </row>
    <row r="1143">
      <c r="A1143" s="245" t="inlineStr">
        <is>
          <t>CoQ-PP_26-108</t>
        </is>
      </c>
      <c r="B1143" s="245" t="inlineStr">
        <is>
          <t>P060372 (CC012603)</t>
        </is>
      </c>
      <c r="C1143" s="245" t="inlineStr">
        <is>
          <t>retest (predicted)</t>
        </is>
      </c>
      <c r="D1143" s="245" t="inlineStr">
        <is>
          <t>#12</t>
        </is>
      </c>
      <c r="E1143" s="246" t="inlineStr">
        <is>
          <t>n/t (initial)</t>
        </is>
      </c>
    </row>
    <row r="1144">
      <c r="A1144" s="245" t="inlineStr">
        <is>
          <t>CoQ-PP_26-120</t>
        </is>
      </c>
      <c r="B1144" s="245" t="inlineStr">
        <is>
          <t>P060182 (GRC102501/2)</t>
        </is>
      </c>
      <c r="C1144" s="245" t="inlineStr">
        <is>
          <t>retest (predicted)</t>
        </is>
      </c>
      <c r="D1144" s="245" t="inlineStr">
        <is>
          <t>#9</t>
        </is>
      </c>
      <c r="E1144" s="246" t="inlineStr">
        <is>
          <t>n/t (initial)</t>
        </is>
      </c>
    </row>
    <row r="1145">
      <c r="A1145" s="245" t="inlineStr">
        <is>
          <t>CoQ-PP_26-120</t>
        </is>
      </c>
      <c r="B1145" s="245" t="inlineStr">
        <is>
          <t>P060182 (GRC102501/2)</t>
        </is>
      </c>
      <c r="C1145" s="245" t="inlineStr">
        <is>
          <t>retest (predicted)</t>
        </is>
      </c>
      <c r="D1145" s="245" t="inlineStr">
        <is>
          <t>#11</t>
        </is>
      </c>
      <c r="E1145" s="246" t="inlineStr">
        <is>
          <t>n/t (initial)</t>
        </is>
      </c>
    </row>
    <row r="1146">
      <c r="A1146" s="245" t="inlineStr">
        <is>
          <t>CoQ-PP_26-122</t>
        </is>
      </c>
      <c r="B1146" s="245" t="inlineStr">
        <is>
          <t>P060362 (JD012603/01)</t>
        </is>
      </c>
      <c r="C1146" s="245" t="inlineStr">
        <is>
          <t>retest (predicted)</t>
        </is>
      </c>
      <c r="D1146" s="245" t="inlineStr">
        <is>
          <t>#8</t>
        </is>
      </c>
      <c r="E1146" s="246" t="inlineStr">
        <is>
          <t>n/t (initial)</t>
        </is>
      </c>
    </row>
    <row r="1147">
      <c r="A1147" s="245" t="inlineStr">
        <is>
          <t>CoQ-PP_26-122</t>
        </is>
      </c>
      <c r="B1147" s="245" t="inlineStr">
        <is>
          <t>P060362 (JD012603/01)</t>
        </is>
      </c>
      <c r="C1147" s="245" t="inlineStr">
        <is>
          <t>retest (predicted)</t>
        </is>
      </c>
      <c r="D1147" s="245" t="inlineStr">
        <is>
          <t>#11</t>
        </is>
      </c>
      <c r="E1147" s="246" t="inlineStr">
        <is>
          <t>n/t (initial)</t>
        </is>
      </c>
    </row>
    <row r="1148">
      <c r="A1148" s="245" t="inlineStr">
        <is>
          <t>CoQ-PP_26-122</t>
        </is>
      </c>
      <c r="B1148" s="245" t="inlineStr">
        <is>
          <t>P060362 (JD012603/01)</t>
        </is>
      </c>
      <c r="C1148" s="245" t="inlineStr">
        <is>
          <t>retest (predicted)</t>
        </is>
      </c>
      <c r="D1148" s="245" t="inlineStr">
        <is>
          <t>#12</t>
        </is>
      </c>
      <c r="E1148" s="246" t="inlineStr">
        <is>
          <t>n/t (initial)</t>
        </is>
      </c>
    </row>
    <row r="1149">
      <c r="A1149" s="245" t="inlineStr">
        <is>
          <t>CoQ-PP_26-123</t>
        </is>
      </c>
      <c r="B1149" s="245" t="inlineStr">
        <is>
          <t>P060412 (JD012603/02)</t>
        </is>
      </c>
      <c r="C1149" s="245" t="inlineStr">
        <is>
          <t>retest (predicted)</t>
        </is>
      </c>
      <c r="D1149" s="245" t="inlineStr">
        <is>
          <t>#9</t>
        </is>
      </c>
      <c r="E1149" s="246" t="inlineStr">
        <is>
          <t>n/t (initial)</t>
        </is>
      </c>
    </row>
    <row r="1150">
      <c r="A1150" s="245" t="inlineStr">
        <is>
          <t>CoQ-PP_26-123</t>
        </is>
      </c>
      <c r="B1150" s="245" t="inlineStr">
        <is>
          <t>P060412 (JD012603/02)</t>
        </is>
      </c>
      <c r="C1150" s="245" t="inlineStr">
        <is>
          <t>retest (predicted)</t>
        </is>
      </c>
      <c r="D1150" s="245" t="inlineStr">
        <is>
          <t>#11</t>
        </is>
      </c>
      <c r="E1150" s="246" t="inlineStr">
        <is>
          <t>n/t (initial)</t>
        </is>
      </c>
    </row>
    <row r="1151">
      <c r="A1151" s="245" t="inlineStr">
        <is>
          <t>CoQ-PP_26-124</t>
        </is>
      </c>
      <c r="B1151" s="245" t="inlineStr">
        <is>
          <t>P060422 (JD012603/02V)</t>
        </is>
      </c>
      <c r="C1151" s="245" t="inlineStr">
        <is>
          <t>retest (predicted)</t>
        </is>
      </c>
      <c r="D1151" s="245" t="inlineStr">
        <is>
          <t>#9</t>
        </is>
      </c>
      <c r="E1151" s="246" t="inlineStr">
        <is>
          <t>n/t (initial)</t>
        </is>
      </c>
    </row>
    <row r="1152">
      <c r="A1152" s="245" t="inlineStr">
        <is>
          <t>CoQ-PP_26-124</t>
        </is>
      </c>
      <c r="B1152" s="245" t="inlineStr">
        <is>
          <t>P060422 (JD012603/02V)</t>
        </is>
      </c>
      <c r="C1152" s="245" t="inlineStr">
        <is>
          <t>retest (predicted)</t>
        </is>
      </c>
      <c r="D1152" s="245" t="inlineStr">
        <is>
          <t>#11</t>
        </is>
      </c>
      <c r="E1152" s="246" t="inlineStr">
        <is>
          <t>n/t (initial)</t>
        </is>
      </c>
    </row>
    <row r="1153">
      <c r="A1153" s="245" t="inlineStr">
        <is>
          <t>CoQ-PP_26-125</t>
        </is>
      </c>
      <c r="B1153" s="245" t="inlineStr">
        <is>
          <t>P060492 (JD042601)</t>
        </is>
      </c>
      <c r="C1153" s="245" t="inlineStr">
        <is>
          <t>retest (predicted)</t>
        </is>
      </c>
      <c r="D1153" s="245" t="inlineStr">
        <is>
          <t>#8</t>
        </is>
      </c>
      <c r="E1153" s="246" t="inlineStr">
        <is>
          <t>n/t (initial)</t>
        </is>
      </c>
    </row>
    <row r="1154">
      <c r="A1154" s="245" t="inlineStr">
        <is>
          <t>CoQ-PP_26-125</t>
        </is>
      </c>
      <c r="B1154" s="245" t="inlineStr">
        <is>
          <t>P060492 (JD042601)</t>
        </is>
      </c>
      <c r="C1154" s="245" t="inlineStr">
        <is>
          <t>retest (predicted)</t>
        </is>
      </c>
      <c r="D1154" s="245" t="inlineStr">
        <is>
          <t>#9</t>
        </is>
      </c>
      <c r="E1154" s="246" t="inlineStr">
        <is>
          <t>n/t (initial)</t>
        </is>
      </c>
    </row>
    <row r="1155">
      <c r="A1155" s="245" t="inlineStr">
        <is>
          <t>CoQ-PP_26-125</t>
        </is>
      </c>
      <c r="B1155" s="245" t="inlineStr">
        <is>
          <t>P060492 (JD042601)</t>
        </is>
      </c>
      <c r="C1155" s="245" t="inlineStr">
        <is>
          <t>retest (predicted)</t>
        </is>
      </c>
      <c r="D1155" s="245" t="inlineStr">
        <is>
          <t>#11</t>
        </is>
      </c>
      <c r="E1155" s="246" t="inlineStr">
        <is>
          <t>n/t (initial)</t>
        </is>
      </c>
    </row>
    <row r="1156">
      <c r="A1156" s="245" t="inlineStr">
        <is>
          <t>CoQ-PP_26-125</t>
        </is>
      </c>
      <c r="B1156" s="245" t="inlineStr">
        <is>
          <t>P060492 (JD042601)</t>
        </is>
      </c>
      <c r="C1156" s="245" t="inlineStr">
        <is>
          <t>retest (predicted)</t>
        </is>
      </c>
      <c r="D1156" s="245" t="inlineStr">
        <is>
          <t>#12</t>
        </is>
      </c>
      <c r="E1156" s="246" t="inlineStr">
        <is>
          <t>n/t (initial)</t>
        </is>
      </c>
    </row>
    <row r="1157">
      <c r="A1157" s="245" t="inlineStr">
        <is>
          <t>CoQ-PP_26-138</t>
        </is>
      </c>
      <c r="B1157" s="245" t="inlineStr">
        <is>
          <t>P050142 (BSS1024_01/2)</t>
        </is>
      </c>
      <c r="C1157" s="245" t="inlineStr">
        <is>
          <t>retest (predicted)</t>
        </is>
      </c>
      <c r="D1157" s="245" t="inlineStr">
        <is>
          <t>#8</t>
        </is>
      </c>
      <c r="E1157" s="246" t="inlineStr">
        <is>
          <t>n/t (initial)</t>
        </is>
      </c>
    </row>
    <row r="1158">
      <c r="A1158" s="245" t="inlineStr">
        <is>
          <t>CoQ-PP_26-138</t>
        </is>
      </c>
      <c r="B1158" s="245" t="inlineStr">
        <is>
          <t>P050142 (BSS1024_01/2)</t>
        </is>
      </c>
      <c r="C1158" s="245" t="inlineStr">
        <is>
          <t>retest (predicted)</t>
        </is>
      </c>
      <c r="D1158" s="245" t="inlineStr">
        <is>
          <t>#11</t>
        </is>
      </c>
      <c r="E1158" s="246" t="inlineStr">
        <is>
          <t>n/t (initial)</t>
        </is>
      </c>
    </row>
    <row r="1159">
      <c r="A1159" s="245" t="inlineStr">
        <is>
          <t>CoQ-PP_26-138</t>
        </is>
      </c>
      <c r="B1159" s="245" t="inlineStr">
        <is>
          <t>P050142 (BSS1024_01/2)</t>
        </is>
      </c>
      <c r="C1159" s="245" t="inlineStr">
        <is>
          <t>retest (predicted)</t>
        </is>
      </c>
      <c r="D1159" s="245" t="inlineStr">
        <is>
          <t>#12</t>
        </is>
      </c>
      <c r="E1159" s="246" t="inlineStr">
        <is>
          <t>n/t (initial)</t>
        </is>
      </c>
    </row>
    <row r="1160">
      <c r="A1160" s="245" t="inlineStr">
        <is>
          <t>CoQ-PP_26-143</t>
        </is>
      </c>
      <c r="B1160" s="245" t="inlineStr">
        <is>
          <t>FB012603</t>
        </is>
      </c>
      <c r="C1160" s="245" t="inlineStr">
        <is>
          <t>retest (predicted)</t>
        </is>
      </c>
      <c r="D1160" s="245" t="inlineStr">
        <is>
          <t>#11</t>
        </is>
      </c>
      <c r="E1160" s="246" t="inlineStr">
        <is>
          <t>n/t (initial)</t>
        </is>
      </c>
    </row>
    <row r="1161">
      <c r="A1161" s="245" t="inlineStr">
        <is>
          <t>CoQ-PP_26-143</t>
        </is>
      </c>
      <c r="B1161" s="245" t="inlineStr">
        <is>
          <t>FB012603</t>
        </is>
      </c>
      <c r="C1161" s="245" t="inlineStr">
        <is>
          <t>retest (predicted)</t>
        </is>
      </c>
      <c r="D1161" s="245" t="inlineStr">
        <is>
          <t>#12</t>
        </is>
      </c>
      <c r="E1161" s="246" t="inlineStr">
        <is>
          <t>n/t (initial)</t>
        </is>
      </c>
    </row>
    <row r="1162">
      <c r="A1162" s="245" t="inlineStr">
        <is>
          <t>CoQ-PP_26-144</t>
        </is>
      </c>
      <c r="B1162" s="245" t="inlineStr">
        <is>
          <t>FB012603V</t>
        </is>
      </c>
      <c r="C1162" s="245" t="inlineStr">
        <is>
          <t>retest (predicted)</t>
        </is>
      </c>
      <c r="D1162" s="245" t="inlineStr">
        <is>
          <t>#11</t>
        </is>
      </c>
      <c r="E1162" s="246" t="inlineStr">
        <is>
          <t>n/t (initial)</t>
        </is>
      </c>
    </row>
    <row r="1163">
      <c r="A1163" s="245" t="inlineStr">
        <is>
          <t>CoQ-PP_26-144</t>
        </is>
      </c>
      <c r="B1163" s="245" t="inlineStr">
        <is>
          <t>FB012603V</t>
        </is>
      </c>
      <c r="C1163" s="245" t="inlineStr">
        <is>
          <t>retest (predicted)</t>
        </is>
      </c>
      <c r="D1163" s="245" t="inlineStr">
        <is>
          <t>#12</t>
        </is>
      </c>
      <c r="E1163" s="246" t="inlineStr">
        <is>
          <t>n/t (initial)</t>
        </is>
      </c>
    </row>
    <row r="1164">
      <c r="A1164" s="245" t="inlineStr">
        <is>
          <t>CoQ-PP_26-152</t>
        </is>
      </c>
      <c r="B1164" s="245" t="inlineStr">
        <is>
          <t>P060142 (GRC102501/1)</t>
        </is>
      </c>
      <c r="C1164" s="245" t="inlineStr">
        <is>
          <t>retest (predicted)</t>
        </is>
      </c>
      <c r="D1164" s="245" t="inlineStr">
        <is>
          <t>#8</t>
        </is>
      </c>
      <c r="E1164" s="246" t="inlineStr">
        <is>
          <t>n/t (initial)</t>
        </is>
      </c>
    </row>
    <row r="1165">
      <c r="A1165" s="245" t="inlineStr">
        <is>
          <t>CoQ-PP_26-152</t>
        </is>
      </c>
      <c r="B1165" s="245" t="inlineStr">
        <is>
          <t>P060142 (GRC102501/1)</t>
        </is>
      </c>
      <c r="C1165" s="245" t="inlineStr">
        <is>
          <t>retest (predicted)</t>
        </is>
      </c>
      <c r="D1165" s="245" t="inlineStr">
        <is>
          <t>#11</t>
        </is>
      </c>
      <c r="E1165" s="246" t="inlineStr">
        <is>
          <t>n/t (initial)</t>
        </is>
      </c>
    </row>
    <row r="1166">
      <c r="A1166" s="245" t="inlineStr">
        <is>
          <t>CoQ-PP_26-152</t>
        </is>
      </c>
      <c r="B1166" s="245" t="inlineStr">
        <is>
          <t>P060142 (GRC102501/1)</t>
        </is>
      </c>
      <c r="C1166" s="245" t="inlineStr">
        <is>
          <t>retest (predicted)</t>
        </is>
      </c>
      <c r="D1166" s="245" t="inlineStr">
        <is>
          <t>#12</t>
        </is>
      </c>
      <c r="E1166" s="246" t="inlineStr">
        <is>
          <t>n/t (initial)</t>
        </is>
      </c>
    </row>
    <row r="1167">
      <c r="A1167" s="245" t="inlineStr">
        <is>
          <t>CoQ-PP_26-153</t>
        </is>
      </c>
      <c r="B1167" s="245" t="inlineStr">
        <is>
          <t>J31112501</t>
        </is>
      </c>
      <c r="C1167" s="245" t="inlineStr">
        <is>
          <t>retest (predicted)</t>
        </is>
      </c>
      <c r="D1167" s="245" t="inlineStr">
        <is>
          <t>#11</t>
        </is>
      </c>
      <c r="E1167" s="246" t="inlineStr">
        <is>
          <t>n/t (initial)</t>
        </is>
      </c>
    </row>
    <row r="1168">
      <c r="A1168" s="245" t="inlineStr">
        <is>
          <t>CoQ-PP_26-153</t>
        </is>
      </c>
      <c r="B1168" s="245" t="inlineStr">
        <is>
          <t>J31112501</t>
        </is>
      </c>
      <c r="C1168" s="245" t="inlineStr">
        <is>
          <t>retest (predicted)</t>
        </is>
      </c>
      <c r="D1168" s="245" t="inlineStr">
        <is>
          <t>#12</t>
        </is>
      </c>
      <c r="E1168" s="246" t="inlineStr">
        <is>
          <t>n/t (initial)</t>
        </is>
      </c>
    </row>
    <row r="1169">
      <c r="A1169" s="245" t="inlineStr">
        <is>
          <t>CoQ-PP_26-158</t>
        </is>
      </c>
      <c r="B1169" s="245" t="inlineStr">
        <is>
          <t>OPM112501</t>
        </is>
      </c>
      <c r="C1169" s="245" t="inlineStr">
        <is>
          <t>retest (predicted)</t>
        </is>
      </c>
      <c r="D1169" s="245" t="inlineStr">
        <is>
          <t>#11</t>
        </is>
      </c>
      <c r="E1169" s="246" t="inlineStr">
        <is>
          <t>n/t (initial)</t>
        </is>
      </c>
    </row>
    <row r="1170">
      <c r="A1170" s="245" t="inlineStr">
        <is>
          <t>CoQ-PP_26-158</t>
        </is>
      </c>
      <c r="B1170" s="245" t="inlineStr">
        <is>
          <t>OPM112501</t>
        </is>
      </c>
      <c r="C1170" s="245" t="inlineStr">
        <is>
          <t>retest (predicted)</t>
        </is>
      </c>
      <c r="D1170" s="245" t="inlineStr">
        <is>
          <t>#12</t>
        </is>
      </c>
      <c r="E1170" s="246" t="inlineStr">
        <is>
          <t>n/t (initial)</t>
        </is>
      </c>
    </row>
    <row r="1171">
      <c r="A1171" s="245" t="inlineStr">
        <is>
          <t>CoQ-PP_26-160</t>
        </is>
      </c>
      <c r="B1171" s="245" t="inlineStr">
        <is>
          <t>P060342 (SCR012601)</t>
        </is>
      </c>
      <c r="C1171" s="245" t="inlineStr">
        <is>
          <t>retest (predicted)</t>
        </is>
      </c>
      <c r="D1171" s="245" t="inlineStr">
        <is>
          <t>#8</t>
        </is>
      </c>
      <c r="E1171" s="246" t="inlineStr">
        <is>
          <t>n/t (initial)</t>
        </is>
      </c>
    </row>
    <row r="1172">
      <c r="A1172" s="245" t="inlineStr">
        <is>
          <t>CoQ-PP_26-160</t>
        </is>
      </c>
      <c r="B1172" s="245" t="inlineStr">
        <is>
          <t>P060342 (SCR012601)</t>
        </is>
      </c>
      <c r="C1172" s="245" t="inlineStr">
        <is>
          <t>retest (predicted)</t>
        </is>
      </c>
      <c r="D1172" s="245" t="inlineStr">
        <is>
          <t>#11</t>
        </is>
      </c>
      <c r="E1172" s="246" t="inlineStr">
        <is>
          <t>n/t (initial)</t>
        </is>
      </c>
    </row>
    <row r="1173">
      <c r="A1173" s="245" t="inlineStr">
        <is>
          <t>CoQ-PP_26-160</t>
        </is>
      </c>
      <c r="B1173" s="245" t="inlineStr">
        <is>
          <t>P060342 (SCR012601)</t>
        </is>
      </c>
      <c r="C1173" s="245" t="inlineStr">
        <is>
          <t>retest (predicted)</t>
        </is>
      </c>
      <c r="D1173" s="245" t="inlineStr">
        <is>
          <t>#12</t>
        </is>
      </c>
      <c r="E1173" s="246" t="inlineStr">
        <is>
          <t>n/t (initial)</t>
        </is>
      </c>
    </row>
    <row r="1174">
      <c r="A1174" s="245" t="inlineStr">
        <is>
          <t>CoQ-PP_26-161</t>
        </is>
      </c>
      <c r="B1174" s="245" t="inlineStr">
        <is>
          <t>SCR022601</t>
        </is>
      </c>
      <c r="C1174" s="245" t="inlineStr">
        <is>
          <t>retest (predicted)</t>
        </is>
      </c>
      <c r="D1174" s="245" t="inlineStr">
        <is>
          <t>#11</t>
        </is>
      </c>
      <c r="E1174" s="246" t="inlineStr">
        <is>
          <t>n/t (initial)</t>
        </is>
      </c>
    </row>
    <row r="1175">
      <c r="A1175" s="245" t="inlineStr">
        <is>
          <t>CoQ-PP_26-161</t>
        </is>
      </c>
      <c r="B1175" s="245" t="inlineStr">
        <is>
          <t>SCR022601</t>
        </is>
      </c>
      <c r="C1175" s="245" t="inlineStr">
        <is>
          <t>retest (predicted)</t>
        </is>
      </c>
      <c r="D1175" s="245" t="inlineStr">
        <is>
          <t>#12</t>
        </is>
      </c>
      <c r="E1175" s="246" t="inlineStr">
        <is>
          <t>n/t (initial)</t>
        </is>
      </c>
    </row>
    <row r="1176">
      <c r="A1176" s="245" t="inlineStr">
        <is>
          <t>CoQ-PP_26-162</t>
        </is>
      </c>
      <c r="B1176" s="245" t="inlineStr">
        <is>
          <t>SJ102501</t>
        </is>
      </c>
      <c r="C1176" s="245" t="inlineStr">
        <is>
          <t>retest (predicted)</t>
        </is>
      </c>
      <c r="D1176" s="245" t="inlineStr">
        <is>
          <t>#11</t>
        </is>
      </c>
      <c r="E1176" s="246" t="inlineStr">
        <is>
          <t>n/t (initial)</t>
        </is>
      </c>
    </row>
    <row r="1177">
      <c r="A1177" s="245" t="inlineStr">
        <is>
          <t>CoQ-PP_26-162</t>
        </is>
      </c>
      <c r="B1177" s="245" t="inlineStr">
        <is>
          <t>SJ102501</t>
        </is>
      </c>
      <c r="C1177" s="245" t="inlineStr">
        <is>
          <t>retest (predicted)</t>
        </is>
      </c>
      <c r="D1177" s="245" t="inlineStr">
        <is>
          <t>#12</t>
        </is>
      </c>
      <c r="E1177" s="246" t="inlineStr">
        <is>
          <t>n/t (initial)</t>
        </is>
      </c>
    </row>
    <row r="1178">
      <c r="A1178" s="245" t="inlineStr">
        <is>
          <t>CoQ-PP_26-163</t>
        </is>
      </c>
      <c r="B1178" s="245" t="inlineStr">
        <is>
          <t>SJ112501</t>
        </is>
      </c>
      <c r="C1178" s="245" t="inlineStr">
        <is>
          <t>retest (predicted)</t>
        </is>
      </c>
      <c r="D1178" s="245" t="inlineStr">
        <is>
          <t>#9</t>
        </is>
      </c>
      <c r="E1178" s="246" t="inlineStr">
        <is>
          <t>n/t (initial)</t>
        </is>
      </c>
    </row>
    <row r="1179">
      <c r="A1179" s="245" t="inlineStr">
        <is>
          <t>CoQ-PP_26-163</t>
        </is>
      </c>
      <c r="B1179" s="245" t="inlineStr">
        <is>
          <t>SJ112501</t>
        </is>
      </c>
      <c r="C1179" s="245" t="inlineStr">
        <is>
          <t>retest (predicted)</t>
        </is>
      </c>
      <c r="D1179" s="245" t="inlineStr">
        <is>
          <t>#11</t>
        </is>
      </c>
      <c r="E1179" s="246" t="inlineStr">
        <is>
          <t>n/t (initial)</t>
        </is>
      </c>
    </row>
    <row r="1180">
      <c r="A1180" s="245" t="inlineStr">
        <is>
          <t>CoQ-PP_26-163</t>
        </is>
      </c>
      <c r="B1180" s="245" t="inlineStr">
        <is>
          <t>SJ112501</t>
        </is>
      </c>
      <c r="C1180" s="245" t="inlineStr">
        <is>
          <t>retest (predicted)</t>
        </is>
      </c>
      <c r="D1180" s="245" t="inlineStr">
        <is>
          <t>#12</t>
        </is>
      </c>
      <c r="E1180" s="246" t="inlineStr">
        <is>
          <t>n/t (initial)</t>
        </is>
      </c>
    </row>
    <row r="1181">
      <c r="A1181" s="245" t="inlineStr">
        <is>
          <t>CoQ-PP_26-165</t>
        </is>
      </c>
      <c r="B1181" s="245" t="inlineStr">
        <is>
          <t>P060102 (WED102501)</t>
        </is>
      </c>
      <c r="C1181" s="245" t="inlineStr">
        <is>
          <t>retest (predicted)</t>
        </is>
      </c>
      <c r="D1181" s="245" t="inlineStr">
        <is>
          <t>#11</t>
        </is>
      </c>
      <c r="E1181" s="246" t="inlineStr">
        <is>
          <t>n/t (initial)</t>
        </is>
      </c>
    </row>
    <row r="1182">
      <c r="A1182" s="245" t="inlineStr">
        <is>
          <t>CoQ-PP_26-165</t>
        </is>
      </c>
      <c r="B1182" s="245" t="inlineStr">
        <is>
          <t>P060102 (WED102501)</t>
        </is>
      </c>
      <c r="C1182" s="245" t="inlineStr">
        <is>
          <t>retest (predicted)</t>
        </is>
      </c>
      <c r="D1182" s="245" t="inlineStr">
        <is>
          <t>#12</t>
        </is>
      </c>
      <c r="E1182" s="246" t="inlineStr">
        <is>
          <t>n/t (initial)</t>
        </is>
      </c>
    </row>
    <row r="1183">
      <c r="A1183" s="245" t="inlineStr">
        <is>
          <t>— at issue —</t>
        </is>
      </c>
      <c r="B1183" s="245" t="inlineStr">
        <is>
          <t>CC042601</t>
        </is>
      </c>
      <c r="C1183" s="245" t="inlineStr">
        <is>
          <t>release (predicted)</t>
        </is>
      </c>
      <c r="D1183" s="245" t="inlineStr">
        <is>
          <t>#4</t>
        </is>
      </c>
      <c r="E1183" s="246" t="inlineStr">
        <is>
          <t>n/t</t>
        </is>
      </c>
    </row>
    <row r="1184">
      <c r="A1184" s="245" t="inlineStr">
        <is>
          <t>— at issue —</t>
        </is>
      </c>
      <c r="B1184" s="245" t="inlineStr">
        <is>
          <t>CC042601</t>
        </is>
      </c>
      <c r="C1184" s="245" t="inlineStr">
        <is>
          <t>release (predicted)</t>
        </is>
      </c>
      <c r="D1184" s="245" t="inlineStr">
        <is>
          <t>#5</t>
        </is>
      </c>
      <c r="E1184" s="246" t="inlineStr">
        <is>
          <t>n/t</t>
        </is>
      </c>
    </row>
    <row r="1185">
      <c r="A1185" s="245" t="inlineStr">
        <is>
          <t>— at issue —</t>
        </is>
      </c>
      <c r="B1185" s="245" t="inlineStr">
        <is>
          <t>CC042601</t>
        </is>
      </c>
      <c r="C1185" s="245" t="inlineStr">
        <is>
          <t>release (predicted)</t>
        </is>
      </c>
      <c r="D1185" s="245" t="inlineStr">
        <is>
          <t>#6</t>
        </is>
      </c>
      <c r="E1185" s="246" t="inlineStr">
        <is>
          <t>n/t</t>
        </is>
      </c>
    </row>
    <row r="1186">
      <c r="A1186" s="245" t="inlineStr">
        <is>
          <t>— at issue —</t>
        </is>
      </c>
      <c r="B1186" s="245" t="inlineStr">
        <is>
          <t>CC042601</t>
        </is>
      </c>
      <c r="C1186" s="245" t="inlineStr">
        <is>
          <t>release (predicted)</t>
        </is>
      </c>
      <c r="D1186" s="245" t="inlineStr">
        <is>
          <t>#8</t>
        </is>
      </c>
      <c r="E1186" s="246" t="inlineStr">
        <is>
          <t>n/t</t>
        </is>
      </c>
    </row>
    <row r="1187">
      <c r="A1187" s="245" t="inlineStr">
        <is>
          <t>— at issue —</t>
        </is>
      </c>
      <c r="B1187" s="245" t="inlineStr">
        <is>
          <t>CC042601</t>
        </is>
      </c>
      <c r="C1187" s="245" t="inlineStr">
        <is>
          <t>release (predicted)</t>
        </is>
      </c>
      <c r="D1187" s="245" t="inlineStr">
        <is>
          <t>#9</t>
        </is>
      </c>
      <c r="E1187" s="246" t="inlineStr">
        <is>
          <t>n/t</t>
        </is>
      </c>
    </row>
    <row r="1188">
      <c r="A1188" s="245" t="inlineStr">
        <is>
          <t>— at issue —</t>
        </is>
      </c>
      <c r="B1188" s="245" t="inlineStr">
        <is>
          <t>CC042601</t>
        </is>
      </c>
      <c r="C1188" s="245" t="inlineStr">
        <is>
          <t>release (predicted)</t>
        </is>
      </c>
      <c r="D1188" s="245" t="inlineStr">
        <is>
          <t>#10</t>
        </is>
      </c>
      <c r="E1188" s="246" t="inlineStr">
        <is>
          <t>n/t</t>
        </is>
      </c>
    </row>
    <row r="1189">
      <c r="A1189" s="245" t="inlineStr">
        <is>
          <t>— at issue —</t>
        </is>
      </c>
      <c r="B1189" s="245" t="inlineStr">
        <is>
          <t>CC042601</t>
        </is>
      </c>
      <c r="C1189" s="245" t="inlineStr">
        <is>
          <t>release (predicted)</t>
        </is>
      </c>
      <c r="D1189" s="245" t="inlineStr">
        <is>
          <t>#11</t>
        </is>
      </c>
      <c r="E1189" s="246" t="inlineStr">
        <is>
          <t>n/t</t>
        </is>
      </c>
    </row>
    <row r="1190">
      <c r="A1190" s="245" t="inlineStr">
        <is>
          <t>— at issue —</t>
        </is>
      </c>
      <c r="B1190" s="245" t="inlineStr">
        <is>
          <t>CC042601</t>
        </is>
      </c>
      <c r="C1190" s="245" t="inlineStr">
        <is>
          <t>release (predicted)</t>
        </is>
      </c>
      <c r="D1190" s="245" t="inlineStr">
        <is>
          <t>#12</t>
        </is>
      </c>
      <c r="E1190" s="246" t="inlineStr">
        <is>
          <t>n/t</t>
        </is>
      </c>
    </row>
    <row r="1191">
      <c r="A1191" s="245" t="inlineStr">
        <is>
          <t>— at issue —</t>
        </is>
      </c>
      <c r="B1191" s="245" t="inlineStr">
        <is>
          <t>CC042601</t>
        </is>
      </c>
      <c r="C1191" s="245" t="inlineStr">
        <is>
          <t>retest (predicted)</t>
        </is>
      </c>
      <c r="D1191" s="245" t="inlineStr">
        <is>
          <t>#8</t>
        </is>
      </c>
      <c r="E1191" s="246" t="inlineStr">
        <is>
          <t>n/t (initial)</t>
        </is>
      </c>
    </row>
    <row r="1192">
      <c r="A1192" s="245" t="inlineStr">
        <is>
          <t>— at issue —</t>
        </is>
      </c>
      <c r="B1192" s="245" t="inlineStr">
        <is>
          <t>CC042601</t>
        </is>
      </c>
      <c r="C1192" s="245" t="inlineStr">
        <is>
          <t>retest (predicted)</t>
        </is>
      </c>
      <c r="D1192" s="245" t="inlineStr">
        <is>
          <t>#9</t>
        </is>
      </c>
      <c r="E1192" s="246" t="inlineStr">
        <is>
          <t>n/t (initial)</t>
        </is>
      </c>
    </row>
    <row r="1193">
      <c r="A1193" s="245" t="inlineStr">
        <is>
          <t>— at issue —</t>
        </is>
      </c>
      <c r="B1193" s="245" t="inlineStr">
        <is>
          <t>CC042601</t>
        </is>
      </c>
      <c r="C1193" s="245" t="inlineStr">
        <is>
          <t>retest (predicted)</t>
        </is>
      </c>
      <c r="D1193" s="245" t="inlineStr">
        <is>
          <t>#11</t>
        </is>
      </c>
      <c r="E1193" s="246" t="inlineStr">
        <is>
          <t>n/t (initial)</t>
        </is>
      </c>
    </row>
    <row r="1194">
      <c r="A1194" s="245" t="inlineStr">
        <is>
          <t>— at issue —</t>
        </is>
      </c>
      <c r="B1194" s="245" t="inlineStr">
        <is>
          <t>CC042601</t>
        </is>
      </c>
      <c r="C1194" s="245" t="inlineStr">
        <is>
          <t>retest (predicted)</t>
        </is>
      </c>
      <c r="D1194" s="245" t="inlineStr">
        <is>
          <t>#12</t>
        </is>
      </c>
      <c r="E1194" s="246" t="inlineStr">
        <is>
          <t>n/t (initial)</t>
        </is>
      </c>
    </row>
    <row r="1195">
      <c r="A1195" s="245" t="inlineStr">
        <is>
          <t>— at issue —</t>
        </is>
      </c>
      <c r="B1195" s="245" t="inlineStr">
        <is>
          <t>FB042601</t>
        </is>
      </c>
      <c r="C1195" s="245" t="inlineStr">
        <is>
          <t>release (predicted)</t>
        </is>
      </c>
      <c r="D1195" s="245" t="inlineStr">
        <is>
          <t>#4</t>
        </is>
      </c>
      <c r="E1195" s="246" t="inlineStr">
        <is>
          <t>n/t</t>
        </is>
      </c>
    </row>
    <row r="1196">
      <c r="A1196" s="245" t="inlineStr">
        <is>
          <t>— at issue —</t>
        </is>
      </c>
      <c r="B1196" s="245" t="inlineStr">
        <is>
          <t>FB042601</t>
        </is>
      </c>
      <c r="C1196" s="245" t="inlineStr">
        <is>
          <t>release (predicted)</t>
        </is>
      </c>
      <c r="D1196" s="245" t="inlineStr">
        <is>
          <t>#5</t>
        </is>
      </c>
      <c r="E1196" s="246" t="inlineStr">
        <is>
          <t>n/t</t>
        </is>
      </c>
    </row>
    <row r="1197">
      <c r="A1197" s="245" t="inlineStr">
        <is>
          <t>— at issue —</t>
        </is>
      </c>
      <c r="B1197" s="245" t="inlineStr">
        <is>
          <t>FB042601</t>
        </is>
      </c>
      <c r="C1197" s="245" t="inlineStr">
        <is>
          <t>release (predicted)</t>
        </is>
      </c>
      <c r="D1197" s="245" t="inlineStr">
        <is>
          <t>#6</t>
        </is>
      </c>
      <c r="E1197" s="246" t="inlineStr">
        <is>
          <t>n/t</t>
        </is>
      </c>
    </row>
    <row r="1198">
      <c r="A1198" s="245" t="inlineStr">
        <is>
          <t>— at issue —</t>
        </is>
      </c>
      <c r="B1198" s="245" t="inlineStr">
        <is>
          <t>FB042601</t>
        </is>
      </c>
      <c r="C1198" s="245" t="inlineStr">
        <is>
          <t>release (predicted)</t>
        </is>
      </c>
      <c r="D1198" s="245" t="inlineStr">
        <is>
          <t>#8</t>
        </is>
      </c>
      <c r="E1198" s="246" t="inlineStr">
        <is>
          <t>n/t</t>
        </is>
      </c>
    </row>
    <row r="1199">
      <c r="A1199" s="245" t="inlineStr">
        <is>
          <t>— at issue —</t>
        </is>
      </c>
      <c r="B1199" s="245" t="inlineStr">
        <is>
          <t>FB042601</t>
        </is>
      </c>
      <c r="C1199" s="245" t="inlineStr">
        <is>
          <t>release (predicted)</t>
        </is>
      </c>
      <c r="D1199" s="245" t="inlineStr">
        <is>
          <t>#9</t>
        </is>
      </c>
      <c r="E1199" s="246" t="inlineStr">
        <is>
          <t>n/t</t>
        </is>
      </c>
    </row>
    <row r="1200">
      <c r="A1200" s="245" t="inlineStr">
        <is>
          <t>— at issue —</t>
        </is>
      </c>
      <c r="B1200" s="245" t="inlineStr">
        <is>
          <t>FB042601</t>
        </is>
      </c>
      <c r="C1200" s="245" t="inlineStr">
        <is>
          <t>release (predicted)</t>
        </is>
      </c>
      <c r="D1200" s="245" t="inlineStr">
        <is>
          <t>#10</t>
        </is>
      </c>
      <c r="E1200" s="246" t="inlineStr">
        <is>
          <t>n/t</t>
        </is>
      </c>
    </row>
    <row r="1201">
      <c r="A1201" s="245" t="inlineStr">
        <is>
          <t>— at issue —</t>
        </is>
      </c>
      <c r="B1201" s="245" t="inlineStr">
        <is>
          <t>FB042601</t>
        </is>
      </c>
      <c r="C1201" s="245" t="inlineStr">
        <is>
          <t>release (predicted)</t>
        </is>
      </c>
      <c r="D1201" s="245" t="inlineStr">
        <is>
          <t>#11</t>
        </is>
      </c>
      <c r="E1201" s="246" t="inlineStr">
        <is>
          <t>n/t</t>
        </is>
      </c>
    </row>
    <row r="1202">
      <c r="A1202" s="245" t="inlineStr">
        <is>
          <t>— at issue —</t>
        </is>
      </c>
      <c r="B1202" s="245" t="inlineStr">
        <is>
          <t>FB042601</t>
        </is>
      </c>
      <c r="C1202" s="245" t="inlineStr">
        <is>
          <t>release (predicted)</t>
        </is>
      </c>
      <c r="D1202" s="245" t="inlineStr">
        <is>
          <t>#12</t>
        </is>
      </c>
      <c r="E1202" s="246" t="inlineStr">
        <is>
          <t>n/t</t>
        </is>
      </c>
    </row>
    <row r="1203">
      <c r="A1203" s="245" t="inlineStr">
        <is>
          <t>— at issue —</t>
        </is>
      </c>
      <c r="B1203" s="245" t="inlineStr">
        <is>
          <t>FB042601</t>
        </is>
      </c>
      <c r="C1203" s="245" t="inlineStr">
        <is>
          <t>retest (predicted)</t>
        </is>
      </c>
      <c r="D1203" s="245" t="inlineStr">
        <is>
          <t>#8</t>
        </is>
      </c>
      <c r="E1203" s="246" t="inlineStr">
        <is>
          <t>n/t (initial)</t>
        </is>
      </c>
    </row>
    <row r="1204">
      <c r="A1204" s="245" t="inlineStr">
        <is>
          <t>— at issue —</t>
        </is>
      </c>
      <c r="B1204" s="245" t="inlineStr">
        <is>
          <t>FB042601</t>
        </is>
      </c>
      <c r="C1204" s="245" t="inlineStr">
        <is>
          <t>retest (predicted)</t>
        </is>
      </c>
      <c r="D1204" s="245" t="inlineStr">
        <is>
          <t>#9</t>
        </is>
      </c>
      <c r="E1204" s="246" t="inlineStr">
        <is>
          <t>n/t (initial)</t>
        </is>
      </c>
    </row>
    <row r="1205">
      <c r="A1205" s="245" t="inlineStr">
        <is>
          <t>— at issue —</t>
        </is>
      </c>
      <c r="B1205" s="245" t="inlineStr">
        <is>
          <t>FB042601</t>
        </is>
      </c>
      <c r="C1205" s="245" t="inlineStr">
        <is>
          <t>retest (predicted)</t>
        </is>
      </c>
      <c r="D1205" s="245" t="inlineStr">
        <is>
          <t>#11</t>
        </is>
      </c>
      <c r="E1205" s="246" t="inlineStr">
        <is>
          <t>n/t (initial)</t>
        </is>
      </c>
    </row>
    <row r="1206">
      <c r="A1206" s="245" t="inlineStr">
        <is>
          <t>— at issue —</t>
        </is>
      </c>
      <c r="B1206" s="245" t="inlineStr">
        <is>
          <t>FB042601</t>
        </is>
      </c>
      <c r="C1206" s="245" t="inlineStr">
        <is>
          <t>retest (predicted)</t>
        </is>
      </c>
      <c r="D1206" s="245" t="inlineStr">
        <is>
          <t>#12</t>
        </is>
      </c>
      <c r="E1206" s="246" t="inlineStr">
        <is>
          <t>n/t (initial)</t>
        </is>
      </c>
    </row>
    <row r="1207">
      <c r="A1207" s="245" t="inlineStr">
        <is>
          <t>— at issue —</t>
        </is>
      </c>
      <c r="B1207" s="245" t="inlineStr">
        <is>
          <t>P160012</t>
        </is>
      </c>
      <c r="C1207" s="245" t="inlineStr">
        <is>
          <t>release (predicted)</t>
        </is>
      </c>
      <c r="D1207" s="245" t="inlineStr">
        <is>
          <t>#9</t>
        </is>
      </c>
      <c r="E1207" s="246" t="inlineStr">
        <is>
          <t>n/t</t>
        </is>
      </c>
    </row>
    <row r="1208">
      <c r="A1208" s="245" t="inlineStr">
        <is>
          <t>— at issue —</t>
        </is>
      </c>
      <c r="B1208" s="245" t="inlineStr">
        <is>
          <t>P160012</t>
        </is>
      </c>
      <c r="C1208" s="245" t="inlineStr">
        <is>
          <t>release (predicted)</t>
        </is>
      </c>
      <c r="D1208" s="245" t="inlineStr">
        <is>
          <t>#10</t>
        </is>
      </c>
      <c r="E1208" s="246" t="inlineStr">
        <is>
          <t>n/t</t>
        </is>
      </c>
    </row>
    <row r="1209">
      <c r="A1209" s="245" t="inlineStr">
        <is>
          <t>— at issue —</t>
        </is>
      </c>
      <c r="B1209" s="245" t="inlineStr">
        <is>
          <t>P160012</t>
        </is>
      </c>
      <c r="C1209" s="245" t="inlineStr">
        <is>
          <t>release (predicted)</t>
        </is>
      </c>
      <c r="D1209" s="245" t="inlineStr">
        <is>
          <t>#11</t>
        </is>
      </c>
      <c r="E1209" s="246" t="inlineStr">
        <is>
          <t>n/t</t>
        </is>
      </c>
    </row>
    <row r="1210">
      <c r="A1210" s="245" t="inlineStr">
        <is>
          <t>— at issue —</t>
        </is>
      </c>
      <c r="B1210" s="245" t="inlineStr">
        <is>
          <t>P160012</t>
        </is>
      </c>
      <c r="C1210" s="245" t="inlineStr">
        <is>
          <t>release (predicted)</t>
        </is>
      </c>
      <c r="D1210" s="245" t="inlineStr">
        <is>
          <t>#12</t>
        </is>
      </c>
      <c r="E1210" s="246" t="inlineStr">
        <is>
          <t>n/t</t>
        </is>
      </c>
    </row>
    <row r="1211">
      <c r="A1211" s="245" t="inlineStr">
        <is>
          <t>— at issue —</t>
        </is>
      </c>
      <c r="B1211" s="245" t="inlineStr">
        <is>
          <t>P160022</t>
        </is>
      </c>
      <c r="C1211" s="245" t="inlineStr">
        <is>
          <t>release (predicted)</t>
        </is>
      </c>
      <c r="D1211" s="245" t="inlineStr">
        <is>
          <t>#9</t>
        </is>
      </c>
      <c r="E1211" s="246" t="inlineStr">
        <is>
          <t>n/t</t>
        </is>
      </c>
    </row>
    <row r="1212">
      <c r="A1212" s="245" t="inlineStr">
        <is>
          <t>— at issue —</t>
        </is>
      </c>
      <c r="B1212" s="245" t="inlineStr">
        <is>
          <t>P160022</t>
        </is>
      </c>
      <c r="C1212" s="245" t="inlineStr">
        <is>
          <t>release (predicted)</t>
        </is>
      </c>
      <c r="D1212" s="245" t="inlineStr">
        <is>
          <t>#10</t>
        </is>
      </c>
      <c r="E1212" s="246" t="inlineStr">
        <is>
          <t>n/t</t>
        </is>
      </c>
    </row>
    <row r="1213">
      <c r="A1213" s="245" t="inlineStr">
        <is>
          <t>— at issue —</t>
        </is>
      </c>
      <c r="B1213" s="245" t="inlineStr">
        <is>
          <t>P160022</t>
        </is>
      </c>
      <c r="C1213" s="245" t="inlineStr">
        <is>
          <t>release (predicted)</t>
        </is>
      </c>
      <c r="D1213" s="245" t="inlineStr">
        <is>
          <t>#11</t>
        </is>
      </c>
      <c r="E1213" s="246" t="inlineStr">
        <is>
          <t>n/t</t>
        </is>
      </c>
    </row>
    <row r="1214">
      <c r="A1214" s="245" t="inlineStr">
        <is>
          <t>— at issue —</t>
        </is>
      </c>
      <c r="B1214" s="245" t="inlineStr">
        <is>
          <t>P160022</t>
        </is>
      </c>
      <c r="C1214" s="245" t="inlineStr">
        <is>
          <t>release (predicted)</t>
        </is>
      </c>
      <c r="D1214" s="245" t="inlineStr">
        <is>
          <t>#12</t>
        </is>
      </c>
      <c r="E1214" s="246" t="inlineStr">
        <is>
          <t>n/t</t>
        </is>
      </c>
    </row>
    <row r="1215">
      <c r="A1215" s="245" t="inlineStr">
        <is>
          <t>— at issue —</t>
        </is>
      </c>
      <c r="B1215" s="245" t="inlineStr">
        <is>
          <t>P160032</t>
        </is>
      </c>
      <c r="C1215" s="245" t="inlineStr">
        <is>
          <t>release (predicted)</t>
        </is>
      </c>
      <c r="D1215" s="245" t="inlineStr">
        <is>
          <t>#9</t>
        </is>
      </c>
      <c r="E1215" s="246" t="inlineStr">
        <is>
          <t>n/t</t>
        </is>
      </c>
    </row>
    <row r="1216">
      <c r="A1216" s="245" t="inlineStr">
        <is>
          <t>— at issue —</t>
        </is>
      </c>
      <c r="B1216" s="245" t="inlineStr">
        <is>
          <t>P160032</t>
        </is>
      </c>
      <c r="C1216" s="245" t="inlineStr">
        <is>
          <t>release (predicted)</t>
        </is>
      </c>
      <c r="D1216" s="245" t="inlineStr">
        <is>
          <t>#10</t>
        </is>
      </c>
      <c r="E1216" s="246" t="inlineStr">
        <is>
          <t>n/t</t>
        </is>
      </c>
    </row>
    <row r="1217">
      <c r="A1217" s="245" t="inlineStr">
        <is>
          <t>— at issue —</t>
        </is>
      </c>
      <c r="B1217" s="245" t="inlineStr">
        <is>
          <t>P160032</t>
        </is>
      </c>
      <c r="C1217" s="245" t="inlineStr">
        <is>
          <t>release (predicted)</t>
        </is>
      </c>
      <c r="D1217" s="245" t="inlineStr">
        <is>
          <t>#11</t>
        </is>
      </c>
      <c r="E1217" s="246" t="inlineStr">
        <is>
          <t>n/t</t>
        </is>
      </c>
    </row>
    <row r="1218">
      <c r="A1218" s="245" t="inlineStr">
        <is>
          <t>— at issue —</t>
        </is>
      </c>
      <c r="B1218" s="245" t="inlineStr">
        <is>
          <t>P160032</t>
        </is>
      </c>
      <c r="C1218" s="245" t="inlineStr">
        <is>
          <t>release (predicted)</t>
        </is>
      </c>
      <c r="D1218" s="245" t="inlineStr">
        <is>
          <t>#12</t>
        </is>
      </c>
      <c r="E1218" s="246" t="inlineStr">
        <is>
          <t>n/t</t>
        </is>
      </c>
    </row>
    <row r="1221" ht="20" customHeight="1" s="70">
      <c r="A1221" s="253" t="inlineStr">
        <is>
          <t>SUMMARY DASHBOARD</t>
        </is>
      </c>
    </row>
    <row r="1222" ht="36" customHeight="1" s="70">
      <c r="A1222" s="83" t="inlineStr">
        <is>
          <t>eCOA DATABASE — CoQ PARAMETER COVERAGE DASHBOARD</t>
        </is>
      </c>
    </row>
    <row r="1223" ht="24" customHeight="1" s="70">
      <c r="A1223" s="84" t="inlineStr">
        <is>
          <t>OVERVIEW</t>
        </is>
      </c>
      <c r="B1223" s="76" t="n"/>
      <c r="C1223" s="76" t="n"/>
      <c r="D1223" s="77" t="n"/>
    </row>
    <row r="1224" ht="21.75" customHeight="1" s="70">
      <c r="A1224" s="28" t="inlineStr">
        <is>
          <t>Total Batches</t>
        </is>
      </c>
      <c r="B1224" s="30" t="n">
        <v>86</v>
      </c>
      <c r="C1224" s="32" t="n"/>
    </row>
    <row r="1225" ht="21.75" customHeight="1" s="70">
      <c r="A1225" s="28" t="inlineStr">
        <is>
          <t>Total eCOA Documents</t>
        </is>
      </c>
      <c r="B1225" s="30" t="n">
        <v>380</v>
      </c>
      <c r="C1225" s="32" t="inlineStr">
        <is>
          <t>(QCCoA 001 files excluded)</t>
        </is>
      </c>
    </row>
    <row r="1226" ht="21.75" customHeight="1" s="70">
      <c r="A1226" s="34" t="inlineStr">
        <is>
          <t>✅  COMPLETE  (all 12 params)</t>
        </is>
      </c>
      <c r="B1226" s="35" t="n">
        <v>70</v>
      </c>
      <c r="C1226" s="38" t="inlineStr">
        <is>
          <t>81% of batches</t>
        </is>
      </c>
    </row>
    <row r="1227" ht="21.75" customHeight="1" s="70">
      <c r="A1227" s="39" t="inlineStr">
        <is>
          <t>⚠   PARTIAL  (1–3 missing)</t>
        </is>
      </c>
      <c r="B1227" s="42" t="n">
        <v>9</v>
      </c>
      <c r="C1227" s="44" t="inlineStr">
        <is>
          <t>10% of batches</t>
        </is>
      </c>
    </row>
    <row r="1228" ht="21.75" customHeight="1" s="70">
      <c r="A1228" s="46" t="inlineStr">
        <is>
          <t>❌  INCOMPLETE (4+ missing)</t>
        </is>
      </c>
      <c r="B1228" s="47" t="n">
        <v>7</v>
      </c>
      <c r="C1228" s="50" t="inlineStr">
        <is>
          <t>8% of batches</t>
        </is>
      </c>
    </row>
    <row r="1229" ht="7.5" customHeight="1" s="70"/>
    <row r="1230" ht="24" customHeight="1" s="70">
      <c r="A1230" s="84" t="inlineStr">
        <is>
          <t>MISSING PARAMETER FREQUENCY</t>
        </is>
      </c>
      <c r="B1230" s="76" t="n"/>
      <c r="C1230" s="76" t="n"/>
      <c r="D1230" s="77" t="n"/>
    </row>
    <row r="1231" ht="21.75" customHeight="1" s="70">
      <c r="A1231" s="46" t="inlineStr">
        <is>
          <t>#1  Identification A</t>
        </is>
      </c>
      <c r="B1231" s="47" t="n">
        <v>0</v>
      </c>
      <c r="C1231" s="50" t="inlineStr">
        <is>
          <t>(0% of batches missing this)</t>
        </is>
      </c>
    </row>
    <row r="1232" ht="21.75" customHeight="1" s="70">
      <c r="A1232" s="39" t="inlineStr">
        <is>
          <t>#2  Identification B</t>
        </is>
      </c>
      <c r="B1232" s="42" t="n">
        <v>0</v>
      </c>
      <c r="C1232" s="44" t="inlineStr">
        <is>
          <t>(0% of batches missing this)</t>
        </is>
      </c>
    </row>
    <row r="1233" ht="21.75" customHeight="1" s="70">
      <c r="A1233" s="34" t="inlineStr">
        <is>
          <t>#3  Identification C</t>
        </is>
      </c>
      <c r="B1233" s="35" t="n">
        <v>0</v>
      </c>
      <c r="C1233" s="38" t="inlineStr">
        <is>
          <t>(0% of batches missing this)</t>
        </is>
      </c>
    </row>
    <row r="1234" ht="21.75" customHeight="1" s="70">
      <c r="A1234" s="34" t="inlineStr">
        <is>
          <t>#4  Assay — Total Δ⁹-THC</t>
        </is>
      </c>
      <c r="B1234" s="35" t="n">
        <v>0</v>
      </c>
      <c r="C1234" s="38" t="inlineStr">
        <is>
          <t>(0% of batches missing this)</t>
        </is>
      </c>
    </row>
    <row r="1235" ht="21.75" customHeight="1" s="70">
      <c r="A1235" s="34" t="inlineStr">
        <is>
          <t>#5  Assay — Total CBD</t>
        </is>
      </c>
      <c r="B1235" s="35" t="n">
        <v>0</v>
      </c>
      <c r="C1235" s="38" t="inlineStr">
        <is>
          <t>(0% of batches missing this)</t>
        </is>
      </c>
    </row>
    <row r="1236" ht="21.75" customHeight="1" s="70">
      <c r="A1236" s="34" t="inlineStr">
        <is>
          <t>#6  Total CBN</t>
        </is>
      </c>
      <c r="B1236" s="35" t="n">
        <v>0</v>
      </c>
      <c r="C1236" s="38" t="inlineStr">
        <is>
          <t>(0% of batches missing this)</t>
        </is>
      </c>
    </row>
    <row r="1237" ht="21.75" customHeight="1" s="70">
      <c r="A1237" s="46" t="inlineStr">
        <is>
          <t>#7  Foreign Matter</t>
        </is>
      </c>
      <c r="B1237" s="47" t="n">
        <v>0</v>
      </c>
      <c r="C1237" s="50" t="inlineStr">
        <is>
          <t>(0% of batches missing this)</t>
        </is>
      </c>
    </row>
    <row r="1238" ht="21.75" customHeight="1" s="70">
      <c r="A1238" s="34" t="inlineStr">
        <is>
          <t>#8  Loss on Drying</t>
        </is>
      </c>
      <c r="B1238" s="35" t="n">
        <v>13</v>
      </c>
      <c r="C1238" s="38" t="inlineStr">
        <is>
          <t>(15% of batches missing this)</t>
        </is>
      </c>
    </row>
    <row r="1239" ht="21.75" customHeight="1" s="70">
      <c r="A1239" s="39" t="inlineStr">
        <is>
          <t>#9  Microbiological Purity</t>
        </is>
      </c>
      <c r="B1239" s="42" t="n">
        <v>6</v>
      </c>
      <c r="C1239" s="44" t="inlineStr">
        <is>
          <t>(7% of batches missing this)</t>
        </is>
      </c>
    </row>
    <row r="1240" ht="21.75" customHeight="1" s="70">
      <c r="A1240" s="39" t="inlineStr">
        <is>
          <t>#10  Mycotoxins</t>
        </is>
      </c>
      <c r="B1240" s="42" t="n">
        <v>4</v>
      </c>
      <c r="C1240" s="44" t="inlineStr">
        <is>
          <t>(5% of batches missing this)</t>
        </is>
      </c>
    </row>
    <row r="1241" ht="21.75" customHeight="1" s="70">
      <c r="A1241" s="39" t="inlineStr">
        <is>
          <t>#11  Heavy Metals</t>
        </is>
      </c>
      <c r="B1241" s="42" t="n">
        <v>13</v>
      </c>
      <c r="C1241" s="44" t="inlineStr">
        <is>
          <t>(15% of batches missing this)</t>
        </is>
      </c>
    </row>
    <row r="1242" ht="21.75" customHeight="1" s="70">
      <c r="A1242" s="39" t="inlineStr">
        <is>
          <t>#12  Pesticide Residues</t>
        </is>
      </c>
      <c r="B1242" s="42" t="n">
        <v>11</v>
      </c>
      <c r="C1242" s="44" t="inlineStr">
        <is>
          <t>(13% of batches missing this)</t>
        </is>
      </c>
    </row>
  </sheetData>
  <mergeCells count="671">
    <mergeCell ref="G268:G269"/>
    <mergeCell ref="I268:I269"/>
    <mergeCell ref="S316:S317"/>
    <mergeCell ref="C344:C347"/>
    <mergeCell ref="A1230:D1230"/>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I358:I359"/>
    <mergeCell ref="P299:R299"/>
    <mergeCell ref="AA344:AA345"/>
    <mergeCell ref="A1223:D1223"/>
    <mergeCell ref="A221:A223"/>
    <mergeCell ref="C244:C251"/>
    <mergeCell ref="C221:C223"/>
    <mergeCell ref="A282:A291"/>
    <mergeCell ref="G246:G247"/>
    <mergeCell ref="C228:C231"/>
    <mergeCell ref="C282:C291"/>
    <mergeCell ref="J295:N295"/>
    <mergeCell ref="E254:E255"/>
    <mergeCell ref="H244:H245"/>
    <mergeCell ref="Y318:Y319"/>
    <mergeCell ref="J353:N353"/>
    <mergeCell ref="AA318:AA319"/>
    <mergeCell ref="F252:F253"/>
    <mergeCell ref="O342:O343"/>
    <mergeCell ref="H344:H345"/>
    <mergeCell ref="A276:A281"/>
    <mergeCell ref="H310:H311"/>
    <mergeCell ref="E314:E315"/>
    <mergeCell ref="G314:G315"/>
    <mergeCell ref="C306:C309"/>
    <mergeCell ref="C332:C333"/>
    <mergeCell ref="H262:H263"/>
    <mergeCell ref="I282:I283"/>
    <mergeCell ref="I244:I245"/>
    <mergeCell ref="E338:E339"/>
    <mergeCell ref="X256:X257"/>
    <mergeCell ref="Z318:Z319"/>
    <mergeCell ref="H326:H327"/>
    <mergeCell ref="P279:R279"/>
    <mergeCell ref="B240:B243"/>
    <mergeCell ref="Z262:Z263"/>
    <mergeCell ref="X320:X321"/>
    <mergeCell ref="E340:E341"/>
    <mergeCell ref="G340:G341"/>
    <mergeCell ref="P343:R343"/>
    <mergeCell ref="J301:N301"/>
    <mergeCell ref="Z314:Z315"/>
    <mergeCell ref="J239:N239"/>
    <mergeCell ref="T353:W353"/>
    <mergeCell ref="O228:O229"/>
    <mergeCell ref="G302:G303"/>
    <mergeCell ref="D232:D233"/>
    <mergeCell ref="B344:B347"/>
    <mergeCell ref="S284:S285"/>
    <mergeCell ref="P345:R345"/>
    <mergeCell ref="H332:H333"/>
    <mergeCell ref="S292:S293"/>
    <mergeCell ref="E262:E263"/>
    <mergeCell ref="I360:I361"/>
    <mergeCell ref="S286:S287"/>
    <mergeCell ref="G262:G263"/>
    <mergeCell ref="B332:B333"/>
    <mergeCell ref="P221:S221"/>
    <mergeCell ref="P257:R257"/>
    <mergeCell ref="Y294:Y295"/>
    <mergeCell ref="O294:O295"/>
    <mergeCell ref="H252:H253"/>
    <mergeCell ref="T279:W279"/>
    <mergeCell ref="B224:B227"/>
    <mergeCell ref="H316:H317"/>
    <mergeCell ref="S352:S353"/>
    <mergeCell ref="E320:E321"/>
    <mergeCell ref="P225:R225"/>
    <mergeCell ref="G338:G339"/>
    <mergeCell ref="X244:X245"/>
    <mergeCell ref="H358:H359"/>
    <mergeCell ref="Z244:Z245"/>
    <mergeCell ref="J225:N225"/>
    <mergeCell ref="AA334:AA335"/>
    <mergeCell ref="B244:B251"/>
    <mergeCell ref="B221:B223"/>
    <mergeCell ref="B282:B291"/>
    <mergeCell ref="H360:H361"/>
    <mergeCell ref="P335:R335"/>
    <mergeCell ref="AA336:AA337"/>
    <mergeCell ref="A294:A299"/>
    <mergeCell ref="P333:R333"/>
    <mergeCell ref="G252:G253"/>
    <mergeCell ref="D256:D257"/>
    <mergeCell ref="I252:I253"/>
    <mergeCell ref="Z320:Z321"/>
    <mergeCell ref="H334:H335"/>
    <mergeCell ref="F284:F285"/>
    <mergeCell ref="H284:H285"/>
    <mergeCell ref="I310:I311"/>
    <mergeCell ref="D314:D315"/>
    <mergeCell ref="S332:S333"/>
    <mergeCell ref="E348:E349"/>
    <mergeCell ref="F314:F315"/>
    <mergeCell ref="C352:C357"/>
    <mergeCell ref="H240:H241"/>
    <mergeCell ref="Z334:Z335"/>
    <mergeCell ref="J253:N253"/>
    <mergeCell ref="O338:O339"/>
    <mergeCell ref="T311:W311"/>
    <mergeCell ref="Y276:Y277"/>
    <mergeCell ref="Z336:Z337"/>
    <mergeCell ref="P359:R359"/>
    <mergeCell ref="J317:N317"/>
    <mergeCell ref="H266:H267"/>
    <mergeCell ref="I234:I235"/>
    <mergeCell ref="X224:X225"/>
    <mergeCell ref="G326:G327"/>
    <mergeCell ref="J221:O221"/>
    <mergeCell ref="I326:I327"/>
    <mergeCell ref="P321:R321"/>
    <mergeCell ref="B228:B231"/>
    <mergeCell ref="Y228:Y229"/>
    <mergeCell ref="D340:D341"/>
    <mergeCell ref="I236:I237"/>
    <mergeCell ref="S358:S359"/>
    <mergeCell ref="Y320:Y321"/>
    <mergeCell ref="F340:F341"/>
    <mergeCell ref="Y314:Y315"/>
    <mergeCell ref="Z348:Z349"/>
    <mergeCell ref="O344:O345"/>
    <mergeCell ref="I238:I239"/>
    <mergeCell ref="T343:W343"/>
    <mergeCell ref="H302:H303"/>
    <mergeCell ref="C232:C233"/>
    <mergeCell ref="I240:I241"/>
    <mergeCell ref="H268:H269"/>
    <mergeCell ref="E334:E335"/>
    <mergeCell ref="T345:W345"/>
    <mergeCell ref="C300:C305"/>
    <mergeCell ref="X276:X277"/>
    <mergeCell ref="J233:N233"/>
    <mergeCell ref="A332:A333"/>
    <mergeCell ref="T295:W295"/>
    <mergeCell ref="C342:C343"/>
    <mergeCell ref="H272:H273"/>
    <mergeCell ref="E336:E337"/>
    <mergeCell ref="P241:R241"/>
    <mergeCell ref="Z316:Z317"/>
    <mergeCell ref="J297:N297"/>
    <mergeCell ref="J235:N235"/>
    <mergeCell ref="O314:O315"/>
    <mergeCell ref="D228:D229"/>
    <mergeCell ref="G316:G317"/>
    <mergeCell ref="P341:R341"/>
    <mergeCell ref="D320:D321"/>
    <mergeCell ref="I316:I317"/>
    <mergeCell ref="F320:F321"/>
    <mergeCell ref="S282:S283"/>
    <mergeCell ref="G258:G259"/>
    <mergeCell ref="F292:F293"/>
    <mergeCell ref="X278:X279"/>
    <mergeCell ref="I258:I259"/>
    <mergeCell ref="S244:S245"/>
    <mergeCell ref="I224:I225"/>
    <mergeCell ref="X342:X343"/>
    <mergeCell ref="T229:W229"/>
    <mergeCell ref="S308:S309"/>
    <mergeCell ref="E276:E277"/>
    <mergeCell ref="A252:A255"/>
    <mergeCell ref="O340:O341"/>
    <mergeCell ref="C252:C255"/>
    <mergeCell ref="D336:D337"/>
    <mergeCell ref="X344:X345"/>
    <mergeCell ref="S348:S349"/>
    <mergeCell ref="Y310:Y311"/>
    <mergeCell ref="Z344:Z345"/>
    <mergeCell ref="H352:H353"/>
    <mergeCell ref="J325:N325"/>
    <mergeCell ref="G334:G335"/>
    <mergeCell ref="E284:E285"/>
    <mergeCell ref="G284:G285"/>
    <mergeCell ref="Y292:Y293"/>
    <mergeCell ref="B352:B357"/>
    <mergeCell ref="E342:E343"/>
    <mergeCell ref="D348:D349"/>
    <mergeCell ref="AA292:AA293"/>
    <mergeCell ref="O262:O263"/>
    <mergeCell ref="G336:G337"/>
    <mergeCell ref="AA294:AA295"/>
    <mergeCell ref="Z276:Z277"/>
    <mergeCell ref="C358:C363"/>
    <mergeCell ref="Y336:Y337"/>
    <mergeCell ref="F234:F235"/>
    <mergeCell ref="H234:H235"/>
    <mergeCell ref="B252:B255"/>
    <mergeCell ref="T359:W359"/>
    <mergeCell ref="A792:I792"/>
    <mergeCell ref="I306:I307"/>
    <mergeCell ref="S232:S233"/>
    <mergeCell ref="X228:X229"/>
    <mergeCell ref="Z228:Z229"/>
    <mergeCell ref="H236:H237"/>
    <mergeCell ref="F334:F335"/>
    <mergeCell ref="Z342:Z343"/>
    <mergeCell ref="T283:W283"/>
    <mergeCell ref="X292:X293"/>
    <mergeCell ref="A352:A357"/>
    <mergeCell ref="H300:H301"/>
    <mergeCell ref="Z332:Z333"/>
    <mergeCell ref="B294:B299"/>
    <mergeCell ref="O336:O337"/>
    <mergeCell ref="T235:W235"/>
    <mergeCell ref="O252:O253"/>
    <mergeCell ref="B234:B237"/>
    <mergeCell ref="B358:B363"/>
    <mergeCell ref="B342:B343"/>
    <mergeCell ref="I284:I285"/>
    <mergeCell ref="A1222:D1222"/>
    <mergeCell ref="J315:N315"/>
    <mergeCell ref="H264:H265"/>
    <mergeCell ref="G234:G235"/>
    <mergeCell ref="O316:O317"/>
    <mergeCell ref="Z352:Z353"/>
    <mergeCell ref="Y316:Y317"/>
    <mergeCell ref="Y334:Y335"/>
    <mergeCell ref="S310:S311"/>
    <mergeCell ref="D344:D345"/>
    <mergeCell ref="AA282:AA283"/>
    <mergeCell ref="T301:W301"/>
    <mergeCell ref="E228:E229"/>
    <mergeCell ref="C292:C293"/>
    <mergeCell ref="E292:E293"/>
    <mergeCell ref="H224:H225"/>
    <mergeCell ref="I256:I257"/>
    <mergeCell ref="E294:E295"/>
    <mergeCell ref="P297:R297"/>
    <mergeCell ref="D276:D277"/>
    <mergeCell ref="O334:O335"/>
    <mergeCell ref="T233:W233"/>
    <mergeCell ref="E358:E359"/>
    <mergeCell ref="P263:R263"/>
    <mergeCell ref="E352:E353"/>
    <mergeCell ref="S238:S239"/>
    <mergeCell ref="D242:D243"/>
    <mergeCell ref="G352:G353"/>
    <mergeCell ref="F242:F243"/>
    <mergeCell ref="Y344:Y345"/>
    <mergeCell ref="I352:I353"/>
    <mergeCell ref="P293:R293"/>
    <mergeCell ref="D244:D245"/>
    <mergeCell ref="S240:S241"/>
    <mergeCell ref="F244:F245"/>
    <mergeCell ref="Z292:Z293"/>
    <mergeCell ref="D342:D343"/>
    <mergeCell ref="F342:F343"/>
    <mergeCell ref="I332:I333"/>
    <mergeCell ref="O296:O297"/>
    <mergeCell ref="F336:F337"/>
    <mergeCell ref="Y222:Z222"/>
    <mergeCell ref="X234:X235"/>
    <mergeCell ref="X294:X295"/>
    <mergeCell ref="Z234:Z235"/>
    <mergeCell ref="J359:N359"/>
    <mergeCell ref="Z294:Z295"/>
    <mergeCell ref="F308:F309"/>
    <mergeCell ref="S298:S299"/>
    <mergeCell ref="AA232:AA233"/>
    <mergeCell ref="S306:S307"/>
    <mergeCell ref="Z358:Z359"/>
    <mergeCell ref="J283:N283"/>
    <mergeCell ref="P319:R319"/>
    <mergeCell ref="J277:N277"/>
    <mergeCell ref="T335:W335"/>
    <mergeCell ref="J323:N323"/>
    <mergeCell ref="E242:E243"/>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A358:A363"/>
    <mergeCell ref="C234:C237"/>
    <mergeCell ref="X314:X315"/>
    <mergeCell ref="D238:D239"/>
    <mergeCell ref="F238:F239"/>
    <mergeCell ref="F232:F233"/>
    <mergeCell ref="G264:G265"/>
    <mergeCell ref="H232:H233"/>
    <mergeCell ref="I264:I265"/>
    <mergeCell ref="AA352:AA353"/>
    <mergeCell ref="G358:G359"/>
    <mergeCell ref="Y262:Y263"/>
    <mergeCell ref="Z282:Z283"/>
    <mergeCell ref="H296:H297"/>
    <mergeCell ref="I328:I329"/>
    <mergeCell ref="F332:F333"/>
    <mergeCell ref="O292:O293"/>
    <mergeCell ref="D332:D333"/>
    <mergeCell ref="G360:G361"/>
    <mergeCell ref="X338:X339"/>
    <mergeCell ref="H298:H299"/>
    <mergeCell ref="D292:D293"/>
    <mergeCell ref="P307:R307"/>
    <mergeCell ref="X340:X341"/>
    <mergeCell ref="P315:R315"/>
    <mergeCell ref="Y238:Y239"/>
    <mergeCell ref="D294:D295"/>
    <mergeCell ref="AA238:AA239"/>
    <mergeCell ref="O352:O353"/>
    <mergeCell ref="F294:F295"/>
    <mergeCell ref="I246:I247"/>
    <mergeCell ref="A348:A351"/>
    <mergeCell ref="Y240:Y241"/>
    <mergeCell ref="D358:D359"/>
    <mergeCell ref="I354:I355"/>
    <mergeCell ref="AA240:AA241"/>
    <mergeCell ref="F358:F359"/>
    <mergeCell ref="F352:F353"/>
    <mergeCell ref="Y332:Y333"/>
    <mergeCell ref="AA332:AA333"/>
    <mergeCell ref="X262:X263"/>
    <mergeCell ref="G244:G245"/>
    <mergeCell ref="J349:N349"/>
    <mergeCell ref="P220:AA220"/>
    <mergeCell ref="A256:A261"/>
    <mergeCell ref="C256:C261"/>
    <mergeCell ref="J293:N293"/>
    <mergeCell ref="E252:E253"/>
    <mergeCell ref="I272:I273"/>
    <mergeCell ref="O234:O235"/>
    <mergeCell ref="E308:E309"/>
    <mergeCell ref="AA316:AA317"/>
    <mergeCell ref="A320:A331"/>
    <mergeCell ref="O280:O281"/>
    <mergeCell ref="D284:D285"/>
    <mergeCell ref="E310:E311"/>
    <mergeCell ref="Y358:Y359"/>
    <mergeCell ref="G310:G311"/>
    <mergeCell ref="AA358:AA359"/>
    <mergeCell ref="S338:S339"/>
    <mergeCell ref="G221:I221"/>
    <mergeCell ref="S254:S255"/>
    <mergeCell ref="H258:H259"/>
    <mergeCell ref="G222:H222"/>
    <mergeCell ref="S256:S257"/>
    <mergeCell ref="X252:X253"/>
    <mergeCell ref="B338:B339"/>
    <mergeCell ref="H322:H323"/>
    <mergeCell ref="H260:H261"/>
    <mergeCell ref="S320:S321"/>
    <mergeCell ref="O358:O359"/>
    <mergeCell ref="B340:B341"/>
    <mergeCell ref="T257:W257"/>
    <mergeCell ref="H324:H325"/>
    <mergeCell ref="Z310:Z311"/>
    <mergeCell ref="F348:F349"/>
    <mergeCell ref="T349:W349"/>
    <mergeCell ref="E238:E239"/>
    <mergeCell ref="H348:H349"/>
    <mergeCell ref="G238:G239"/>
    <mergeCell ref="G232:G233"/>
    <mergeCell ref="J337:N337"/>
    <mergeCell ref="I232:I233"/>
    <mergeCell ref="A232:A233"/>
    <mergeCell ref="H314:H315"/>
    <mergeCell ref="E240:E241"/>
    <mergeCell ref="G240:G241"/>
    <mergeCell ref="G296:G297"/>
    <mergeCell ref="J339:N339"/>
    <mergeCell ref="I296:I297"/>
    <mergeCell ref="A300:A305"/>
    <mergeCell ref="G298:G299"/>
    <mergeCell ref="AA314:AA315"/>
    <mergeCell ref="I298:I299"/>
    <mergeCell ref="C336:C337"/>
    <mergeCell ref="S224:S225"/>
    <mergeCell ref="X334:X335"/>
    <mergeCell ref="AA348:AA349"/>
    <mergeCell ref="Z238:Z239"/>
    <mergeCell ref="H246:H247"/>
    <mergeCell ref="T277:W277"/>
    <mergeCell ref="T333:W333"/>
    <mergeCell ref="H354:H355"/>
    <mergeCell ref="F254:F255"/>
    <mergeCell ref="Z240:Z241"/>
    <mergeCell ref="O244:O245"/>
    <mergeCell ref="O300:O301"/>
    <mergeCell ref="X336:X337"/>
    <mergeCell ref="B256:B261"/>
    <mergeCell ref="A344:A347"/>
    <mergeCell ref="D252:D253"/>
    <mergeCell ref="C334:C335"/>
    <mergeCell ref="A310:A313"/>
    <mergeCell ref="C310:C313"/>
    <mergeCell ref="D310:D311"/>
    <mergeCell ref="E344:E345"/>
    <mergeCell ref="F310:F311"/>
    <mergeCell ref="S278:S279"/>
    <mergeCell ref="F282:F283"/>
    <mergeCell ref="A623:E629"/>
    <mergeCell ref="AA256:AA257"/>
    <mergeCell ref="T263:W263"/>
    <mergeCell ref="J241:N241"/>
    <mergeCell ref="H340:H341"/>
    <mergeCell ref="D234:D235"/>
    <mergeCell ref="P245:R245"/>
    <mergeCell ref="G266:G267"/>
    <mergeCell ref="G322:G323"/>
    <mergeCell ref="G260:G261"/>
    <mergeCell ref="I322:I323"/>
    <mergeCell ref="E306:E307"/>
    <mergeCell ref="O232:O233"/>
    <mergeCell ref="G306:G307"/>
    <mergeCell ref="P309:R309"/>
    <mergeCell ref="B334:B335"/>
    <mergeCell ref="G324:G325"/>
    <mergeCell ref="D334:D335"/>
    <mergeCell ref="I324:I325"/>
    <mergeCell ref="B310:B313"/>
    <mergeCell ref="AA320:AA321"/>
    <mergeCell ref="D240:D241"/>
    <mergeCell ref="F256:F257"/>
    <mergeCell ref="S276:S277"/>
    <mergeCell ref="H256:H257"/>
    <mergeCell ref="Y234:Y235"/>
    <mergeCell ref="D222:E222"/>
    <mergeCell ref="Z306:Z307"/>
    <mergeCell ref="H320:H321"/>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C276:C281"/>
    <mergeCell ref="J257:N257"/>
    <mergeCell ref="P255:R255"/>
    <mergeCell ref="S344:S345"/>
    <mergeCell ref="Y306:Y307"/>
    <mergeCell ref="AA306:AA307"/>
    <mergeCell ref="O238:O239"/>
    <mergeCell ref="J321:N321"/>
    <mergeCell ref="I314:I315"/>
    <mergeCell ref="X332:X333"/>
    <mergeCell ref="C320:C331"/>
    <mergeCell ref="B300:B305"/>
    <mergeCell ref="Z338:Z339"/>
    <mergeCell ref="O240:O241"/>
    <mergeCell ref="E332:E333"/>
    <mergeCell ref="G272:G273"/>
    <mergeCell ref="S296:S297"/>
    <mergeCell ref="B336:B337"/>
    <mergeCell ref="F300:F301"/>
    <mergeCell ref="G332:G333"/>
    <mergeCell ref="E282:E283"/>
    <mergeCell ref="G282:G283"/>
    <mergeCell ref="Z256:Z257"/>
    <mergeCell ref="I338:I339"/>
    <mergeCell ref="Y224:Y225"/>
    <mergeCell ref="AA224:AA225"/>
    <mergeCell ref="O306:O307"/>
    <mergeCell ref="P287:R287"/>
    <mergeCell ref="I340:I341"/>
    <mergeCell ref="X358:X359"/>
    <mergeCell ref="E234:E235"/>
    <mergeCell ref="X352:X353"/>
    <mergeCell ref="F276:F277"/>
    <mergeCell ref="J333:N333"/>
    <mergeCell ref="D306:D307"/>
    <mergeCell ref="I302:I303"/>
    <mergeCell ref="S228:S229"/>
    <mergeCell ref="F306:F307"/>
    <mergeCell ref="D221:F221"/>
    <mergeCell ref="D220:I220"/>
    <mergeCell ref="AA252:AA253"/>
    <mergeCell ref="J245:N245"/>
    <mergeCell ref="E300:E301"/>
    <mergeCell ref="A336:A337"/>
    <mergeCell ref="H336:H337"/>
    <mergeCell ref="S294:S295"/>
    <mergeCell ref="Z224:Z225"/>
    <mergeCell ref="A220:C220"/>
    <mergeCell ref="A234:A237"/>
    <mergeCell ref="J311:N311"/>
    <mergeCell ref="AA276:AA277"/>
    <mergeCell ref="G320:G321"/>
    <mergeCell ref="Y352:Y353"/>
    <mergeCell ref="B306:B309"/>
    <mergeCell ref="A216:I216"/>
    <mergeCell ref="I320:I321"/>
    <mergeCell ref="Y221:AA221"/>
    <mergeCell ref="A635:E638"/>
    <mergeCell ref="AA278:AA279"/>
    <mergeCell ref="X282:X283"/>
    <mergeCell ref="T297:W297"/>
    <mergeCell ref="J263:N263"/>
    <mergeCell ref="X300:X301"/>
    <mergeCell ref="Z300:Z301"/>
    <mergeCell ref="T241:W241"/>
    <mergeCell ref="D338:D339"/>
    <mergeCell ref="B292:B293"/>
    <mergeCell ref="Z340:Z341"/>
    <mergeCell ref="H276:H277"/>
    <mergeCell ref="C294:C299"/>
    <mergeCell ref="T341:W341"/>
    <mergeCell ref="X348:X349"/>
    <mergeCell ref="E224:E225"/>
    <mergeCell ref="G224:G225"/>
    <mergeCell ref="Y232:Y233"/>
    <mergeCell ref="H278:H279"/>
    <mergeCell ref="B276:B281"/>
    <mergeCell ref="T307:W307"/>
    <mergeCell ref="O348:O349"/>
    <mergeCell ref="G354:G355"/>
    <mergeCell ref="G348:G349"/>
    <mergeCell ref="Y296:Y297"/>
    <mergeCell ref="AA296:AA297"/>
    <mergeCell ref="D352:D353"/>
    <mergeCell ref="H238:H239"/>
    <mergeCell ref="O332:O333"/>
    <mergeCell ref="I348:I349"/>
    <mergeCell ref="B320:B331"/>
    <mergeCell ref="P239:R239"/>
    <mergeCell ref="F240:F241"/>
    <mergeCell ref="P353:R353"/>
    <mergeCell ref="A342:A343"/>
    <mergeCell ref="H342:H343"/>
    <mergeCell ref="Y340:Y341"/>
    <mergeCell ref="A167:O167"/>
    <mergeCell ref="S234:S235"/>
    <mergeCell ref="G270:G271"/>
    <mergeCell ref="I270:I271"/>
    <mergeCell ref="A224:A227"/>
    <mergeCell ref="C224:C227"/>
    <mergeCell ref="AA228:AA229"/>
    <mergeCell ref="T321:W321"/>
    <mergeCell ref="X232:X233"/>
    <mergeCell ref="Z232:Z233"/>
    <mergeCell ref="A314:A319"/>
    <mergeCell ref="H306:H307"/>
    <mergeCell ref="C314:C319"/>
    <mergeCell ref="C348:C351"/>
    <mergeCell ref="S300:S301"/>
    <mergeCell ref="G328:G329"/>
    <mergeCell ref="Z252:Z253"/>
    <mergeCell ref="A334:A335"/>
    <mergeCell ref="O256:O257"/>
    <mergeCell ref="A364:AA364"/>
    <mergeCell ref="D300:D301"/>
    <mergeCell ref="S318:S319"/>
    <mergeCell ref="A262:A275"/>
    <mergeCell ref="G342:G343"/>
    <mergeCell ref="P283:R283"/>
    <mergeCell ref="I336:I337"/>
    <mergeCell ref="P277:R277"/>
    <mergeCell ref="O320:O321"/>
    <mergeCell ref="X310:X311"/>
    <mergeCell ref="S314:S315"/>
    <mergeCell ref="A238:A239"/>
    <mergeCell ref="C238:C239"/>
    <mergeCell ref="P285:R285"/>
    <mergeCell ref="F228:F229"/>
    <mergeCell ref="H228:H229"/>
    <mergeCell ref="E232:E233"/>
    <mergeCell ref="A306:A309"/>
    <mergeCell ref="T315:W315"/>
    <mergeCell ref="H292:H293"/>
    <mergeCell ref="Z278:Z279"/>
    <mergeCell ref="O282:O283"/>
    <mergeCell ref="H328:H329"/>
    <mergeCell ref="H294:H295"/>
    <mergeCell ref="I260:I261"/>
    <mergeCell ref="O224:O225"/>
    <mergeCell ref="P301:R301"/>
    <mergeCell ref="G276:G277"/>
    <mergeCell ref="I276:I277"/>
    <mergeCell ref="P295:R295"/>
    <mergeCell ref="S340:S341"/>
    <mergeCell ref="P311:R311"/>
    <mergeCell ref="Y348:Y349"/>
    <mergeCell ref="X238:X239"/>
    <mergeCell ref="D246:D247"/>
    <mergeCell ref="F246:F247"/>
    <mergeCell ref="G278:G279"/>
    <mergeCell ref="I278:I279"/>
    <mergeCell ref="D282:D283"/>
    <mergeCell ref="I334:I335"/>
    <mergeCell ref="B232:B233"/>
    <mergeCell ref="G228:G229"/>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T339:W339"/>
    <mergeCell ref="G344:G345"/>
    <mergeCell ref="E246:E247"/>
    <mergeCell ref="I344:I345"/>
    <mergeCell ref="B314:B319"/>
    <mergeCell ref="J345:N345"/>
    <mergeCell ref="B348:B351"/>
    <mergeCell ref="I262:I263"/>
    <mergeCell ref="O278:O279"/>
    <mergeCell ref="B262:B275"/>
    <mergeCell ref="P349:R349"/>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2026-09-17T16:28:57Z</dcterms:modified>
</cp:coreProperties>
</file>