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Parameters" sheetId="11" state="visible" r:id="rId11"/>
    <sheet xmlns:r="http://schemas.openxmlformats.org/officeDocument/2006/relationships" name="Summary Dashboard" sheetId="12" state="visible" r:id="rId12"/>
  </sheets>
  <definedNames>
    <definedName name="_xlnm._FilterDatabase" localSheetId="1" hidden="1">'Batch Coverage'!$A$1:$T$85</definedName>
    <definedName name="_xlnm.Print_Titles" localSheetId="1">'Batch Coverage'!$1:$1</definedName>
    <definedName name="_xlnm.Print_Titles" localSheetId="2">'CoQ Parameter Tracker v11'!$1:$4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Issuance'!$A$1:$W$315</definedName>
    <definedName name="_xlnm._FilterDatabase" localSheetId="8" hidden="1">'Batch Dates'!$A$1:$J$88</definedName>
    <definedName name="_xlnm._FilterDatabase" localSheetId="10" hidden="1">'Parameters'!$A$1:$G$22</definedName>
    <definedName name="_xlnm.Print_Titles" localSheetId="10">'Parameters'!$1:$1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38">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color rgb="009C0006"/>
      <sz val="7"/>
    </font>
    <font>
      <name val="Calibri"/>
      <b val="1"/>
      <color rgb="00B45F06"/>
      <sz val="7"/>
    </font>
    <font>
      <name val="Calibri"/>
      <sz val="7"/>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63">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BFBFBF"/>
      </left>
      <right style="thin">
        <color rgb="00BFBFBF"/>
      </right>
      <top style="thin">
        <color rgb="00BFBFBF"/>
      </top>
      <bottom style="medium">
        <color rgb="00000000"/>
      </bottom>
    </border>
    <border>
      <right style="thin">
        <color rgb="00404040"/>
      </right>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medium">
        <color rgb="00000000"/>
      </right>
      <top style="thin">
        <color rgb="00404040"/>
      </top>
      <bottom style="thin">
        <color rgb="00BFBFBF"/>
      </bottom>
    </border>
    <border>
      <right style="medium">
        <color rgb="00000000"/>
      </right>
      <bottom style="thin">
        <color rgb="00404040"/>
      </bottom>
    </border>
    <border>
      <left style="medium">
        <color rgb="00000000"/>
      </left>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BFBFBF"/>
      </right>
    </border>
    <border>
      <left style="thin">
        <color rgb="00BFBFBF"/>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left style="medium">
        <color rgb="00000000"/>
      </left>
      <right style="thin">
        <color rgb="00BFBFBF"/>
      </right>
    </border>
    <border>
      <left style="medium">
        <color rgb="00000000"/>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s>
  <cellStyleXfs count="1">
    <xf numFmtId="0" fontId="0" fillId="0" borderId="0"/>
  </cellStyleXfs>
  <cellXfs count="194">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2" fillId="0" borderId="0"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33" fillId="36" borderId="17" applyAlignment="1" pivotButton="0" quotePrefix="0" xfId="0">
      <alignment horizontal="center" vertical="center" wrapText="1"/>
    </xf>
    <xf numFmtId="0" fontId="31" fillId="28" borderId="35" applyAlignment="1" pivotButton="0" quotePrefix="0" xfId="0">
      <alignment horizontal="center" vertical="center" wrapText="1"/>
    </xf>
    <xf numFmtId="0" fontId="31" fillId="28" borderId="30" applyAlignment="1" pivotButton="0" quotePrefix="0" xfId="0">
      <alignment horizontal="center" vertical="center" wrapText="1"/>
    </xf>
    <xf numFmtId="0" fontId="31" fillId="40" borderId="30" applyAlignment="1" pivotButton="0" quotePrefix="0" xfId="0">
      <alignment horizontal="center" vertical="center" wrapText="1"/>
    </xf>
    <xf numFmtId="0" fontId="33" fillId="32" borderId="43"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44" applyAlignment="1" pivotButton="0" quotePrefix="0" xfId="0">
      <alignment horizontal="center" vertical="center" wrapText="1"/>
    </xf>
    <xf numFmtId="0" fontId="33" fillId="38" borderId="43"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44"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37" pivotButton="0" quotePrefix="0" xfId="0"/>
    <xf numFmtId="0" fontId="0" fillId="0" borderId="45" pivotButton="0" quotePrefix="0" xfId="0"/>
    <xf numFmtId="0" fontId="0" fillId="0" borderId="46" pivotButton="0" quotePrefix="0" xfId="0"/>
    <xf numFmtId="0" fontId="34" fillId="32" borderId="47" applyAlignment="1" pivotButton="0" quotePrefix="0" xfId="0">
      <alignment horizontal="center" vertical="top" wrapText="1"/>
    </xf>
    <xf numFmtId="0" fontId="0" fillId="0" borderId="39" pivotButton="0" quotePrefix="0" xfId="0"/>
    <xf numFmtId="0" fontId="0" fillId="0" borderId="22" pivotButton="0" quotePrefix="0" xfId="0"/>
    <xf numFmtId="0" fontId="0" fillId="0" borderId="26" pivotButton="0" quotePrefix="0" xfId="0"/>
    <xf numFmtId="0" fontId="0" fillId="0" borderId="27" pivotButton="0" quotePrefix="0" xfId="0"/>
    <xf numFmtId="0" fontId="0" fillId="0" borderId="41" pivotButton="0" quotePrefix="0" xfId="0"/>
    <xf numFmtId="0" fontId="0" fillId="0" borderId="32" pivotButton="0" quotePrefix="0" xfId="0"/>
    <xf numFmtId="0" fontId="0" fillId="0" borderId="28" pivotButton="0" quotePrefix="0" xfId="0"/>
    <xf numFmtId="0" fontId="0" fillId="0" borderId="23" pivotButton="0" quotePrefix="0" xfId="0"/>
    <xf numFmtId="0" fontId="0" fillId="0" borderId="29" pivotButton="0" quotePrefix="0" xfId="0"/>
    <xf numFmtId="0" fontId="34" fillId="32" borderId="48" applyAlignment="1" pivotButton="0" quotePrefix="0" xfId="0">
      <alignment horizontal="center" vertical="top" wrapText="1"/>
    </xf>
    <xf numFmtId="0" fontId="31" fillId="43" borderId="30" applyAlignment="1" pivotButton="0" quotePrefix="0" xfId="0">
      <alignment horizontal="center" vertical="center" wrapText="1"/>
    </xf>
    <xf numFmtId="0" fontId="35" fillId="41" borderId="43" applyAlignment="1" pivotButton="0" quotePrefix="0" xfId="0">
      <alignment horizontal="center" vertical="center" wrapText="1"/>
    </xf>
    <xf numFmtId="0" fontId="35" fillId="41" borderId="24" applyAlignment="1" pivotButton="0" quotePrefix="0" xfId="0">
      <alignment horizontal="center" vertical="center" wrapText="1"/>
    </xf>
    <xf numFmtId="0" fontId="31" fillId="42" borderId="44" applyAlignment="1" pivotButton="0" quotePrefix="0" xfId="0">
      <alignment horizontal="center" vertical="center" wrapText="1"/>
    </xf>
    <xf numFmtId="0" fontId="34" fillId="41" borderId="24" applyAlignment="1" pivotButton="0" quotePrefix="0" xfId="0">
      <alignment horizontal="center" vertical="top" wrapText="1"/>
    </xf>
    <xf numFmtId="0" fontId="34" fillId="41" borderId="48" applyAlignment="1" pivotButton="0" quotePrefix="0" xfId="0">
      <alignment horizontal="center" vertical="top" wrapText="1"/>
    </xf>
    <xf numFmtId="0" fontId="31" fillId="42" borderId="30" applyAlignment="1" pivotButton="0" quotePrefix="0" xfId="0">
      <alignment horizontal="center" vertical="center" wrapText="1"/>
    </xf>
    <xf numFmtId="0" fontId="34" fillId="41" borderId="47" applyAlignment="1" pivotButton="0" quotePrefix="0" xfId="0">
      <alignment horizontal="center" vertical="top" wrapText="1"/>
    </xf>
    <xf numFmtId="0" fontId="0" fillId="0" borderId="51" pivotButton="0" quotePrefix="0" xfId="0"/>
    <xf numFmtId="0" fontId="33" fillId="44" borderId="43"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44" applyAlignment="1" pivotButton="0" quotePrefix="0" xfId="0">
      <alignment horizontal="center" vertical="center" wrapText="1"/>
    </xf>
    <xf numFmtId="0" fontId="33" fillId="44" borderId="24" applyAlignment="1" pivotButton="0" quotePrefix="0" xfId="0">
      <alignment horizontal="center" vertical="center" wrapText="1"/>
    </xf>
    <xf numFmtId="0" fontId="34" fillId="44" borderId="47" applyAlignment="1" pivotButton="0" quotePrefix="0" xfId="0">
      <alignment horizontal="center" vertical="top" wrapText="1"/>
    </xf>
    <xf numFmtId="0" fontId="33" fillId="38" borderId="24" applyAlignment="1" pivotButton="0" quotePrefix="0" xfId="0">
      <alignment horizontal="center" vertical="center" wrapText="1"/>
    </xf>
    <xf numFmtId="0" fontId="34" fillId="38" borderId="47" applyAlignment="1" pivotButton="0" quotePrefix="0" xfId="0">
      <alignment horizontal="center" vertical="top" wrapText="1"/>
    </xf>
    <xf numFmtId="0" fontId="34" fillId="38" borderId="48" applyAlignment="1" pivotButton="0" quotePrefix="0" xfId="0">
      <alignment horizontal="center" vertical="top" wrapText="1"/>
    </xf>
    <xf numFmtId="0" fontId="36" fillId="32" borderId="24" applyAlignment="1" pivotButton="0" quotePrefix="0" xfId="0">
      <alignment horizontal="center" vertical="center" wrapText="1"/>
    </xf>
    <xf numFmtId="0" fontId="33" fillId="46" borderId="43"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44" applyAlignment="1" pivotButton="0" quotePrefix="0" xfId="0">
      <alignment horizontal="center" vertical="center" wrapText="1"/>
    </xf>
    <xf numFmtId="0" fontId="35" fillId="46" borderId="43" applyAlignment="1" pivotButton="0" quotePrefix="0" xfId="0">
      <alignment horizontal="center" vertical="center" wrapText="1"/>
    </xf>
    <xf numFmtId="0" fontId="35" fillId="32" borderId="24"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55" pivotButton="0" quotePrefix="0" xfId="0"/>
    <xf numFmtId="0" fontId="0" fillId="0" borderId="56" pivotButton="0" quotePrefix="0" xfId="0"/>
    <xf numFmtId="0" fontId="0" fillId="0" borderId="60" pivotButton="0" quotePrefix="0" xfId="0"/>
    <xf numFmtId="0" fontId="0" fillId="0" borderId="62" pivotButton="0" quotePrefix="0" xfId="0"/>
    <xf numFmtId="0" fontId="0" fillId="0" borderId="54" pivotButton="0" quotePrefix="0" xfId="0"/>
    <xf numFmtId="0" fontId="0" fillId="0" borderId="57" pivotButton="0" quotePrefix="0" xfId="0"/>
    <xf numFmtId="0" fontId="0" fillId="0" borderId="58" pivotButton="0" quotePrefix="0" xfId="0"/>
    <xf numFmtId="0" fontId="0" fillId="0" borderId="59" pivotButton="0" quotePrefix="0" xfId="0"/>
    <xf numFmtId="0" fontId="33" fillId="0" borderId="17" applyAlignment="1" pivotButton="0" quotePrefix="0" xfId="0">
      <alignment horizontal="center" vertical="center" wrapText="1"/>
    </xf>
    <xf numFmtId="0" fontId="37" fillId="0" borderId="17" applyAlignment="1" pivotButton="0" quotePrefix="0" xfId="0">
      <alignment horizontal="center" vertical="center" wrapText="1"/>
    </xf>
    <xf numFmtId="164" fontId="37" fillId="0" borderId="17" applyAlignment="1" pivotButton="0" quotePrefix="0" xfId="0">
      <alignment horizontal="center" vertical="center" wrapText="1"/>
    </xf>
    <xf numFmtId="0" fontId="37"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37" fillId="32" borderId="17" applyAlignment="1" pivotButton="0" quotePrefix="0" xfId="0">
      <alignment horizontal="center" vertical="center" wrapText="1"/>
    </xf>
    <xf numFmtId="0" fontId="37" fillId="44" borderId="17" applyAlignment="1" pivotButton="0" quotePrefix="0" xfId="0">
      <alignment horizontal="center" vertical="center" wrapText="1"/>
    </xf>
    <xf numFmtId="0" fontId="37" fillId="38" borderId="17" applyAlignment="1" pivotButton="0" quotePrefix="0" xfId="0">
      <alignment horizontal="center" vertical="center" wrapText="1"/>
    </xf>
    <xf numFmtId="164" fontId="37" fillId="44" borderId="17" applyAlignment="1" pivotButton="0" quotePrefix="0" xfId="0">
      <alignment horizontal="center" vertical="center" wrapText="1"/>
    </xf>
    <xf numFmtId="0" fontId="37" fillId="32" borderId="17" applyAlignment="1" pivotButton="0" quotePrefix="0" xfId="0">
      <alignment horizontal="left" vertical="center" wrapText="1"/>
    </xf>
    <xf numFmtId="0" fontId="37"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S289" headerRowCount="1">
  <autoFilter ref="A1:S289"/>
  <tableColumns count="19">
    <tableColumn id="1" name="No."/>
    <tableColumn id="2" name="iCoA code"/>
    <tableColumn id="3" name="Issuable"/>
    <tableColumn id="4" name="Issue date (preliminary)"/>
    <tableColumn id="5" name="Earliest permissible"/>
    <tableColumn id="6" name="Basis — sampling at packaging"/>
    <tableColumn id="7" name="Packaging complete"/>
    <tableColumn id="8" name="Series"/>
    <tableColumn id="9" name="CU Batch"/>
    <tableColumn id="10" name="P Batch"/>
    <tableColumn id="11" name="Strain"/>
    <tableColumn id="12" name="iCoA scope"/>
    <tableColumn id="13" name="Master"/>
    <tableColumn id="14" name="CNP reference"/>
    <tableColumn id="15" name="Ident C — eCoA"/>
    <tableColumn id="16" name="CoQ"/>
    <tableColumn id="17" name="Plan reference (31.08.2026)"/>
    <tableColumn id="18" name="Key"/>
    <tableColumn id="19"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16" customWidth="1" style="70" min="1" max="1"/>
    <col width="120" customWidth="1" style="70" min="2" max="2"/>
  </cols>
  <sheetData>
    <row r="1" ht="24" customHeight="1" s="70">
      <c r="A1" s="85" t="inlineStr">
        <is>
          <t>CoQ Analysis Master — v11</t>
        </is>
      </c>
    </row>
    <row r="2" ht="40" customHeight="1" s="70">
      <c r="A2" s="86" t="inlineStr">
        <is>
          <t>Built 02.09.2026 on the owner's CoQ_Analysis_Master (v3 reflow). Which certificate is credited to which parameter is the owner's; results, dates and labs are the desk's record: release register (correction chain step 19), page reads of 31.08.2026 and the 12-month re-analyses. Nothing is invented; a value the desk does not hold is shown as —.</t>
        </is>
      </c>
    </row>
    <row r="4">
      <c r="A4" s="87" t="inlineStr">
        <is>
          <t>SHEETS</t>
        </is>
      </c>
    </row>
    <row r="5" ht="26" customHeight="1" s="70">
      <c r="A5" s="88" t="inlineStr">
        <is>
          <t>Batch Coverage</t>
        </is>
      </c>
      <c r="B5" s="89" t="inlineStr">
        <is>
          <t>One row per batch. ✓/✗ for each of the 12 parameters, the missing list, the number of certificates and the laboratories present.</t>
        </is>
      </c>
    </row>
    <row r="6" ht="26" customHeight="1" s="70">
      <c r="A6" s="88" t="inlineStr">
        <is>
          <t>CoQ Parameter Tracker</t>
        </is>
      </c>
      <c r="B6" s="89" t="inlineStr">
        <is>
          <t>One row per batch × certificate. One column per determination (21): the value that certificate reports, as the desk holds it. A blank cell means the certificate is not credited for that parameter.</t>
        </is>
      </c>
    </row>
    <row r="7" ht="26" customHeight="1" s="70">
      <c r="A7" s="88" t="inlineStr">
        <is>
          <t>Results Register</t>
        </is>
      </c>
      <c r="B7" s="89" t="inlineStr">
        <is>
          <t>One row per batch × determination × certificate — the same facts as a flat, filterable register: mark, result, acceptance criterion, certificate, date, lab, kind, note.</t>
        </is>
      </c>
    </row>
    <row r="8" ht="26" customHeight="1" s="70">
      <c r="A8" s="88" t="inlineStr">
        <is>
          <t>eCOA Document Index</t>
        </is>
      </c>
      <c r="B8" s="89" t="inlineStr">
        <is>
          <t>One row per document: batch, laboratory, kind, code, date, type, parameters covered, whether the desk holds a value from it, filename.</t>
        </is>
      </c>
    </row>
    <row r="9" ht="13" customHeight="1" s="70">
      <c r="A9" s="88" t="inlineStr">
        <is>
          <t>Parameters</t>
        </is>
      </c>
      <c r="B9" s="89" t="inlineStr">
        <is>
          <t>The 21 determinations with method, global acceptance criterion and source.</t>
        </is>
      </c>
    </row>
    <row r="10" ht="13" customHeight="1" s="70">
      <c r="A10" s="88" t="inlineStr">
        <is>
          <t>Summary Dashboard</t>
        </is>
      </c>
      <c r="B10" s="89" t="inlineStr">
        <is>
          <t>The owner's aggregate, unchanged.</t>
        </is>
      </c>
    </row>
    <row r="12">
      <c r="A12" s="87" t="inlineStr">
        <is>
          <t>LEGEND</t>
        </is>
      </c>
    </row>
    <row r="13" ht="13" customHeight="1" s="70">
      <c r="A13" s="90" t="inlineStr">
        <is>
          <t>✓</t>
        </is>
      </c>
      <c r="B13" s="89" t="inlineStr">
        <is>
          <t>Certificate (eCoA or iCoA) on file and its value on the desk.</t>
        </is>
      </c>
    </row>
    <row r="14" ht="26" customHeight="1" s="70">
      <c r="A14" s="91" t="inlineStr">
        <is>
          <t>—</t>
        </is>
      </c>
      <c r="B14" s="89" t="inlineStr">
        <is>
          <t>Certificate credited on the tracker, but the desk holds no value for this determination from it — the determination is not on that certificate, or the certificate never entered the release register.</t>
        </is>
      </c>
    </row>
    <row r="15" ht="13" customHeight="1" s="70">
      <c r="A15" s="92" t="inlineStr">
        <is>
          <t>✓</t>
        </is>
      </c>
      <c r="B15" s="89" t="inlineStr">
        <is>
          <t>Stability-timepoint certificate — its value is not a release result.</t>
        </is>
      </c>
    </row>
    <row r="16" ht="26" customHeight="1" s="70">
      <c r="A16" s="93" t="inlineStr">
        <is>
          <t>✓</t>
        </is>
      </c>
      <c r="B16" s="89" t="inlineStr">
        <is>
          <t>In-house document only (Report of Analysis, NGP form, PP) — not an eCoA or iCoA; not coverage for a release certificate.</t>
        </is>
      </c>
    </row>
    <row r="17" ht="13" customHeight="1" s="70">
      <c r="A17" s="94" t="inlineStr">
        <is>
          <t>✗</t>
        </is>
      </c>
      <c r="B17" s="89" t="inlineStr">
        <is>
          <t>No certificate credited for the parameter.</t>
        </is>
      </c>
    </row>
    <row r="19">
      <c r="A19" s="87" t="inlineStr">
        <is>
          <t>CONVENTIONS</t>
        </is>
      </c>
    </row>
    <row r="20" ht="13" customHeight="1" s="70">
      <c r="A20" s="88" t="inlineStr">
        <is>
          <t>Batch names</t>
        </is>
      </c>
      <c r="B20" s="89" t="inlineStr">
        <is>
          <t>CU batch as the owner names it; a sub-lot digit belongs to the batch (FB012601_1), never to the certificate code.</t>
        </is>
      </c>
    </row>
    <row r="21" ht="13" customHeight="1" s="70">
      <c r="A21" s="88" t="inlineStr">
        <is>
          <t>Certificate codes</t>
        </is>
      </c>
      <c r="B21" s="89" t="inlineStr">
        <is>
          <t>As printed on the certificate (Cyrillic ППК codes kept); the Kind column says eCoA / iCoA / Stability / In-house.</t>
        </is>
      </c>
    </row>
    <row r="22" ht="13" customHeight="1" s="70">
      <c r="A22" s="88" t="inlineStr">
        <is>
          <t>Dates</t>
        </is>
      </c>
      <c r="B22" s="89" t="inlineStr">
        <is>
          <t>Real dates, DD.MM.YYYY — sortable and filterable.</t>
        </is>
      </c>
    </row>
    <row r="23" ht="26" customHeight="1" s="70">
      <c r="A23" s="88" t="inlineStr">
        <is>
          <t>Results</t>
        </is>
      </c>
      <c r="B23" s="89" t="inlineStr">
        <is>
          <t>Numeric results are numbers with the certificate's printed precision; qualitative results are text (Conforms, absent, &lt;LOQ, ND).</t>
        </is>
      </c>
    </row>
    <row r="24" ht="13" customHeight="1" s="70">
      <c r="A24" s="88" t="inlineStr">
        <is>
          <t>Print</t>
        </is>
      </c>
      <c r="B24" s="89" t="inlineStr">
        <is>
          <t>Every table: A3 landscape, one page wide, header row repeated, panes frozen under the header.</t>
        </is>
      </c>
    </row>
    <row r="26" ht="52" customHeight="1" s="70">
      <c r="A26" s="88" t="inlineStr">
        <is>
          <t>v7</t>
        </is>
      </c>
      <c r="B26" s="118" t="inlineStr">
        <is>
          <t>This workbook adds the sheet 'CoQ Parameter Tracker v7' — one batch per two-row block, certificates stacked as lines in date order, sub-determinations in their own columns, acceptance criteria in header row 3 and enforced, out-of-specification results printed red and named in STATUS. The v6 flat table is kept as 'CoQ Parameter Tracker (flat)' for comparison.</t>
        </is>
      </c>
    </row>
    <row r="27" ht="26" customHeight="1" s="70">
      <c r="A27" s="88" t="inlineStr">
        <is>
          <t>Index</t>
        </is>
      </c>
      <c r="B27" s="118" t="inlineStr">
        <is>
          <t>'eCOA Document Index' now also carries PARAMETER VALUES and BATCH KEY, so the tracker can be rebuilt from the index alone (see CoQ_Tracker_v7_rebuild.gs).</t>
        </is>
      </c>
    </row>
    <row r="28" ht="26" customHeight="1" s="70">
      <c r="A28" s="88" t="inlineStr">
        <is>
          <t>OOS check</t>
        </is>
      </c>
      <c r="B28" s="118" t="inlineStr">
        <is>
          <t>A result is flagged only when it provably exceeds its criterion. ND, &lt;LOQ, &lt;10 and absent pass; '&lt;10² and &gt;10' is judged by its upper bound; a value that cannot be parsed is never flagged.</t>
        </is>
      </c>
    </row>
    <row r="30" ht="52" customHeight="1" s="70">
      <c r="A30" s="88" t="inlineStr">
        <is>
          <t>v9</t>
        </is>
      </c>
      <c r="B30" s="118" t="inlineStr">
        <is>
          <t>The v8 build, verified and slimmed to live in Drive. Every decision-bearing value was checked against the filed certificate page (review/V8_TRUTH_CHECK_2026-09-02.md): the five out-of-specification TYMC results, the four undetermined ones and the stability CBN exceedance are real. The Results Register, the flat tracker and the eCOA Document Index are left out here; they stay in v8 in the repository.</t>
        </is>
      </c>
    </row>
    <row r="31" ht="26" customHeight="1" s="70">
      <c r="A31" s="88" t="inlineStr">
        <is>
          <t>Do not</t>
        </is>
      </c>
      <c r="B31" s="118" t="inlineStr">
        <is>
          <t>read counts from the eCOA_DB text layer. On five of six certificates checked it read the exponent or a digit too low, every time in the direction of a conforming result.</t>
        </is>
      </c>
    </row>
    <row r="33" ht="195" customHeight="1" s="70">
      <c r="A33" s="88" t="inlineStr">
        <is>
          <t>v11</t>
        </is>
      </c>
      <c r="B33" s="118" t="inlineStr">
        <is>
          <t>v11 — 30 certificates ingested into eCOA_DB on 04.09.2026 (IJZ-MB microbiology, issued 31.08 and 01.09.2026) are added as testing instances credited to #9, with the values the two independent reads agreed on. Batch Coverage, the tracker, the Credit Audit, the Work Order and the Summary Dashboard are recomputed with them. Lots the owner's tracker does not carry, opened without a CU code: P050142, P060102, P060342. The laboratory prints the zero of a P-number as a letter O (PO60052); it is folded to P060052 here. Head of QC, 04.09.2026: identification A and B are tested at Purely Plant together with foreign matter at the date of packaging, and one iCoA per batch carries the three results — every lot now holds that in-house instance for #1, #2 and #7 (see iCoA Issuance); identification C conforms to the ImB specification on the certificate that carries the cannabinoid assay. Harvest and packaging dates per batch are the Head of QC's list of 04.09.2026 (sheet Batch Dates): the iCoA instance is dated on the first day of packaging (sampling before primary packaging), the day the issuance plan uses as the CoQ basis, and issued no earlier than the last day of packaging; one iCoA per P lot where a tracker row holds several. iCoA Register (05.09.2026): the preliminary issuance register — codes iCoA-PP_26-nnn in the order the certificates can be issued, preliminary issue dates at the earliest permissible day (the SOP floor 11.05.2026 or the last day of packaging), no number for a row that cannot be issued yet; the tracker's in-house instances cite these codes. Rulings of 04.09.2026 on the two bile-tolerant gram-negative rows the reads disagreed on: P060262 &lt; 10³ и &gt; 10² CFU/g, P060432 &lt; 10² и &gt; 10 CFU/g (decisions_2026-09-04.tsv).</t>
        </is>
      </c>
    </row>
  </sheetData>
  <mergeCells count="1">
    <mergeCell ref="A2:B2"/>
  </mergeCells>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T85"/>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98"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7</v>
      </c>
      <c r="T2" s="102" t="inlineStr">
        <is>
          <t>[CNP] 1; [FHM-K] 1; [FHM-M] 1; [IJZ] 1; [IJZ-MB] 1; [PP] 2</t>
        </is>
      </c>
    </row>
    <row r="3">
      <c r="A3" s="96" t="inlineStr">
        <is>
          <t>BSS1024</t>
        </is>
      </c>
      <c r="B3" s="97" t="inlineStr">
        <is>
          <t>— not assigned —</t>
        </is>
      </c>
      <c r="C3" s="97" t="inlineStr">
        <is>
          <t>Blue Sunset Sherbet</t>
        </is>
      </c>
      <c r="D3" s="98" t="inlineStr">
        <is>
          <t>✓ COMPLETE</t>
        </is>
      </c>
      <c r="E3" s="105" t="inlineStr">
        <is>
          <t>✓</t>
        </is>
      </c>
      <c r="F3" s="98"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7</v>
      </c>
      <c r="T3" s="102" t="inlineStr">
        <is>
          <t>[CNP] 1; [FHM-K] 1; [FHM-M] 1; [IJZ] 1; [IJZ-MB] 1; [PP] 2</t>
        </is>
      </c>
    </row>
    <row r="4">
      <c r="A4" s="96" t="inlineStr">
        <is>
          <t>CC112501</t>
        </is>
      </c>
      <c r="B4" s="97" t="inlineStr">
        <is>
          <t>P060272</t>
        </is>
      </c>
      <c r="C4" s="97" t="inlineStr">
        <is>
          <t>Cash Cow</t>
        </is>
      </c>
      <c r="D4" s="98" t="inlineStr">
        <is>
          <t>✓ COMPLETE</t>
        </is>
      </c>
      <c r="E4" s="105" t="inlineStr">
        <is>
          <t>✓</t>
        </is>
      </c>
      <c r="F4" s="98"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[IJZ] 1; [IJZ-MB] 2; [PP] 2</t>
        </is>
      </c>
    </row>
    <row r="5">
      <c r="A5" s="96" t="inlineStr">
        <is>
          <t>CJ1024</t>
        </is>
      </c>
      <c r="B5" s="97" t="inlineStr">
        <is>
          <t>— not assigned —</t>
        </is>
      </c>
      <c r="C5" s="97" t="inlineStr">
        <is>
          <t>Cup Junky</t>
        </is>
      </c>
      <c r="D5" s="98" t="inlineStr">
        <is>
          <t>✓ COMPLETE</t>
        </is>
      </c>
      <c r="E5" s="105" t="inlineStr">
        <is>
          <t>✓</t>
        </is>
      </c>
      <c r="F5" s="98"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[IJZ] 1; [IJZ-MB] 2; [PP] 2</t>
        </is>
      </c>
    </row>
    <row r="6">
      <c r="A6" s="96" t="inlineStr">
        <is>
          <t>FB012601_1</t>
        </is>
      </c>
      <c r="B6" s="97" t="inlineStr">
        <is>
          <t>P060322</t>
        </is>
      </c>
      <c r="C6" s="97" t="inlineStr">
        <is>
          <t>Fat Bastard</t>
        </is>
      </c>
      <c r="D6" s="98" t="inlineStr">
        <is>
          <t>✓ COMPLETE</t>
        </is>
      </c>
      <c r="E6" s="105" t="inlineStr">
        <is>
          <t>✓</t>
        </is>
      </c>
      <c r="F6" s="98"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5</v>
      </c>
      <c r="T6" s="102" t="inlineStr">
        <is>
          <t>[CNP] 1; [IJZ] 1; [IJZ-MB] 1; [PP] 2</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98"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[IJZ] 1; [IJZ-MB] 2; [PP] 2</t>
        </is>
      </c>
    </row>
    <row r="11">
      <c r="A11" s="96" t="inlineStr">
        <is>
          <t>GG012601＊</t>
        </is>
      </c>
      <c r="B11" s="97" t="inlineStr">
        <is>
          <t>P060302</t>
        </is>
      </c>
      <c r="C11" s="97" t="inlineStr">
        <is>
          <t>Gorilla Glue</t>
        </is>
      </c>
      <c r="D11" s="98" t="inlineStr">
        <is>
          <t>✓ COMPLETE</t>
        </is>
      </c>
      <c r="E11" s="105" t="inlineStr">
        <is>
          <t>✓</t>
        </is>
      </c>
      <c r="F11" s="98"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[IJZ] 1; [IJZ-MB] 2; [PP] 2</t>
        </is>
      </c>
    </row>
    <row r="12" ht="26" customHeight="1" s="70">
      <c r="A12" s="96" t="inlineStr">
        <is>
          <t>GG012603</t>
        </is>
      </c>
      <c r="B12" s="97" t="inlineStr">
        <is>
          <t>P060402</t>
        </is>
      </c>
      <c r="C12" s="97" t="inlineStr">
        <is>
          <t>GorillaGlue</t>
        </is>
      </c>
      <c r="D12" s="99" t="inlineStr">
        <is>
          <t>❌ 6 MISSING</t>
        </is>
      </c>
      <c r="E12" s="99" t="inlineStr">
        <is>
          <t>✗</t>
        </is>
      </c>
      <c r="F12" s="100" t="inlineStr">
        <is>
          <t>✓</t>
        </is>
      </c>
      <c r="G12" s="100" t="inlineStr">
        <is>
          <t>✓</t>
        </is>
      </c>
      <c r="H12" s="100" t="inlineStr">
        <is>
          <t>✓</t>
        </is>
      </c>
      <c r="I12" s="100" t="inlineStr">
        <is>
          <t>✓</t>
        </is>
      </c>
      <c r="J12" s="100" t="inlineStr">
        <is>
          <t>✓</t>
        </is>
      </c>
      <c r="K12" s="99" t="inlineStr">
        <is>
          <t>✗</t>
        </is>
      </c>
      <c r="L12" s="100" t="inlineStr">
        <is>
          <t>✓</t>
        </is>
      </c>
      <c r="M12" s="99" t="inlineStr">
        <is>
          <t>✗</t>
        </is>
      </c>
      <c r="N12" s="99" t="inlineStr">
        <is>
          <t>✗</t>
        </is>
      </c>
      <c r="O12" s="99" t="inlineStr">
        <is>
          <t>✗</t>
        </is>
      </c>
      <c r="P12" s="99" t="inlineStr">
        <is>
          <t>✗</t>
        </is>
      </c>
      <c r="Q12" s="101" t="n">
        <v>6</v>
      </c>
      <c r="R12" s="104" t="inlineStr">
        <is>
          <t>#1 Ident. A; #7 Foreign matter; #9 Microbiology; #10 Mycotoxins; #11 Heavy metals; #12 Pesticides</t>
        </is>
      </c>
      <c r="S12" s="103" t="n">
        <v>1</v>
      </c>
      <c r="T12" s="102" t="inlineStr">
        <is>
          <t>[CNP]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3</v>
      </c>
      <c r="T14" s="102" t="inlineStr">
        <is>
          <t>[PP] 3</t>
        </is>
      </c>
    </row>
    <row r="15">
      <c r="A15" s="96" t="inlineStr">
        <is>
          <t>GG112501</t>
        </is>
      </c>
      <c r="B15" s="97" t="inlineStr">
        <is>
          <t>P060252</t>
        </is>
      </c>
      <c r="C15" s="97" t="inlineStr">
        <is>
          <t>Gorilla Glue</t>
        </is>
      </c>
      <c r="D15" s="98" t="inlineStr">
        <is>
          <t>✓ COMPLETE</t>
        </is>
      </c>
      <c r="E15" s="105" t="inlineStr">
        <is>
          <t>✓</t>
        </is>
      </c>
      <c r="F15" s="98"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[IJZ] 1; [IJZ-MB] 2; [PP] 2</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7</v>
      </c>
      <c r="T16" s="102" t="inlineStr">
        <is>
          <t>[FHM-K] 2; [IJZ-MB] 1; [PP] 4</t>
        </is>
      </c>
    </row>
    <row r="17" ht="26" customHeight="1" s="70">
      <c r="A17" s="96" t="inlineStr">
        <is>
          <t>HPA1024</t>
        </is>
      </c>
      <c r="B17" s="97" t="inlineStr">
        <is>
          <t>— not assigned —</t>
        </is>
      </c>
      <c r="C17" s="97" t="inlineStr">
        <is>
          <t>HighProAmnesia</t>
        </is>
      </c>
      <c r="D17" s="98" t="inlineStr">
        <is>
          <t>⚠ 3 MISSING</t>
        </is>
      </c>
      <c r="E17" s="105" t="inlineStr">
        <is>
          <t>✓</t>
        </is>
      </c>
      <c r="F17" s="105" t="inlineStr">
        <is>
          <t>✓</t>
        </is>
      </c>
      <c r="G17" s="100" t="inlineStr">
        <is>
          <t>✓</t>
        </is>
      </c>
      <c r="H17" s="100" t="inlineStr">
        <is>
          <t>✓</t>
        </is>
      </c>
      <c r="I17" s="100" t="inlineStr">
        <is>
          <t>✓</t>
        </is>
      </c>
      <c r="J17" s="100" t="inlineStr">
        <is>
          <t>✓</t>
        </is>
      </c>
      <c r="K17" s="105" t="inlineStr">
        <is>
          <t>✓</t>
        </is>
      </c>
      <c r="L17" s="98" t="inlineStr">
        <is>
          <t>✓</t>
        </is>
      </c>
      <c r="M17" s="99" t="inlineStr">
        <is>
          <t>✗</t>
        </is>
      </c>
      <c r="N17" s="100" t="inlineStr">
        <is>
          <t>✓</t>
        </is>
      </c>
      <c r="O17" s="99" t="inlineStr">
        <is>
          <t>✗</t>
        </is>
      </c>
      <c r="P17" s="99" t="inlineStr">
        <is>
          <t>✗</t>
        </is>
      </c>
      <c r="Q17" s="101" t="n">
        <v>3</v>
      </c>
      <c r="R17" s="104" t="inlineStr">
        <is>
          <t>#9 Microbiology; #11 Heavy metals; #12 Pesticides</t>
        </is>
      </c>
      <c r="S17" s="103" t="n">
        <v>5</v>
      </c>
      <c r="T17" s="102" t="inlineStr">
        <is>
          <t>[FHM-K] 1; [FHM-M] 1; [PP] 3</t>
        </is>
      </c>
    </row>
    <row r="18" ht="26" customHeight="1" s="70">
      <c r="A18" s="96" t="inlineStr">
        <is>
          <t>J31102501</t>
        </is>
      </c>
      <c r="B18" s="97" t="inlineStr">
        <is>
          <t>P060152</t>
        </is>
      </c>
      <c r="C18" s="97" t="inlineStr">
        <is>
          <t>Jokerz 31</t>
        </is>
      </c>
      <c r="D18" s="99" t="inlineStr">
        <is>
          <t>❌ 7 MISSING</t>
        </is>
      </c>
      <c r="E18" s="99" t="inlineStr">
        <is>
          <t>✗</t>
        </is>
      </c>
      <c r="F18" s="99" t="inlineStr">
        <is>
          <t>✗</t>
        </is>
      </c>
      <c r="G18" s="100" t="inlineStr">
        <is>
          <t>✓</t>
        </is>
      </c>
      <c r="H18" s="100" t="inlineStr">
        <is>
          <t>✓</t>
        </is>
      </c>
      <c r="I18" s="100" t="inlineStr">
        <is>
          <t>✓</t>
        </is>
      </c>
      <c r="J18" s="100" t="inlineStr">
        <is>
          <t>✓</t>
        </is>
      </c>
      <c r="K18" s="99" t="inlineStr">
        <is>
          <t>✗</t>
        </is>
      </c>
      <c r="L18" s="100" t="inlineStr">
        <is>
          <t>✓</t>
        </is>
      </c>
      <c r="M18" s="99" t="inlineStr">
        <is>
          <t>✗</t>
        </is>
      </c>
      <c r="N18" s="99" t="inlineStr">
        <is>
          <t>✗</t>
        </is>
      </c>
      <c r="O18" s="99" t="inlineStr">
        <is>
          <t>✗</t>
        </is>
      </c>
      <c r="P18" s="99" t="inlineStr">
        <is>
          <t>✗</t>
        </is>
      </c>
      <c r="Q18" s="101" t="n">
        <v>7</v>
      </c>
      <c r="R18" s="104" t="inlineStr">
        <is>
          <t>#1 Ident. A; #2 Ident. B; #7 Foreign matter; #9 Microbiology; #10 Mycotoxins; #11 Heavy metals; #12 Pesticides</t>
        </is>
      </c>
      <c r="S18" s="103" t="n">
        <v>2</v>
      </c>
      <c r="T18" s="102" t="inlineStr">
        <is>
          <t>[FHM-K] 2s</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9</v>
      </c>
      <c r="T19" s="102" t="inlineStr">
        <is>
          <t>[FHM-K] 6; [IJZ-MB] 1; [PP] 2</t>
        </is>
      </c>
    </row>
    <row r="20">
      <c r="A20" s="96" t="inlineStr">
        <is>
          <t>J31122501</t>
        </is>
      </c>
      <c r="B20" s="97" t="inlineStr">
        <is>
          <t>P060262</t>
        </is>
      </c>
      <c r="C20" s="97" t="inlineStr">
        <is>
          <t>Jokerz 31</t>
        </is>
      </c>
      <c r="D20" s="98" t="inlineStr">
        <is>
          <t>✓ COMPLETE</t>
        </is>
      </c>
      <c r="E20" s="105" t="inlineStr">
        <is>
          <t>✓</t>
        </is>
      </c>
      <c r="F20" s="105" t="inlineStr">
        <is>
          <t>✓</t>
        </is>
      </c>
      <c r="G20" s="100" t="inlineStr">
        <is>
          <t>✓</t>
        </is>
      </c>
      <c r="H20" s="100" t="inlineStr">
        <is>
          <t>✓</t>
        </is>
      </c>
      <c r="I20" s="100" t="inlineStr">
        <is>
          <t>✓</t>
        </is>
      </c>
      <c r="J20" s="100" t="inlineStr">
        <is>
          <t>✓</t>
        </is>
      </c>
      <c r="K20" s="105" t="inlineStr">
        <is>
          <t>✓</t>
        </is>
      </c>
      <c r="L20" s="98" t="inlineStr">
        <is>
          <t>✓</t>
        </is>
      </c>
      <c r="M20" s="100" t="inlineStr">
        <is>
          <t>✓</t>
        </is>
      </c>
      <c r="N20" s="100" t="inlineStr">
        <is>
          <t>✓</t>
        </is>
      </c>
      <c r="O20" s="100" t="inlineStr">
        <is>
          <t>✓</t>
        </is>
      </c>
      <c r="P20" s="100" t="inlineStr">
        <is>
          <t>✓</t>
        </is>
      </c>
      <c r="Q20" s="101" t="n">
        <v>0</v>
      </c>
      <c r="R20" s="102" t="inlineStr">
        <is>
          <t>—</t>
        </is>
      </c>
      <c r="S20" s="103" t="n">
        <v>9</v>
      </c>
      <c r="T20" s="102" t="inlineStr">
        <is>
          <t>[FHM-K] 2; [IJZ] 2; [IJZ-MB] 3; [PP] 2</t>
        </is>
      </c>
    </row>
    <row r="21">
      <c r="A21" s="96" t="inlineStr">
        <is>
          <t>JD012601＊</t>
        </is>
      </c>
      <c r="B21" s="97" t="inlineStr">
        <is>
          <t>P060312</t>
        </is>
      </c>
      <c r="C21" s="97" t="inlineStr">
        <is>
          <t>Jelly Donutz</t>
        </is>
      </c>
      <c r="D21" s="98" t="inlineStr">
        <is>
          <t>✓ COMPLETE</t>
        </is>
      </c>
      <c r="E21" s="105" t="inlineStr">
        <is>
          <t>✓</t>
        </is>
      </c>
      <c r="F21" s="98"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[IJZ] 1; [IJZ-MB] 2; [PP] 2</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2 MISSING</t>
        </is>
      </c>
      <c r="E24" s="99" t="inlineStr">
        <is>
          <t>✗</t>
        </is>
      </c>
      <c r="F24" s="98" t="inlineStr">
        <is>
          <t>✓</t>
        </is>
      </c>
      <c r="G24" s="100" t="inlineStr">
        <is>
          <t>✓</t>
        </is>
      </c>
      <c r="H24" s="100" t="inlineStr">
        <is>
          <t>✓</t>
        </is>
      </c>
      <c r="I24" s="100" t="inlineStr">
        <is>
          <t>✓</t>
        </is>
      </c>
      <c r="J24" s="98" t="inlineStr">
        <is>
          <t>✓</t>
        </is>
      </c>
      <c r="K24" s="99" t="inlineStr">
        <is>
          <t>✗</t>
        </is>
      </c>
      <c r="L24" s="100" t="inlineStr">
        <is>
          <t>✓</t>
        </is>
      </c>
      <c r="M24" s="98" t="inlineStr">
        <is>
          <t>✓</t>
        </is>
      </c>
      <c r="N24" s="98" t="inlineStr">
        <is>
          <t>✓</t>
        </is>
      </c>
      <c r="O24" s="98" t="inlineStr">
        <is>
          <t>✓</t>
        </is>
      </c>
      <c r="P24" s="98" t="inlineStr">
        <is>
          <t>✓</t>
        </is>
      </c>
      <c r="Q24" s="101" t="n">
        <v>2</v>
      </c>
      <c r="R24" s="102" t="inlineStr">
        <is>
          <t>#1 Ident. A; #7 Foreign matter</t>
        </is>
      </c>
      <c r="S24" s="103" t="n">
        <v>3</v>
      </c>
      <c r="T24" s="102" t="inlineStr">
        <is>
          <t>[CNP] 1; [IJZ] 1; [IJZ-MB] 1</t>
        </is>
      </c>
    </row>
    <row r="25">
      <c r="A25" s="96" t="inlineStr">
        <is>
          <t>JD112501＊</t>
        </is>
      </c>
      <c r="B25" s="97" t="inlineStr">
        <is>
          <t>— not assigned —</t>
        </is>
      </c>
      <c r="C25" s="97" t="inlineStr">
        <is>
          <t>Jelly Donutz</t>
        </is>
      </c>
      <c r="D25" s="98" t="inlineStr">
        <is>
          <t>✓ COMPLETE</t>
        </is>
      </c>
      <c r="E25" s="105" t="inlineStr">
        <is>
          <t>✓</t>
        </is>
      </c>
      <c r="F25" s="98"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5</v>
      </c>
      <c r="T25" s="102" t="inlineStr">
        <is>
          <t>[CNP] 1; [IJZ] 1; [IJZ-MB] 1; [PP] 2</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4</v>
      </c>
      <c r="T26" s="102" t="inlineStr">
        <is>
          <t>[FHM-K] 2; [PP] 2</t>
        </is>
      </c>
    </row>
    <row r="27" ht="26" customHeight="1" s="70">
      <c r="A27" s="96" t="inlineStr">
        <is>
          <t>OPM1024</t>
        </is>
      </c>
      <c r="B27" s="97" t="inlineStr">
        <is>
          <t>— not assigned —</t>
        </is>
      </c>
      <c r="C27" s="97" t="inlineStr">
        <is>
          <t>OrangePunchMimosa</t>
        </is>
      </c>
      <c r="D27" s="98" t="inlineStr">
        <is>
          <t>⚠ 3 MISSING</t>
        </is>
      </c>
      <c r="E27" s="105" t="inlineStr">
        <is>
          <t>✓</t>
        </is>
      </c>
      <c r="F27" s="105" t="inlineStr">
        <is>
          <t>✓</t>
        </is>
      </c>
      <c r="G27" s="100" t="inlineStr">
        <is>
          <t>✓</t>
        </is>
      </c>
      <c r="H27" s="100" t="inlineStr">
        <is>
          <t>✓</t>
        </is>
      </c>
      <c r="I27" s="100" t="inlineStr">
        <is>
          <t>✓</t>
        </is>
      </c>
      <c r="J27" s="100" t="inlineStr">
        <is>
          <t>✓</t>
        </is>
      </c>
      <c r="K27" s="105" t="inlineStr">
        <is>
          <t>✓</t>
        </is>
      </c>
      <c r="L27" s="98" t="inlineStr">
        <is>
          <t>✓</t>
        </is>
      </c>
      <c r="M27" s="99" t="inlineStr">
        <is>
          <t>✗</t>
        </is>
      </c>
      <c r="N27" s="100" t="inlineStr">
        <is>
          <t>✓</t>
        </is>
      </c>
      <c r="O27" s="99" t="inlineStr">
        <is>
          <t>✗</t>
        </is>
      </c>
      <c r="P27" s="99" t="inlineStr">
        <is>
          <t>✗</t>
        </is>
      </c>
      <c r="Q27" s="101" t="n">
        <v>3</v>
      </c>
      <c r="R27" s="104" t="inlineStr">
        <is>
          <t>#9 Microbiology; #11 Heavy metals; #12 Pesticides</t>
        </is>
      </c>
      <c r="S27" s="103" t="n">
        <v>5</v>
      </c>
      <c r="T27" s="102" t="inlineStr">
        <is>
          <t>[FHM-K] 1; [FHM-M] 1; [PP] 3</t>
        </is>
      </c>
    </row>
    <row r="28" ht="26" customHeight="1" s="70">
      <c r="A28" s="96" t="inlineStr">
        <is>
          <t>OPM112501</t>
        </is>
      </c>
      <c r="B28" s="97" t="inlineStr">
        <is>
          <t>P060222</t>
        </is>
      </c>
      <c r="C28" s="97" t="inlineStr">
        <is>
          <t>Orange Punch Mimosa</t>
        </is>
      </c>
      <c r="D28" s="98" t="inlineStr">
        <is>
          <t>⚠ 3 MISSING</t>
        </is>
      </c>
      <c r="E28" s="105" t="inlineStr">
        <is>
          <t>✓</t>
        </is>
      </c>
      <c r="F28" s="98"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99" t="inlineStr">
        <is>
          <t>✗</t>
        </is>
      </c>
      <c r="P28" s="99" t="inlineStr">
        <is>
          <t>✗</t>
        </is>
      </c>
      <c r="Q28" s="101" t="n">
        <v>3</v>
      </c>
      <c r="R28" s="104" t="inlineStr">
        <is>
          <t>#10 Mycotoxins; #11 Heavy metals; #12 Pesticides</t>
        </is>
      </c>
      <c r="S28" s="103" t="n">
        <v>4</v>
      </c>
      <c r="T28" s="102" t="inlineStr">
        <is>
          <t>[CNP] 1; [IJZ-MB] 1; [PP] 2</t>
        </is>
      </c>
    </row>
    <row r="29">
      <c r="A29" s="96" t="inlineStr">
        <is>
          <t>OPM122501</t>
        </is>
      </c>
      <c r="B29" s="97" t="inlineStr">
        <is>
          <t>P060242</t>
        </is>
      </c>
      <c r="C29" s="97" t="inlineStr">
        <is>
          <t>Orange Punch Mimosa</t>
        </is>
      </c>
      <c r="D29" s="98" t="inlineStr">
        <is>
          <t>⚠ 3 MISSING</t>
        </is>
      </c>
      <c r="E29" s="99" t="inlineStr">
        <is>
          <t>✗</t>
        </is>
      </c>
      <c r="F29" s="99" t="inlineStr">
        <is>
          <t>✗</t>
        </is>
      </c>
      <c r="G29" s="100" t="inlineStr">
        <is>
          <t>✓</t>
        </is>
      </c>
      <c r="H29" s="100" t="inlineStr">
        <is>
          <t>✓</t>
        </is>
      </c>
      <c r="I29" s="100" t="inlineStr">
        <is>
          <t>✓</t>
        </is>
      </c>
      <c r="J29" s="100" t="inlineStr">
        <is>
          <t>✓</t>
        </is>
      </c>
      <c r="K29" s="99" t="inlineStr">
        <is>
          <t>✗</t>
        </is>
      </c>
      <c r="L29" s="100" t="inlineStr">
        <is>
          <t>✓</t>
        </is>
      </c>
      <c r="M29" s="100" t="inlineStr">
        <is>
          <t>✓</t>
        </is>
      </c>
      <c r="N29" s="100" t="inlineStr">
        <is>
          <t>✓</t>
        </is>
      </c>
      <c r="O29" s="100" t="inlineStr">
        <is>
          <t>✓</t>
        </is>
      </c>
      <c r="P29" s="100" t="inlineStr">
        <is>
          <t>✓</t>
        </is>
      </c>
      <c r="Q29" s="101" t="n">
        <v>3</v>
      </c>
      <c r="R29" s="102" t="inlineStr">
        <is>
          <t>#1 Ident. A; #2 Ident. B; #7 Foreign matter</t>
        </is>
      </c>
      <c r="S29" s="103" t="n">
        <v>4</v>
      </c>
      <c r="T29" s="102" t="inlineStr">
        <is>
          <t>[FHM-K] 2s; [IJZ] 1; [IJZ-MB] 1</t>
        </is>
      </c>
    </row>
    <row r="30">
      <c r="A30" s="96" t="inlineStr">
        <is>
          <t>GG1024_02</t>
        </is>
      </c>
      <c r="B30" s="97" t="inlineStr">
        <is>
          <t>P050012</t>
        </is>
      </c>
      <c r="C30" s="97" t="inlineStr">
        <is>
          <t>Gorilla Glue</t>
        </is>
      </c>
      <c r="D30" s="98" t="inlineStr">
        <is>
          <t>✓ COMPLETE</t>
        </is>
      </c>
      <c r="E30" s="105" t="inlineStr">
        <is>
          <t>✓</t>
        </is>
      </c>
      <c r="F30" s="98"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[IJZ] 1; [IJZ-MB] 2; [PP] 2</t>
        </is>
      </c>
    </row>
    <row r="31">
      <c r="A31" s="96" t="inlineStr">
        <is>
          <t>GP0824_02</t>
        </is>
      </c>
      <c r="B31" s="97" t="inlineStr">
        <is>
          <t>P050022</t>
        </is>
      </c>
      <c r="C31" s="97" t="inlineStr">
        <is>
          <t>Grape Pie</t>
        </is>
      </c>
      <c r="D31" s="98" t="inlineStr">
        <is>
          <t>✓ COMPLETE</t>
        </is>
      </c>
      <c r="E31" s="105" t="inlineStr">
        <is>
          <t>✓</t>
        </is>
      </c>
      <c r="F31" s="98"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13</v>
      </c>
      <c r="T31" s="102" t="inlineStr">
        <is>
          <t>[CNP] 5; [FHM-K] 1; [FHM-M] 1; [IJZ] 2; [IJZ-MB] 2; [PP] 2</t>
        </is>
      </c>
    </row>
    <row r="32">
      <c r="A32" s="96" t="inlineStr">
        <is>
          <t>MB0824_04</t>
        </is>
      </c>
      <c r="B32" s="97" t="inlineStr">
        <is>
          <t>P050032</t>
        </is>
      </c>
      <c r="C32" s="97" t="inlineStr">
        <is>
          <t>Motor Breath</t>
        </is>
      </c>
      <c r="D32" s="98" t="inlineStr">
        <is>
          <t>✓ COMPLETE</t>
        </is>
      </c>
      <c r="E32" s="105" t="inlineStr">
        <is>
          <t>✓</t>
        </is>
      </c>
      <c r="F32" s="98"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[IJZ] 1; [IJZ-MB] 2; [PP] 2</t>
        </is>
      </c>
    </row>
    <row r="33">
      <c r="A33" s="96" t="inlineStr">
        <is>
          <t>OMP1024_01</t>
        </is>
      </c>
      <c r="B33" s="97" t="inlineStr">
        <is>
          <t>P050042</t>
        </is>
      </c>
      <c r="C33" s="97" t="inlineStr">
        <is>
          <t>Orange Punch Mimosa</t>
        </is>
      </c>
      <c r="D33" s="98" t="inlineStr">
        <is>
          <t>✓ COMPLETE</t>
        </is>
      </c>
      <c r="E33" s="105" t="inlineStr">
        <is>
          <t>✓</t>
        </is>
      </c>
      <c r="F33" s="98"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5</v>
      </c>
      <c r="T33" s="102" t="inlineStr">
        <is>
          <t>[CNP] 1; [IJZ] 1; [IJZ-MB] 1; [PP] 2</t>
        </is>
      </c>
    </row>
    <row r="34">
      <c r="A34" s="96" t="inlineStr">
        <is>
          <t>HPA1024_01</t>
        </is>
      </c>
      <c r="B34" s="97" t="inlineStr">
        <is>
          <t>P050052</t>
        </is>
      </c>
      <c r="C34" s="97" t="inlineStr">
        <is>
          <t>High Pro Amnesia</t>
        </is>
      </c>
      <c r="D34" s="98" t="inlineStr">
        <is>
          <t>✓ COMPLETE</t>
        </is>
      </c>
      <c r="E34" s="105" t="inlineStr">
        <is>
          <t>✓</t>
        </is>
      </c>
      <c r="F34" s="98"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7</v>
      </c>
      <c r="T34" s="102" t="inlineStr">
        <is>
          <t>[CNP] 1; [FHM-K] 1; [FHM-M] 1; [IJZ] 1; [IJZ-MB] 1; [PP] 2</t>
        </is>
      </c>
    </row>
    <row r="35">
      <c r="A35" s="96" t="inlineStr">
        <is>
          <t>OPM1024_02</t>
        </is>
      </c>
      <c r="B35" s="97" t="inlineStr">
        <is>
          <t>P050062</t>
        </is>
      </c>
      <c r="C35" s="97" t="inlineStr">
        <is>
          <t>Orange Punch Mimosa</t>
        </is>
      </c>
      <c r="D35" s="98" t="inlineStr">
        <is>
          <t>✓ COMPLETE</t>
        </is>
      </c>
      <c r="E35" s="105" t="inlineStr">
        <is>
          <t>✓</t>
        </is>
      </c>
      <c r="F35" s="98"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7</v>
      </c>
      <c r="T35" s="102" t="inlineStr">
        <is>
          <t>[CNP] 1; [FHM-K] 1; [FHM-M] 1; [IJZ] 1; [IJZ-MB] 1; [PP] 2</t>
        </is>
      </c>
    </row>
    <row r="36">
      <c r="A36" s="96" t="inlineStr">
        <is>
          <t>GP0824_03</t>
        </is>
      </c>
      <c r="B36" s="97" t="inlineStr">
        <is>
          <t>P050072</t>
        </is>
      </c>
      <c r="C36" s="97" t="inlineStr">
        <is>
          <t>Grape Pie</t>
        </is>
      </c>
      <c r="D36" s="98" t="inlineStr">
        <is>
          <t>✓ COMPLETE</t>
        </is>
      </c>
      <c r="E36" s="105" t="inlineStr">
        <is>
          <t>✓</t>
        </is>
      </c>
      <c r="F36" s="98"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8</v>
      </c>
      <c r="T36" s="102" t="inlineStr">
        <is>
          <t>[CNP] 4; [IJZ] 1; [IJZ-MB] 1; [PP] 2</t>
        </is>
      </c>
    </row>
    <row r="37">
      <c r="A37" s="96" t="inlineStr">
        <is>
          <t>OPM1024_03</t>
        </is>
      </c>
      <c r="B37" s="97" t="inlineStr">
        <is>
          <t>P050082</t>
        </is>
      </c>
      <c r="C37" s="97" t="inlineStr">
        <is>
          <t>Orange Punch Mimosa</t>
        </is>
      </c>
      <c r="D37" s="98" t="inlineStr">
        <is>
          <t>✓ COMPLETE</t>
        </is>
      </c>
      <c r="E37" s="105" t="inlineStr">
        <is>
          <t>✓</t>
        </is>
      </c>
      <c r="F37" s="98"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5</v>
      </c>
      <c r="T37" s="102" t="inlineStr">
        <is>
          <t>[CNP] 1; [IJZ] 1; [IJZ-MB] 1; [PP] 2</t>
        </is>
      </c>
    </row>
    <row r="38">
      <c r="A38" s="96" t="inlineStr">
        <is>
          <t>GG1024_01</t>
        </is>
      </c>
      <c r="B38" s="97" t="inlineStr">
        <is>
          <t>P050092</t>
        </is>
      </c>
      <c r="C38" s="97" t="inlineStr">
        <is>
          <t>Gorilla Glue</t>
        </is>
      </c>
      <c r="D38" s="98" t="inlineStr">
        <is>
          <t>✓ COMPLETE</t>
        </is>
      </c>
      <c r="E38" s="105" t="inlineStr">
        <is>
          <t>✓</t>
        </is>
      </c>
      <c r="F38" s="98"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[FHM-M] 1; [IJZ] 1; [IJZ-MB] 1; [PP] 2</t>
        </is>
      </c>
    </row>
    <row r="39">
      <c r="A39" s="96" t="inlineStr">
        <is>
          <t>GP0824_01</t>
        </is>
      </c>
      <c r="B39" s="97" t="inlineStr">
        <is>
          <t>P050102</t>
        </is>
      </c>
      <c r="C39" s="97" t="inlineStr">
        <is>
          <t>Grape Pie</t>
        </is>
      </c>
      <c r="D39" s="98" t="inlineStr">
        <is>
          <t>✓ COMPLETE</t>
        </is>
      </c>
      <c r="E39" s="105" t="inlineStr">
        <is>
          <t>✓</t>
        </is>
      </c>
      <c r="F39" s="98"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[IJZ] 1; [IJZ-MB] 3; [PP] 2</t>
        </is>
      </c>
    </row>
    <row r="40">
      <c r="A40" s="96" t="inlineStr">
        <is>
          <t>MB0824_05</t>
        </is>
      </c>
      <c r="B40" s="97" t="inlineStr">
        <is>
          <t>P050112</t>
        </is>
      </c>
      <c r="C40" s="97" t="inlineStr">
        <is>
          <t>Motor Breath</t>
        </is>
      </c>
      <c r="D40" s="98" t="inlineStr">
        <is>
          <t>✓ COMPLETE</t>
        </is>
      </c>
      <c r="E40" s="105" t="inlineStr">
        <is>
          <t>✓</t>
        </is>
      </c>
      <c r="F40" s="98"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5</v>
      </c>
      <c r="T40" s="102" t="inlineStr">
        <is>
          <t>[CNP] 1; [IJZ] 1; [IJZ-MB] 1; [PP] 2</t>
        </is>
      </c>
    </row>
    <row r="41">
      <c r="A41" s="96" t="inlineStr">
        <is>
          <t>BSS1024_01/1</t>
        </is>
      </c>
      <c r="B41" s="97" t="inlineStr">
        <is>
          <t>P050122</t>
        </is>
      </c>
      <c r="C41" s="97" t="inlineStr">
        <is>
          <t>Blue Sunset Sherbet</t>
        </is>
      </c>
      <c r="D41" s="98" t="inlineStr">
        <is>
          <t>✓ COMPLETE</t>
        </is>
      </c>
      <c r="E41" s="105" t="inlineStr">
        <is>
          <t>✓</t>
        </is>
      </c>
      <c r="F41" s="98"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[IJZ] 1; [IJZ-MB] 2; [PP] 2</t>
        </is>
      </c>
    </row>
    <row r="42">
      <c r="A42" s="96" t="inlineStr">
        <is>
          <t>OPM052501</t>
        </is>
      </c>
      <c r="B42" s="97" t="inlineStr">
        <is>
          <t>P050132</t>
        </is>
      </c>
      <c r="C42" s="97" t="inlineStr">
        <is>
          <t>Orange Punch Mimosa</t>
        </is>
      </c>
      <c r="D42" s="98" t="inlineStr">
        <is>
          <t>✓ COMPLETE</t>
        </is>
      </c>
      <c r="E42" s="105" t="inlineStr">
        <is>
          <t>✓</t>
        </is>
      </c>
      <c r="F42" s="98"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[IJZ] 1; [IJZ-MB] 2; [PP] 2</t>
        </is>
      </c>
    </row>
    <row r="43">
      <c r="A43" s="96" t="inlineStr">
        <is>
          <t>GP052501</t>
        </is>
      </c>
      <c r="B43" s="97" t="inlineStr">
        <is>
          <t>P050152</t>
        </is>
      </c>
      <c r="C43" s="97" t="inlineStr">
        <is>
          <t>Grape Pie</t>
        </is>
      </c>
      <c r="D43" s="98" t="inlineStr">
        <is>
          <t>✓ COMPLETE</t>
        </is>
      </c>
      <c r="E43" s="105" t="inlineStr">
        <is>
          <t>✓</t>
        </is>
      </c>
      <c r="F43" s="98"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7</v>
      </c>
      <c r="T43" s="102" t="inlineStr">
        <is>
          <t>[CNP] 1; [FHM-K] 1; [FHM-M] 1; [IJZ] 1; [IJZ-MB] 1; [PP] 2</t>
        </is>
      </c>
    </row>
    <row r="44">
      <c r="A44" s="96" t="inlineStr">
        <is>
          <t>CJ052501/01</t>
        </is>
      </c>
      <c r="B44" s="97" t="inlineStr">
        <is>
          <t>P050162</t>
        </is>
      </c>
      <c r="C44" s="97" t="inlineStr">
        <is>
          <t>Cup Junky</t>
        </is>
      </c>
      <c r="D44" s="98" t="inlineStr">
        <is>
          <t>✓ COMPLETE</t>
        </is>
      </c>
      <c r="E44" s="105" t="inlineStr">
        <is>
          <t>✓</t>
        </is>
      </c>
      <c r="F44" s="98"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7</v>
      </c>
      <c r="T44" s="102" t="inlineStr">
        <is>
          <t>[CNP] 1; [FHM-K] 1; [FHM-M] 1; [IJZ] 1; [IJZ-MB] 1; [PP] 2</t>
        </is>
      </c>
    </row>
    <row r="45">
      <c r="A45" s="96" t="inlineStr">
        <is>
          <t>CJ052501/02</t>
        </is>
      </c>
      <c r="B45" s="97" t="inlineStr">
        <is>
          <t>P050172</t>
        </is>
      </c>
      <c r="C45" s="97" t="inlineStr">
        <is>
          <t>Cup Junky</t>
        </is>
      </c>
      <c r="D45" s="98" t="inlineStr">
        <is>
          <t>✓ COMPLETE</t>
        </is>
      </c>
      <c r="E45" s="105" t="inlineStr">
        <is>
          <t>✓</t>
        </is>
      </c>
      <c r="F45" s="98"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[IJZ] 1; [IJZ-MB] 2; [PP] 2</t>
        </is>
      </c>
    </row>
    <row r="46">
      <c r="A46" s="96" t="inlineStr">
        <is>
          <t>HPA052501</t>
        </is>
      </c>
      <c r="B46" s="97" t="inlineStr">
        <is>
          <t>P050182</t>
        </is>
      </c>
      <c r="C46" s="97" t="inlineStr">
        <is>
          <t>High Pro Amnesia</t>
        </is>
      </c>
      <c r="D46" s="98" t="inlineStr">
        <is>
          <t>✓ COMPLETE</t>
        </is>
      </c>
      <c r="E46" s="105" t="inlineStr">
        <is>
          <t>✓</t>
        </is>
      </c>
      <c r="F46" s="98"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5</v>
      </c>
      <c r="T46" s="102" t="inlineStr">
        <is>
          <t>[CNP] 1; [IJZ] 1; [IJZ-MB] 1; [PP] 2</t>
        </is>
      </c>
    </row>
    <row r="47">
      <c r="A47" s="96" t="inlineStr">
        <is>
          <t>BSS052501</t>
        </is>
      </c>
      <c r="B47" s="97" t="inlineStr">
        <is>
          <t>P050192</t>
        </is>
      </c>
      <c r="C47" s="97" t="inlineStr">
        <is>
          <t>Blue Sunset Sherbet</t>
        </is>
      </c>
      <c r="D47" s="98" t="inlineStr">
        <is>
          <t>✓ COMPLETE</t>
        </is>
      </c>
      <c r="E47" s="105" t="inlineStr">
        <is>
          <t>✓</t>
        </is>
      </c>
      <c r="F47" s="105" t="inlineStr">
        <is>
          <t>✓</t>
        </is>
      </c>
      <c r="G47" s="105" t="inlineStr">
        <is>
          <t>✓</t>
        </is>
      </c>
      <c r="H47" s="105" t="inlineStr">
        <is>
          <t>✓</t>
        </is>
      </c>
      <c r="I47" s="105" t="inlineStr">
        <is>
          <t>✓</t>
        </is>
      </c>
      <c r="J47" s="105" t="inlineStr">
        <is>
          <t>✓</t>
        </is>
      </c>
      <c r="K47" s="105" t="inlineStr">
        <is>
          <t>✓</t>
        </is>
      </c>
      <c r="L47" s="105" t="inlineStr">
        <is>
          <t>✓</t>
        </is>
      </c>
      <c r="M47" s="100" t="inlineStr">
        <is>
          <t>✓</t>
        </is>
      </c>
      <c r="N47" s="100" t="inlineStr">
        <is>
          <t>✓</t>
        </is>
      </c>
      <c r="O47" s="100" t="inlineStr">
        <is>
          <t>✓</t>
        </is>
      </c>
      <c r="P47" s="100" t="inlineStr">
        <is>
          <t>✓</t>
        </is>
      </c>
      <c r="Q47" s="101" t="n">
        <v>0</v>
      </c>
      <c r="R47" s="102" t="inlineStr">
        <is>
          <t>—</t>
        </is>
      </c>
      <c r="S47" s="103" t="n">
        <v>9</v>
      </c>
      <c r="T47" s="102" t="inlineStr">
        <is>
          <t>[DFL] 2; [FHM-M] 1; [IJZ] 1; [IJZ-MB] 2; [NGP] 1; [PP] 2</t>
        </is>
      </c>
    </row>
    <row r="48">
      <c r="A48" s="96" t="inlineStr">
        <is>
          <t>GP062501</t>
        </is>
      </c>
      <c r="B48" s="97" t="inlineStr">
        <is>
          <t>P050202</t>
        </is>
      </c>
      <c r="C48" s="97" t="inlineStr">
        <is>
          <t>Grape Pie</t>
        </is>
      </c>
      <c r="D48" s="98" t="inlineStr">
        <is>
          <t>✓ COMPLETE</t>
        </is>
      </c>
      <c r="E48" s="105" t="inlineStr">
        <is>
          <t>✓</t>
        </is>
      </c>
      <c r="F48" s="106"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[IJZ] 1; [IJZ-MB] 3; [NGP] 1; [PP] 2</t>
        </is>
      </c>
    </row>
    <row r="49">
      <c r="A49" s="96" t="inlineStr">
        <is>
          <t>CJ062501/2</t>
        </is>
      </c>
      <c r="B49" s="97" t="inlineStr">
        <is>
          <t>P050212</t>
        </is>
      </c>
      <c r="C49" s="97" t="inlineStr">
        <is>
          <t>Cap Junkie</t>
        </is>
      </c>
      <c r="D49" s="98" t="inlineStr">
        <is>
          <t>✓ COMPLETE</t>
        </is>
      </c>
      <c r="E49" s="105" t="inlineStr">
        <is>
          <t>✓</t>
        </is>
      </c>
      <c r="F49" s="98"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1; [PP] 2</t>
        </is>
      </c>
    </row>
    <row r="50">
      <c r="A50" s="96" t="inlineStr">
        <is>
          <t>CJ062501/1</t>
        </is>
      </c>
      <c r="B50" s="97" t="inlineStr">
        <is>
          <t>P050222</t>
        </is>
      </c>
      <c r="C50" s="97" t="inlineStr">
        <is>
          <t>Cap Junkie</t>
        </is>
      </c>
      <c r="D50" s="98" t="inlineStr">
        <is>
          <t>✓ COMPLETE</t>
        </is>
      </c>
      <c r="E50" s="105" t="inlineStr">
        <is>
          <t>✓</t>
        </is>
      </c>
      <c r="F50" s="98"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5</v>
      </c>
      <c r="T50" s="102" t="inlineStr">
        <is>
          <t>[CNP] 1; [IJZ] 1; [IJZ-MB] 1; [PP] 2</t>
        </is>
      </c>
    </row>
    <row r="51">
      <c r="A51" s="96" t="inlineStr">
        <is>
          <t>CJ072501</t>
        </is>
      </c>
      <c r="B51" s="97" t="inlineStr">
        <is>
          <t>P050252</t>
        </is>
      </c>
      <c r="C51" s="97" t="inlineStr">
        <is>
          <t>Cup Junky</t>
        </is>
      </c>
      <c r="D51" s="98" t="inlineStr">
        <is>
          <t>✓ COMPLETE</t>
        </is>
      </c>
      <c r="E51" s="105" t="inlineStr">
        <is>
          <t>✓</t>
        </is>
      </c>
      <c r="F51" s="98"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[IJZ] 1; [IJZ-MB] 2; [PP] 2</t>
        </is>
      </c>
    </row>
    <row r="52">
      <c r="A52" s="96" t="inlineStr">
        <is>
          <t>WC072501</t>
        </is>
      </c>
      <c r="B52" s="97" t="inlineStr">
        <is>
          <t>P050262</t>
        </is>
      </c>
      <c r="C52" s="97" t="inlineStr">
        <is>
          <t>Wedding Crasher</t>
        </is>
      </c>
      <c r="D52" s="98" t="inlineStr">
        <is>
          <t>✓ COMPLETE</t>
        </is>
      </c>
      <c r="E52" s="105" t="inlineStr">
        <is>
          <t>✓</t>
        </is>
      </c>
      <c r="F52" s="98"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[IJZ] 1; [IJZ-MB] 2; [PP] 2</t>
        </is>
      </c>
    </row>
    <row r="53">
      <c r="A53" s="96" t="inlineStr">
        <is>
          <t>PM072501</t>
        </is>
      </c>
      <c r="B53" s="97" t="inlineStr">
        <is>
          <t>P050272</t>
        </is>
      </c>
      <c r="C53" s="97" t="inlineStr">
        <is>
          <t>Permanent Market</t>
        </is>
      </c>
      <c r="D53" s="98" t="inlineStr">
        <is>
          <t>✓ COMPLETE</t>
        </is>
      </c>
      <c r="E53" s="105" t="inlineStr">
        <is>
          <t>✓</t>
        </is>
      </c>
      <c r="F53" s="98"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[IJZ] 1; [IJZ-MB] 2; [PP] 2</t>
        </is>
      </c>
    </row>
    <row r="54">
      <c r="A54" s="96" t="inlineStr">
        <is>
          <t>CLE072501</t>
        </is>
      </c>
      <c r="B54" s="97" t="inlineStr">
        <is>
          <t>P050282</t>
        </is>
      </c>
      <c r="C54" s="97" t="inlineStr">
        <is>
          <t>Clemosa a bud</t>
        </is>
      </c>
      <c r="D54" s="98" t="inlineStr">
        <is>
          <t>✓ COMPLETE</t>
        </is>
      </c>
      <c r="E54" s="105" t="inlineStr">
        <is>
          <t>✓</t>
        </is>
      </c>
      <c r="F54" s="98"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5</v>
      </c>
      <c r="T54" s="102" t="inlineStr">
        <is>
          <t>[CNP] 1; [IJZ] 1; [IJZ-MB] 1; [PP] 2</t>
        </is>
      </c>
    </row>
    <row r="55">
      <c r="A55" s="96" t="inlineStr">
        <is>
          <t>GP072501/1</t>
        </is>
      </c>
      <c r="B55" s="97" t="inlineStr">
        <is>
          <t>P050292</t>
        </is>
      </c>
      <c r="C55" s="97" t="inlineStr">
        <is>
          <t>Grape Pie</t>
        </is>
      </c>
      <c r="D55" s="98" t="inlineStr">
        <is>
          <t>✓ COMPLETE</t>
        </is>
      </c>
      <c r="E55" s="105" t="inlineStr">
        <is>
          <t>✓</t>
        </is>
      </c>
      <c r="F55" s="98"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[IJZ] 1; [IJZ-MB] 2; [PP] 2</t>
        </is>
      </c>
    </row>
    <row r="56">
      <c r="A56" s="96" t="inlineStr">
        <is>
          <t>GP072501/2</t>
        </is>
      </c>
      <c r="B56" s="97" t="inlineStr">
        <is>
          <t>P050302</t>
        </is>
      </c>
      <c r="C56" s="97" t="inlineStr">
        <is>
          <t>Grape Pie</t>
        </is>
      </c>
      <c r="D56" s="98" t="inlineStr">
        <is>
          <t>✓ COMPLETE</t>
        </is>
      </c>
      <c r="E56" s="105" t="inlineStr">
        <is>
          <t>✓</t>
        </is>
      </c>
      <c r="F56" s="98"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5</v>
      </c>
      <c r="T56" s="102" t="inlineStr">
        <is>
          <t>[CNP] 1; [IJZ] 1; [IJZ-MB] 1; [PP] 2</t>
        </is>
      </c>
    </row>
    <row r="57">
      <c r="A57" s="96" t="inlineStr">
        <is>
          <t>GP082501/1</t>
        </is>
      </c>
      <c r="B57" s="97" t="inlineStr">
        <is>
          <t>P050312</t>
        </is>
      </c>
      <c r="C57" s="97" t="inlineStr">
        <is>
          <t>Grape Pie</t>
        </is>
      </c>
      <c r="D57" s="98" t="inlineStr">
        <is>
          <t>✓ COMPLETE</t>
        </is>
      </c>
      <c r="E57" s="105" t="inlineStr">
        <is>
          <t>✓</t>
        </is>
      </c>
      <c r="F57" s="98"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5</v>
      </c>
      <c r="T57" s="102" t="inlineStr">
        <is>
          <t>[CNP] 1; [IJZ] 1; [IJZ-MB] 1; [PP] 2</t>
        </is>
      </c>
    </row>
    <row r="58">
      <c r="A58" s="96" t="inlineStr">
        <is>
          <t>GP082501/2</t>
        </is>
      </c>
      <c r="B58" s="97" t="inlineStr">
        <is>
          <t>P050322</t>
        </is>
      </c>
      <c r="C58" s="97" t="inlineStr">
        <is>
          <t>Grape Pie</t>
        </is>
      </c>
      <c r="D58" s="98" t="inlineStr">
        <is>
          <t>✓ COMPLETE</t>
        </is>
      </c>
      <c r="E58" s="105" t="inlineStr">
        <is>
          <t>✓</t>
        </is>
      </c>
      <c r="F58" s="98"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7</v>
      </c>
      <c r="T58" s="102" t="inlineStr">
        <is>
          <t>[CNP] 1; [FHM-K] 1; [FHM-M] 1; [IJZ] 1; [IJZ-MB] 1; [PP] 2</t>
        </is>
      </c>
    </row>
    <row r="59">
      <c r="A59" s="96" t="inlineStr">
        <is>
          <t>WC082501</t>
        </is>
      </c>
      <c r="B59" s="97" t="inlineStr">
        <is>
          <t>P060012</t>
        </is>
      </c>
      <c r="C59" s="97" t="inlineStr">
        <is>
          <t>Wedding Crasher</t>
        </is>
      </c>
      <c r="D59" s="98" t="inlineStr">
        <is>
          <t>✓ COMPLETE</t>
        </is>
      </c>
      <c r="E59" s="105" t="inlineStr">
        <is>
          <t>✓</t>
        </is>
      </c>
      <c r="F59" s="98"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5</v>
      </c>
      <c r="T59" s="102" t="inlineStr">
        <is>
          <t>[CNP] 1; [IJZ] 1; [IJZ-MB] 1; [PP] 2</t>
        </is>
      </c>
    </row>
    <row r="60">
      <c r="A60" s="96" t="inlineStr">
        <is>
          <t>CJ082501/1</t>
        </is>
      </c>
      <c r="B60" s="97" t="inlineStr">
        <is>
          <t>P060022</t>
        </is>
      </c>
      <c r="C60" s="97" t="inlineStr">
        <is>
          <t>Cap Junky</t>
        </is>
      </c>
      <c r="D60" s="98" t="inlineStr">
        <is>
          <t>✓ COMPLETE</t>
        </is>
      </c>
      <c r="E60" s="105" t="inlineStr">
        <is>
          <t>✓</t>
        </is>
      </c>
      <c r="F60" s="98"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5</v>
      </c>
      <c r="T60" s="102" t="inlineStr">
        <is>
          <t>[CNP] 1; [IJZ] 1; [IJZ-MB] 1; [PP] 2</t>
        </is>
      </c>
    </row>
    <row r="61">
      <c r="A61" s="96" t="inlineStr">
        <is>
          <t>CJ082501/2</t>
        </is>
      </c>
      <c r="B61" s="97" t="inlineStr">
        <is>
          <t>P060032</t>
        </is>
      </c>
      <c r="C61" s="97" t="inlineStr">
        <is>
          <t>Cap Junky</t>
        </is>
      </c>
      <c r="D61" s="98" t="inlineStr">
        <is>
          <t>✓ COMPLETE</t>
        </is>
      </c>
      <c r="E61" s="105" t="inlineStr">
        <is>
          <t>✓</t>
        </is>
      </c>
      <c r="F61" s="98"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7</v>
      </c>
      <c r="T61" s="102" t="inlineStr">
        <is>
          <t>[CNP] 1; [FHM-K] 1; [FHM-M] 1; [IJZ] 1; [IJZ-MB] 1; [PP] 2</t>
        </is>
      </c>
    </row>
    <row r="62">
      <c r="A62" s="96" t="inlineStr">
        <is>
          <t>OPM092501</t>
        </is>
      </c>
      <c r="B62" s="97" t="inlineStr">
        <is>
          <t>P060042</t>
        </is>
      </c>
      <c r="C62" s="97" t="inlineStr">
        <is>
          <t>Orange Punch Mimosa</t>
        </is>
      </c>
      <c r="D62" s="98" t="inlineStr">
        <is>
          <t>✓ COMPLETE</t>
        </is>
      </c>
      <c r="E62" s="105" t="inlineStr">
        <is>
          <t>✓</t>
        </is>
      </c>
      <c r="F62" s="98"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5</v>
      </c>
      <c r="T62" s="102" t="inlineStr">
        <is>
          <t>[CNP] 1; [IJZ] 1; [IJZ-MB] 1; [PP] 2</t>
        </is>
      </c>
    </row>
    <row r="63">
      <c r="A63" s="96" t="inlineStr">
        <is>
          <t>AB092501</t>
        </is>
      </c>
      <c r="B63" s="97" t="inlineStr">
        <is>
          <t>P060052</t>
        </is>
      </c>
      <c r="C63" s="97" t="inlineStr">
        <is>
          <t>Apple and Banana</t>
        </is>
      </c>
      <c r="D63" s="98" t="inlineStr">
        <is>
          <t>✓ COMPLETE</t>
        </is>
      </c>
      <c r="E63" s="105" t="inlineStr">
        <is>
          <t>✓</t>
        </is>
      </c>
      <c r="F63" s="98"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[IJZ] 1; [IJZ-MB] 2; [PP] 2</t>
        </is>
      </c>
    </row>
    <row r="64">
      <c r="A64" s="96" t="inlineStr">
        <is>
          <t>PM092501</t>
        </is>
      </c>
      <c r="B64" s="97" t="inlineStr">
        <is>
          <t>P060062</t>
        </is>
      </c>
      <c r="C64" s="97" t="inlineStr">
        <is>
          <t>Permanent Market</t>
        </is>
      </c>
      <c r="D64" s="98" t="inlineStr">
        <is>
          <t>✓ COMPLETE</t>
        </is>
      </c>
      <c r="E64" s="105" t="inlineStr">
        <is>
          <t>✓</t>
        </is>
      </c>
      <c r="F64" s="98"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7</v>
      </c>
      <c r="T64" s="102" t="inlineStr">
        <is>
          <t>[CNP] 1; [FHM-K] 1; [FHM-M] 1; [IJZ] 1; [IJZ-MB] 1; [PP] 2</t>
        </is>
      </c>
    </row>
    <row r="65">
      <c r="A65" s="96" t="inlineStr">
        <is>
          <t>CJ092501</t>
        </is>
      </c>
      <c r="B65" s="97" t="inlineStr">
        <is>
          <t>P060072</t>
        </is>
      </c>
      <c r="C65" s="97" t="inlineStr">
        <is>
          <t>Cap Junky</t>
        </is>
      </c>
      <c r="D65" s="98" t="inlineStr">
        <is>
          <t>✓ COMPLETE</t>
        </is>
      </c>
      <c r="E65" s="105" t="inlineStr">
        <is>
          <t>✓</t>
        </is>
      </c>
      <c r="F65" s="98"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5</v>
      </c>
      <c r="T65" s="102" t="inlineStr">
        <is>
          <t>[CNP] 1; [IJZ] 1; [IJZ-MB] 1; [PP] 2</t>
        </is>
      </c>
    </row>
    <row r="66">
      <c r="A66" s="96" t="inlineStr">
        <is>
          <t>SJ0925021</t>
        </is>
      </c>
      <c r="B66" s="97" t="inlineStr">
        <is>
          <t>P060082</t>
        </is>
      </c>
      <c r="C66" s="97" t="inlineStr">
        <is>
          <t>Sleepy Joy</t>
        </is>
      </c>
      <c r="D66" s="98" t="inlineStr">
        <is>
          <t>✓ COMPLETE</t>
        </is>
      </c>
      <c r="E66" s="105" t="inlineStr">
        <is>
          <t>✓</t>
        </is>
      </c>
      <c r="F66" s="98"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5</v>
      </c>
      <c r="T66" s="102" t="inlineStr">
        <is>
          <t>[CNP] 1; [IJZ] 1; [IJZ-MB] 1; [PP] 2</t>
        </is>
      </c>
    </row>
    <row r="67">
      <c r="A67" s="96" t="inlineStr">
        <is>
          <t>GP092501</t>
        </is>
      </c>
      <c r="B67" s="97" t="inlineStr">
        <is>
          <t>P060092</t>
        </is>
      </c>
      <c r="C67" s="97" t="inlineStr">
        <is>
          <t>Grape Pie</t>
        </is>
      </c>
      <c r="D67" s="98" t="inlineStr">
        <is>
          <t>✓ COMPLETE</t>
        </is>
      </c>
      <c r="E67" s="105" t="inlineStr">
        <is>
          <t>✓</t>
        </is>
      </c>
      <c r="F67" s="98"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5</v>
      </c>
      <c r="T67" s="102" t="inlineStr">
        <is>
          <t>[CNP] 1; [IJZ] 1; [IJZ-MB] 1; [PP] 2</t>
        </is>
      </c>
    </row>
    <row r="68" ht="26" customHeight="1" s="70">
      <c r="A68" s="96" t="inlineStr">
        <is>
          <t>J31102501</t>
        </is>
      </c>
      <c r="B68" s="97" t="inlineStr">
        <is>
          <t>P060152</t>
        </is>
      </c>
      <c r="C68" s="97" t="inlineStr">
        <is>
          <t>Jokerz 31</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8" t="inlineStr">
        <is>
          <t>✓</t>
        </is>
      </c>
      <c r="M68" s="99" t="inlineStr">
        <is>
          <t>✗</t>
        </is>
      </c>
      <c r="N68" s="100" t="inlineStr">
        <is>
          <t>✓</t>
        </is>
      </c>
      <c r="O68" s="99" t="inlineStr">
        <is>
          <t>✗</t>
        </is>
      </c>
      <c r="P68" s="99" t="inlineStr">
        <is>
          <t>✗</t>
        </is>
      </c>
      <c r="Q68" s="101" t="n">
        <v>3</v>
      </c>
      <c r="R68" s="104" t="inlineStr">
        <is>
          <t>#9 Microbiology; #11 Heavy metals; #12 Pesticides</t>
        </is>
      </c>
      <c r="S68" s="103" t="n">
        <v>4</v>
      </c>
      <c r="T68" s="102" t="inlineStr">
        <is>
          <t>[FHM-K] 1; [FHM-M] 1; [PP] 2</t>
        </is>
      </c>
    </row>
    <row r="69" ht="26" customHeight="1" s="70">
      <c r="A69" s="96" t="inlineStr">
        <is>
          <t>JD112501</t>
        </is>
      </c>
      <c r="B69" s="97" t="inlineStr">
        <is>
          <t>P060212</t>
        </is>
      </c>
      <c r="C69" s="97" t="inlineStr">
        <is>
          <t>Jelly Donutz</t>
        </is>
      </c>
      <c r="D69" s="99" t="inlineStr">
        <is>
          <t>✓ COMPLETE</t>
        </is>
      </c>
      <c r="E69" s="105" t="inlineStr">
        <is>
          <t>✓</t>
        </is>
      </c>
      <c r="F69" s="105" t="inlineStr">
        <is>
          <t>✓</t>
        </is>
      </c>
      <c r="G69" s="100" t="inlineStr">
        <is>
          <t>✓</t>
        </is>
      </c>
      <c r="H69" s="100" t="inlineStr">
        <is>
          <t>✓</t>
        </is>
      </c>
      <c r="I69" s="100" t="inlineStr">
        <is>
          <t>✓</t>
        </is>
      </c>
      <c r="J69" s="100" t="inlineStr">
        <is>
          <t>✓</t>
        </is>
      </c>
      <c r="K69" s="105" t="inlineStr">
        <is>
          <t>✓</t>
        </is>
      </c>
      <c r="L69" s="98" t="inlineStr">
        <is>
          <t>✓</t>
        </is>
      </c>
      <c r="M69" s="98" t="inlineStr">
        <is>
          <t>✓</t>
        </is>
      </c>
      <c r="N69" s="100" t="inlineStr">
        <is>
          <t>✓</t>
        </is>
      </c>
      <c r="O69" s="98" t="inlineStr">
        <is>
          <t>✓</t>
        </is>
      </c>
      <c r="P69" s="98" t="inlineStr">
        <is>
          <t>✓</t>
        </is>
      </c>
      <c r="Q69" s="101" t="n">
        <v>0</v>
      </c>
      <c r="R69" s="104" t="inlineStr">
        <is>
          <t>—</t>
        </is>
      </c>
      <c r="S69" s="103" t="n">
        <v>4</v>
      </c>
      <c r="T69" s="102" t="inlineStr">
        <is>
          <t>[FHM-K] 1; [FHM-M] 1; [PP] 2</t>
        </is>
      </c>
    </row>
    <row r="70" ht="26" customHeight="1" s="70">
      <c r="A70" s="96" t="inlineStr">
        <is>
          <t>OPM122501</t>
        </is>
      </c>
      <c r="B70" s="97" t="inlineStr">
        <is>
          <t>P060242</t>
        </is>
      </c>
      <c r="C70" s="97" t="inlineStr">
        <is>
          <t>Orange Punch Mimosa</t>
        </is>
      </c>
      <c r="D70" s="99" t="inlineStr">
        <is>
          <t>✓ COMPLETE</t>
        </is>
      </c>
      <c r="E70" s="105" t="inlineStr">
        <is>
          <t>✓</t>
        </is>
      </c>
      <c r="F70" s="105" t="inlineStr">
        <is>
          <t>✓</t>
        </is>
      </c>
      <c r="G70" s="100" t="inlineStr">
        <is>
          <t>✓</t>
        </is>
      </c>
      <c r="H70" s="100" t="inlineStr">
        <is>
          <t>✓</t>
        </is>
      </c>
      <c r="I70" s="100" t="inlineStr">
        <is>
          <t>✓</t>
        </is>
      </c>
      <c r="J70" s="100" t="inlineStr">
        <is>
          <t>✓</t>
        </is>
      </c>
      <c r="K70" s="105" t="inlineStr">
        <is>
          <t>✓</t>
        </is>
      </c>
      <c r="L70" s="98" t="inlineStr">
        <is>
          <t>✓</t>
        </is>
      </c>
      <c r="M70" s="98" t="inlineStr">
        <is>
          <t>✓</t>
        </is>
      </c>
      <c r="N70" s="100" t="inlineStr">
        <is>
          <t>✓</t>
        </is>
      </c>
      <c r="O70" s="98" t="inlineStr">
        <is>
          <t>✓</t>
        </is>
      </c>
      <c r="P70" s="98" t="inlineStr">
        <is>
          <t>✓</t>
        </is>
      </c>
      <c r="Q70" s="101" t="n">
        <v>0</v>
      </c>
      <c r="R70" s="104" t="inlineStr">
        <is>
          <t>—</t>
        </is>
      </c>
      <c r="S70" s="103" t="n">
        <v>4</v>
      </c>
      <c r="T70" s="102" t="inlineStr">
        <is>
          <t>[FHM-K] 1; [FHM-M] 1; [PP] 2</t>
        </is>
      </c>
    </row>
    <row r="71" ht="26" customHeight="1" s="70">
      <c r="A71" s="96" t="inlineStr">
        <is>
          <t>CC012601/1</t>
        </is>
      </c>
      <c r="B71" s="97" t="inlineStr">
        <is>
          <t>P060332</t>
        </is>
      </c>
      <c r="C71" s="97" t="inlineStr"/>
      <c r="D71" s="98" t="inlineStr">
        <is>
          <t>⚠ 3 MISSING</t>
        </is>
      </c>
      <c r="E71" s="105" t="inlineStr">
        <is>
          <t>✓</t>
        </is>
      </c>
      <c r="F71" s="105" t="inlineStr">
        <is>
          <t>✓</t>
        </is>
      </c>
      <c r="G71" s="100" t="inlineStr">
        <is>
          <t>✓</t>
        </is>
      </c>
      <c r="H71" s="100" t="inlineStr">
        <is>
          <t>✓</t>
        </is>
      </c>
      <c r="I71" s="100" t="inlineStr">
        <is>
          <t>✓</t>
        </is>
      </c>
      <c r="J71" s="100" t="inlineStr">
        <is>
          <t>✓</t>
        </is>
      </c>
      <c r="K71" s="105" t="inlineStr">
        <is>
          <t>✓</t>
        </is>
      </c>
      <c r="L71" s="98" t="inlineStr">
        <is>
          <t>✓</t>
        </is>
      </c>
      <c r="M71" s="99" t="inlineStr">
        <is>
          <t>✗</t>
        </is>
      </c>
      <c r="N71" s="100" t="inlineStr">
        <is>
          <t>✓</t>
        </is>
      </c>
      <c r="O71" s="99" t="inlineStr">
        <is>
          <t>✗</t>
        </is>
      </c>
      <c r="P71" s="99" t="inlineStr">
        <is>
          <t>✗</t>
        </is>
      </c>
      <c r="Q71" s="101" t="n">
        <v>3</v>
      </c>
      <c r="R71" s="104" t="inlineStr">
        <is>
          <t>#9 Microbiology; #11 Heavy metals; #12 Pesticides</t>
        </is>
      </c>
      <c r="S71" s="103" t="n">
        <v>4</v>
      </c>
      <c r="T71" s="102" t="inlineStr">
        <is>
          <t>[FHM-K] 1; [FHM-M] 1; [PP] 2</t>
        </is>
      </c>
    </row>
    <row r="72" ht="26" customHeight="1" s="70">
      <c r="A72" s="96" t="inlineStr">
        <is>
          <t>FB012602*</t>
        </is>
      </c>
      <c r="B72" s="97" t="inlineStr">
        <is>
          <t>P060352</t>
        </is>
      </c>
      <c r="C72" s="97" t="inlineStr">
        <is>
          <t>Fat Bastard</t>
        </is>
      </c>
      <c r="D72" s="98" t="inlineStr">
        <is>
          <t>⚠ 3 MISSING</t>
        </is>
      </c>
      <c r="E72" s="105" t="inlineStr">
        <is>
          <t>✓</t>
        </is>
      </c>
      <c r="F72" s="105" t="inlineStr">
        <is>
          <t>✓</t>
        </is>
      </c>
      <c r="G72" s="100" t="inlineStr">
        <is>
          <t>✓</t>
        </is>
      </c>
      <c r="H72" s="100" t="inlineStr">
        <is>
          <t>✓</t>
        </is>
      </c>
      <c r="I72" s="100" t="inlineStr">
        <is>
          <t>✓</t>
        </is>
      </c>
      <c r="J72" s="100" t="inlineStr">
        <is>
          <t>✓</t>
        </is>
      </c>
      <c r="K72" s="105" t="inlineStr">
        <is>
          <t>✓</t>
        </is>
      </c>
      <c r="L72" s="98" t="inlineStr">
        <is>
          <t>✓</t>
        </is>
      </c>
      <c r="M72" s="99" t="inlineStr">
        <is>
          <t>✗</t>
        </is>
      </c>
      <c r="N72" s="100" t="inlineStr">
        <is>
          <t>✓</t>
        </is>
      </c>
      <c r="O72" s="99" t="inlineStr">
        <is>
          <t>✗</t>
        </is>
      </c>
      <c r="P72" s="99" t="inlineStr">
        <is>
          <t>✗</t>
        </is>
      </c>
      <c r="Q72" s="101" t="n">
        <v>3</v>
      </c>
      <c r="R72" s="104" t="inlineStr">
        <is>
          <t>#9 Microbiology; #11 Heavy metals; #12 Pesticides</t>
        </is>
      </c>
      <c r="S72" s="103" t="n">
        <v>4</v>
      </c>
      <c r="T72" s="102" t="inlineStr">
        <is>
          <t>[FHM-K] 1; [FHM-M] 1; [PP] 2</t>
        </is>
      </c>
    </row>
    <row r="73" ht="26" customHeight="1" s="70">
      <c r="A73" s="96" t="inlineStr">
        <is>
          <t>SCR012603</t>
        </is>
      </c>
      <c r="B73" s="97" t="inlineStr">
        <is>
          <t>P060382</t>
        </is>
      </c>
      <c r="C73" s="97" t="inlineStr">
        <is>
          <t>Scrambler</t>
        </is>
      </c>
      <c r="D73" s="98" t="inlineStr">
        <is>
          <t>⚠ 3 MISSING</t>
        </is>
      </c>
      <c r="E73" s="105" t="inlineStr">
        <is>
          <t>✓</t>
        </is>
      </c>
      <c r="F73" s="105" t="inlineStr">
        <is>
          <t>✓</t>
        </is>
      </c>
      <c r="G73" s="100" t="inlineStr">
        <is>
          <t>✓</t>
        </is>
      </c>
      <c r="H73" s="100" t="inlineStr">
        <is>
          <t>✓</t>
        </is>
      </c>
      <c r="I73" s="100" t="inlineStr">
        <is>
          <t>✓</t>
        </is>
      </c>
      <c r="J73" s="100" t="inlineStr">
        <is>
          <t>✓</t>
        </is>
      </c>
      <c r="K73" s="105" t="inlineStr">
        <is>
          <t>✓</t>
        </is>
      </c>
      <c r="L73" s="98" t="inlineStr">
        <is>
          <t>✓</t>
        </is>
      </c>
      <c r="M73" s="99" t="inlineStr">
        <is>
          <t>✗</t>
        </is>
      </c>
      <c r="N73" s="100" t="inlineStr">
        <is>
          <t>✓</t>
        </is>
      </c>
      <c r="O73" s="99" t="inlineStr">
        <is>
          <t>✗</t>
        </is>
      </c>
      <c r="P73" s="99" t="inlineStr">
        <is>
          <t>✗</t>
        </is>
      </c>
      <c r="Q73" s="101" t="n">
        <v>3</v>
      </c>
      <c r="R73" s="104" t="inlineStr">
        <is>
          <t>#9 Microbiology; #11 Heavy metals; #12 Pesticides</t>
        </is>
      </c>
      <c r="S73" s="103" t="n">
        <v>4</v>
      </c>
      <c r="T73" s="102" t="inlineStr">
        <is>
          <t>[FHM-K] 1; [FHM-M] 1; [PP] 2</t>
        </is>
      </c>
    </row>
    <row r="74" ht="26" customHeight="1" s="70">
      <c r="A74" s="96" t="inlineStr">
        <is>
          <t>GG012603</t>
        </is>
      </c>
      <c r="B74" s="97" t="inlineStr">
        <is>
          <t>P060402</t>
        </is>
      </c>
      <c r="C74" s="97" t="inlineStr">
        <is>
          <t>GorillaGlue</t>
        </is>
      </c>
      <c r="D74" s="98" t="inlineStr">
        <is>
          <t>⚠ 3 MISSING</t>
        </is>
      </c>
      <c r="E74" s="98" t="inlineStr">
        <is>
          <t>✓</t>
        </is>
      </c>
      <c r="F74" s="98" t="inlineStr">
        <is>
          <t>✓</t>
        </is>
      </c>
      <c r="G74" s="100" t="inlineStr">
        <is>
          <t>✓</t>
        </is>
      </c>
      <c r="H74" s="100" t="inlineStr">
        <is>
          <t>✓</t>
        </is>
      </c>
      <c r="I74" s="100" t="inlineStr">
        <is>
          <t>✓</t>
        </is>
      </c>
      <c r="J74" s="100" t="inlineStr">
        <is>
          <t>✓</t>
        </is>
      </c>
      <c r="K74" s="98" t="inlineStr">
        <is>
          <t>✓</t>
        </is>
      </c>
      <c r="L74" s="98" t="inlineStr">
        <is>
          <t>✓</t>
        </is>
      </c>
      <c r="M74" s="99" t="inlineStr">
        <is>
          <t>✗</t>
        </is>
      </c>
      <c r="N74" s="100" t="inlineStr">
        <is>
          <t>✓</t>
        </is>
      </c>
      <c r="O74" s="99" t="inlineStr">
        <is>
          <t>✗</t>
        </is>
      </c>
      <c r="P74" s="99" t="inlineStr">
        <is>
          <t>✗</t>
        </is>
      </c>
      <c r="Q74" s="101" t="n">
        <v>3</v>
      </c>
      <c r="R74" s="104" t="inlineStr">
        <is>
          <t>#9 Microbiology; #11 Heavy metals; #12 Pesticides</t>
        </is>
      </c>
      <c r="S74" s="103" t="n">
        <v>2</v>
      </c>
      <c r="T74" s="102" t="inlineStr">
        <is>
          <t>[FHM-K] 1; [FHM-M] 1</t>
        </is>
      </c>
    </row>
    <row r="75" ht="26" customHeight="1" s="70">
      <c r="A75" s="96" t="inlineStr">
        <is>
          <t>— not assigned —</t>
        </is>
      </c>
      <c r="B75" s="97" t="inlineStr">
        <is>
          <t>P160012</t>
        </is>
      </c>
      <c r="C75" s="97" t="inlineStr"/>
      <c r="D75" s="98" t="inlineStr">
        <is>
          <t>❌ 4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9" t="inlineStr">
        <is>
          <t>✗</t>
        </is>
      </c>
      <c r="N75" s="99" t="inlineStr">
        <is>
          <t>✗</t>
        </is>
      </c>
      <c r="O75" s="99" t="inlineStr">
        <is>
          <t>✗</t>
        </is>
      </c>
      <c r="P75" s="99" t="inlineStr">
        <is>
          <t>✗</t>
        </is>
      </c>
      <c r="Q75" s="101" t="n">
        <v>4</v>
      </c>
      <c r="R75" s="104" t="inlineStr">
        <is>
          <t>#9 Microbiology; #10 Mycotoxins; #11 Heavy metals; #12 Pesticides</t>
        </is>
      </c>
      <c r="S75" s="103" t="n">
        <v>1</v>
      </c>
      <c r="T75" s="102" t="inlineStr">
        <is>
          <t>[CNP] 1</t>
        </is>
      </c>
    </row>
    <row r="76" ht="26" customHeight="1" s="70">
      <c r="A76" s="96" t="inlineStr">
        <is>
          <t>— not assigned —</t>
        </is>
      </c>
      <c r="B76" s="97" t="inlineStr">
        <is>
          <t>P160022</t>
        </is>
      </c>
      <c r="C76" s="97" t="inlineStr"/>
      <c r="D76" s="98" t="inlineStr">
        <is>
          <t>❌ 4 MISSING</t>
        </is>
      </c>
      <c r="E76" s="98" t="inlineStr">
        <is>
          <t>✓</t>
        </is>
      </c>
      <c r="F76" s="100" t="inlineStr">
        <is>
          <t>✓</t>
        </is>
      </c>
      <c r="G76" s="100" t="inlineStr">
        <is>
          <t>✓</t>
        </is>
      </c>
      <c r="H76" s="100" t="inlineStr">
        <is>
          <t>✓</t>
        </is>
      </c>
      <c r="I76" s="100" t="inlineStr">
        <is>
          <t>✓</t>
        </is>
      </c>
      <c r="J76" s="100" t="inlineStr">
        <is>
          <t>✓</t>
        </is>
      </c>
      <c r="K76" s="98" t="inlineStr">
        <is>
          <t>✓</t>
        </is>
      </c>
      <c r="L76" s="100" t="inlineStr">
        <is>
          <t>✓</t>
        </is>
      </c>
      <c r="M76" s="99" t="inlineStr">
        <is>
          <t>✗</t>
        </is>
      </c>
      <c r="N76" s="99" t="inlineStr">
        <is>
          <t>✗</t>
        </is>
      </c>
      <c r="O76" s="99" t="inlineStr">
        <is>
          <t>✗</t>
        </is>
      </c>
      <c r="P76" s="99" t="inlineStr">
        <is>
          <t>✗</t>
        </is>
      </c>
      <c r="Q76" s="101" t="n">
        <v>4</v>
      </c>
      <c r="R76" s="104" t="inlineStr">
        <is>
          <t>#9 Microbiology; #10 Mycotoxins; #11 Heavy metals; #12 Pesticides</t>
        </is>
      </c>
      <c r="S76" s="103" t="n">
        <v>1</v>
      </c>
      <c r="T76" s="102" t="inlineStr">
        <is>
          <t>[CNP] 1</t>
        </is>
      </c>
    </row>
    <row r="77" ht="26" customHeight="1" s="70">
      <c r="A77" s="96" t="inlineStr">
        <is>
          <t>— not assigned —</t>
        </is>
      </c>
      <c r="B77" s="97" t="inlineStr">
        <is>
          <t>P160032</t>
        </is>
      </c>
      <c r="C77" s="97" t="inlineStr"/>
      <c r="D77" s="98" t="inlineStr">
        <is>
          <t>❌ 4 MISSING</t>
        </is>
      </c>
      <c r="E77" s="98" t="inlineStr">
        <is>
          <t>✓</t>
        </is>
      </c>
      <c r="F77" s="100" t="inlineStr">
        <is>
          <t>✓</t>
        </is>
      </c>
      <c r="G77" s="100" t="inlineStr">
        <is>
          <t>✓</t>
        </is>
      </c>
      <c r="H77" s="100" t="inlineStr">
        <is>
          <t>✓</t>
        </is>
      </c>
      <c r="I77" s="100" t="inlineStr">
        <is>
          <t>✓</t>
        </is>
      </c>
      <c r="J77" s="100" t="inlineStr">
        <is>
          <t>✓</t>
        </is>
      </c>
      <c r="K77" s="98" t="inlineStr">
        <is>
          <t>✓</t>
        </is>
      </c>
      <c r="L77" s="100" t="inlineStr">
        <is>
          <t>✓</t>
        </is>
      </c>
      <c r="M77" s="99" t="inlineStr">
        <is>
          <t>✗</t>
        </is>
      </c>
      <c r="N77" s="99" t="inlineStr">
        <is>
          <t>✗</t>
        </is>
      </c>
      <c r="O77" s="99" t="inlineStr">
        <is>
          <t>✗</t>
        </is>
      </c>
      <c r="P77" s="99" t="inlineStr">
        <is>
          <t>✗</t>
        </is>
      </c>
      <c r="Q77" s="101" t="n">
        <v>4</v>
      </c>
      <c r="R77" s="104" t="inlineStr">
        <is>
          <t>#9 Microbiology; #10 Mycotoxins; #11 Heavy metals; #12 Pesticides</t>
        </is>
      </c>
      <c r="S77" s="103" t="n">
        <v>1</v>
      </c>
      <c r="T77" s="102" t="inlineStr">
        <is>
          <t>[CNP] 1</t>
        </is>
      </c>
    </row>
    <row r="78" ht="26" customHeight="1" s="70">
      <c r="A78" s="96" t="inlineStr">
        <is>
          <t>PM112501</t>
        </is>
      </c>
      <c r="B78" s="97" t="inlineStr">
        <is>
          <t>P060232</t>
        </is>
      </c>
      <c r="C78" s="97" t="inlineStr">
        <is>
          <t>Permanent Market</t>
        </is>
      </c>
      <c r="D78" s="98" t="inlineStr">
        <is>
          <t>❌ 4 MISSING</t>
        </is>
      </c>
      <c r="E78" s="105" t="inlineStr">
        <is>
          <t>✓</t>
        </is>
      </c>
      <c r="F78" s="98" t="inlineStr">
        <is>
          <t>✓</t>
        </is>
      </c>
      <c r="G78" s="100" t="inlineStr">
        <is>
          <t>✓</t>
        </is>
      </c>
      <c r="H78" s="100" t="inlineStr">
        <is>
          <t>✓</t>
        </is>
      </c>
      <c r="I78" s="100" t="inlineStr">
        <is>
          <t>✓</t>
        </is>
      </c>
      <c r="J78" s="98"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3</v>
      </c>
      <c r="T78" s="102" t="inlineStr">
        <is>
          <t>[CNP] 1; [PP] 2</t>
        </is>
      </c>
    </row>
    <row r="79" ht="26" customHeight="1" s="70">
      <c r="A79" s="96" t="inlineStr">
        <is>
          <t>SCR022601</t>
        </is>
      </c>
      <c r="B79" s="97" t="inlineStr">
        <is>
          <t>P060442</t>
        </is>
      </c>
      <c r="C79" s="97" t="inlineStr">
        <is>
          <t>Scrambler</t>
        </is>
      </c>
      <c r="D79" s="98" t="inlineStr">
        <is>
          <t>⚠ 3 MISSING</t>
        </is>
      </c>
      <c r="E79" s="98" t="inlineStr">
        <is>
          <t>✓</t>
        </is>
      </c>
      <c r="F79" s="100" t="inlineStr">
        <is>
          <t>✓</t>
        </is>
      </c>
      <c r="G79" s="100" t="inlineStr">
        <is>
          <t>✓</t>
        </is>
      </c>
      <c r="H79" s="100" t="inlineStr">
        <is>
          <t>✓</t>
        </is>
      </c>
      <c r="I79" s="100" t="inlineStr">
        <is>
          <t>✓</t>
        </is>
      </c>
      <c r="J79" s="100" t="inlineStr">
        <is>
          <t>✓</t>
        </is>
      </c>
      <c r="K79" s="98" t="inlineStr">
        <is>
          <t>✓</t>
        </is>
      </c>
      <c r="L79" s="100" t="inlineStr">
        <is>
          <t>✓</t>
        </is>
      </c>
      <c r="M79" s="98" t="inlineStr">
        <is>
          <t>✓</t>
        </is>
      </c>
      <c r="N79" s="99" t="inlineStr">
        <is>
          <t>✗</t>
        </is>
      </c>
      <c r="O79" s="99" t="inlineStr">
        <is>
          <t>✗</t>
        </is>
      </c>
      <c r="P79" s="99" t="inlineStr">
        <is>
          <t>✗</t>
        </is>
      </c>
      <c r="Q79" s="101" t="n">
        <v>3</v>
      </c>
      <c r="R79" s="104" t="inlineStr">
        <is>
          <t>#10 Mycotoxins; #11 Heavy metals; #12 Pesticides</t>
        </is>
      </c>
      <c r="S79" s="103" t="n">
        <v>2</v>
      </c>
      <c r="T79" s="102" t="inlineStr">
        <is>
          <t>[CNP] 1; [IJZ-MB] 1</t>
        </is>
      </c>
    </row>
    <row r="80">
      <c r="A80" s="96" t="inlineStr">
        <is>
          <t>SCR112501</t>
        </is>
      </c>
      <c r="B80" s="97" t="inlineStr">
        <is>
          <t>P060282</t>
        </is>
      </c>
      <c r="C80" s="97" t="inlineStr">
        <is>
          <t>Scrambler</t>
        </is>
      </c>
      <c r="D80" s="98" t="inlineStr">
        <is>
          <t>✓ COMPLETE</t>
        </is>
      </c>
      <c r="E80" s="105" t="inlineStr">
        <is>
          <t>✓</t>
        </is>
      </c>
      <c r="F80" s="98" t="inlineStr">
        <is>
          <t>✓</t>
        </is>
      </c>
      <c r="G80" s="100" t="inlineStr">
        <is>
          <t>✓</t>
        </is>
      </c>
      <c r="H80" s="100" t="inlineStr">
        <is>
          <t>✓</t>
        </is>
      </c>
      <c r="I80" s="100" t="inlineStr">
        <is>
          <t>✓</t>
        </is>
      </c>
      <c r="J80" s="98" t="inlineStr">
        <is>
          <t>✓</t>
        </is>
      </c>
      <c r="K80" s="105" t="inlineStr">
        <is>
          <t>✓</t>
        </is>
      </c>
      <c r="L80" s="100" t="inlineStr">
        <is>
          <t>✓</t>
        </is>
      </c>
      <c r="M80" s="98" t="inlineStr">
        <is>
          <t>✓</t>
        </is>
      </c>
      <c r="N80" s="98" t="inlineStr">
        <is>
          <t>✓</t>
        </is>
      </c>
      <c r="O80" s="98" t="inlineStr">
        <is>
          <t>✓</t>
        </is>
      </c>
      <c r="P80" s="98" t="inlineStr">
        <is>
          <t>✓</t>
        </is>
      </c>
      <c r="Q80" s="101" t="n">
        <v>0</v>
      </c>
      <c r="R80" s="102" t="inlineStr">
        <is>
          <t>—</t>
        </is>
      </c>
      <c r="S80" s="103" t="n">
        <v>5</v>
      </c>
      <c r="T80" s="102" t="inlineStr">
        <is>
          <t>[CNP] 1; [IJZ] 1; [IJZ-MB] 1; [PP] 2</t>
        </is>
      </c>
    </row>
    <row r="81" ht="26" customHeight="1" s="70">
      <c r="A81" s="96" t="inlineStr">
        <is>
          <t>SJ102501</t>
        </is>
      </c>
      <c r="B81" s="97" t="inlineStr">
        <is>
          <t>P060162</t>
        </is>
      </c>
      <c r="C81" s="97" t="inlineStr">
        <is>
          <t>Sleepy Joy</t>
        </is>
      </c>
      <c r="D81" s="98" t="inlineStr">
        <is>
          <t>⚠ 3 MISSING</t>
        </is>
      </c>
      <c r="E81" s="105" t="inlineStr">
        <is>
          <t>✓</t>
        </is>
      </c>
      <c r="F81" s="105" t="inlineStr">
        <is>
          <t>✓</t>
        </is>
      </c>
      <c r="G81" s="100" t="inlineStr">
        <is>
          <t>✓</t>
        </is>
      </c>
      <c r="H81" s="100" t="inlineStr">
        <is>
          <t>✓</t>
        </is>
      </c>
      <c r="I81" s="100" t="inlineStr">
        <is>
          <t>✓</t>
        </is>
      </c>
      <c r="J81" s="100" t="inlineStr">
        <is>
          <t>✓</t>
        </is>
      </c>
      <c r="K81" s="105" t="inlineStr">
        <is>
          <t>✓</t>
        </is>
      </c>
      <c r="L81" s="100" t="inlineStr">
        <is>
          <t>✓</t>
        </is>
      </c>
      <c r="M81" s="98" t="inlineStr">
        <is>
          <t>✓</t>
        </is>
      </c>
      <c r="N81" s="99" t="inlineStr">
        <is>
          <t>✗</t>
        </is>
      </c>
      <c r="O81" s="99" t="inlineStr">
        <is>
          <t>✗</t>
        </is>
      </c>
      <c r="P81" s="99" t="inlineStr">
        <is>
          <t>✗</t>
        </is>
      </c>
      <c r="Q81" s="101" t="n">
        <v>3</v>
      </c>
      <c r="R81" s="104" t="inlineStr">
        <is>
          <t>#10 Mycotoxins; #11 Heavy metals; #12 Pesticides</t>
        </is>
      </c>
      <c r="S81" s="103" t="n">
        <v>5</v>
      </c>
      <c r="T81" s="102" t="inlineStr">
        <is>
          <t>[FHM-K] 2; [IJZ-MB] 1; [PP] 2</t>
        </is>
      </c>
    </row>
    <row r="82" ht="26" customHeight="1" s="70">
      <c r="A82" s="96" t="inlineStr">
        <is>
          <t>SJ112501</t>
        </is>
      </c>
      <c r="B82" s="97" t="inlineStr">
        <is>
          <t>P060192</t>
        </is>
      </c>
      <c r="C82" s="97" t="inlineStr">
        <is>
          <t>Sleepy Joy</t>
        </is>
      </c>
      <c r="D82" s="98" t="inlineStr">
        <is>
          <t>❌ 4 MISSING</t>
        </is>
      </c>
      <c r="E82" s="105" t="inlineStr">
        <is>
          <t>✓</t>
        </is>
      </c>
      <c r="F82" s="105" t="inlineStr">
        <is>
          <t>✓</t>
        </is>
      </c>
      <c r="G82" s="100" t="inlineStr">
        <is>
          <t>✓</t>
        </is>
      </c>
      <c r="H82" s="100" t="inlineStr">
        <is>
          <t>✓</t>
        </is>
      </c>
      <c r="I82" s="100" t="inlineStr">
        <is>
          <t>✓</t>
        </is>
      </c>
      <c r="J82" s="100" t="inlineStr">
        <is>
          <t>✓</t>
        </is>
      </c>
      <c r="K82" s="105" t="inlineStr">
        <is>
          <t>✓</t>
        </is>
      </c>
      <c r="L82" s="100" t="inlineStr">
        <is>
          <t>✓</t>
        </is>
      </c>
      <c r="M82" s="99" t="inlineStr">
        <is>
          <t>✗</t>
        </is>
      </c>
      <c r="N82" s="99" t="inlineStr">
        <is>
          <t>✗</t>
        </is>
      </c>
      <c r="O82" s="99" t="inlineStr">
        <is>
          <t>✗</t>
        </is>
      </c>
      <c r="P82" s="99" t="inlineStr">
        <is>
          <t>✗</t>
        </is>
      </c>
      <c r="Q82" s="101" t="n">
        <v>4</v>
      </c>
      <c r="R82" s="104" t="inlineStr">
        <is>
          <t>#9 Microbiology; #10 Mycotoxins; #11 Heavy metals; #12 Pesticides</t>
        </is>
      </c>
      <c r="S82" s="103" t="n">
        <v>4</v>
      </c>
      <c r="T82" s="102" t="inlineStr">
        <is>
          <t>[FHM-K] 2; [PP] 2</t>
        </is>
      </c>
    </row>
    <row r="83">
      <c r="A83" s="96" t="inlineStr">
        <is>
          <t>— not recorded —</t>
        </is>
      </c>
      <c r="B83" s="97" t="inlineStr">
        <is>
          <t>P050142</t>
        </is>
      </c>
      <c r="C83" s="97" t="inlineStr">
        <is>
          <t>Blue Sunset Sherbet</t>
        </is>
      </c>
      <c r="D83" s="99" t="inlineStr">
        <is>
          <t>❌ 8 MISSING</t>
        </is>
      </c>
      <c r="E83" s="105" t="inlineStr">
        <is>
          <t>✓</t>
        </is>
      </c>
      <c r="F83" s="105" t="inlineStr">
        <is>
          <t>✓</t>
        </is>
      </c>
      <c r="G83" s="99" t="inlineStr">
        <is>
          <t>✗</t>
        </is>
      </c>
      <c r="H83" s="99" t="inlineStr">
        <is>
          <t>✗</t>
        </is>
      </c>
      <c r="I83" s="99" t="inlineStr">
        <is>
          <t>✗</t>
        </is>
      </c>
      <c r="J83" s="99" t="inlineStr">
        <is>
          <t>✗</t>
        </is>
      </c>
      <c r="K83" s="105" t="inlineStr">
        <is>
          <t>✓</t>
        </is>
      </c>
      <c r="L83" s="99" t="inlineStr">
        <is>
          <t>✗</t>
        </is>
      </c>
      <c r="M83" s="98" t="inlineStr">
        <is>
          <t>✓</t>
        </is>
      </c>
      <c r="N83" s="99" t="inlineStr">
        <is>
          <t>✗</t>
        </is>
      </c>
      <c r="O83" s="99" t="inlineStr">
        <is>
          <t>✗</t>
        </is>
      </c>
      <c r="P83" s="99" t="inlineStr">
        <is>
          <t>✗</t>
        </is>
      </c>
      <c r="Q83" s="101" t="n">
        <v>8</v>
      </c>
      <c r="R83" s="104" t="inlineStr">
        <is>
          <t>#3 Ident. C; #4 Δ⁹-THC; #5 CBD; #6 CBN; #8 LoD; #10 Mycotoxins; #11 Heavy metals; #12 Pesticides</t>
        </is>
      </c>
      <c r="S83" s="103" t="n">
        <v>3</v>
      </c>
      <c r="T83" s="102" t="inlineStr">
        <is>
          <t>[IJZ-MB] 3</t>
        </is>
      </c>
    </row>
    <row r="84">
      <c r="A84" s="96" t="inlineStr">
        <is>
          <t>— not recorded —</t>
        </is>
      </c>
      <c r="B84" s="97" t="inlineStr">
        <is>
          <t>P060102</t>
        </is>
      </c>
      <c r="C84" s="97" t="inlineStr">
        <is>
          <t>Wedding Cake</t>
        </is>
      </c>
      <c r="D84" s="99" t="inlineStr">
        <is>
          <t>❌ 8 MISSING</t>
        </is>
      </c>
      <c r="E84" s="105" t="inlineStr">
        <is>
          <t>✓</t>
        </is>
      </c>
      <c r="F84" s="105" t="inlineStr">
        <is>
          <t>✓</t>
        </is>
      </c>
      <c r="G84" s="99" t="inlineStr">
        <is>
          <t>✗</t>
        </is>
      </c>
      <c r="H84" s="99" t="inlineStr">
        <is>
          <t>✗</t>
        </is>
      </c>
      <c r="I84" s="99" t="inlineStr">
        <is>
          <t>✗</t>
        </is>
      </c>
      <c r="J84" s="99" t="inlineStr">
        <is>
          <t>✗</t>
        </is>
      </c>
      <c r="K84" s="105" t="inlineStr">
        <is>
          <t>✓</t>
        </is>
      </c>
      <c r="L84" s="99" t="inlineStr">
        <is>
          <t>✗</t>
        </is>
      </c>
      <c r="M84" s="98" t="inlineStr">
        <is>
          <t>✓</t>
        </is>
      </c>
      <c r="N84" s="99" t="inlineStr">
        <is>
          <t>✗</t>
        </is>
      </c>
      <c r="O84" s="99" t="inlineStr">
        <is>
          <t>✗</t>
        </is>
      </c>
      <c r="P84" s="99" t="inlineStr">
        <is>
          <t>✗</t>
        </is>
      </c>
      <c r="Q84" s="101" t="n">
        <v>8</v>
      </c>
      <c r="R84" s="104" t="inlineStr">
        <is>
          <t>#3 Ident. C; #4 Δ⁹-THC; #5 CBD; #6 CBN; #8 LoD; #10 Mycotoxins; #11 Heavy metals; #12 Pesticides</t>
        </is>
      </c>
      <c r="S84" s="103" t="n">
        <v>3</v>
      </c>
      <c r="T84" s="102" t="inlineStr">
        <is>
          <t>[IJZ-MB] 3</t>
        </is>
      </c>
    </row>
    <row r="85">
      <c r="A85" s="96" t="inlineStr">
        <is>
          <t>— not recorded —</t>
        </is>
      </c>
      <c r="B85" s="97" t="inlineStr">
        <is>
          <t>P060342</t>
        </is>
      </c>
      <c r="C85" s="97" t="inlineStr">
        <is>
          <t>Scrambler</t>
        </is>
      </c>
      <c r="D85" s="99"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98" t="inlineStr">
        <is>
          <t>✓</t>
        </is>
      </c>
      <c r="N85" s="99" t="inlineStr">
        <is>
          <t>✗</t>
        </is>
      </c>
      <c r="O85" s="99" t="inlineStr">
        <is>
          <t>✗</t>
        </is>
      </c>
      <c r="P85" s="99" t="inlineStr">
        <is>
          <t>✗</t>
        </is>
      </c>
      <c r="Q85" s="101" t="n">
        <v>8</v>
      </c>
      <c r="R85" s="104" t="inlineStr">
        <is>
          <t>#3 Ident. C; #4 Δ⁹-THC; #5 CBD; #6 CBN; #8 LoD; #10 Mycotoxins; #11 Heavy metals; #12 Pesticides</t>
        </is>
      </c>
      <c r="S85" s="103" t="n">
        <v>3</v>
      </c>
      <c r="T85" s="102" t="inlineStr">
        <is>
          <t>[IJZ-MB] 3</t>
        </is>
      </c>
    </row>
  </sheetData>
  <autoFilter ref="A1:T85"/>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Result (as reported)</t>
        </is>
      </c>
      <c r="K4" s="124" t="inlineStr">
        <is>
          <t>eCOA ref, (date) [Lab] — one certificate per line</t>
        </is>
      </c>
      <c r="L4" s="124" t="inlineStr">
        <is>
          <t>✓/✗</t>
        </is>
      </c>
      <c r="M4" s="124" t="inlineStr">
        <is>
          <t>Result (as reported)</t>
        </is>
      </c>
      <c r="N4" s="124" t="inlineStr">
        <is>
          <t>eCOA ref, (date) [Lab] — one certificate per line</t>
        </is>
      </c>
      <c r="O4" s="124" t="inlineStr">
        <is>
          <t>✓/✗</t>
        </is>
      </c>
      <c r="P4" s="124" t="inlineStr">
        <is>
          <t>Result (as reported)</t>
        </is>
      </c>
      <c r="Q4" s="124" t="inlineStr">
        <is>
          <t>eCOA ref, (date) [Lab] — one certificate per line</t>
        </is>
      </c>
      <c r="R4" s="124" t="inlineStr">
        <is>
          <t>✓/✗</t>
        </is>
      </c>
      <c r="S4" s="124" t="inlineStr">
        <is>
          <t>Result (as reported)</t>
        </is>
      </c>
      <c r="T4" s="124" t="inlineStr">
        <is>
          <t>eCOA ref, (date) [Lab] — one certificate per line</t>
        </is>
      </c>
      <c r="U4" s="124" t="inlineStr">
        <is>
          <t>✓/✗</t>
        </is>
      </c>
      <c r="V4" s="124" t="inlineStr">
        <is>
          <t>Result (as reported)</t>
        </is>
      </c>
      <c r="W4" s="124" t="inlineStr">
        <is>
          <t>eCOA ref, (date) [Lab] — one certificate per line</t>
        </is>
      </c>
      <c r="X4" s="124" t="inlineStr">
        <is>
          <t>✓/✗</t>
        </is>
      </c>
      <c r="Y4" s="124" t="inlineStr">
        <is>
          <t>Result (as reported)</t>
        </is>
      </c>
      <c r="Z4" s="124" t="inlineStr">
        <is>
          <t>eCOA ref, (date) [Lab] — one certificate per line</t>
        </is>
      </c>
      <c r="AA4" s="124" t="inlineStr">
        <is>
          <t>✓/✗</t>
        </is>
      </c>
      <c r="AB4" s="124" t="inlineStr">
        <is>
          <t>TAMC</t>
        </is>
      </c>
      <c r="AC4" s="124" t="inlineStr">
        <is>
          <t>TYMC</t>
        </is>
      </c>
      <c r="AD4" s="124" t="inlineStr">
        <is>
          <t>GNB</t>
        </is>
      </c>
      <c r="AE4" s="124" t="inlineStr">
        <is>
          <t>Salm.</t>
        </is>
      </c>
      <c r="AF4" s="124" t="inlineStr">
        <is>
          <t>E. coli</t>
        </is>
      </c>
      <c r="AG4" s="124" t="inlineStr">
        <is>
          <t>✓/✗</t>
        </is>
      </c>
      <c r="AH4" s="124" t="inlineStr">
        <is>
          <t>AfB₁</t>
        </is>
      </c>
      <c r="AI4" s="124" t="inlineStr">
        <is>
          <t>ΣAf</t>
        </is>
      </c>
      <c r="AJ4" s="124" t="inlineStr">
        <is>
          <t>OTA</t>
        </is>
      </c>
      <c r="AK4" s="124" t="inlineStr">
        <is>
          <t>✓/✗</t>
        </is>
      </c>
      <c r="AL4" s="124" t="inlineStr">
        <is>
          <t>Pb</t>
        </is>
      </c>
      <c r="AM4" s="124" t="inlineStr">
        <is>
          <t>Cd</t>
        </is>
      </c>
      <c r="AN4" s="124" t="inlineStr">
        <is>
          <t>As</t>
        </is>
      </c>
      <c r="AO4" s="124" t="inlineStr">
        <is>
          <t>Hg</t>
        </is>
      </c>
      <c r="AP4" s="124" t="inlineStr">
        <is>
          <t>✓/✗</t>
        </is>
      </c>
      <c r="AQ4" s="124" t="inlineStr">
        <is>
          <t>Result (as reported)</t>
        </is>
      </c>
      <c r="AR4" s="124" t="inlineStr">
        <is>
          <t>eCOA ref, (date) [Lab] — one certificate per line</t>
        </is>
      </c>
      <c r="AS4" s="124" t="inlineStr">
        <is>
          <t>✓/✗</t>
        </is>
      </c>
    </row>
    <row r="5" ht="14"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Register'!$B:$B,MATCH("BG1024|AB|I",'iCoA Register'!$R:$R,0)),"iCoA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28" t="inlineStr">
        <is>
          <t>21.80</t>
        </is>
      </c>
      <c r="N5" s="129" t="inlineStr">
        <is>
          <t>ППК25050, (26.02.2025) [CNP]</t>
        </is>
      </c>
      <c r="O5" s="130" t="inlineStr">
        <is>
          <t>✓</t>
        </is>
      </c>
      <c r="P5" s="128" t="inlineStr">
        <is>
          <t>0.04</t>
        </is>
      </c>
      <c r="Q5" s="129" t="inlineStr">
        <is>
          <t>ППК25050, (26.02.2025) [CNP]</t>
        </is>
      </c>
      <c r="R5" s="130" t="inlineStr">
        <is>
          <t>✓</t>
        </is>
      </c>
      <c r="S5" s="128" t="inlineStr">
        <is>
          <t>0.02 ᴰ</t>
        </is>
      </c>
      <c r="T5" s="129" t="inlineStr">
        <is>
          <t>ППК25050, (26.02.2025) [CNP]</t>
        </is>
      </c>
      <c r="U5" s="130" t="inlineStr">
        <is>
          <t>✓</t>
        </is>
      </c>
      <c r="V5" s="128" t="inlineStr">
        <is>
          <t>Conforms</t>
        </is>
      </c>
      <c r="W5" s="129">
        <f>IFERROR(INDEX('iCoA Register'!$B:$B,MATCH("BG1024|FM|I",'iCoA Register'!$R:$R,0)),"iCoA — at issue")&amp;", (07.03.2025) [PP]"</f>
        <v/>
      </c>
      <c r="X5" s="130" t="inlineStr">
        <is>
          <t>✓</t>
        </is>
      </c>
      <c r="Y5" s="128" t="inlineStr">
        <is>
          <t>5.73</t>
        </is>
      </c>
      <c r="Z5" s="129" t="inlineStr">
        <is>
          <t>ППК25050, (26.02.2025) [CNP]</t>
        </is>
      </c>
      <c r="AA5" s="130" t="inlineStr">
        <is>
          <t>✓</t>
        </is>
      </c>
      <c r="AB5" s="128" t="inlineStr">
        <is>
          <t>1.6 x 10⁴</t>
        </is>
      </c>
      <c r="AC5" s="134" t="inlineStr">
        <is>
          <t>1 x 10⁴</t>
        </is>
      </c>
      <c r="AD5" s="134" t="inlineStr">
        <is>
          <t>&lt;10² и &gt;10</t>
        </is>
      </c>
      <c r="AE5" s="134" t="inlineStr">
        <is>
          <t>Одговара</t>
        </is>
      </c>
      <c r="AF5" s="134" t="inlineStr">
        <is>
          <t>Одговара</t>
        </is>
      </c>
      <c r="AG5" s="130" t="inlineStr">
        <is>
          <t>✓</t>
        </is>
      </c>
      <c r="AH5" s="128" t="inlineStr">
        <is>
          <t>n.r.</t>
        </is>
      </c>
      <c r="AI5" s="134" t="inlineStr">
        <is>
          <t>&lt;2</t>
        </is>
      </c>
      <c r="AJ5" s="134" t="inlineStr">
        <is>
          <t>n.r.</t>
        </is>
      </c>
      <c r="AK5" s="130" t="inlineStr">
        <is>
          <t>✓</t>
        </is>
      </c>
      <c r="AL5" s="128" t="inlineStr">
        <is>
          <t>0.01</t>
        </is>
      </c>
      <c r="AM5" s="134" t="inlineStr">
        <is>
          <t>0.016</t>
        </is>
      </c>
      <c r="AN5" s="134" t="inlineStr">
        <is>
          <t>0.014</t>
        </is>
      </c>
      <c r="AO5" s="134" t="inlineStr">
        <is>
          <t>0.005</t>
        </is>
      </c>
      <c r="AP5" s="130" t="inlineStr">
        <is>
          <t>✓</t>
        </is>
      </c>
      <c r="AQ5" s="128" t="inlineStr">
        <is>
          <t>≤ LOQ (all 29 compounds)</t>
        </is>
      </c>
      <c r="AR5" s="129" t="inlineStr">
        <is>
          <t>752-2025, (27.02.2025) [IJZ]</t>
        </is>
      </c>
      <c r="AS5" s="130" t="inlineStr">
        <is>
          <t>✓</t>
        </is>
      </c>
    </row>
    <row r="6" ht="13" customHeight="1" s="70">
      <c r="A6" s="135" t="n"/>
      <c r="D6" s="136" t="n"/>
      <c r="F6" s="137" t="n"/>
      <c r="G6" s="136" t="n"/>
      <c r="I6" s="137" t="n"/>
      <c r="J6" s="136" t="n"/>
      <c r="L6" s="137" t="n"/>
      <c r="M6" s="136" t="n"/>
      <c r="O6" s="137" t="n"/>
      <c r="P6" s="136" t="n"/>
      <c r="R6" s="137" t="n"/>
      <c r="S6" s="136" t="n"/>
      <c r="U6" s="137" t="n"/>
      <c r="V6" s="136" t="n"/>
      <c r="X6" s="137" t="n"/>
      <c r="Y6" s="136" t="n"/>
      <c r="AA6" s="137" t="n"/>
      <c r="AB6" s="138" t="inlineStr">
        <is>
          <t>163-0271-25, (24.02.2025) [IJZ-MB]</t>
        </is>
      </c>
      <c r="AG6" s="137" t="n"/>
      <c r="AH6" s="138" t="inlineStr">
        <is>
          <t>752-2025, (27.02.2025) [IJZ]</t>
        </is>
      </c>
      <c r="AK6" s="137" t="n"/>
      <c r="AL6" s="138" t="inlineStr">
        <is>
          <t>752-2025, (27.02.2025) [IJZ]</t>
        </is>
      </c>
      <c r="AP6" s="137" t="n"/>
      <c r="AQ6" s="136" t="n"/>
      <c r="AS6" s="137" t="n"/>
    </row>
    <row r="7" ht="14" customHeight="1" s="70">
      <c r="A7" s="139" t="n"/>
      <c r="B7" s="140" t="n"/>
      <c r="D7" s="141" t="n"/>
      <c r="E7" s="140" t="n"/>
      <c r="F7" s="142" t="n"/>
      <c r="G7" s="128" t="inlineStr">
        <is>
          <t>Conforms</t>
        </is>
      </c>
      <c r="H7" s="129">
        <f>IFERROR(INDEX('iCoA Register'!$B:$B,MATCH("BG1024|AB|I",'iCoA Register'!$R:$R,0)),"iCoA — at issue")&amp;", (07.03.2025) [PP]"</f>
        <v/>
      </c>
      <c r="I7" s="130" t="inlineStr">
        <is>
          <t>✓</t>
        </is>
      </c>
      <c r="J7" s="128" t="inlineStr">
        <is>
          <t>Conforms (ImB spec.) ᴿ</t>
        </is>
      </c>
      <c r="K7" s="129" t="inlineStr">
        <is>
          <t>197-1-K-26, (07.08.2026) [FHM-K]</t>
        </is>
      </c>
      <c r="L7" s="130" t="inlineStr">
        <is>
          <t>✓</t>
        </is>
      </c>
      <c r="M7" s="128" t="inlineStr">
        <is>
          <t>26.14</t>
        </is>
      </c>
      <c r="N7" s="129" t="inlineStr">
        <is>
          <t>197-1-K-26, (07.08.2026) [FHM-K]</t>
        </is>
      </c>
      <c r="O7" s="130" t="inlineStr">
        <is>
          <t>✓</t>
        </is>
      </c>
      <c r="P7" s="128" t="inlineStr">
        <is>
          <t>&lt; LOQ</t>
        </is>
      </c>
      <c r="Q7" s="129" t="inlineStr">
        <is>
          <t>197-1-K-26, (07.08.2026) [FHM-K]</t>
        </is>
      </c>
      <c r="R7" s="130" t="inlineStr">
        <is>
          <t>✓</t>
        </is>
      </c>
      <c r="S7" s="128" t="inlineStr">
        <is>
          <t>0.28</t>
        </is>
      </c>
      <c r="T7" s="129" t="inlineStr">
        <is>
          <t>197-1-K-26, (07.08.2026) [FHM-K]</t>
        </is>
      </c>
      <c r="U7" s="130" t="inlineStr">
        <is>
          <t>✓</t>
        </is>
      </c>
      <c r="V7" s="141" t="n"/>
      <c r="W7" s="140" t="n"/>
      <c r="X7" s="142" t="n"/>
      <c r="Y7" s="131" t="inlineStr">
        <is>
          <t>not on this certificate</t>
        </is>
      </c>
      <c r="Z7" s="132" t="inlineStr">
        <is>
          <t>197-1-K-26, (07.08.2026) [FHM-K] · on file, not credited</t>
        </is>
      </c>
      <c r="AA7" s="133" t="inlineStr">
        <is>
          <t>•</t>
        </is>
      </c>
      <c r="AB7" s="141" t="n"/>
      <c r="AC7" s="140" t="n"/>
      <c r="AD7" s="140" t="n"/>
      <c r="AE7" s="140" t="n"/>
      <c r="AF7" s="140" t="n"/>
      <c r="AG7" s="142" t="n"/>
      <c r="AH7" s="128" t="inlineStr">
        <is>
          <t>ND</t>
        </is>
      </c>
      <c r="AI7" s="134" t="inlineStr">
        <is>
          <t>ND ᴿ</t>
        </is>
      </c>
      <c r="AJ7" s="134" t="inlineStr">
        <is>
          <t>ND</t>
        </is>
      </c>
      <c r="AK7" s="130" t="inlineStr">
        <is>
          <t>✓</t>
        </is>
      </c>
      <c r="AL7" s="141" t="n"/>
      <c r="AM7" s="140" t="n"/>
      <c r="AN7" s="140" t="n"/>
      <c r="AO7" s="140" t="n"/>
      <c r="AP7" s="142" t="n"/>
      <c r="AQ7" s="141" t="n"/>
      <c r="AR7" s="140" t="n"/>
      <c r="AS7" s="142" t="n"/>
    </row>
    <row r="8" ht="21" customHeight="1" s="70">
      <c r="A8" s="143" t="n"/>
      <c r="B8" s="144" t="n"/>
      <c r="C8" s="144" t="n"/>
      <c r="D8" s="145" t="n"/>
      <c r="E8" s="146" t="n"/>
      <c r="F8" s="147" t="n"/>
      <c r="G8" s="145" t="n"/>
      <c r="H8" s="146" t="n"/>
      <c r="I8" s="147" t="n"/>
      <c r="J8" s="145" t="n"/>
      <c r="K8" s="146" t="n"/>
      <c r="L8" s="147" t="n"/>
      <c r="M8" s="145" t="n"/>
      <c r="N8" s="146" t="n"/>
      <c r="O8" s="147" t="n"/>
      <c r="P8" s="145" t="n"/>
      <c r="Q8" s="146" t="n"/>
      <c r="R8" s="147" t="n"/>
      <c r="S8" s="145" t="n"/>
      <c r="T8" s="146" t="n"/>
      <c r="U8" s="147" t="n"/>
      <c r="V8" s="145" t="n"/>
      <c r="W8" s="146" t="n"/>
      <c r="X8" s="147" t="n"/>
      <c r="Y8" s="145" t="n"/>
      <c r="Z8" s="146" t="n"/>
      <c r="AA8" s="147" t="n"/>
      <c r="AB8" s="145" t="n"/>
      <c r="AC8" s="146" t="n"/>
      <c r="AD8" s="146" t="n"/>
      <c r="AE8" s="146" t="n"/>
      <c r="AF8" s="146" t="n"/>
      <c r="AG8" s="147" t="n"/>
      <c r="AH8" s="148" t="inlineStr">
        <is>
          <t>197-1-M-26, (10.08.2026) [FHM-M]</t>
        </is>
      </c>
      <c r="AI8" s="146" t="n"/>
      <c r="AJ8" s="146" t="n"/>
      <c r="AK8" s="147" t="n"/>
      <c r="AL8" s="145" t="n"/>
      <c r="AM8" s="146" t="n"/>
      <c r="AN8" s="146" t="n"/>
      <c r="AO8" s="146" t="n"/>
      <c r="AP8" s="147" t="n"/>
      <c r="AQ8" s="145" t="n"/>
      <c r="AR8" s="146" t="n"/>
      <c r="AS8" s="147"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Register'!$B:$B,MATCH("BSS1024|AB|I",'iCoA Register'!$R:$R,0)),"iCoA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28" t="inlineStr">
        <is>
          <t>21.03</t>
        </is>
      </c>
      <c r="N9" s="129" t="inlineStr">
        <is>
          <t>ППК25051, (26.02.2025) [CNP]</t>
        </is>
      </c>
      <c r="O9" s="130" t="inlineStr">
        <is>
          <t>✓</t>
        </is>
      </c>
      <c r="P9" s="128" t="inlineStr">
        <is>
          <t>0.04</t>
        </is>
      </c>
      <c r="Q9" s="129" t="inlineStr">
        <is>
          <t>ППК25051, (26.02.2025) [CNP]</t>
        </is>
      </c>
      <c r="R9" s="130" t="inlineStr">
        <is>
          <t>✓</t>
        </is>
      </c>
      <c r="S9" s="128" t="inlineStr">
        <is>
          <t>0.02 ᴰ</t>
        </is>
      </c>
      <c r="T9" s="129" t="inlineStr">
        <is>
          <t>ППК25051, (26.02.2025) [CNP]</t>
        </is>
      </c>
      <c r="U9" s="130" t="inlineStr">
        <is>
          <t>✓</t>
        </is>
      </c>
      <c r="V9" s="128" t="inlineStr">
        <is>
          <t>Conforms</t>
        </is>
      </c>
      <c r="W9" s="129">
        <f>IFERROR(INDEX('iCoA Register'!$B:$B,MATCH("BSS1024|FM|I",'iCoA Register'!$R:$R,0)),"iCoA — at issue")&amp;", (04.03.2025) [PP]"</f>
        <v/>
      </c>
      <c r="X9" s="130" t="inlineStr">
        <is>
          <t>✓</t>
        </is>
      </c>
      <c r="Y9" s="128" t="inlineStr">
        <is>
          <t>5.99</t>
        </is>
      </c>
      <c r="Z9" s="129" t="inlineStr">
        <is>
          <t>ППК25051, (26.02.2025) [CNP]</t>
        </is>
      </c>
      <c r="AA9" s="130" t="inlineStr">
        <is>
          <t>✓</t>
        </is>
      </c>
      <c r="AB9" s="128" t="inlineStr">
        <is>
          <t>1.5×10⁴</t>
        </is>
      </c>
      <c r="AC9" s="134" t="inlineStr">
        <is>
          <t>2.2×10³</t>
        </is>
      </c>
      <c r="AD9" s="134" t="inlineStr">
        <is>
          <t>&lt;10^2 и &gt;10</t>
        </is>
      </c>
      <c r="AE9" s="134" t="inlineStr">
        <is>
          <t>Одговара</t>
        </is>
      </c>
      <c r="AF9" s="134" t="inlineStr">
        <is>
          <t>Одговара</t>
        </is>
      </c>
      <c r="AG9" s="130" t="inlineStr">
        <is>
          <t>✓</t>
        </is>
      </c>
      <c r="AH9" s="128" t="inlineStr">
        <is>
          <t>n.r.</t>
        </is>
      </c>
      <c r="AI9" s="134" t="inlineStr">
        <is>
          <t>&lt;2</t>
        </is>
      </c>
      <c r="AJ9" s="134" t="inlineStr">
        <is>
          <t>n.r.</t>
        </is>
      </c>
      <c r="AK9" s="130" t="inlineStr">
        <is>
          <t>✓</t>
        </is>
      </c>
      <c r="AL9" s="128" t="inlineStr">
        <is>
          <t>0.071</t>
        </is>
      </c>
      <c r="AM9" s="134" t="inlineStr">
        <is>
          <t>0.014</t>
        </is>
      </c>
      <c r="AN9" s="134" t="inlineStr">
        <is>
          <t>0.081</t>
        </is>
      </c>
      <c r="AO9" s="134" t="inlineStr">
        <is>
          <t>0.014</t>
        </is>
      </c>
      <c r="AP9" s="130" t="inlineStr">
        <is>
          <t>✓</t>
        </is>
      </c>
      <c r="AQ9" s="128" t="inlineStr">
        <is>
          <t>≤ LOQ (all 29 compounds)</t>
        </is>
      </c>
      <c r="AR9" s="129" t="inlineStr">
        <is>
          <t>751-2025, (27.02.2025) [IJZ]</t>
        </is>
      </c>
      <c r="AS9" s="130" t="inlineStr">
        <is>
          <t>✓</t>
        </is>
      </c>
    </row>
    <row r="10" ht="13" customHeight="1" s="70">
      <c r="A10" s="135" t="n"/>
      <c r="D10" s="136" t="n"/>
      <c r="F10" s="137" t="n"/>
      <c r="G10" s="136" t="n"/>
      <c r="I10" s="137" t="n"/>
      <c r="J10" s="136" t="n"/>
      <c r="L10" s="137" t="n"/>
      <c r="M10" s="136" t="n"/>
      <c r="O10" s="137" t="n"/>
      <c r="P10" s="136" t="n"/>
      <c r="R10" s="137" t="n"/>
      <c r="S10" s="136" t="n"/>
      <c r="U10" s="137" t="n"/>
      <c r="V10" s="136" t="n"/>
      <c r="X10" s="137" t="n"/>
      <c r="Y10" s="136" t="n"/>
      <c r="AA10" s="137" t="n"/>
      <c r="AB10" s="138" t="inlineStr">
        <is>
          <t>161-0269-25, (24.02.2025) [IJZ-MB]</t>
        </is>
      </c>
      <c r="AG10" s="137" t="n"/>
      <c r="AH10" s="138" t="inlineStr">
        <is>
          <t>751-2025, (27.02.2025) [IJZ]</t>
        </is>
      </c>
      <c r="AK10" s="137" t="n"/>
      <c r="AL10" s="138" t="inlineStr">
        <is>
          <t>751-2025, (27.02.2025) [IJZ]</t>
        </is>
      </c>
      <c r="AP10" s="137" t="n"/>
      <c r="AQ10" s="136" t="n"/>
      <c r="AS10" s="137" t="n"/>
    </row>
    <row r="11" ht="14" customHeight="1" s="70">
      <c r="A11" s="139" t="n"/>
      <c r="B11" s="140" t="n"/>
      <c r="D11" s="141" t="n"/>
      <c r="E11" s="140" t="n"/>
      <c r="F11" s="142" t="n"/>
      <c r="G11" s="128" t="inlineStr">
        <is>
          <t>Conforms</t>
        </is>
      </c>
      <c r="H11" s="129">
        <f>IFERROR(INDEX('iCoA Register'!$B:$B,MATCH("BSS1024|AB|I",'iCoA Register'!$R:$R,0)),"iCoA — at issue")&amp;", (04.03.2025) [PP]"</f>
        <v/>
      </c>
      <c r="I11" s="130" t="inlineStr">
        <is>
          <t>✓</t>
        </is>
      </c>
      <c r="J11" s="128" t="inlineStr">
        <is>
          <t>Conforms (ImB spec.)</t>
        </is>
      </c>
      <c r="K11" s="129" t="inlineStr">
        <is>
          <t>197-2-K-26, (07.08.2026) [FHM-K]</t>
        </is>
      </c>
      <c r="L11" s="130" t="inlineStr">
        <is>
          <t>✓</t>
        </is>
      </c>
      <c r="M11" s="128" t="inlineStr">
        <is>
          <t>25.01</t>
        </is>
      </c>
      <c r="N11" s="129" t="inlineStr">
        <is>
          <t>197-2-K-26, (07.08.2026) [FHM-K]</t>
        </is>
      </c>
      <c r="O11" s="130" t="inlineStr">
        <is>
          <t>✓</t>
        </is>
      </c>
      <c r="P11" s="128" t="inlineStr">
        <is>
          <t>&lt; LOQ</t>
        </is>
      </c>
      <c r="Q11" s="129" t="inlineStr">
        <is>
          <t>197-2-K-26, (07.08.2026) [FHM-K]</t>
        </is>
      </c>
      <c r="R11" s="130" t="inlineStr">
        <is>
          <t>✓</t>
        </is>
      </c>
      <c r="S11" s="128" t="inlineStr">
        <is>
          <t>&lt; LOQ</t>
        </is>
      </c>
      <c r="T11" s="129" t="inlineStr">
        <is>
          <t>197-2-K-26, (07.08.2026) [FHM-K]</t>
        </is>
      </c>
      <c r="U11" s="130" t="inlineStr">
        <is>
          <t>✓</t>
        </is>
      </c>
      <c r="V11" s="141" t="n"/>
      <c r="W11" s="140" t="n"/>
      <c r="X11" s="142" t="n"/>
      <c r="Y11" s="131" t="inlineStr">
        <is>
          <t>not on this certificate</t>
        </is>
      </c>
      <c r="Z11" s="132" t="inlineStr">
        <is>
          <t>197-2-K-26, (07.08.2026) [FHM-K] · on file, not credited</t>
        </is>
      </c>
      <c r="AA11" s="133" t="inlineStr">
        <is>
          <t>•</t>
        </is>
      </c>
      <c r="AB11" s="141" t="n"/>
      <c r="AC11" s="140" t="n"/>
      <c r="AD11" s="140" t="n"/>
      <c r="AE11" s="140" t="n"/>
      <c r="AF11" s="140" t="n"/>
      <c r="AG11" s="142" t="n"/>
      <c r="AH11" s="128" t="inlineStr">
        <is>
          <t>ND</t>
        </is>
      </c>
      <c r="AI11" s="134" t="inlineStr">
        <is>
          <t>ND ᴿ</t>
        </is>
      </c>
      <c r="AJ11" s="134" t="inlineStr">
        <is>
          <t>ND</t>
        </is>
      </c>
      <c r="AK11" s="130" t="inlineStr">
        <is>
          <t>✓</t>
        </is>
      </c>
      <c r="AL11" s="141" t="n"/>
      <c r="AM11" s="140" t="n"/>
      <c r="AN11" s="140" t="n"/>
      <c r="AO11" s="140" t="n"/>
      <c r="AP11" s="142" t="n"/>
      <c r="AQ11" s="141" t="n"/>
      <c r="AR11" s="140" t="n"/>
      <c r="AS11" s="142" t="n"/>
    </row>
    <row r="12" ht="21" customHeight="1" s="70">
      <c r="A12" s="143" t="n"/>
      <c r="B12" s="144" t="n"/>
      <c r="C12" s="144" t="n"/>
      <c r="D12" s="145" t="n"/>
      <c r="E12" s="146" t="n"/>
      <c r="F12" s="147" t="n"/>
      <c r="G12" s="145" t="n"/>
      <c r="H12" s="146" t="n"/>
      <c r="I12" s="147" t="n"/>
      <c r="J12" s="145" t="n"/>
      <c r="K12" s="146" t="n"/>
      <c r="L12" s="147" t="n"/>
      <c r="M12" s="145" t="n"/>
      <c r="N12" s="146" t="n"/>
      <c r="O12" s="147" t="n"/>
      <c r="P12" s="145" t="n"/>
      <c r="Q12" s="146" t="n"/>
      <c r="R12" s="147" t="n"/>
      <c r="S12" s="145" t="n"/>
      <c r="T12" s="146" t="n"/>
      <c r="U12" s="147" t="n"/>
      <c r="V12" s="145" t="n"/>
      <c r="W12" s="146" t="n"/>
      <c r="X12" s="147" t="n"/>
      <c r="Y12" s="145" t="n"/>
      <c r="Z12" s="146" t="n"/>
      <c r="AA12" s="147" t="n"/>
      <c r="AB12" s="145" t="n"/>
      <c r="AC12" s="146" t="n"/>
      <c r="AD12" s="146" t="n"/>
      <c r="AE12" s="146" t="n"/>
      <c r="AF12" s="146" t="n"/>
      <c r="AG12" s="147" t="n"/>
      <c r="AH12" s="148" t="inlineStr">
        <is>
          <t>197-2-M-26, (10.08.2026) [FHM-M]</t>
        </is>
      </c>
      <c r="AI12" s="146" t="n"/>
      <c r="AJ12" s="146" t="n"/>
      <c r="AK12" s="147" t="n"/>
      <c r="AL12" s="145" t="n"/>
      <c r="AM12" s="146" t="n"/>
      <c r="AN12" s="146" t="n"/>
      <c r="AO12" s="146" t="n"/>
      <c r="AP12" s="147" t="n"/>
      <c r="AQ12" s="145" t="n"/>
      <c r="AR12" s="146" t="n"/>
      <c r="AS12" s="147"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Register'!$B:$B,MATCH("P060272|AB|I",'iCoA Register'!$R:$R,0)),"iCoA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28" t="inlineStr">
        <is>
          <t>13.35</t>
        </is>
      </c>
      <c r="N13" s="129" t="inlineStr">
        <is>
          <t>ППК26068, (11.05.2026) [CNP]</t>
        </is>
      </c>
      <c r="O13" s="130" t="inlineStr">
        <is>
          <t>✓</t>
        </is>
      </c>
      <c r="P13" s="128" t="inlineStr">
        <is>
          <t>0.04</t>
        </is>
      </c>
      <c r="Q13" s="129" t="inlineStr">
        <is>
          <t>ППК26068, (11.05.2026) [CNP]</t>
        </is>
      </c>
      <c r="R13" s="130" t="inlineStr">
        <is>
          <t>✓</t>
        </is>
      </c>
      <c r="S13" s="128" t="inlineStr">
        <is>
          <t>BLQ ᴰ</t>
        </is>
      </c>
      <c r="T13" s="129" t="inlineStr">
        <is>
          <t>ППК26068, (11.05.2026) [CNP]</t>
        </is>
      </c>
      <c r="U13" s="130" t="inlineStr">
        <is>
          <t>✓</t>
        </is>
      </c>
      <c r="V13" s="128" t="inlineStr">
        <is>
          <t>Conforms</t>
        </is>
      </c>
      <c r="W13" s="129">
        <f>IFERROR(INDEX('iCoA Register'!$B:$B,MATCH("P060272|FM|I",'iCoA Register'!$R:$R,0)),"iCoA — at issue")&amp;", (18.05.2026) [PP]"</f>
        <v/>
      </c>
      <c r="X13" s="130" t="inlineStr">
        <is>
          <t>✓</t>
        </is>
      </c>
      <c r="Y13" s="128" t="inlineStr">
        <is>
          <t>7.39</t>
        </is>
      </c>
      <c r="Z13" s="129" t="inlineStr">
        <is>
          <t>ППК26068, (11.05.2026) [CNP]</t>
        </is>
      </c>
      <c r="AA13" s="130" t="inlineStr">
        <is>
          <t>✓</t>
        </is>
      </c>
      <c r="AB13" s="128" t="inlineStr">
        <is>
          <t>3.8 x 10³</t>
        </is>
      </c>
      <c r="AC13" s="134" t="inlineStr">
        <is>
          <t>2.7 x 10³</t>
        </is>
      </c>
      <c r="AD13" s="134" t="inlineStr">
        <is>
          <t>&lt;10³ и &gt;10²</t>
        </is>
      </c>
      <c r="AE13" s="134" t="inlineStr">
        <is>
          <t>отсуства/25</t>
        </is>
      </c>
      <c r="AF13" s="134" t="inlineStr">
        <is>
          <t>отсуства/g</t>
        </is>
      </c>
      <c r="AG13" s="130" t="inlineStr">
        <is>
          <t>✓</t>
        </is>
      </c>
      <c r="AH13" s="128" t="inlineStr">
        <is>
          <t>n.r.</t>
        </is>
      </c>
      <c r="AI13" s="134" t="inlineStr">
        <is>
          <t>&lt;2</t>
        </is>
      </c>
      <c r="AJ13" s="134" t="inlineStr">
        <is>
          <t>n.r.</t>
        </is>
      </c>
      <c r="AK13" s="130" t="inlineStr">
        <is>
          <t>✓</t>
        </is>
      </c>
      <c r="AL13" s="128" t="inlineStr">
        <is>
          <t>0.0289</t>
        </is>
      </c>
      <c r="AM13" s="134" t="inlineStr">
        <is>
          <t>0.0119</t>
        </is>
      </c>
      <c r="AN13" s="134" t="inlineStr">
        <is>
          <t>0.016</t>
        </is>
      </c>
      <c r="AO13" s="134" t="inlineStr">
        <is>
          <t>0.0102</t>
        </is>
      </c>
      <c r="AP13" s="130" t="inlineStr">
        <is>
          <t>✓</t>
        </is>
      </c>
      <c r="AQ13" s="128" t="inlineStr">
        <is>
          <t>≤ LOQ (all 29 compounds)</t>
        </is>
      </c>
      <c r="AR13" s="129" t="inlineStr">
        <is>
          <t>2359-2026, (29.04.2026) [IJZ]</t>
        </is>
      </c>
      <c r="AS13" s="130" t="inlineStr">
        <is>
          <t>✓</t>
        </is>
      </c>
    </row>
    <row r="14" ht="13" customHeight="1" s="70">
      <c r="A14" s="135" t="n"/>
      <c r="D14" s="136" t="n"/>
      <c r="F14" s="137" t="n"/>
      <c r="G14" s="136" t="n"/>
      <c r="I14" s="137" t="n"/>
      <c r="J14" s="136" t="n"/>
      <c r="L14" s="137" t="n"/>
      <c r="M14" s="136" t="n"/>
      <c r="O14" s="137" t="n"/>
      <c r="P14" s="136" t="n"/>
      <c r="R14" s="137" t="n"/>
      <c r="S14" s="136" t="n"/>
      <c r="U14" s="137" t="n"/>
      <c r="V14" s="136" t="n"/>
      <c r="X14" s="137" t="n"/>
      <c r="Y14" s="136" t="n"/>
      <c r="AA14" s="137" t="n"/>
      <c r="AB14" s="138" t="inlineStr">
        <is>
          <t>311-0555-26, (28.04.2026) [IJZ-MB]</t>
        </is>
      </c>
      <c r="AG14" s="137" t="n"/>
      <c r="AH14" s="138" t="inlineStr">
        <is>
          <t>2359-2026, (29.04.2026) [IJZ]</t>
        </is>
      </c>
      <c r="AK14" s="137" t="n"/>
      <c r="AL14" s="138" t="inlineStr">
        <is>
          <t>2359-2026, (29.04.2026) [IJZ]</t>
        </is>
      </c>
      <c r="AP14" s="137" t="n"/>
      <c r="AQ14" s="136" t="n"/>
      <c r="AS14" s="137" t="n"/>
    </row>
    <row r="15" ht="21" customHeight="1" s="70">
      <c r="A15" s="139" t="n"/>
      <c r="B15" s="140" t="n"/>
      <c r="D15" s="141" t="n"/>
      <c r="E15" s="140" t="n"/>
      <c r="F15" s="142" t="n"/>
      <c r="G15" s="128" t="inlineStr">
        <is>
          <t>Conforms</t>
        </is>
      </c>
      <c r="H15" s="129">
        <f>IFERROR(INDEX('iCoA Register'!$B:$B,MATCH("P060272|AB|I",'iCoA Register'!$R:$R,0)),"iCoA — at issue")&amp;", (18.05.2026) [PP]"</f>
        <v/>
      </c>
      <c r="I15" s="130" t="inlineStr">
        <is>
          <t>✓</t>
        </is>
      </c>
      <c r="J15" s="141" t="n"/>
      <c r="K15" s="140" t="n"/>
      <c r="L15" s="142" t="n"/>
      <c r="M15" s="141" t="n"/>
      <c r="N15" s="140" t="n"/>
      <c r="O15" s="142" t="n"/>
      <c r="P15" s="141" t="n"/>
      <c r="Q15" s="140" t="n"/>
      <c r="R15" s="142" t="n"/>
      <c r="S15" s="141" t="n"/>
      <c r="T15" s="140" t="n"/>
      <c r="U15" s="142" t="n"/>
      <c r="V15" s="141" t="n"/>
      <c r="W15" s="140" t="n"/>
      <c r="X15" s="142" t="n"/>
      <c r="Y15" s="141" t="n"/>
      <c r="Z15" s="140" t="n"/>
      <c r="AA15" s="142" t="n"/>
      <c r="AB15" s="128" t="inlineStr">
        <is>
          <t>1.6×10³</t>
        </is>
      </c>
      <c r="AC15" s="134" t="inlineStr">
        <is>
          <t>1×10³</t>
        </is>
      </c>
      <c r="AD15" s="134" t="inlineStr">
        <is>
          <t>&lt;10³ и &gt;10²</t>
        </is>
      </c>
      <c r="AE15" s="134" t="inlineStr">
        <is>
          <t>absent</t>
        </is>
      </c>
      <c r="AF15" s="134" t="inlineStr">
        <is>
          <t>absent</t>
        </is>
      </c>
      <c r="AG15" s="130" t="inlineStr">
        <is>
          <t>✓</t>
        </is>
      </c>
      <c r="AH15" s="141" t="n"/>
      <c r="AI15" s="140" t="n"/>
      <c r="AJ15" s="140" t="n"/>
      <c r="AK15" s="142" t="n"/>
      <c r="AL15" s="141" t="n"/>
      <c r="AM15" s="140" t="n"/>
      <c r="AN15" s="140" t="n"/>
      <c r="AO15" s="140" t="n"/>
      <c r="AP15" s="142" t="n"/>
      <c r="AQ15" s="141" t="n"/>
      <c r="AR15" s="140" t="n"/>
      <c r="AS15" s="142" t="n"/>
    </row>
    <row r="16" ht="13" customHeight="1" s="70">
      <c r="A16" s="143" t="n"/>
      <c r="B16" s="144" t="n"/>
      <c r="C16" s="144" t="n"/>
      <c r="D16" s="145" t="n"/>
      <c r="E16" s="146" t="n"/>
      <c r="F16" s="147" t="n"/>
      <c r="G16" s="145" t="n"/>
      <c r="H16" s="146" t="n"/>
      <c r="I16" s="147" t="n"/>
      <c r="J16" s="145" t="n"/>
      <c r="K16" s="146" t="n"/>
      <c r="L16" s="147" t="n"/>
      <c r="M16" s="145" t="n"/>
      <c r="N16" s="146" t="n"/>
      <c r="O16" s="147" t="n"/>
      <c r="P16" s="145" t="n"/>
      <c r="Q16" s="146" t="n"/>
      <c r="R16" s="147" t="n"/>
      <c r="S16" s="145" t="n"/>
      <c r="T16" s="146" t="n"/>
      <c r="U16" s="147" t="n"/>
      <c r="V16" s="145" t="n"/>
      <c r="W16" s="146" t="n"/>
      <c r="X16" s="147" t="n"/>
      <c r="Y16" s="145" t="n"/>
      <c r="Z16" s="146" t="n"/>
      <c r="AA16" s="147" t="n"/>
      <c r="AB16" s="148" t="inlineStr">
        <is>
          <t>543-1074-26, (31.08.2026) [IJZ-MB]</t>
        </is>
      </c>
      <c r="AC16" s="146" t="n"/>
      <c r="AD16" s="146" t="n"/>
      <c r="AE16" s="146" t="n"/>
      <c r="AF16" s="146" t="n"/>
      <c r="AG16" s="147" t="n"/>
      <c r="AH16" s="145" t="n"/>
      <c r="AI16" s="146" t="n"/>
      <c r="AJ16" s="146" t="n"/>
      <c r="AK16" s="147" t="n"/>
      <c r="AL16" s="145" t="n"/>
      <c r="AM16" s="146" t="n"/>
      <c r="AN16" s="146" t="n"/>
      <c r="AO16" s="146" t="n"/>
      <c r="AP16" s="147" t="n"/>
      <c r="AQ16" s="145" t="n"/>
      <c r="AR16" s="146" t="n"/>
      <c r="AS16" s="147" t="n"/>
    </row>
    <row r="17" ht="14"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Register'!$B:$B,MATCH("CJ1024|AB|I",'iCoA Register'!$R:$R,0)),"iCoA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28" t="inlineStr">
        <is>
          <t>23.00</t>
        </is>
      </c>
      <c r="N17" s="129" t="inlineStr">
        <is>
          <t>ППК25052, (26.02.2025) [CNP]</t>
        </is>
      </c>
      <c r="O17" s="130" t="inlineStr">
        <is>
          <t>✓</t>
        </is>
      </c>
      <c r="P17" s="128" t="inlineStr">
        <is>
          <t>0.05</t>
        </is>
      </c>
      <c r="Q17" s="129" t="inlineStr">
        <is>
          <t>ППК25052, (26.02.2025) [CNP]</t>
        </is>
      </c>
      <c r="R17" s="130" t="inlineStr">
        <is>
          <t>✓</t>
        </is>
      </c>
      <c r="S17" s="128" t="inlineStr">
        <is>
          <t>0.02 ᴰ</t>
        </is>
      </c>
      <c r="T17" s="129" t="inlineStr">
        <is>
          <t>ППК25052, (26.02.2025) [CNP]</t>
        </is>
      </c>
      <c r="U17" s="130" t="inlineStr">
        <is>
          <t>✓</t>
        </is>
      </c>
      <c r="V17" s="128" t="inlineStr">
        <is>
          <t>Conforms</t>
        </is>
      </c>
      <c r="W17" s="129">
        <f>IFERROR(INDEX('iCoA Register'!$B:$B,MATCH("CJ1024|FM|I",'iCoA Register'!$R:$R,0)),"iCoA — at issue")&amp;", (03.03.2025) [PP]"</f>
        <v/>
      </c>
      <c r="X17" s="130" t="inlineStr">
        <is>
          <t>✓</t>
        </is>
      </c>
      <c r="Y17" s="128" t="inlineStr">
        <is>
          <t>5.91</t>
        </is>
      </c>
      <c r="Z17" s="129" t="inlineStr">
        <is>
          <t>ППК25052, (26.02.2025) [CNP]</t>
        </is>
      </c>
      <c r="AA17" s="130" t="inlineStr">
        <is>
          <t>✓</t>
        </is>
      </c>
      <c r="AB17" s="128" t="inlineStr">
        <is>
          <t>8.4 x 10³</t>
        </is>
      </c>
      <c r="AC17" s="134" t="inlineStr">
        <is>
          <t>&lt;10</t>
        </is>
      </c>
      <c r="AD17" s="134" t="inlineStr">
        <is>
          <t>&lt;10</t>
        </is>
      </c>
      <c r="AE17" s="134" t="inlineStr">
        <is>
          <t>Одговара</t>
        </is>
      </c>
      <c r="AF17" s="134" t="inlineStr">
        <is>
          <t>Одговара</t>
        </is>
      </c>
      <c r="AG17" s="130" t="inlineStr">
        <is>
          <t>✓</t>
        </is>
      </c>
      <c r="AH17" s="128" t="inlineStr">
        <is>
          <t>n.r.</t>
        </is>
      </c>
      <c r="AI17" s="134" t="inlineStr">
        <is>
          <t>&lt;2</t>
        </is>
      </c>
      <c r="AJ17" s="134" t="inlineStr">
        <is>
          <t>n.r.</t>
        </is>
      </c>
      <c r="AK17" s="130" t="inlineStr">
        <is>
          <t>✓</t>
        </is>
      </c>
      <c r="AL17" s="128" t="inlineStr">
        <is>
          <t>0.036</t>
        </is>
      </c>
      <c r="AM17" s="134" t="inlineStr">
        <is>
          <t>0.013</t>
        </is>
      </c>
      <c r="AN17" s="134" t="inlineStr">
        <is>
          <t>0.063</t>
        </is>
      </c>
      <c r="AO17" s="134" t="inlineStr">
        <is>
          <t>0.006</t>
        </is>
      </c>
      <c r="AP17" s="130" t="inlineStr">
        <is>
          <t>✓</t>
        </is>
      </c>
      <c r="AQ17" s="128" t="inlineStr">
        <is>
          <t>≤ LOQ (all 29 compounds)</t>
        </is>
      </c>
      <c r="AR17" s="129" t="inlineStr">
        <is>
          <t>750-2025, (27.02.2025) [IJZ]</t>
        </is>
      </c>
      <c r="AS17" s="130" t="inlineStr">
        <is>
          <t>✓</t>
        </is>
      </c>
    </row>
    <row r="18" ht="13" customHeight="1" s="70">
      <c r="A18" s="135" t="n"/>
      <c r="D18" s="136" t="n"/>
      <c r="F18" s="137" t="n"/>
      <c r="G18" s="136" t="n"/>
      <c r="I18" s="137" t="n"/>
      <c r="J18" s="136" t="n"/>
      <c r="L18" s="137" t="n"/>
      <c r="M18" s="136" t="n"/>
      <c r="O18" s="137" t="n"/>
      <c r="P18" s="136" t="n"/>
      <c r="R18" s="137" t="n"/>
      <c r="S18" s="136" t="n"/>
      <c r="U18" s="137" t="n"/>
      <c r="V18" s="136" t="n"/>
      <c r="X18" s="137" t="n"/>
      <c r="Y18" s="136" t="n"/>
      <c r="AA18" s="137" t="n"/>
      <c r="AB18" s="138" t="inlineStr">
        <is>
          <t>164-0272-25, (24.02.2025) [IJZ-MB]</t>
        </is>
      </c>
      <c r="AG18" s="137" t="n"/>
      <c r="AH18" s="138" t="inlineStr">
        <is>
          <t>750-2025, (27.02.2025) [IJZ]</t>
        </is>
      </c>
      <c r="AK18" s="137" t="n"/>
      <c r="AL18" s="138" t="inlineStr">
        <is>
          <t>750-2025, (27.02.2025) [IJZ]</t>
        </is>
      </c>
      <c r="AP18" s="137" t="n"/>
      <c r="AQ18" s="136" t="n"/>
      <c r="AS18" s="137" t="n"/>
    </row>
    <row r="19" ht="14" customHeight="1" s="70">
      <c r="A19" s="139" t="n"/>
      <c r="B19" s="140" t="n"/>
      <c r="D19" s="141" t="n"/>
      <c r="E19" s="140" t="n"/>
      <c r="F19" s="142" t="n"/>
      <c r="G19" s="128" t="inlineStr">
        <is>
          <t>Conforms</t>
        </is>
      </c>
      <c r="H19" s="129">
        <f>IFERROR(INDEX('iCoA Register'!$B:$B,MATCH("CJ1024|AB|I",'iCoA Register'!$R:$R,0)),"iCoA — at issue")&amp;", (03.03.2025) [PP]"</f>
        <v/>
      </c>
      <c r="I19" s="130" t="inlineStr">
        <is>
          <t>✓</t>
        </is>
      </c>
      <c r="J19" s="141" t="n"/>
      <c r="K19" s="140" t="n"/>
      <c r="L19" s="142" t="n"/>
      <c r="M19" s="141" t="n"/>
      <c r="N19" s="140" t="n"/>
      <c r="O19" s="142" t="n"/>
      <c r="P19" s="141" t="n"/>
      <c r="Q19" s="140" t="n"/>
      <c r="R19" s="142" t="n"/>
      <c r="S19" s="141" t="n"/>
      <c r="T19" s="140" t="n"/>
      <c r="U19" s="142" t="n"/>
      <c r="V19" s="141" t="n"/>
      <c r="W19" s="140" t="n"/>
      <c r="X19" s="142" t="n"/>
      <c r="Y19" s="141" t="n"/>
      <c r="Z19" s="140" t="n"/>
      <c r="AA19" s="142" t="n"/>
      <c r="AB19" s="128" t="inlineStr">
        <is>
          <t>&lt;10</t>
        </is>
      </c>
      <c r="AC19" s="134" t="inlineStr">
        <is>
          <t>10</t>
        </is>
      </c>
      <c r="AD19" s="134" t="inlineStr">
        <is>
          <t>&lt;10</t>
        </is>
      </c>
      <c r="AE19" s="134" t="inlineStr">
        <is>
          <t>absent</t>
        </is>
      </c>
      <c r="AF19" s="134" t="inlineStr">
        <is>
          <t>absent</t>
        </is>
      </c>
      <c r="AG19" s="130" t="inlineStr">
        <is>
          <t>✓</t>
        </is>
      </c>
      <c r="AH19" s="141" t="n"/>
      <c r="AI19" s="140" t="n"/>
      <c r="AJ19" s="140" t="n"/>
      <c r="AK19" s="142" t="n"/>
      <c r="AL19" s="141" t="n"/>
      <c r="AM19" s="140" t="n"/>
      <c r="AN19" s="140" t="n"/>
      <c r="AO19" s="140" t="n"/>
      <c r="AP19" s="142" t="n"/>
      <c r="AQ19" s="141" t="n"/>
      <c r="AR19" s="140" t="n"/>
      <c r="AS19" s="142" t="n"/>
    </row>
    <row r="20" ht="13" customHeight="1" s="70">
      <c r="A20" s="143" t="n"/>
      <c r="B20" s="144" t="n"/>
      <c r="C20" s="144" t="n"/>
      <c r="D20" s="145" t="n"/>
      <c r="E20" s="146" t="n"/>
      <c r="F20" s="147" t="n"/>
      <c r="G20" s="145" t="n"/>
      <c r="H20" s="146" t="n"/>
      <c r="I20" s="147" t="n"/>
      <c r="J20" s="145" t="n"/>
      <c r="K20" s="146" t="n"/>
      <c r="L20" s="147" t="n"/>
      <c r="M20" s="145" t="n"/>
      <c r="N20" s="146" t="n"/>
      <c r="O20" s="147" t="n"/>
      <c r="P20" s="145" t="n"/>
      <c r="Q20" s="146" t="n"/>
      <c r="R20" s="147" t="n"/>
      <c r="S20" s="145" t="n"/>
      <c r="T20" s="146" t="n"/>
      <c r="U20" s="147" t="n"/>
      <c r="V20" s="145" t="n"/>
      <c r="W20" s="146" t="n"/>
      <c r="X20" s="147" t="n"/>
      <c r="Y20" s="145" t="n"/>
      <c r="Z20" s="146" t="n"/>
      <c r="AA20" s="147" t="n"/>
      <c r="AB20" s="148" t="inlineStr">
        <is>
          <t>565-1096-26, (01.09.2026) [IJZ-MB]</t>
        </is>
      </c>
      <c r="AC20" s="146" t="n"/>
      <c r="AD20" s="146" t="n"/>
      <c r="AE20" s="146" t="n"/>
      <c r="AF20" s="146" t="n"/>
      <c r="AG20" s="147" t="n"/>
      <c r="AH20" s="145" t="n"/>
      <c r="AI20" s="146" t="n"/>
      <c r="AJ20" s="146" t="n"/>
      <c r="AK20" s="147" t="n"/>
      <c r="AL20" s="145" t="n"/>
      <c r="AM20" s="146" t="n"/>
      <c r="AN20" s="146" t="n"/>
      <c r="AO20" s="146" t="n"/>
      <c r="AP20" s="147" t="n"/>
      <c r="AQ20" s="145" t="n"/>
      <c r="AR20" s="146" t="n"/>
      <c r="AS20" s="147" t="n"/>
    </row>
    <row r="21" ht="21"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Register'!$B:$B,MATCH("P060322|AB|I",'iCoA Register'!$R:$R,0)),"iCoA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28" t="inlineStr">
        <is>
          <t>14.68</t>
        </is>
      </c>
      <c r="N21" s="129" t="inlineStr">
        <is>
          <t>ППК26067, (11.05.2026) [CNP]</t>
        </is>
      </c>
      <c r="O21" s="130" t="inlineStr">
        <is>
          <t>✓</t>
        </is>
      </c>
      <c r="P21" s="128" t="inlineStr">
        <is>
          <t>0.04</t>
        </is>
      </c>
      <c r="Q21" s="129" t="inlineStr">
        <is>
          <t>ППК26067, (11.05.2026) [CNP]</t>
        </is>
      </c>
      <c r="R21" s="130" t="inlineStr">
        <is>
          <t>✓</t>
        </is>
      </c>
      <c r="S21" s="128" t="inlineStr">
        <is>
          <t>BLQ ᴰ</t>
        </is>
      </c>
      <c r="T21" s="129" t="inlineStr">
        <is>
          <t>ППК26067, (11.05.2026) [CNP]</t>
        </is>
      </c>
      <c r="U21" s="130" t="inlineStr">
        <is>
          <t>✓</t>
        </is>
      </c>
      <c r="V21" s="128" t="inlineStr">
        <is>
          <t>Conforms</t>
        </is>
      </c>
      <c r="W21" s="129">
        <f>IFERROR(INDEX('iCoA Register'!$B:$B,MATCH("P060322|FM|I",'iCoA Register'!$R:$R,0)),"iCoA — at issue")&amp;", (22.05.2026) [PP]"</f>
        <v/>
      </c>
      <c r="X21" s="130" t="inlineStr">
        <is>
          <t>✓</t>
        </is>
      </c>
      <c r="Y21" s="128" t="inlineStr">
        <is>
          <t>7.67</t>
        </is>
      </c>
      <c r="Z21" s="129" t="inlineStr">
        <is>
          <t>ППК26067, (11.05.2026) [CNP]</t>
        </is>
      </c>
      <c r="AA21" s="130" t="inlineStr">
        <is>
          <t>✓</t>
        </is>
      </c>
      <c r="AB21" s="128" t="inlineStr">
        <is>
          <t>2 x 10³</t>
        </is>
      </c>
      <c r="AC21" s="134" t="inlineStr">
        <is>
          <t>2.1 x 10³</t>
        </is>
      </c>
      <c r="AD21" s="134" t="inlineStr">
        <is>
          <t>&lt;10</t>
        </is>
      </c>
      <c r="AE21" s="134" t="inlineStr">
        <is>
          <t>отсутна/25 g</t>
        </is>
      </c>
      <c r="AF21" s="134" t="inlineStr">
        <is>
          <t>отсутна/g</t>
        </is>
      </c>
      <c r="AG21" s="130" t="inlineStr">
        <is>
          <t>✓</t>
        </is>
      </c>
      <c r="AH21" s="128" t="inlineStr">
        <is>
          <t>n.r.</t>
        </is>
      </c>
      <c r="AI21" s="134" t="inlineStr">
        <is>
          <t>&lt;2</t>
        </is>
      </c>
      <c r="AJ21" s="134" t="inlineStr">
        <is>
          <t>n.r.</t>
        </is>
      </c>
      <c r="AK21" s="130" t="inlineStr">
        <is>
          <t>✓</t>
        </is>
      </c>
      <c r="AL21" s="128" t="inlineStr">
        <is>
          <t>0.0114</t>
        </is>
      </c>
      <c r="AM21" s="134" t="inlineStr">
        <is>
          <t>0.017</t>
        </is>
      </c>
      <c r="AN21" s="134" t="inlineStr">
        <is>
          <t>0.0144</t>
        </is>
      </c>
      <c r="AO21" s="134" t="inlineStr">
        <is>
          <t>0.0155</t>
        </is>
      </c>
      <c r="AP21" s="130" t="inlineStr">
        <is>
          <t>✓</t>
        </is>
      </c>
      <c r="AQ21" s="128" t="inlineStr">
        <is>
          <t>≤ LOQ (all 26 compounds)</t>
        </is>
      </c>
      <c r="AR21" s="129" t="inlineStr">
        <is>
          <t>2362-2026, (30.04.2026) [IJZ]</t>
        </is>
      </c>
      <c r="AS21" s="130" t="inlineStr">
        <is>
          <t>✓</t>
        </is>
      </c>
    </row>
    <row r="22" ht="13" customHeight="1" s="70">
      <c r="A22" s="135" t="n"/>
      <c r="D22" s="136" t="n"/>
      <c r="F22" s="137" t="n"/>
      <c r="G22" s="136" t="n"/>
      <c r="I22" s="137" t="n"/>
      <c r="J22" s="136" t="n"/>
      <c r="L22" s="137" t="n"/>
      <c r="M22" s="136" t="n"/>
      <c r="O22" s="137" t="n"/>
      <c r="P22" s="136" t="n"/>
      <c r="R22" s="137" t="n"/>
      <c r="S22" s="136" t="n"/>
      <c r="U22" s="137" t="n"/>
      <c r="V22" s="136" t="n"/>
      <c r="X22" s="137" t="n"/>
      <c r="Y22" s="136" t="n"/>
      <c r="AA22" s="137" t="n"/>
      <c r="AB22" s="138" t="inlineStr">
        <is>
          <t>308-0552-26, (28.04.2026) [IJZ-MB]</t>
        </is>
      </c>
      <c r="AG22" s="137" t="n"/>
      <c r="AH22" s="138" t="inlineStr">
        <is>
          <t>2362-2026, (30.04.2026) [IJZ]</t>
        </is>
      </c>
      <c r="AK22" s="137" t="n"/>
      <c r="AL22" s="138" t="inlineStr">
        <is>
          <t>2362-2026, (30.04.2026) [IJZ]</t>
        </is>
      </c>
      <c r="AP22" s="137" t="n"/>
      <c r="AQ22" s="136" t="n"/>
      <c r="AS22" s="137" t="n"/>
    </row>
    <row r="23" ht="14" customHeight="1" s="70">
      <c r="A23" s="139" t="n"/>
      <c r="B23" s="140" t="n"/>
      <c r="D23" s="141" t="n"/>
      <c r="E23" s="140" t="n"/>
      <c r="F23" s="142" t="n"/>
      <c r="G23" s="128" t="inlineStr">
        <is>
          <t>Conforms</t>
        </is>
      </c>
      <c r="H23" s="129">
        <f>IFERROR(INDEX('iCoA Register'!$B:$B,MATCH("P060322|AB|I",'iCoA Register'!$R:$R,0)),"iCoA — at issue")&amp;", (22.05.2026) [PP]"</f>
        <v/>
      </c>
      <c r="I23" s="130" t="inlineStr">
        <is>
          <t>✓</t>
        </is>
      </c>
      <c r="J23" s="141" t="n"/>
      <c r="K23" s="140" t="n"/>
      <c r="L23" s="142" t="n"/>
      <c r="M23" s="141" t="n"/>
      <c r="N23" s="140" t="n"/>
      <c r="O23" s="142" t="n"/>
      <c r="P23" s="141" t="n"/>
      <c r="Q23" s="140" t="n"/>
      <c r="R23" s="142" t="n"/>
      <c r="S23" s="141" t="n"/>
      <c r="T23" s="140" t="n"/>
      <c r="U23" s="142" t="n"/>
      <c r="V23" s="141" t="n"/>
      <c r="W23" s="140" t="n"/>
      <c r="X23" s="142" t="n"/>
      <c r="Y23" s="141" t="n"/>
      <c r="Z23" s="140" t="n"/>
      <c r="AA23" s="142" t="n"/>
      <c r="AB23" s="141" t="n"/>
      <c r="AC23" s="140" t="n"/>
      <c r="AD23" s="140" t="n"/>
      <c r="AE23" s="140" t="n"/>
      <c r="AF23" s="140" t="n"/>
      <c r="AG23" s="142" t="n"/>
      <c r="AH23" s="141" t="n"/>
      <c r="AI23" s="140" t="n"/>
      <c r="AJ23" s="140" t="n"/>
      <c r="AK23" s="142" t="n"/>
      <c r="AL23" s="141" t="n"/>
      <c r="AM23" s="140" t="n"/>
      <c r="AN23" s="140" t="n"/>
      <c r="AO23" s="140" t="n"/>
      <c r="AP23" s="142" t="n"/>
      <c r="AQ23" s="141" t="n"/>
      <c r="AR23" s="140" t="n"/>
      <c r="AS23" s="142" t="n"/>
    </row>
    <row r="24" ht="13" customHeight="1" s="70">
      <c r="A24" s="143" t="n"/>
      <c r="B24" s="144" t="n"/>
      <c r="C24" s="144" t="n"/>
      <c r="D24" s="145" t="n"/>
      <c r="E24" s="146" t="n"/>
      <c r="F24" s="147" t="n"/>
      <c r="G24" s="145" t="n"/>
      <c r="H24" s="146" t="n"/>
      <c r="I24" s="147" t="n"/>
      <c r="J24" s="145" t="n"/>
      <c r="K24" s="146" t="n"/>
      <c r="L24" s="147" t="n"/>
      <c r="M24" s="145" t="n"/>
      <c r="N24" s="146" t="n"/>
      <c r="O24" s="147" t="n"/>
      <c r="P24" s="145" t="n"/>
      <c r="Q24" s="146" t="n"/>
      <c r="R24" s="147" t="n"/>
      <c r="S24" s="145" t="n"/>
      <c r="T24" s="146" t="n"/>
      <c r="U24" s="147" t="n"/>
      <c r="V24" s="145" t="n"/>
      <c r="W24" s="146" t="n"/>
      <c r="X24" s="147" t="n"/>
      <c r="Y24" s="145" t="n"/>
      <c r="Z24" s="146" t="n"/>
      <c r="AA24" s="147" t="n"/>
      <c r="AB24" s="145" t="n"/>
      <c r="AC24" s="146" t="n"/>
      <c r="AD24" s="146" t="n"/>
      <c r="AE24" s="146" t="n"/>
      <c r="AF24" s="146" t="n"/>
      <c r="AG24" s="147" t="n"/>
      <c r="AH24" s="145" t="n"/>
      <c r="AI24" s="146" t="n"/>
      <c r="AJ24" s="146" t="n"/>
      <c r="AK24" s="147" t="n"/>
      <c r="AL24" s="145" t="n"/>
      <c r="AM24" s="146" t="n"/>
      <c r="AN24" s="146" t="n"/>
      <c r="AO24" s="146" t="n"/>
      <c r="AP24" s="147" t="n"/>
      <c r="AQ24" s="145" t="n"/>
      <c r="AR24" s="146" t="n"/>
      <c r="AS24" s="147" t="n"/>
    </row>
    <row r="25" ht="21" customHeight="1" s="70">
      <c r="A25" s="125" t="inlineStr">
        <is>
          <t>FB012603</t>
        </is>
      </c>
      <c r="B25" s="126" t="inlineStr">
        <is>
          <t>P060432</t>
        </is>
      </c>
      <c r="C25" s="149" t="inlineStr">
        <is>
          <t>⚠ 3 NO RESULT
(3 no cert / 0 cert w/o result)</t>
        </is>
      </c>
      <c r="D25" s="128" t="inlineStr">
        <is>
          <t>Одговара</t>
        </is>
      </c>
      <c r="E25" s="129" t="inlineStr">
        <is>
          <t>ППК26112, (30.06.2026) [CNP]</t>
        </is>
      </c>
      <c r="F25" s="130" t="inlineStr">
        <is>
          <t>✓</t>
        </is>
      </c>
      <c r="G25" s="128" t="inlineStr">
        <is>
          <t>Одговара</t>
        </is>
      </c>
      <c r="H25" s="129" t="inlineStr">
        <is>
          <t>ППК26112, (30.06.2026) [CNP]</t>
        </is>
      </c>
      <c r="I25" s="130" t="inlineStr">
        <is>
          <t>✓</t>
        </is>
      </c>
      <c r="J25" s="128" t="inlineStr">
        <is>
          <t>Conforms (ImB spec.)</t>
        </is>
      </c>
      <c r="K25" s="129" t="inlineStr">
        <is>
          <t>ППК26112, (30.06.2026) [CNP]</t>
        </is>
      </c>
      <c r="L25" s="130" t="inlineStr">
        <is>
          <t>✓</t>
        </is>
      </c>
      <c r="M25" s="128" t="inlineStr">
        <is>
          <t>20.83</t>
        </is>
      </c>
      <c r="N25" s="129" t="inlineStr">
        <is>
          <t>ППК26112, (30.06.2026) [CNP]</t>
        </is>
      </c>
      <c r="O25" s="130" t="inlineStr">
        <is>
          <t>✓</t>
        </is>
      </c>
      <c r="P25" s="128" t="inlineStr">
        <is>
          <t>0.21</t>
        </is>
      </c>
      <c r="Q25" s="129" t="inlineStr">
        <is>
          <t>ППК26112, (30.06.2026) [CNP]</t>
        </is>
      </c>
      <c r="R25" s="130" t="inlineStr">
        <is>
          <t>✓</t>
        </is>
      </c>
      <c r="S25" s="128" t="inlineStr">
        <is>
          <t>0.06</t>
        </is>
      </c>
      <c r="T25" s="129" t="inlineStr">
        <is>
          <t>ППК26112, (30.06.2026) [CNP]</t>
        </is>
      </c>
      <c r="U25" s="130" t="inlineStr">
        <is>
          <t>✓</t>
        </is>
      </c>
      <c r="V25" s="128" t="inlineStr">
        <is>
          <t>/ (Одговара)</t>
        </is>
      </c>
      <c r="W25" s="129" t="inlineStr">
        <is>
          <t>ППК26112, (30.06.2026) [CNP]</t>
        </is>
      </c>
      <c r="X25" s="130" t="inlineStr">
        <is>
          <t>✓</t>
        </is>
      </c>
      <c r="Y25" s="128" t="inlineStr">
        <is>
          <t>7.04</t>
        </is>
      </c>
      <c r="Z25" s="129" t="inlineStr">
        <is>
          <t>ППК26112, (30.06.2026) [CNP]</t>
        </is>
      </c>
      <c r="AA25" s="130" t="inlineStr">
        <is>
          <t>✓</t>
        </is>
      </c>
      <c r="AB25" s="128" t="inlineStr">
        <is>
          <t>9.8×10³</t>
        </is>
      </c>
      <c r="AC25" s="134" t="inlineStr">
        <is>
          <t>2.5×10³</t>
        </is>
      </c>
      <c r="AD25" s="134" t="inlineStr">
        <is>
          <t>&lt;10² и &gt;10</t>
        </is>
      </c>
      <c r="AE25" s="134" t="inlineStr">
        <is>
          <t>absent</t>
        </is>
      </c>
      <c r="AF25" s="134" t="inlineStr">
        <is>
          <t>absent</t>
        </is>
      </c>
      <c r="AG25" s="130" t="inlineStr">
        <is>
          <t>✓</t>
        </is>
      </c>
      <c r="AH25" s="150" t="inlineStr">
        <is>
          <t>— MISSING —</t>
        </is>
      </c>
      <c r="AI25" s="151" t="inlineStr">
        <is>
          <t>— MISSING —</t>
        </is>
      </c>
      <c r="AJ25" s="151" t="inlineStr">
        <is>
          <t>— MISSING —</t>
        </is>
      </c>
      <c r="AK25" s="152" t="inlineStr">
        <is>
          <t>✗</t>
        </is>
      </c>
      <c r="AL25" s="150" t="inlineStr">
        <is>
          <t>— MISSING —</t>
        </is>
      </c>
      <c r="AM25" s="151" t="inlineStr">
        <is>
          <t>— MISSING —</t>
        </is>
      </c>
      <c r="AN25" s="151" t="inlineStr">
        <is>
          <t>— MISSING —</t>
        </is>
      </c>
      <c r="AO25" s="151" t="inlineStr">
        <is>
          <t>— MISSING —</t>
        </is>
      </c>
      <c r="AP25" s="152" t="inlineStr">
        <is>
          <t>✗</t>
        </is>
      </c>
      <c r="AQ25" s="150" t="inlineStr">
        <is>
          <t>— MISSING —</t>
        </is>
      </c>
      <c r="AR25" s="153" t="inlineStr">
        <is>
          <t>— no certificate —</t>
        </is>
      </c>
      <c r="AS25" s="152" t="inlineStr">
        <is>
          <t>✗</t>
        </is>
      </c>
    </row>
    <row r="26" ht="13" customHeight="1" s="70">
      <c r="A26" s="143" t="n"/>
      <c r="B26" s="144" t="n"/>
      <c r="C26" s="144" t="n"/>
      <c r="D26" s="145" t="n"/>
      <c r="E26" s="146" t="n"/>
      <c r="F26" s="147" t="n"/>
      <c r="G26" s="145" t="n"/>
      <c r="H26" s="146" t="n"/>
      <c r="I26" s="147" t="n"/>
      <c r="J26" s="145" t="n"/>
      <c r="K26" s="146" t="n"/>
      <c r="L26" s="147" t="n"/>
      <c r="M26" s="145" t="n"/>
      <c r="N26" s="146" t="n"/>
      <c r="O26" s="147" t="n"/>
      <c r="P26" s="145" t="n"/>
      <c r="Q26" s="146" t="n"/>
      <c r="R26" s="147" t="n"/>
      <c r="S26" s="145" t="n"/>
      <c r="T26" s="146" t="n"/>
      <c r="U26" s="147" t="n"/>
      <c r="V26" s="145" t="n"/>
      <c r="W26" s="146" t="n"/>
      <c r="X26" s="147" t="n"/>
      <c r="Y26" s="145" t="n"/>
      <c r="Z26" s="146" t="n"/>
      <c r="AA26" s="147" t="n"/>
      <c r="AB26" s="148" t="inlineStr">
        <is>
          <t>537-1068-26, (31.08.2026) [IJZ-MB]</t>
        </is>
      </c>
      <c r="AC26" s="146" t="n"/>
      <c r="AD26" s="146" t="n"/>
      <c r="AE26" s="146" t="n"/>
      <c r="AF26" s="146" t="n"/>
      <c r="AG26" s="147" t="n"/>
      <c r="AH26" s="154" t="inlineStr">
        <is>
          <t>— no certificate —</t>
        </is>
      </c>
      <c r="AI26" s="146" t="n"/>
      <c r="AJ26" s="146" t="n"/>
      <c r="AK26" s="147" t="n"/>
      <c r="AL26" s="154" t="inlineStr">
        <is>
          <t>— no certificate —</t>
        </is>
      </c>
      <c r="AM26" s="146" t="n"/>
      <c r="AN26" s="146" t="n"/>
      <c r="AO26" s="146" t="n"/>
      <c r="AP26" s="147" t="n"/>
      <c r="AQ26" s="145" t="n"/>
      <c r="AR26" s="146" t="n"/>
      <c r="AS26" s="147" t="n"/>
    </row>
    <row r="27" ht="21" customHeight="1" s="70">
      <c r="A27" s="125" t="inlineStr">
        <is>
          <t>FB012603V</t>
        </is>
      </c>
      <c r="B27" s="126" t="inlineStr">
        <is>
          <t>P060392</t>
        </is>
      </c>
      <c r="C27" s="149" t="inlineStr">
        <is>
          <t>⚠ 3 NO RESULT
(3 no cert / 0 cert w/o result)</t>
        </is>
      </c>
      <c r="D27" s="128" t="inlineStr">
        <is>
          <t>Одговара</t>
        </is>
      </c>
      <c r="E27" s="129" t="inlineStr">
        <is>
          <t>ППК26110, (30.06.2026) [CNP]</t>
        </is>
      </c>
      <c r="F27" s="130" t="inlineStr">
        <is>
          <t>✓</t>
        </is>
      </c>
      <c r="G27" s="128" t="inlineStr">
        <is>
          <t>Одговара</t>
        </is>
      </c>
      <c r="H27" s="129" t="inlineStr">
        <is>
          <t>ППК26110, (30.06.2026) [CNP]</t>
        </is>
      </c>
      <c r="I27" s="130" t="inlineStr">
        <is>
          <t>✓</t>
        </is>
      </c>
      <c r="J27" s="128" t="inlineStr">
        <is>
          <t>Conforms (ImB spec.)</t>
        </is>
      </c>
      <c r="K27" s="129" t="inlineStr">
        <is>
          <t>ППК26110, (30.06.2026) [CNP]</t>
        </is>
      </c>
      <c r="L27" s="130" t="inlineStr">
        <is>
          <t>✓</t>
        </is>
      </c>
      <c r="M27" s="128" t="inlineStr">
        <is>
          <t>18.29</t>
        </is>
      </c>
      <c r="N27" s="129" t="inlineStr">
        <is>
          <t>ППК26110, (30.06.2026) [CNP]</t>
        </is>
      </c>
      <c r="O27" s="130" t="inlineStr">
        <is>
          <t>✓</t>
        </is>
      </c>
      <c r="P27" s="128" t="inlineStr">
        <is>
          <t>0.16</t>
        </is>
      </c>
      <c r="Q27" s="129" t="inlineStr">
        <is>
          <t>ППК26110, (30.06.2026) [CNP]</t>
        </is>
      </c>
      <c r="R27" s="130" t="inlineStr">
        <is>
          <t>✓</t>
        </is>
      </c>
      <c r="S27" s="128" t="inlineStr">
        <is>
          <t>0.06</t>
        </is>
      </c>
      <c r="T27" s="129" t="inlineStr">
        <is>
          <t>ППК26110, (30.06.2026) [CNP]</t>
        </is>
      </c>
      <c r="U27" s="130" t="inlineStr">
        <is>
          <t>✓</t>
        </is>
      </c>
      <c r="V27" s="128" t="inlineStr">
        <is>
          <t>/ (Одговара)</t>
        </is>
      </c>
      <c r="W27" s="129" t="inlineStr">
        <is>
          <t>ППК26110, (30.06.2026) [CNP]</t>
        </is>
      </c>
      <c r="X27" s="130" t="inlineStr">
        <is>
          <t>✓</t>
        </is>
      </c>
      <c r="Y27" s="128" t="inlineStr">
        <is>
          <t>6.36</t>
        </is>
      </c>
      <c r="Z27" s="129" t="inlineStr">
        <is>
          <t>ППК26110, (30.06.2026) [CNP]</t>
        </is>
      </c>
      <c r="AA27" s="130" t="inlineStr">
        <is>
          <t>✓</t>
        </is>
      </c>
      <c r="AB27" s="128" t="inlineStr">
        <is>
          <t>2.9×10³</t>
        </is>
      </c>
      <c r="AC27" s="134" t="inlineStr">
        <is>
          <t>2.5×10³</t>
        </is>
      </c>
      <c r="AD27" s="134" t="inlineStr">
        <is>
          <t>&lt;10</t>
        </is>
      </c>
      <c r="AE27" s="134" t="inlineStr">
        <is>
          <t>absent</t>
        </is>
      </c>
      <c r="AF27" s="134" t="inlineStr">
        <is>
          <t>absent</t>
        </is>
      </c>
      <c r="AG27" s="130" t="inlineStr">
        <is>
          <t>✓</t>
        </is>
      </c>
      <c r="AH27" s="150" t="inlineStr">
        <is>
          <t>— MISSING —</t>
        </is>
      </c>
      <c r="AI27" s="151" t="inlineStr">
        <is>
          <t>— MISSING —</t>
        </is>
      </c>
      <c r="AJ27" s="151" t="inlineStr">
        <is>
          <t>— MISSING —</t>
        </is>
      </c>
      <c r="AK27" s="152" t="inlineStr">
        <is>
          <t>✗</t>
        </is>
      </c>
      <c r="AL27" s="150" t="inlineStr">
        <is>
          <t>— MISSING —</t>
        </is>
      </c>
      <c r="AM27" s="151" t="inlineStr">
        <is>
          <t>— MISSING —</t>
        </is>
      </c>
      <c r="AN27" s="151" t="inlineStr">
        <is>
          <t>— MISSING —</t>
        </is>
      </c>
      <c r="AO27" s="151" t="inlineStr">
        <is>
          <t>— MISSING —</t>
        </is>
      </c>
      <c r="AP27" s="152" t="inlineStr">
        <is>
          <t>✗</t>
        </is>
      </c>
      <c r="AQ27" s="150" t="inlineStr">
        <is>
          <t>— MISSING —</t>
        </is>
      </c>
      <c r="AR27" s="153" t="inlineStr">
        <is>
          <t>— no certificate —</t>
        </is>
      </c>
      <c r="AS27" s="152" t="inlineStr">
        <is>
          <t>✗</t>
        </is>
      </c>
    </row>
    <row r="28" ht="13" customHeight="1" s="70">
      <c r="A28" s="143" t="n"/>
      <c r="B28" s="144" t="n"/>
      <c r="C28" s="144" t="n"/>
      <c r="D28" s="145" t="n"/>
      <c r="E28" s="146" t="n"/>
      <c r="F28" s="147" t="n"/>
      <c r="G28" s="145" t="n"/>
      <c r="H28" s="146" t="n"/>
      <c r="I28" s="147" t="n"/>
      <c r="J28" s="145" t="n"/>
      <c r="K28" s="146" t="n"/>
      <c r="L28" s="147" t="n"/>
      <c r="M28" s="145" t="n"/>
      <c r="N28" s="146" t="n"/>
      <c r="O28" s="147" t="n"/>
      <c r="P28" s="145" t="n"/>
      <c r="Q28" s="146" t="n"/>
      <c r="R28" s="147" t="n"/>
      <c r="S28" s="145" t="n"/>
      <c r="T28" s="146" t="n"/>
      <c r="U28" s="147" t="n"/>
      <c r="V28" s="145" t="n"/>
      <c r="W28" s="146" t="n"/>
      <c r="X28" s="147" t="n"/>
      <c r="Y28" s="145" t="n"/>
      <c r="Z28" s="146" t="n"/>
      <c r="AA28" s="147" t="n"/>
      <c r="AB28" s="148" t="inlineStr">
        <is>
          <t>538-1069-26, (31.08.2026) [IJZ-MB]</t>
        </is>
      </c>
      <c r="AC28" s="146" t="n"/>
      <c r="AD28" s="146" t="n"/>
      <c r="AE28" s="146" t="n"/>
      <c r="AF28" s="146" t="n"/>
      <c r="AG28" s="147" t="n"/>
      <c r="AH28" s="154" t="inlineStr">
        <is>
          <t>— no certificate —</t>
        </is>
      </c>
      <c r="AI28" s="146" t="n"/>
      <c r="AJ28" s="146" t="n"/>
      <c r="AK28" s="147" t="n"/>
      <c r="AL28" s="154" t="inlineStr">
        <is>
          <t>— no certificate —</t>
        </is>
      </c>
      <c r="AM28" s="146" t="n"/>
      <c r="AN28" s="146" t="n"/>
      <c r="AO28" s="146" t="n"/>
      <c r="AP28" s="147" t="n"/>
      <c r="AQ28" s="145" t="n"/>
      <c r="AR28" s="146" t="n"/>
      <c r="AS28" s="147" t="n"/>
    </row>
    <row r="29" ht="21" customHeight="1" s="70">
      <c r="A29" s="125" t="inlineStr">
        <is>
          <t>FB032601</t>
        </is>
      </c>
      <c r="B29" s="126" t="inlineStr">
        <is>
          <t>P060452</t>
        </is>
      </c>
      <c r="C29" s="155" t="inlineStr">
        <is>
          <t>✗ 4 NO RESULT
(4 no cert / 0 cert w/o result)</t>
        </is>
      </c>
      <c r="D29" s="128" t="inlineStr">
        <is>
          <t>Одговара</t>
        </is>
      </c>
      <c r="E29" s="129" t="inlineStr">
        <is>
          <t>ППК26127, (21.07.2026) [CNP]</t>
        </is>
      </c>
      <c r="F29" s="130" t="inlineStr">
        <is>
          <t>✓</t>
        </is>
      </c>
      <c r="G29" s="128" t="inlineStr">
        <is>
          <t>Одговара</t>
        </is>
      </c>
      <c r="H29" s="129" t="inlineStr">
        <is>
          <t>ППК26127, (21.07.2026) [CNP]</t>
        </is>
      </c>
      <c r="I29" s="130" t="inlineStr">
        <is>
          <t>✓</t>
        </is>
      </c>
      <c r="J29" s="128" t="inlineStr">
        <is>
          <t>Conforms (ImB spec.)</t>
        </is>
      </c>
      <c r="K29" s="129" t="inlineStr">
        <is>
          <t>ППК26127, (21.07.2026) [CNP]</t>
        </is>
      </c>
      <c r="L29" s="130" t="inlineStr">
        <is>
          <t>✓</t>
        </is>
      </c>
      <c r="M29" s="128" t="inlineStr">
        <is>
          <t>12.39</t>
        </is>
      </c>
      <c r="N29" s="129" t="inlineStr">
        <is>
          <t>ППК26127, (21.07.2026) [CNP]</t>
        </is>
      </c>
      <c r="O29" s="130" t="inlineStr">
        <is>
          <t>✓</t>
        </is>
      </c>
      <c r="P29" s="128" t="inlineStr">
        <is>
          <t>0.06</t>
        </is>
      </c>
      <c r="Q29" s="129" t="inlineStr">
        <is>
          <t>ППК26127, (21.07.2026) [CNP]</t>
        </is>
      </c>
      <c r="R29" s="130" t="inlineStr">
        <is>
          <t>✓</t>
        </is>
      </c>
      <c r="S29" s="128" t="inlineStr">
        <is>
          <t>0.04</t>
        </is>
      </c>
      <c r="T29" s="129" t="inlineStr">
        <is>
          <t>ППК26127, (21.07.2026) [CNP]</t>
        </is>
      </c>
      <c r="U29" s="130" t="inlineStr">
        <is>
          <t>✓</t>
        </is>
      </c>
      <c r="V29" s="128" t="inlineStr">
        <is>
          <t>0.08% (Не одговара)</t>
        </is>
      </c>
      <c r="W29" s="129" t="inlineStr">
        <is>
          <t>ППК26127, (21.07.2026) [CNP]</t>
        </is>
      </c>
      <c r="X29" s="130" t="inlineStr">
        <is>
          <t>✓</t>
        </is>
      </c>
      <c r="Y29" s="128" t="inlineStr">
        <is>
          <t>7.77</t>
        </is>
      </c>
      <c r="Z29" s="129" t="inlineStr">
        <is>
          <t>ППК26127, (21.07.2026) [CNP]</t>
        </is>
      </c>
      <c r="AA29" s="130" t="inlineStr">
        <is>
          <t>✓</t>
        </is>
      </c>
      <c r="AB29" s="150" t="inlineStr">
        <is>
          <t>— MISSING —</t>
        </is>
      </c>
      <c r="AC29" s="151" t="inlineStr">
        <is>
          <t>— MISSING —</t>
        </is>
      </c>
      <c r="AD29" s="151" t="inlineStr">
        <is>
          <t>— MISSING —</t>
        </is>
      </c>
      <c r="AE29" s="151" t="inlineStr">
        <is>
          <t>— MISSING —</t>
        </is>
      </c>
      <c r="AF29" s="151" t="inlineStr">
        <is>
          <t>— MISSING —</t>
        </is>
      </c>
      <c r="AG29" s="152" t="inlineStr">
        <is>
          <t>✗</t>
        </is>
      </c>
      <c r="AH29" s="150" t="inlineStr">
        <is>
          <t>— MISSING —</t>
        </is>
      </c>
      <c r="AI29" s="151" t="inlineStr">
        <is>
          <t>— MISSING —</t>
        </is>
      </c>
      <c r="AJ29" s="151" t="inlineStr">
        <is>
          <t>— MISSING —</t>
        </is>
      </c>
      <c r="AK29" s="152" t="inlineStr">
        <is>
          <t>✗</t>
        </is>
      </c>
      <c r="AL29" s="150" t="inlineStr">
        <is>
          <t>— MISSING —</t>
        </is>
      </c>
      <c r="AM29" s="151" t="inlineStr">
        <is>
          <t>— MISSING —</t>
        </is>
      </c>
      <c r="AN29" s="151" t="inlineStr">
        <is>
          <t>— MISSING —</t>
        </is>
      </c>
      <c r="AO29" s="151" t="inlineStr">
        <is>
          <t>— MISSING —</t>
        </is>
      </c>
      <c r="AP29" s="152" t="inlineStr">
        <is>
          <t>✗</t>
        </is>
      </c>
      <c r="AQ29" s="150" t="inlineStr">
        <is>
          <t>— MISSING —</t>
        </is>
      </c>
      <c r="AR29" s="153" t="inlineStr">
        <is>
          <t>— no certificate —</t>
        </is>
      </c>
      <c r="AS29" s="152" t="inlineStr">
        <is>
          <t>✗</t>
        </is>
      </c>
    </row>
    <row r="30" ht="13" customHeight="1" s="70">
      <c r="A30" s="143" t="n"/>
      <c r="B30" s="144" t="n"/>
      <c r="C30" s="144" t="n"/>
      <c r="D30" s="145" t="n"/>
      <c r="E30" s="146" t="n"/>
      <c r="F30" s="147" t="n"/>
      <c r="G30" s="145" t="n"/>
      <c r="H30" s="146" t="n"/>
      <c r="I30" s="147" t="n"/>
      <c r="J30" s="145" t="n"/>
      <c r="K30" s="146" t="n"/>
      <c r="L30" s="147" t="n"/>
      <c r="M30" s="145" t="n"/>
      <c r="N30" s="146" t="n"/>
      <c r="O30" s="147" t="n"/>
      <c r="P30" s="145" t="n"/>
      <c r="Q30" s="146" t="n"/>
      <c r="R30" s="147" t="n"/>
      <c r="S30" s="145" t="n"/>
      <c r="T30" s="146" t="n"/>
      <c r="U30" s="147" t="n"/>
      <c r="V30" s="145" t="n"/>
      <c r="W30" s="146" t="n"/>
      <c r="X30" s="147" t="n"/>
      <c r="Y30" s="145" t="n"/>
      <c r="Z30" s="146" t="n"/>
      <c r="AA30" s="147" t="n"/>
      <c r="AB30" s="154" t="inlineStr">
        <is>
          <t>— no certificate —</t>
        </is>
      </c>
      <c r="AC30" s="146" t="n"/>
      <c r="AD30" s="146" t="n"/>
      <c r="AE30" s="146" t="n"/>
      <c r="AF30" s="146" t="n"/>
      <c r="AG30" s="147" t="n"/>
      <c r="AH30" s="154" t="inlineStr">
        <is>
          <t>— no certificate —</t>
        </is>
      </c>
      <c r="AI30" s="146" t="n"/>
      <c r="AJ30" s="146" t="n"/>
      <c r="AK30" s="147" t="n"/>
      <c r="AL30" s="154" t="inlineStr">
        <is>
          <t>— no certificate —</t>
        </is>
      </c>
      <c r="AM30" s="146" t="n"/>
      <c r="AN30" s="146" t="n"/>
      <c r="AO30" s="146" t="n"/>
      <c r="AP30" s="147" t="n"/>
      <c r="AQ30" s="145" t="n"/>
      <c r="AR30" s="146" t="n"/>
      <c r="AS30" s="147" t="n"/>
    </row>
    <row r="31" ht="14" customHeight="1" s="70">
      <c r="A31" s="125" t="inlineStr">
        <is>
          <t>FB112501</t>
        </is>
      </c>
      <c r="B31" s="126" t="inlineStr">
        <is>
          <t>P060292</t>
        </is>
      </c>
      <c r="C31" s="127" t="inlineStr">
        <is>
          <t>✓ COMPLETE
2 testing instances
• 1 document(s) on file, not credited</t>
        </is>
      </c>
      <c r="D31" s="128" t="inlineStr">
        <is>
          <t>Conforms</t>
        </is>
      </c>
      <c r="E31" s="129">
        <f>IFERROR(INDEX('iCoA Register'!$B:$B,MATCH("P060292|AB|I",'iCoA Register'!$R:$R,0)),"iCoA — at issue")&amp;", (19.05.2026) [PP]"</f>
        <v/>
      </c>
      <c r="F31" s="130" t="inlineStr">
        <is>
          <t>✓</t>
        </is>
      </c>
      <c r="G31" s="131" t="inlineStr">
        <is>
          <t>not on this certificate</t>
        </is>
      </c>
      <c r="H31" s="132" t="inlineStr">
        <is>
          <t>ППК26066, (11.05.2026) [CNP] · on file, not credited</t>
        </is>
      </c>
      <c r="I31" s="133" t="inlineStr">
        <is>
          <t>•</t>
        </is>
      </c>
      <c r="J31" s="128" t="inlineStr">
        <is>
          <t>Conforms (ImB spec.)</t>
        </is>
      </c>
      <c r="K31" s="129" t="inlineStr">
        <is>
          <t>ППК26066, (11.05.2026) [CNP]</t>
        </is>
      </c>
      <c r="L31" s="130" t="inlineStr">
        <is>
          <t>✓</t>
        </is>
      </c>
      <c r="M31" s="128" t="inlineStr">
        <is>
          <t>16.69</t>
        </is>
      </c>
      <c r="N31" s="129" t="inlineStr">
        <is>
          <t>ППК26066, (11.05.2026) [CNP]</t>
        </is>
      </c>
      <c r="O31" s="130" t="inlineStr">
        <is>
          <t>✓</t>
        </is>
      </c>
      <c r="P31" s="128" t="inlineStr">
        <is>
          <t>0.05</t>
        </is>
      </c>
      <c r="Q31" s="129" t="inlineStr">
        <is>
          <t>ППК26066, (11.05.2026) [CNP]</t>
        </is>
      </c>
      <c r="R31" s="130" t="inlineStr">
        <is>
          <t>✓</t>
        </is>
      </c>
      <c r="S31" s="128" t="inlineStr">
        <is>
          <t>BLQ ᴰ</t>
        </is>
      </c>
      <c r="T31" s="129" t="inlineStr">
        <is>
          <t>ППК26066, (11.05.2026) [CNP]</t>
        </is>
      </c>
      <c r="U31" s="130" t="inlineStr">
        <is>
          <t>✓</t>
        </is>
      </c>
      <c r="V31" s="128" t="inlineStr">
        <is>
          <t>Conforms</t>
        </is>
      </c>
      <c r="W31" s="129">
        <f>IFERROR(INDEX('iCoA Register'!$B:$B,MATCH("P060292|FM|I",'iCoA Register'!$R:$R,0)),"iCoA — at issue")&amp;", (19.05.2026) [PP]"</f>
        <v/>
      </c>
      <c r="X31" s="130" t="inlineStr">
        <is>
          <t>✓</t>
        </is>
      </c>
      <c r="Y31" s="128" t="inlineStr">
        <is>
          <t>6.09</t>
        </is>
      </c>
      <c r="Z31" s="129" t="inlineStr">
        <is>
          <t>ППК26066, (11.05.2026) [CNP]</t>
        </is>
      </c>
      <c r="AA31" s="130" t="inlineStr">
        <is>
          <t>✓</t>
        </is>
      </c>
      <c r="AB31" s="128" t="inlineStr">
        <is>
          <t>3.9 x 10³</t>
        </is>
      </c>
      <c r="AC31" s="134" t="inlineStr">
        <is>
          <t>2.4 x 10³</t>
        </is>
      </c>
      <c r="AD31" s="134" t="inlineStr">
        <is>
          <t>&lt;10</t>
        </is>
      </c>
      <c r="AE31" s="134" t="inlineStr">
        <is>
          <t>отсутна/25</t>
        </is>
      </c>
      <c r="AF31" s="134" t="inlineStr">
        <is>
          <t>отсутна/g</t>
        </is>
      </c>
      <c r="AG31" s="130" t="inlineStr">
        <is>
          <t>✓</t>
        </is>
      </c>
      <c r="AH31" s="128" t="inlineStr">
        <is>
          <t>n.r.</t>
        </is>
      </c>
      <c r="AI31" s="134" t="inlineStr">
        <is>
          <t>&lt;2</t>
        </is>
      </c>
      <c r="AJ31" s="134" t="inlineStr">
        <is>
          <t>n.r.</t>
        </is>
      </c>
      <c r="AK31" s="130" t="inlineStr">
        <is>
          <t>✓</t>
        </is>
      </c>
      <c r="AL31" s="128" t="inlineStr">
        <is>
          <t>0.0215</t>
        </is>
      </c>
      <c r="AM31" s="134" t="inlineStr">
        <is>
          <t>0.0108</t>
        </is>
      </c>
      <c r="AN31" s="134" t="inlineStr">
        <is>
          <t>0.0199</t>
        </is>
      </c>
      <c r="AO31" s="134" t="inlineStr">
        <is>
          <t>0.0078</t>
        </is>
      </c>
      <c r="AP31" s="130" t="inlineStr">
        <is>
          <t>✓</t>
        </is>
      </c>
      <c r="AQ31" s="128" t="inlineStr">
        <is>
          <t>≤ LOQ (all 29 compounds)</t>
        </is>
      </c>
      <c r="AR31" s="129" t="inlineStr">
        <is>
          <t>2357-2026, (29.04.2026) [IJZ]</t>
        </is>
      </c>
      <c r="AS31" s="130" t="inlineStr">
        <is>
          <t>✓</t>
        </is>
      </c>
    </row>
    <row r="32" ht="13" customHeight="1" s="70">
      <c r="A32" s="135" t="n"/>
      <c r="D32" s="136" t="n"/>
      <c r="F32" s="137" t="n"/>
      <c r="G32" s="136" t="n"/>
      <c r="I32" s="137" t="n"/>
      <c r="J32" s="136" t="n"/>
      <c r="L32" s="137" t="n"/>
      <c r="M32" s="136" t="n"/>
      <c r="O32" s="137" t="n"/>
      <c r="P32" s="136" t="n"/>
      <c r="R32" s="137" t="n"/>
      <c r="S32" s="136" t="n"/>
      <c r="U32" s="137" t="n"/>
      <c r="V32" s="136" t="n"/>
      <c r="X32" s="137" t="n"/>
      <c r="Y32" s="136" t="n"/>
      <c r="AA32" s="137" t="n"/>
      <c r="AB32" s="138" t="inlineStr">
        <is>
          <t>312-0556-26, (28.04.2026) [IJZ-MB]</t>
        </is>
      </c>
      <c r="AG32" s="137" t="n"/>
      <c r="AH32" s="138" t="inlineStr">
        <is>
          <t>2357-2026, (29.04.2026) [IJZ]</t>
        </is>
      </c>
      <c r="AK32" s="137" t="n"/>
      <c r="AL32" s="138" t="inlineStr">
        <is>
          <t>2357-2026, (29.04.2026) [IJZ]</t>
        </is>
      </c>
      <c r="AP32" s="137" t="n"/>
      <c r="AQ32" s="136" t="n"/>
      <c r="AS32" s="137" t="n"/>
    </row>
    <row r="33" ht="14" customHeight="1" s="70">
      <c r="A33" s="139" t="n"/>
      <c r="B33" s="140" t="n"/>
      <c r="D33" s="141" t="n"/>
      <c r="E33" s="140" t="n"/>
      <c r="F33" s="142" t="n"/>
      <c r="G33" s="128" t="inlineStr">
        <is>
          <t>Conforms</t>
        </is>
      </c>
      <c r="H33" s="129">
        <f>IFERROR(INDEX('iCoA Register'!$B:$B,MATCH("P060292|AB|I",'iCoA Register'!$R:$R,0)),"iCoA — at issue")&amp;", (19.05.2026) [PP]"</f>
        <v/>
      </c>
      <c r="I33" s="130" t="inlineStr">
        <is>
          <t>✓</t>
        </is>
      </c>
      <c r="J33" s="141" t="n"/>
      <c r="K33" s="140" t="n"/>
      <c r="L33" s="142" t="n"/>
      <c r="M33" s="141" t="n"/>
      <c r="N33" s="140" t="n"/>
      <c r="O33" s="142" t="n"/>
      <c r="P33" s="141" t="n"/>
      <c r="Q33" s="140" t="n"/>
      <c r="R33" s="142" t="n"/>
      <c r="S33" s="141" t="n"/>
      <c r="T33" s="140" t="n"/>
      <c r="U33" s="142" t="n"/>
      <c r="V33" s="141" t="n"/>
      <c r="W33" s="140" t="n"/>
      <c r="X33" s="142" t="n"/>
      <c r="Y33" s="141" t="n"/>
      <c r="Z33" s="140" t="n"/>
      <c r="AA33" s="142" t="n"/>
      <c r="AB33" s="128" t="inlineStr">
        <is>
          <t>3×10³</t>
        </is>
      </c>
      <c r="AC33" s="134" t="inlineStr">
        <is>
          <t>5.2×10²</t>
        </is>
      </c>
      <c r="AD33" s="134" t="inlineStr">
        <is>
          <t>&lt;10²</t>
        </is>
      </c>
      <c r="AE33" s="134" t="inlineStr">
        <is>
          <t>absent</t>
        </is>
      </c>
      <c r="AF33" s="134" t="inlineStr">
        <is>
          <t>absent</t>
        </is>
      </c>
      <c r="AG33" s="130" t="inlineStr">
        <is>
          <t>✓</t>
        </is>
      </c>
      <c r="AH33" s="141" t="n"/>
      <c r="AI33" s="140" t="n"/>
      <c r="AJ33" s="140" t="n"/>
      <c r="AK33" s="142" t="n"/>
      <c r="AL33" s="141" t="n"/>
      <c r="AM33" s="140" t="n"/>
      <c r="AN33" s="140" t="n"/>
      <c r="AO33" s="140" t="n"/>
      <c r="AP33" s="142" t="n"/>
      <c r="AQ33" s="141" t="n"/>
      <c r="AR33" s="140" t="n"/>
      <c r="AS33" s="142" t="n"/>
    </row>
    <row r="34" ht="13" customHeight="1" s="70">
      <c r="A34" s="143" t="n"/>
      <c r="B34" s="144" t="n"/>
      <c r="C34" s="144" t="n"/>
      <c r="D34" s="145" t="n"/>
      <c r="E34" s="146" t="n"/>
      <c r="F34" s="147" t="n"/>
      <c r="G34" s="145" t="n"/>
      <c r="H34" s="146" t="n"/>
      <c r="I34" s="147" t="n"/>
      <c r="J34" s="145" t="n"/>
      <c r="K34" s="146" t="n"/>
      <c r="L34" s="147" t="n"/>
      <c r="M34" s="145" t="n"/>
      <c r="N34" s="146" t="n"/>
      <c r="O34" s="147" t="n"/>
      <c r="P34" s="145" t="n"/>
      <c r="Q34" s="146" t="n"/>
      <c r="R34" s="147" t="n"/>
      <c r="S34" s="145" t="n"/>
      <c r="T34" s="146" t="n"/>
      <c r="U34" s="147" t="n"/>
      <c r="V34" s="145" t="n"/>
      <c r="W34" s="146" t="n"/>
      <c r="X34" s="147" t="n"/>
      <c r="Y34" s="145" t="n"/>
      <c r="Z34" s="146" t="n"/>
      <c r="AA34" s="147" t="n"/>
      <c r="AB34" s="148" t="inlineStr">
        <is>
          <t>542-1073-26, (31.08.2026) [IJZ-MB]</t>
        </is>
      </c>
      <c r="AC34" s="146" t="n"/>
      <c r="AD34" s="146" t="n"/>
      <c r="AE34" s="146" t="n"/>
      <c r="AF34" s="146" t="n"/>
      <c r="AG34" s="147" t="n"/>
      <c r="AH34" s="145" t="n"/>
      <c r="AI34" s="146" t="n"/>
      <c r="AJ34" s="146" t="n"/>
      <c r="AK34" s="147" t="n"/>
      <c r="AL34" s="145" t="n"/>
      <c r="AM34" s="146" t="n"/>
      <c r="AN34" s="146" t="n"/>
      <c r="AO34" s="146" t="n"/>
      <c r="AP34" s="147" t="n"/>
      <c r="AQ34" s="145" t="n"/>
      <c r="AR34" s="146" t="n"/>
      <c r="AS34" s="147" t="n"/>
    </row>
    <row r="35" ht="14" customHeight="1" s="70">
      <c r="A35" s="125" t="inlineStr">
        <is>
          <t>GG012601＊</t>
        </is>
      </c>
      <c r="B35" s="126" t="inlineStr">
        <is>
          <t>P060302</t>
        </is>
      </c>
      <c r="C35" s="127" t="inlineStr">
        <is>
          <t>✓ COMPLETE
2 testing instances
• 1 document(s) on file, not credited</t>
        </is>
      </c>
      <c r="D35" s="128" t="inlineStr">
        <is>
          <t>Conforms</t>
        </is>
      </c>
      <c r="E35" s="129">
        <f>IFERROR(INDEX('iCoA Register'!$B:$B,MATCH("P060302|AB|I",'iCoA Register'!$R:$R,0)),"iCoA — at issue")&amp;", (20.05.2026) [PP]"</f>
        <v/>
      </c>
      <c r="F35" s="130" t="inlineStr">
        <is>
          <t>✓</t>
        </is>
      </c>
      <c r="G35" s="131" t="inlineStr">
        <is>
          <t>not on this certificate</t>
        </is>
      </c>
      <c r="H35" s="132" t="inlineStr">
        <is>
          <t>ППК26062, (11.05.2026) [CNP] · on file, not credited</t>
        </is>
      </c>
      <c r="I35" s="133" t="inlineStr">
        <is>
          <t>•</t>
        </is>
      </c>
      <c r="J35" s="128" t="inlineStr">
        <is>
          <t>Conforms (ImB spec.)</t>
        </is>
      </c>
      <c r="K35" s="129" t="inlineStr">
        <is>
          <t>ППК26062, (11.05.2026) [CNP]</t>
        </is>
      </c>
      <c r="L35" s="130" t="inlineStr">
        <is>
          <t>✓</t>
        </is>
      </c>
      <c r="M35" s="128" t="inlineStr">
        <is>
          <t>15.35</t>
        </is>
      </c>
      <c r="N35" s="129" t="inlineStr">
        <is>
          <t>ППК26062, (11.05.2026) [CNP]</t>
        </is>
      </c>
      <c r="O35" s="130" t="inlineStr">
        <is>
          <t>✓</t>
        </is>
      </c>
      <c r="P35" s="128" t="inlineStr">
        <is>
          <t>0.06</t>
        </is>
      </c>
      <c r="Q35" s="129" t="inlineStr">
        <is>
          <t>ППК26062, (11.05.2026) [CNP]</t>
        </is>
      </c>
      <c r="R35" s="130" t="inlineStr">
        <is>
          <t>✓</t>
        </is>
      </c>
      <c r="S35" s="128" t="inlineStr">
        <is>
          <t>BLQ ᴰ</t>
        </is>
      </c>
      <c r="T35" s="129" t="inlineStr">
        <is>
          <t>ППК26062, (11.05.2026) [CNP]</t>
        </is>
      </c>
      <c r="U35" s="130" t="inlineStr">
        <is>
          <t>✓</t>
        </is>
      </c>
      <c r="V35" s="128" t="inlineStr">
        <is>
          <t>Conforms</t>
        </is>
      </c>
      <c r="W35" s="129">
        <f>IFERROR(INDEX('iCoA Register'!$B:$B,MATCH("P060302|FM|I",'iCoA Register'!$R:$R,0)),"iCoA — at issue")&amp;", (20.05.2026) [PP]"</f>
        <v/>
      </c>
      <c r="X35" s="130" t="inlineStr">
        <is>
          <t>✓</t>
        </is>
      </c>
      <c r="Y35" s="128" t="inlineStr">
        <is>
          <t>6.13</t>
        </is>
      </c>
      <c r="Z35" s="129" t="inlineStr">
        <is>
          <t>ППК26062, (11.05.2026) [CNP]</t>
        </is>
      </c>
      <c r="AA35" s="130" t="inlineStr">
        <is>
          <t>✓</t>
        </is>
      </c>
      <c r="AB35" s="128" t="inlineStr">
        <is>
          <t>1 x 10⁴</t>
        </is>
      </c>
      <c r="AC35" s="134" t="inlineStr">
        <is>
          <t>1 x 10⁴</t>
        </is>
      </c>
      <c r="AD35" s="134" t="inlineStr">
        <is>
          <t>&lt;10</t>
        </is>
      </c>
      <c r="AE35" s="134" t="inlineStr">
        <is>
          <t>отсутна/25</t>
        </is>
      </c>
      <c r="AF35" s="134" t="inlineStr">
        <is>
          <t>отсутна/g</t>
        </is>
      </c>
      <c r="AG35" s="130" t="inlineStr">
        <is>
          <t>✓</t>
        </is>
      </c>
      <c r="AH35" s="128" t="inlineStr">
        <is>
          <t>n.r.</t>
        </is>
      </c>
      <c r="AI35" s="134" t="inlineStr">
        <is>
          <t>&lt;2</t>
        </is>
      </c>
      <c r="AJ35" s="134" t="inlineStr">
        <is>
          <t>n.r.</t>
        </is>
      </c>
      <c r="AK35" s="130" t="inlineStr">
        <is>
          <t>✓</t>
        </is>
      </c>
      <c r="AL35" s="128" t="inlineStr">
        <is>
          <t>0.0227</t>
        </is>
      </c>
      <c r="AM35" s="134" t="inlineStr">
        <is>
          <t>0.0179</t>
        </is>
      </c>
      <c r="AN35" s="134" t="inlineStr">
        <is>
          <t>0.0163</t>
        </is>
      </c>
      <c r="AO35" s="134" t="inlineStr">
        <is>
          <t>0.031</t>
        </is>
      </c>
      <c r="AP35" s="130" t="inlineStr">
        <is>
          <t>✓</t>
        </is>
      </c>
      <c r="AQ35" s="128" t="inlineStr">
        <is>
          <t>≤ LOQ (all 29 compounds)</t>
        </is>
      </c>
      <c r="AR35" s="129" t="inlineStr">
        <is>
          <t>2364-2026, (30.04.2026) [IJZ]</t>
        </is>
      </c>
      <c r="AS35" s="130" t="inlineStr">
        <is>
          <t>✓</t>
        </is>
      </c>
    </row>
    <row r="36" ht="13" customHeight="1" s="70">
      <c r="A36" s="135" t="n"/>
      <c r="D36" s="136" t="n"/>
      <c r="F36" s="137" t="n"/>
      <c r="G36" s="136" t="n"/>
      <c r="I36" s="137" t="n"/>
      <c r="J36" s="136" t="n"/>
      <c r="L36" s="137" t="n"/>
      <c r="M36" s="136" t="n"/>
      <c r="O36" s="137" t="n"/>
      <c r="P36" s="136" t="n"/>
      <c r="R36" s="137" t="n"/>
      <c r="S36" s="136" t="n"/>
      <c r="U36" s="137" t="n"/>
      <c r="V36" s="136" t="n"/>
      <c r="X36" s="137" t="n"/>
      <c r="Y36" s="136" t="n"/>
      <c r="AA36" s="137" t="n"/>
      <c r="AB36" s="138" t="inlineStr">
        <is>
          <t>310-0554-26, (28.04.2026) [IJZ-MB]</t>
        </is>
      </c>
      <c r="AG36" s="137" t="n"/>
      <c r="AH36" s="138" t="inlineStr">
        <is>
          <t>2364-2026, (30.04.2026) [IJZ]</t>
        </is>
      </c>
      <c r="AK36" s="137" t="n"/>
      <c r="AL36" s="138" t="inlineStr">
        <is>
          <t>2364-2026, (30.04.2026) [IJZ]</t>
        </is>
      </c>
      <c r="AP36" s="137" t="n"/>
      <c r="AQ36" s="136" t="n"/>
      <c r="AS36" s="137" t="n"/>
    </row>
    <row r="37" ht="14" customHeight="1" s="70">
      <c r="A37" s="139" t="n"/>
      <c r="B37" s="140" t="n"/>
      <c r="D37" s="141" t="n"/>
      <c r="E37" s="140" t="n"/>
      <c r="F37" s="142" t="n"/>
      <c r="G37" s="128" t="inlineStr">
        <is>
          <t>Conforms</t>
        </is>
      </c>
      <c r="H37" s="129">
        <f>IFERROR(INDEX('iCoA Register'!$B:$B,MATCH("P060302|AB|I",'iCoA Register'!$R:$R,0)),"iCoA — at issue")&amp;", (20.05.2026) [PP]"</f>
        <v/>
      </c>
      <c r="I37" s="130" t="inlineStr">
        <is>
          <t>✓</t>
        </is>
      </c>
      <c r="J37" s="141" t="n"/>
      <c r="K37" s="140" t="n"/>
      <c r="L37" s="142" t="n"/>
      <c r="M37" s="141" t="n"/>
      <c r="N37" s="140" t="n"/>
      <c r="O37" s="142" t="n"/>
      <c r="P37" s="141" t="n"/>
      <c r="Q37" s="140" t="n"/>
      <c r="R37" s="142" t="n"/>
      <c r="S37" s="141" t="n"/>
      <c r="T37" s="140" t="n"/>
      <c r="U37" s="142" t="n"/>
      <c r="V37" s="141" t="n"/>
      <c r="W37" s="140" t="n"/>
      <c r="X37" s="142" t="n"/>
      <c r="Y37" s="141" t="n"/>
      <c r="Z37" s="140" t="n"/>
      <c r="AA37" s="142" t="n"/>
      <c r="AB37" s="128" t="inlineStr">
        <is>
          <t>2.2×10³</t>
        </is>
      </c>
      <c r="AC37" s="134" t="inlineStr">
        <is>
          <t>2.1×10³</t>
        </is>
      </c>
      <c r="AD37" s="134" t="inlineStr">
        <is>
          <t>&lt;10</t>
        </is>
      </c>
      <c r="AE37" s="134" t="inlineStr">
        <is>
          <t>absent</t>
        </is>
      </c>
      <c r="AF37" s="134" t="inlineStr">
        <is>
          <t>absent</t>
        </is>
      </c>
      <c r="AG37" s="130" t="inlineStr">
        <is>
          <t>✓</t>
        </is>
      </c>
      <c r="AH37" s="141" t="n"/>
      <c r="AI37" s="140" t="n"/>
      <c r="AJ37" s="140" t="n"/>
      <c r="AK37" s="142" t="n"/>
      <c r="AL37" s="141" t="n"/>
      <c r="AM37" s="140" t="n"/>
      <c r="AN37" s="140" t="n"/>
      <c r="AO37" s="140" t="n"/>
      <c r="AP37" s="142" t="n"/>
      <c r="AQ37" s="141" t="n"/>
      <c r="AR37" s="140" t="n"/>
      <c r="AS37" s="142" t="n"/>
    </row>
    <row r="38" ht="13" customHeight="1" s="70">
      <c r="A38" s="143" t="n"/>
      <c r="B38" s="144" t="n"/>
      <c r="C38" s="144" t="n"/>
      <c r="D38" s="145" t="n"/>
      <c r="E38" s="146" t="n"/>
      <c r="F38" s="147" t="n"/>
      <c r="G38" s="145" t="n"/>
      <c r="H38" s="146" t="n"/>
      <c r="I38" s="147" t="n"/>
      <c r="J38" s="145" t="n"/>
      <c r="K38" s="146" t="n"/>
      <c r="L38" s="147" t="n"/>
      <c r="M38" s="145" t="n"/>
      <c r="N38" s="146" t="n"/>
      <c r="O38" s="147" t="n"/>
      <c r="P38" s="145" t="n"/>
      <c r="Q38" s="146" t="n"/>
      <c r="R38" s="147" t="n"/>
      <c r="S38" s="145" t="n"/>
      <c r="T38" s="146" t="n"/>
      <c r="U38" s="147" t="n"/>
      <c r="V38" s="145" t="n"/>
      <c r="W38" s="146" t="n"/>
      <c r="X38" s="147" t="n"/>
      <c r="Y38" s="145" t="n"/>
      <c r="Z38" s="146" t="n"/>
      <c r="AA38" s="147" t="n"/>
      <c r="AB38" s="148" t="inlineStr">
        <is>
          <t>541-1072-26, (31.08.2026) [IJZ-MB]</t>
        </is>
      </c>
      <c r="AC38" s="146" t="n"/>
      <c r="AD38" s="146" t="n"/>
      <c r="AE38" s="146" t="n"/>
      <c r="AF38" s="146" t="n"/>
      <c r="AG38" s="147" t="n"/>
      <c r="AH38" s="145" t="n"/>
      <c r="AI38" s="146" t="n"/>
      <c r="AJ38" s="146" t="n"/>
      <c r="AK38" s="147" t="n"/>
      <c r="AL38" s="145" t="n"/>
      <c r="AM38" s="146" t="n"/>
      <c r="AN38" s="146" t="n"/>
      <c r="AO38" s="146" t="n"/>
      <c r="AP38" s="147" t="n"/>
      <c r="AQ38" s="145" t="n"/>
      <c r="AR38" s="146" t="n"/>
      <c r="AS38" s="147" t="n"/>
    </row>
    <row r="39" ht="21" customHeight="1" s="70">
      <c r="A39" s="125" t="inlineStr">
        <is>
          <t>GG012603</t>
        </is>
      </c>
      <c r="B39" s="126" t="inlineStr">
        <is>
          <t>P060402</t>
        </is>
      </c>
      <c r="C39" s="149" t="inlineStr">
        <is>
          <t>⚠ 3 NO RESULT
(3 no cert / 0 cert w/o result)
2 testing instances
• 1 document(s) on file, not credited</t>
        </is>
      </c>
      <c r="D39" s="128" t="inlineStr">
        <is>
          <t>Одговара</t>
        </is>
      </c>
      <c r="E39" s="129" t="inlineStr">
        <is>
          <t>ППК26114, (30.06.2026) [CNP]</t>
        </is>
      </c>
      <c r="F39" s="130" t="inlineStr">
        <is>
          <t>✓</t>
        </is>
      </c>
      <c r="G39" s="128" t="inlineStr">
        <is>
          <t>Одговара</t>
        </is>
      </c>
      <c r="H39" s="129" t="inlineStr">
        <is>
          <t>ППК26114, (30.06.2026) [CNP]</t>
        </is>
      </c>
      <c r="I39" s="130" t="inlineStr">
        <is>
          <t>✓</t>
        </is>
      </c>
      <c r="J39" s="128" t="inlineStr">
        <is>
          <t>Conforms (ImB spec.)</t>
        </is>
      </c>
      <c r="K39" s="129" t="inlineStr">
        <is>
          <t>ППК26114, (30.06.2026) [CNP]</t>
        </is>
      </c>
      <c r="L39" s="130" t="inlineStr">
        <is>
          <t>✓</t>
        </is>
      </c>
      <c r="M39" s="128" t="inlineStr">
        <is>
          <t>17.59</t>
        </is>
      </c>
      <c r="N39" s="129" t="inlineStr">
        <is>
          <t>ППК26114, (30.06.2026) [CNP]</t>
        </is>
      </c>
      <c r="O39" s="130" t="inlineStr">
        <is>
          <t>✓</t>
        </is>
      </c>
      <c r="P39" s="128" t="inlineStr">
        <is>
          <t>0.05</t>
        </is>
      </c>
      <c r="Q39" s="129" t="inlineStr">
        <is>
          <t>ППК26114, (30.06.2026) [CNP]</t>
        </is>
      </c>
      <c r="R39" s="130" t="inlineStr">
        <is>
          <t>✓</t>
        </is>
      </c>
      <c r="S39" s="128" t="inlineStr">
        <is>
          <t>0.15</t>
        </is>
      </c>
      <c r="T39" s="129" t="inlineStr">
        <is>
          <t>ППК26114, (30.06.2026) [CNP]</t>
        </is>
      </c>
      <c r="U39" s="130" t="inlineStr">
        <is>
          <t>✓</t>
        </is>
      </c>
      <c r="V39" s="128" t="inlineStr">
        <is>
          <t>0.09 % (Одговара)</t>
        </is>
      </c>
      <c r="W39" s="129" t="inlineStr">
        <is>
          <t>ППК26114, (30.06.2026) [CNP]</t>
        </is>
      </c>
      <c r="X39" s="130" t="inlineStr">
        <is>
          <t>✓</t>
        </is>
      </c>
      <c r="Y39" s="128" t="inlineStr">
        <is>
          <t>6.48</t>
        </is>
      </c>
      <c r="Z39" s="129" t="inlineStr">
        <is>
          <t>ППК26114, (30.06.2026) [CNP]</t>
        </is>
      </c>
      <c r="AA39" s="130" t="inlineStr">
        <is>
          <t>✓</t>
        </is>
      </c>
      <c r="AB39" s="150" t="inlineStr">
        <is>
          <t>— MISSING —</t>
        </is>
      </c>
      <c r="AC39" s="151" t="inlineStr">
        <is>
          <t>— MISSING —</t>
        </is>
      </c>
      <c r="AD39" s="151" t="inlineStr">
        <is>
          <t>— MISSING —</t>
        </is>
      </c>
      <c r="AE39" s="151" t="inlineStr">
        <is>
          <t>— MISSING —</t>
        </is>
      </c>
      <c r="AF39" s="151" t="inlineStr">
        <is>
          <t>— MISSING —</t>
        </is>
      </c>
      <c r="AG39" s="152" t="inlineStr">
        <is>
          <t>✗</t>
        </is>
      </c>
      <c r="AH39" s="128" t="inlineStr">
        <is>
          <t>ND</t>
        </is>
      </c>
      <c r="AI39" s="134" t="inlineStr">
        <is>
          <t>ND ᴿ</t>
        </is>
      </c>
      <c r="AJ39" s="134" t="inlineStr">
        <is>
          <t>ND</t>
        </is>
      </c>
      <c r="AK39" s="130" t="inlineStr">
        <is>
          <t>✓</t>
        </is>
      </c>
      <c r="AL39" s="150" t="inlineStr">
        <is>
          <t>— MISSING —</t>
        </is>
      </c>
      <c r="AM39" s="151" t="inlineStr">
        <is>
          <t>— MISSING —</t>
        </is>
      </c>
      <c r="AN39" s="151" t="inlineStr">
        <is>
          <t>— MISSING —</t>
        </is>
      </c>
      <c r="AO39" s="151" t="inlineStr">
        <is>
          <t>— MISSING —</t>
        </is>
      </c>
      <c r="AP39" s="152" t="inlineStr">
        <is>
          <t>✗</t>
        </is>
      </c>
      <c r="AQ39" s="150" t="inlineStr">
        <is>
          <t>— MISSING —</t>
        </is>
      </c>
      <c r="AR39" s="153" t="inlineStr">
        <is>
          <t>— no certificate —</t>
        </is>
      </c>
      <c r="AS39" s="152" t="inlineStr">
        <is>
          <t>✗</t>
        </is>
      </c>
    </row>
    <row r="40" ht="13" customHeight="1" s="70">
      <c r="A40" s="135" t="n"/>
      <c r="D40" s="136" t="n"/>
      <c r="F40" s="137" t="n"/>
      <c r="G40" s="136" t="n"/>
      <c r="I40" s="137" t="n"/>
      <c r="J40" s="136" t="n"/>
      <c r="L40" s="137" t="n"/>
      <c r="M40" s="136" t="n"/>
      <c r="O40" s="137" t="n"/>
      <c r="P40" s="136" t="n"/>
      <c r="R40" s="137" t="n"/>
      <c r="S40" s="136" t="n"/>
      <c r="U40" s="137" t="n"/>
      <c r="V40" s="136" t="n"/>
      <c r="X40" s="137" t="n"/>
      <c r="Y40" s="136" t="n"/>
      <c r="AA40" s="137" t="n"/>
      <c r="AB40" s="156" t="inlineStr">
        <is>
          <t>— no certificate —</t>
        </is>
      </c>
      <c r="AG40" s="137" t="n"/>
      <c r="AH40" s="138" t="inlineStr">
        <is>
          <t>197-8-M-26, (10.08.2026) [FHM-M]</t>
        </is>
      </c>
      <c r="AK40" s="137" t="n"/>
      <c r="AL40" s="156" t="inlineStr">
        <is>
          <t>— no certificate —</t>
        </is>
      </c>
      <c r="AP40" s="137" t="n"/>
      <c r="AQ40" s="136" t="n"/>
      <c r="AS40" s="137" t="n"/>
    </row>
    <row r="41" ht="14" customHeight="1" s="70">
      <c r="A41" s="139" t="n"/>
      <c r="B41" s="140" t="n"/>
      <c r="D41" s="141" t="n"/>
      <c r="E41" s="140" t="n"/>
      <c r="F41" s="142" t="n"/>
      <c r="G41" s="141" t="n"/>
      <c r="H41" s="140" t="n"/>
      <c r="I41" s="142" t="n"/>
      <c r="J41" s="128" t="inlineStr">
        <is>
          <t>Conforms (ImB spec.) ᴿ</t>
        </is>
      </c>
      <c r="K41" s="129" t="inlineStr">
        <is>
          <t>197-8-K-26, (07.08.2026) [FHM-K]</t>
        </is>
      </c>
      <c r="L41" s="130" t="inlineStr">
        <is>
          <t>✓</t>
        </is>
      </c>
      <c r="M41" s="128" t="inlineStr">
        <is>
          <t>16.70</t>
        </is>
      </c>
      <c r="N41" s="129" t="inlineStr">
        <is>
          <t>197-8-K-26, (07.08.2026) [FHM-K]</t>
        </is>
      </c>
      <c r="O41" s="130" t="inlineStr">
        <is>
          <t>✓</t>
        </is>
      </c>
      <c r="P41" s="128" t="inlineStr">
        <is>
          <t>&lt; LOQ</t>
        </is>
      </c>
      <c r="Q41" s="129" t="inlineStr">
        <is>
          <t>197-8-K-26, (07.08.2026) [FHM-K]</t>
        </is>
      </c>
      <c r="R41" s="130" t="inlineStr">
        <is>
          <t>✓</t>
        </is>
      </c>
      <c r="S41" s="128" t="inlineStr">
        <is>
          <t>&lt; LOQ</t>
        </is>
      </c>
      <c r="T41" s="129" t="inlineStr">
        <is>
          <t>197-8-K-26, (07.08.2026) [FHM-K]</t>
        </is>
      </c>
      <c r="U41" s="130" t="inlineStr">
        <is>
          <t>✓</t>
        </is>
      </c>
      <c r="V41" s="141" t="n"/>
      <c r="W41" s="140" t="n"/>
      <c r="X41" s="142" t="n"/>
      <c r="Y41" s="131" t="inlineStr">
        <is>
          <t>not on this certificate</t>
        </is>
      </c>
      <c r="Z41" s="132" t="inlineStr">
        <is>
          <t>197-8-K-26, (07.08.2026) [FHM-K] · on file, not credited</t>
        </is>
      </c>
      <c r="AA41" s="133" t="inlineStr">
        <is>
          <t>•</t>
        </is>
      </c>
      <c r="AB41" s="141" t="n"/>
      <c r="AC41" s="140" t="n"/>
      <c r="AD41" s="140" t="n"/>
      <c r="AE41" s="140" t="n"/>
      <c r="AF41" s="140" t="n"/>
      <c r="AG41" s="142" t="n"/>
      <c r="AH41" s="141" t="n"/>
      <c r="AI41" s="140" t="n"/>
      <c r="AJ41" s="140" t="n"/>
      <c r="AK41" s="142" t="n"/>
      <c r="AL41" s="141" t="n"/>
      <c r="AM41" s="140" t="n"/>
      <c r="AN41" s="140" t="n"/>
      <c r="AO41" s="140" t="n"/>
      <c r="AP41" s="142" t="n"/>
      <c r="AQ41" s="141" t="n"/>
      <c r="AR41" s="140" t="n"/>
      <c r="AS41" s="142" t="n"/>
    </row>
    <row r="42" ht="21" customHeight="1" s="70">
      <c r="A42" s="143" t="n"/>
      <c r="B42" s="144" t="n"/>
      <c r="C42" s="144" t="n"/>
      <c r="D42" s="145" t="n"/>
      <c r="E42" s="146" t="n"/>
      <c r="F42" s="147" t="n"/>
      <c r="G42" s="145" t="n"/>
      <c r="H42" s="146" t="n"/>
      <c r="I42" s="147" t="n"/>
      <c r="J42" s="145" t="n"/>
      <c r="K42" s="146" t="n"/>
      <c r="L42" s="147" t="n"/>
      <c r="M42" s="145" t="n"/>
      <c r="N42" s="146" t="n"/>
      <c r="O42" s="147" t="n"/>
      <c r="P42" s="145" t="n"/>
      <c r="Q42" s="146" t="n"/>
      <c r="R42" s="147" t="n"/>
      <c r="S42" s="145" t="n"/>
      <c r="T42" s="146" t="n"/>
      <c r="U42" s="147" t="n"/>
      <c r="V42" s="145" t="n"/>
      <c r="W42" s="146" t="n"/>
      <c r="X42" s="147" t="n"/>
      <c r="Y42" s="145" t="n"/>
      <c r="Z42" s="146" t="n"/>
      <c r="AA42" s="147" t="n"/>
      <c r="AB42" s="145" t="n"/>
      <c r="AC42" s="146" t="n"/>
      <c r="AD42" s="146" t="n"/>
      <c r="AE42" s="146" t="n"/>
      <c r="AF42" s="146" t="n"/>
      <c r="AG42" s="147" t="n"/>
      <c r="AH42" s="145" t="n"/>
      <c r="AI42" s="146" t="n"/>
      <c r="AJ42" s="146" t="n"/>
      <c r="AK42" s="147" t="n"/>
      <c r="AL42" s="145" t="n"/>
      <c r="AM42" s="146" t="n"/>
      <c r="AN42" s="146" t="n"/>
      <c r="AO42" s="146" t="n"/>
      <c r="AP42" s="147" t="n"/>
      <c r="AQ42" s="145" t="n"/>
      <c r="AR42" s="146" t="n"/>
      <c r="AS42" s="147" t="n"/>
    </row>
    <row r="43" ht="21" customHeight="1" s="70">
      <c r="A43" s="125" t="inlineStr">
        <is>
          <t>GG032601</t>
        </is>
      </c>
      <c r="B43" s="126" t="inlineStr">
        <is>
          <t>P060462</t>
        </is>
      </c>
      <c r="C43" s="155" t="inlineStr">
        <is>
          <t>✗ 4 NO RESULT
(4 no cert / 0 cert w/o result)</t>
        </is>
      </c>
      <c r="D43" s="128" t="inlineStr">
        <is>
          <t>Одговара</t>
        </is>
      </c>
      <c r="E43" s="129" t="inlineStr">
        <is>
          <t>ППК26128, (21.07.2026) [CNP]</t>
        </is>
      </c>
      <c r="F43" s="130" t="inlineStr">
        <is>
          <t>✓</t>
        </is>
      </c>
      <c r="G43" s="128" t="inlineStr">
        <is>
          <t>Одговара</t>
        </is>
      </c>
      <c r="H43" s="129" t="inlineStr">
        <is>
          <t>ППК26128, (21.07.2026) [CNP]</t>
        </is>
      </c>
      <c r="I43" s="130" t="inlineStr">
        <is>
          <t>✓</t>
        </is>
      </c>
      <c r="J43" s="128" t="inlineStr">
        <is>
          <t>Conforms (ImB spec.)</t>
        </is>
      </c>
      <c r="K43" s="129" t="inlineStr">
        <is>
          <t>ППК26128, (21.07.2026) [CNP]</t>
        </is>
      </c>
      <c r="L43" s="130" t="inlineStr">
        <is>
          <t>✓</t>
        </is>
      </c>
      <c r="M43" s="128" t="inlineStr">
        <is>
          <t>18.98</t>
        </is>
      </c>
      <c r="N43" s="129" t="inlineStr">
        <is>
          <t>ППК26128, (21.07.2026) [CNP]</t>
        </is>
      </c>
      <c r="O43" s="130" t="inlineStr">
        <is>
          <t>✓</t>
        </is>
      </c>
      <c r="P43" s="128" t="inlineStr">
        <is>
          <t>0.25</t>
        </is>
      </c>
      <c r="Q43" s="129" t="inlineStr">
        <is>
          <t>ППК26128, (21.07.2026) [CNP]</t>
        </is>
      </c>
      <c r="R43" s="130" t="inlineStr">
        <is>
          <t>✓</t>
        </is>
      </c>
      <c r="S43" s="128" t="inlineStr">
        <is>
          <t>0.04</t>
        </is>
      </c>
      <c r="T43" s="129" t="inlineStr">
        <is>
          <t>ППК26128, (21.07.2026) [CNP]</t>
        </is>
      </c>
      <c r="U43" s="130" t="inlineStr">
        <is>
          <t>✓</t>
        </is>
      </c>
      <c r="V43" s="128" t="inlineStr">
        <is>
          <t>/ (Одговара)</t>
        </is>
      </c>
      <c r="W43" s="129" t="inlineStr">
        <is>
          <t>ППК26128, (21.07.2026) [CNP]</t>
        </is>
      </c>
      <c r="X43" s="130" t="inlineStr">
        <is>
          <t>✓</t>
        </is>
      </c>
      <c r="Y43" s="128" t="inlineStr">
        <is>
          <t>7.88</t>
        </is>
      </c>
      <c r="Z43" s="129" t="inlineStr">
        <is>
          <t>ППК26128, (21.07.2026) [CNP]</t>
        </is>
      </c>
      <c r="AA43" s="130" t="inlineStr">
        <is>
          <t>✓</t>
        </is>
      </c>
      <c r="AB43" s="150" t="inlineStr">
        <is>
          <t>— MISSING —</t>
        </is>
      </c>
      <c r="AC43" s="151" t="inlineStr">
        <is>
          <t>— MISSING —</t>
        </is>
      </c>
      <c r="AD43" s="151" t="inlineStr">
        <is>
          <t>— MISSING —</t>
        </is>
      </c>
      <c r="AE43" s="151" t="inlineStr">
        <is>
          <t>— MISSING —</t>
        </is>
      </c>
      <c r="AF43" s="151" t="inlineStr">
        <is>
          <t>— MISSING —</t>
        </is>
      </c>
      <c r="AG43" s="152" t="inlineStr">
        <is>
          <t>✗</t>
        </is>
      </c>
      <c r="AH43" s="150" t="inlineStr">
        <is>
          <t>— MISSING —</t>
        </is>
      </c>
      <c r="AI43" s="151" t="inlineStr">
        <is>
          <t>— MISSING —</t>
        </is>
      </c>
      <c r="AJ43" s="151" t="inlineStr">
        <is>
          <t>— MISSING —</t>
        </is>
      </c>
      <c r="AK43" s="152" t="inlineStr">
        <is>
          <t>✗</t>
        </is>
      </c>
      <c r="AL43" s="150" t="inlineStr">
        <is>
          <t>— MISSING —</t>
        </is>
      </c>
      <c r="AM43" s="151" t="inlineStr">
        <is>
          <t>— MISSING —</t>
        </is>
      </c>
      <c r="AN43" s="151" t="inlineStr">
        <is>
          <t>— MISSING —</t>
        </is>
      </c>
      <c r="AO43" s="151" t="inlineStr">
        <is>
          <t>— MISSING —</t>
        </is>
      </c>
      <c r="AP43" s="152" t="inlineStr">
        <is>
          <t>✗</t>
        </is>
      </c>
      <c r="AQ43" s="150" t="inlineStr">
        <is>
          <t>— MISSING —</t>
        </is>
      </c>
      <c r="AR43" s="153" t="inlineStr">
        <is>
          <t>— no certificate —</t>
        </is>
      </c>
      <c r="AS43" s="152" t="inlineStr">
        <is>
          <t>✗</t>
        </is>
      </c>
    </row>
    <row r="44" ht="13" customHeight="1" s="70">
      <c r="A44" s="143" t="n"/>
      <c r="B44" s="144" t="n"/>
      <c r="C44" s="144" t="n"/>
      <c r="D44" s="145" t="n"/>
      <c r="E44" s="146" t="n"/>
      <c r="F44" s="147" t="n"/>
      <c r="G44" s="145" t="n"/>
      <c r="H44" s="146" t="n"/>
      <c r="I44" s="147" t="n"/>
      <c r="J44" s="145" t="n"/>
      <c r="K44" s="146" t="n"/>
      <c r="L44" s="147" t="n"/>
      <c r="M44" s="145" t="n"/>
      <c r="N44" s="146" t="n"/>
      <c r="O44" s="147" t="n"/>
      <c r="P44" s="145" t="n"/>
      <c r="Q44" s="146" t="n"/>
      <c r="R44" s="147" t="n"/>
      <c r="S44" s="145" t="n"/>
      <c r="T44" s="146" t="n"/>
      <c r="U44" s="147" t="n"/>
      <c r="V44" s="145" t="n"/>
      <c r="W44" s="146" t="n"/>
      <c r="X44" s="147" t="n"/>
      <c r="Y44" s="145" t="n"/>
      <c r="Z44" s="146" t="n"/>
      <c r="AA44" s="147" t="n"/>
      <c r="AB44" s="154" t="inlineStr">
        <is>
          <t>— no certificate —</t>
        </is>
      </c>
      <c r="AC44" s="146" t="n"/>
      <c r="AD44" s="146" t="n"/>
      <c r="AE44" s="146" t="n"/>
      <c r="AF44" s="146" t="n"/>
      <c r="AG44" s="147" t="n"/>
      <c r="AH44" s="154" t="inlineStr">
        <is>
          <t>— no certificate —</t>
        </is>
      </c>
      <c r="AI44" s="146" t="n"/>
      <c r="AJ44" s="146" t="n"/>
      <c r="AK44" s="147" t="n"/>
      <c r="AL44" s="154" t="inlineStr">
        <is>
          <t>— no certificate —</t>
        </is>
      </c>
      <c r="AM44" s="146" t="n"/>
      <c r="AN44" s="146" t="n"/>
      <c r="AO44" s="146" t="n"/>
      <c r="AP44" s="147" t="n"/>
      <c r="AQ44" s="145" t="n"/>
      <c r="AR44" s="146" t="n"/>
      <c r="AS44" s="147" t="n"/>
    </row>
    <row r="45" ht="21" customHeight="1" s="70">
      <c r="A45" s="125" t="inlineStr">
        <is>
          <t>GG1024</t>
        </is>
      </c>
      <c r="B45" s="126" t="inlineStr">
        <is>
          <t>N/A — no P batch assigned</t>
        </is>
      </c>
      <c r="C45" s="155" t="inlineStr">
        <is>
          <t>✗ 9 NO RESULT
(9 no cert / 0 cert w/o result)
2 testing instances</t>
        </is>
      </c>
      <c r="D45" s="128" t="inlineStr">
        <is>
          <t>Conforms</t>
        </is>
      </c>
      <c r="E45" s="129">
        <f>IFERROR(INDEX('iCoA Register'!$B:$B,MATCH("GG1024|AB|I",'iCoA Register'!$R:$R,0)),"iCoA — at issue")&amp;", (11.03.2025) [PP]"</f>
        <v/>
      </c>
      <c r="F45" s="130" t="inlineStr">
        <is>
          <t>✓</t>
        </is>
      </c>
      <c r="G45" s="128" t="inlineStr">
        <is>
          <t>Conforms</t>
        </is>
      </c>
      <c r="H45" s="129">
        <f>IFERROR(INDEX('iCoA Register'!$B:$B,MATCH("GG1024|AB|I",'iCoA Register'!$R:$R,0)),"iCoA — at issue")&amp;", (11.03.2025) [PP]"</f>
        <v/>
      </c>
      <c r="I45" s="130" t="inlineStr">
        <is>
          <t>✓</t>
        </is>
      </c>
      <c r="J45" s="150" t="inlineStr">
        <is>
          <t>— MISSING —</t>
        </is>
      </c>
      <c r="K45" s="153" t="inlineStr">
        <is>
          <t>— no certificate —</t>
        </is>
      </c>
      <c r="L45" s="152" t="inlineStr">
        <is>
          <t>✗</t>
        </is>
      </c>
      <c r="M45" s="150" t="inlineStr">
        <is>
          <t>— MISSING —</t>
        </is>
      </c>
      <c r="N45" s="153" t="inlineStr">
        <is>
          <t>— no certificate —</t>
        </is>
      </c>
      <c r="O45" s="152" t="inlineStr">
        <is>
          <t>✗</t>
        </is>
      </c>
      <c r="P45" s="150" t="inlineStr">
        <is>
          <t>— MISSING —</t>
        </is>
      </c>
      <c r="Q45" s="153" t="inlineStr">
        <is>
          <t>— no certificate —</t>
        </is>
      </c>
      <c r="R45" s="152" t="inlineStr">
        <is>
          <t>✗</t>
        </is>
      </c>
      <c r="S45" s="150" t="inlineStr">
        <is>
          <t>— MISSING —</t>
        </is>
      </c>
      <c r="T45" s="153" t="inlineStr">
        <is>
          <t>— no certificate —</t>
        </is>
      </c>
      <c r="U45" s="152" t="inlineStr">
        <is>
          <t>✗</t>
        </is>
      </c>
      <c r="V45" s="128" t="inlineStr">
        <is>
          <t>Confirms</t>
        </is>
      </c>
      <c r="W45" s="129">
        <f>IFERROR(INDEX('iCoA Register'!$B:$B,MATCH("GG1024|FM|I",'iCoA Register'!$R:$R,0)),"iCoA — at issue")&amp;", (11.03.2025) [PP]"</f>
        <v/>
      </c>
      <c r="X45" s="130" t="inlineStr">
        <is>
          <t>✓</t>
        </is>
      </c>
      <c r="Y45" s="150" t="inlineStr">
        <is>
          <t>— MISSING —</t>
        </is>
      </c>
      <c r="Z45" s="153" t="inlineStr">
        <is>
          <t>— no certificate —</t>
        </is>
      </c>
      <c r="AA45" s="152" t="inlineStr">
        <is>
          <t>✗</t>
        </is>
      </c>
      <c r="AB45" s="150" t="inlineStr">
        <is>
          <t>— MISSING —</t>
        </is>
      </c>
      <c r="AC45" s="151" t="inlineStr">
        <is>
          <t>— MISSING —</t>
        </is>
      </c>
      <c r="AD45" s="151" t="inlineStr">
        <is>
          <t>— MISSING —</t>
        </is>
      </c>
      <c r="AE45" s="151" t="inlineStr">
        <is>
          <t>— MISSING —</t>
        </is>
      </c>
      <c r="AF45" s="151" t="inlineStr">
        <is>
          <t>— MISSING —</t>
        </is>
      </c>
      <c r="AG45" s="152" t="inlineStr">
        <is>
          <t>✗</t>
        </is>
      </c>
      <c r="AH45" s="150" t="inlineStr">
        <is>
          <t>— MISSING —</t>
        </is>
      </c>
      <c r="AI45" s="151" t="inlineStr">
        <is>
          <t>— MISSING —</t>
        </is>
      </c>
      <c r="AJ45" s="151" t="inlineStr">
        <is>
          <t>— MISSING —</t>
        </is>
      </c>
      <c r="AK45" s="152" t="inlineStr">
        <is>
          <t>✗</t>
        </is>
      </c>
      <c r="AL45" s="150" t="inlineStr">
        <is>
          <t>— MISSING —</t>
        </is>
      </c>
      <c r="AM45" s="151" t="inlineStr">
        <is>
          <t>— MISSING —</t>
        </is>
      </c>
      <c r="AN45" s="151" t="inlineStr">
        <is>
          <t>— MISSING —</t>
        </is>
      </c>
      <c r="AO45" s="151" t="inlineStr">
        <is>
          <t>— MISSING —</t>
        </is>
      </c>
      <c r="AP45" s="152" t="inlineStr">
        <is>
          <t>✗</t>
        </is>
      </c>
      <c r="AQ45" s="150" t="inlineStr">
        <is>
          <t>— MISSING —</t>
        </is>
      </c>
      <c r="AR45" s="153" t="inlineStr">
        <is>
          <t>— no certificate —</t>
        </is>
      </c>
      <c r="AS45" s="152" t="inlineStr">
        <is>
          <t>✗</t>
        </is>
      </c>
    </row>
    <row r="46" ht="13" customHeight="1" s="70">
      <c r="A46" s="135" t="n"/>
      <c r="D46" s="136" t="n"/>
      <c r="F46" s="137" t="n"/>
      <c r="G46" s="136" t="n"/>
      <c r="I46" s="137" t="n"/>
      <c r="J46" s="136" t="n"/>
      <c r="L46" s="137" t="n"/>
      <c r="M46" s="136" t="n"/>
      <c r="O46" s="137" t="n"/>
      <c r="P46" s="136" t="n"/>
      <c r="R46" s="137" t="n"/>
      <c r="S46" s="136" t="n"/>
      <c r="U46" s="137" t="n"/>
      <c r="V46" s="136" t="n"/>
      <c r="X46" s="137" t="n"/>
      <c r="Y46" s="136" t="n"/>
      <c r="AA46" s="137" t="n"/>
      <c r="AB46" s="156" t="inlineStr">
        <is>
          <t>— no certificate —</t>
        </is>
      </c>
      <c r="AG46" s="137" t="n"/>
      <c r="AH46" s="156" t="inlineStr">
        <is>
          <t>— no certificate —</t>
        </is>
      </c>
      <c r="AK46" s="137" t="n"/>
      <c r="AL46" s="156" t="inlineStr">
        <is>
          <t>— no certificate —</t>
        </is>
      </c>
      <c r="AP46" s="137" t="n"/>
      <c r="AQ46" s="136" t="n"/>
      <c r="AS46" s="137" t="n"/>
    </row>
    <row r="47" ht="14" customHeight="1" s="70">
      <c r="A47" s="139" t="n"/>
      <c r="B47" s="140" t="n"/>
      <c r="D47" s="128" t="inlineStr">
        <is>
          <t>Confirms</t>
        </is>
      </c>
      <c r="E47" s="129" t="inlineStr">
        <is>
          <t>NO-DOC-CODE (Report of Analysis), (23.04.2025) [PP]</t>
        </is>
      </c>
      <c r="F47" s="130" t="inlineStr">
        <is>
          <t>✓</t>
        </is>
      </c>
      <c r="G47" s="141" t="n"/>
      <c r="H47" s="140" t="n"/>
      <c r="I47" s="142" t="n"/>
      <c r="J47" s="141" t="n"/>
      <c r="K47" s="140" t="n"/>
      <c r="L47" s="142" t="n"/>
      <c r="M47" s="141" t="n"/>
      <c r="N47" s="140" t="n"/>
      <c r="O47" s="142" t="n"/>
      <c r="P47" s="141" t="n"/>
      <c r="Q47" s="140" t="n"/>
      <c r="R47" s="142" t="n"/>
      <c r="S47" s="141" t="n"/>
      <c r="T47" s="140" t="n"/>
      <c r="U47" s="142" t="n"/>
      <c r="V47" s="128" t="inlineStr">
        <is>
          <t>Confirms</t>
        </is>
      </c>
      <c r="W47" s="129" t="inlineStr">
        <is>
          <t>NO-DOC-CODE (Report of Analysis), (23.04.2025) [PP]</t>
        </is>
      </c>
      <c r="X47" s="130" t="inlineStr">
        <is>
          <t>✓</t>
        </is>
      </c>
      <c r="Y47" s="141" t="n"/>
      <c r="Z47" s="140" t="n"/>
      <c r="AA47" s="142" t="n"/>
      <c r="AB47" s="141" t="n"/>
      <c r="AC47" s="140" t="n"/>
      <c r="AD47" s="140" t="n"/>
      <c r="AE47" s="140" t="n"/>
      <c r="AF47" s="140" t="n"/>
      <c r="AG47" s="142" t="n"/>
      <c r="AH47" s="141" t="n"/>
      <c r="AI47" s="140" t="n"/>
      <c r="AJ47" s="140" t="n"/>
      <c r="AK47" s="142" t="n"/>
      <c r="AL47" s="141" t="n"/>
      <c r="AM47" s="140" t="n"/>
      <c r="AN47" s="140" t="n"/>
      <c r="AO47" s="140" t="n"/>
      <c r="AP47" s="142" t="n"/>
      <c r="AQ47" s="141" t="n"/>
      <c r="AR47" s="140" t="n"/>
      <c r="AS47" s="142" t="n"/>
    </row>
    <row r="48" ht="13" customHeight="1" s="70">
      <c r="A48" s="143" t="n"/>
      <c r="B48" s="144" t="n"/>
      <c r="C48" s="144" t="n"/>
      <c r="D48" s="145" t="n"/>
      <c r="E48" s="146" t="n"/>
      <c r="F48" s="147" t="n"/>
      <c r="G48" s="145" t="n"/>
      <c r="H48" s="146" t="n"/>
      <c r="I48" s="147" t="n"/>
      <c r="J48" s="145" t="n"/>
      <c r="K48" s="146" t="n"/>
      <c r="L48" s="147" t="n"/>
      <c r="M48" s="145" t="n"/>
      <c r="N48" s="146" t="n"/>
      <c r="O48" s="147" t="n"/>
      <c r="P48" s="145" t="n"/>
      <c r="Q48" s="146" t="n"/>
      <c r="R48" s="147" t="n"/>
      <c r="S48" s="145" t="n"/>
      <c r="T48" s="146" t="n"/>
      <c r="U48" s="147" t="n"/>
      <c r="V48" s="145" t="n"/>
      <c r="W48" s="146" t="n"/>
      <c r="X48" s="147" t="n"/>
      <c r="Y48" s="145" t="n"/>
      <c r="Z48" s="146" t="n"/>
      <c r="AA48" s="147" t="n"/>
      <c r="AB48" s="145" t="n"/>
      <c r="AC48" s="146" t="n"/>
      <c r="AD48" s="146" t="n"/>
      <c r="AE48" s="146" t="n"/>
      <c r="AF48" s="146" t="n"/>
      <c r="AG48" s="147" t="n"/>
      <c r="AH48" s="145" t="n"/>
      <c r="AI48" s="146" t="n"/>
      <c r="AJ48" s="146" t="n"/>
      <c r="AK48" s="147" t="n"/>
      <c r="AL48" s="145" t="n"/>
      <c r="AM48" s="146" t="n"/>
      <c r="AN48" s="146" t="n"/>
      <c r="AO48" s="146" t="n"/>
      <c r="AP48" s="147" t="n"/>
      <c r="AQ48" s="145" t="n"/>
      <c r="AR48" s="146" t="n"/>
      <c r="AS48" s="147" t="n"/>
    </row>
    <row r="49" ht="14" customHeight="1" s="70">
      <c r="A49" s="125" t="inlineStr">
        <is>
          <t>GG112501</t>
        </is>
      </c>
      <c r="B49" s="126" t="inlineStr">
        <is>
          <t>P060252</t>
        </is>
      </c>
      <c r="C49" s="127" t="inlineStr">
        <is>
          <t>✓ COMPLETE
2 testing instances
• 1 document(s) on file, not credited</t>
        </is>
      </c>
      <c r="D49" s="128" t="inlineStr">
        <is>
          <t>Conforms</t>
        </is>
      </c>
      <c r="E49" s="129">
        <f>IFERROR(INDEX('iCoA Register'!$B:$B,MATCH("P060252|AB|I",'iCoA Register'!$R:$R,0)),"iCoA — at issue")&amp;", (05.05.2026) [PP]"</f>
        <v/>
      </c>
      <c r="F49" s="130" t="inlineStr">
        <is>
          <t>✓</t>
        </is>
      </c>
      <c r="G49" s="128" t="inlineStr">
        <is>
          <t>Conforms</t>
        </is>
      </c>
      <c r="H49" s="129">
        <f>IFERROR(INDEX('iCoA Register'!$B:$B,MATCH("P060252|AB|I",'iCoA Register'!$R:$R,0)),"iCoA — at issue")&amp;", (05.05.2026) [PP]"</f>
        <v/>
      </c>
      <c r="I49" s="130" t="inlineStr">
        <is>
          <t>✓</t>
        </is>
      </c>
      <c r="J49" s="128" t="inlineStr">
        <is>
          <t>Conforms (ImB spec.)</t>
        </is>
      </c>
      <c r="K49" s="129" t="inlineStr">
        <is>
          <t>ППК26061, (11.05.2026) [CNP]</t>
        </is>
      </c>
      <c r="L49" s="130" t="inlineStr">
        <is>
          <t>✓</t>
        </is>
      </c>
      <c r="M49" s="128" t="inlineStr">
        <is>
          <t>17.94</t>
        </is>
      </c>
      <c r="N49" s="129" t="inlineStr">
        <is>
          <t>ППК26061, (11.05.2026) [CNP]</t>
        </is>
      </c>
      <c r="O49" s="130" t="inlineStr">
        <is>
          <t>✓</t>
        </is>
      </c>
      <c r="P49" s="128" t="inlineStr">
        <is>
          <t>0.08</t>
        </is>
      </c>
      <c r="Q49" s="129" t="inlineStr">
        <is>
          <t>ППК26061, (11.05.2026) [CNP]</t>
        </is>
      </c>
      <c r="R49" s="130" t="inlineStr">
        <is>
          <t>✓</t>
        </is>
      </c>
      <c r="S49" s="128" t="inlineStr">
        <is>
          <t>BLQ ᴰ</t>
        </is>
      </c>
      <c r="T49" s="129" t="inlineStr">
        <is>
          <t>ППК26061, (11.05.2026) [CNP]</t>
        </is>
      </c>
      <c r="U49" s="130" t="inlineStr">
        <is>
          <t>✓</t>
        </is>
      </c>
      <c r="V49" s="128" t="inlineStr">
        <is>
          <t>Conforms</t>
        </is>
      </c>
      <c r="W49" s="129">
        <f>IFERROR(INDEX('iCoA Register'!$B:$B,MATCH("P060252|FM|I",'iCoA Register'!$R:$R,0)),"iCoA — at issue")&amp;", (05.05.2026) [PP]"</f>
        <v/>
      </c>
      <c r="X49" s="130" t="inlineStr">
        <is>
          <t>✓</t>
        </is>
      </c>
      <c r="Y49" s="128" t="inlineStr">
        <is>
          <t>6.31</t>
        </is>
      </c>
      <c r="Z49" s="129" t="inlineStr">
        <is>
          <t>ППК26061, (11.05.2026) [CNP]</t>
        </is>
      </c>
      <c r="AA49" s="130" t="inlineStr">
        <is>
          <t>✓</t>
        </is>
      </c>
      <c r="AB49" s="128" t="inlineStr">
        <is>
          <t>5.1×10³</t>
        </is>
      </c>
      <c r="AC49" s="134" t="inlineStr">
        <is>
          <t>4.5×10³</t>
        </is>
      </c>
      <c r="AD49" s="134" t="inlineStr">
        <is>
          <t>&lt;10^2</t>
        </is>
      </c>
      <c r="AE49" s="134" t="inlineStr">
        <is>
          <t>отсутна/25</t>
        </is>
      </c>
      <c r="AF49" s="134" t="inlineStr">
        <is>
          <t>отсутна/г</t>
        </is>
      </c>
      <c r="AG49" s="130" t="inlineStr">
        <is>
          <t>✓</t>
        </is>
      </c>
      <c r="AH49" s="128" t="inlineStr">
        <is>
          <t>n.r.</t>
        </is>
      </c>
      <c r="AI49" s="134" t="inlineStr">
        <is>
          <t>&lt;2</t>
        </is>
      </c>
      <c r="AJ49" s="134" t="inlineStr">
        <is>
          <t>n.r.</t>
        </is>
      </c>
      <c r="AK49" s="130" t="inlineStr">
        <is>
          <t>✓</t>
        </is>
      </c>
      <c r="AL49" s="128" t="inlineStr">
        <is>
          <t>0.033</t>
        </is>
      </c>
      <c r="AM49" s="134" t="inlineStr">
        <is>
          <t>0.0154</t>
        </is>
      </c>
      <c r="AN49" s="134" t="inlineStr">
        <is>
          <t>0.0272</t>
        </is>
      </c>
      <c r="AO49" s="134" t="inlineStr">
        <is>
          <t>0.0146</t>
        </is>
      </c>
      <c r="AP49" s="130" t="inlineStr">
        <is>
          <t>✓</t>
        </is>
      </c>
      <c r="AQ49" s="128" t="inlineStr">
        <is>
          <t>≤ LOQ (all 26 compounds)</t>
        </is>
      </c>
      <c r="AR49" s="129" t="inlineStr">
        <is>
          <t>2358-2026, (29.04.2026) [IJZ]</t>
        </is>
      </c>
      <c r="AS49" s="130" t="inlineStr">
        <is>
          <t>✓</t>
        </is>
      </c>
    </row>
    <row r="50" ht="13" customHeight="1" s="70">
      <c r="A50" s="135" t="n"/>
      <c r="D50" s="136" t="n"/>
      <c r="F50" s="137" t="n"/>
      <c r="G50" s="136" t="n"/>
      <c r="I50" s="137" t="n"/>
      <c r="J50" s="136" t="n"/>
      <c r="L50" s="137" t="n"/>
      <c r="M50" s="136" t="n"/>
      <c r="O50" s="137" t="n"/>
      <c r="P50" s="136" t="n"/>
      <c r="R50" s="137" t="n"/>
      <c r="S50" s="136" t="n"/>
      <c r="U50" s="137" t="n"/>
      <c r="V50" s="136" t="n"/>
      <c r="X50" s="137" t="n"/>
      <c r="Y50" s="136" t="n"/>
      <c r="AA50" s="137" t="n"/>
      <c r="AB50" s="138" t="inlineStr">
        <is>
          <t>304-0548-26, (28.04.2026) [IJZ-MB]</t>
        </is>
      </c>
      <c r="AG50" s="137" t="n"/>
      <c r="AH50" s="138" t="inlineStr">
        <is>
          <t>2358-2026, (29.04.2026) [IJZ]</t>
        </is>
      </c>
      <c r="AK50" s="137" t="n"/>
      <c r="AL50" s="138" t="inlineStr">
        <is>
          <t>2358-2026, (29.04.2026) [IJZ]</t>
        </is>
      </c>
      <c r="AP50" s="137" t="n"/>
      <c r="AQ50" s="136" t="n"/>
      <c r="AS50" s="137" t="n"/>
    </row>
    <row r="51" ht="21" customHeight="1" s="70">
      <c r="A51" s="139" t="n"/>
      <c r="B51" s="140" t="n"/>
      <c r="D51" s="141" t="n"/>
      <c r="E51" s="140" t="n"/>
      <c r="F51" s="142" t="n"/>
      <c r="G51" s="131" t="inlineStr">
        <is>
          <t>not on this certificate</t>
        </is>
      </c>
      <c r="H51" s="132" t="inlineStr">
        <is>
          <t>ППК26061, (11.05.2026) [CNP] · on file, not credited</t>
        </is>
      </c>
      <c r="I51" s="133" t="inlineStr">
        <is>
          <t>•</t>
        </is>
      </c>
      <c r="J51" s="141" t="n"/>
      <c r="K51" s="140" t="n"/>
      <c r="L51" s="142" t="n"/>
      <c r="M51" s="141" t="n"/>
      <c r="N51" s="140" t="n"/>
      <c r="O51" s="142" t="n"/>
      <c r="P51" s="141" t="n"/>
      <c r="Q51" s="140" t="n"/>
      <c r="R51" s="142" t="n"/>
      <c r="S51" s="141" t="n"/>
      <c r="T51" s="140" t="n"/>
      <c r="U51" s="142" t="n"/>
      <c r="V51" s="141" t="n"/>
      <c r="W51" s="140" t="n"/>
      <c r="X51" s="142" t="n"/>
      <c r="Y51" s="141" t="n"/>
      <c r="Z51" s="140" t="n"/>
      <c r="AA51" s="142" t="n"/>
      <c r="AB51" s="128" t="inlineStr">
        <is>
          <t>5×10³</t>
        </is>
      </c>
      <c r="AC51" s="134" t="inlineStr">
        <is>
          <t>1.1×10³</t>
        </is>
      </c>
      <c r="AD51" s="134" t="inlineStr">
        <is>
          <t>&lt;10³ и &gt;10²</t>
        </is>
      </c>
      <c r="AE51" s="134" t="inlineStr">
        <is>
          <t>absent</t>
        </is>
      </c>
      <c r="AF51" s="134" t="inlineStr">
        <is>
          <t>absent</t>
        </is>
      </c>
      <c r="AG51" s="130" t="inlineStr">
        <is>
          <t>✓</t>
        </is>
      </c>
      <c r="AH51" s="141" t="n"/>
      <c r="AI51" s="140" t="n"/>
      <c r="AJ51" s="140" t="n"/>
      <c r="AK51" s="142" t="n"/>
      <c r="AL51" s="141" t="n"/>
      <c r="AM51" s="140" t="n"/>
      <c r="AN51" s="140" t="n"/>
      <c r="AO51" s="140" t="n"/>
      <c r="AP51" s="142" t="n"/>
      <c r="AQ51" s="141" t="n"/>
      <c r="AR51" s="140" t="n"/>
      <c r="AS51" s="142" t="n"/>
    </row>
    <row r="52" ht="13" customHeight="1" s="70">
      <c r="A52" s="143" t="n"/>
      <c r="B52" s="144" t="n"/>
      <c r="C52" s="144" t="n"/>
      <c r="D52" s="145" t="n"/>
      <c r="E52" s="146" t="n"/>
      <c r="F52" s="147" t="n"/>
      <c r="G52" s="145" t="n"/>
      <c r="H52" s="146" t="n"/>
      <c r="I52" s="147" t="n"/>
      <c r="J52" s="145" t="n"/>
      <c r="K52" s="146" t="n"/>
      <c r="L52" s="147" t="n"/>
      <c r="M52" s="145" t="n"/>
      <c r="N52" s="146" t="n"/>
      <c r="O52" s="147" t="n"/>
      <c r="P52" s="145" t="n"/>
      <c r="Q52" s="146" t="n"/>
      <c r="R52" s="147" t="n"/>
      <c r="S52" s="145" t="n"/>
      <c r="T52" s="146" t="n"/>
      <c r="U52" s="147" t="n"/>
      <c r="V52" s="145" t="n"/>
      <c r="W52" s="146" t="n"/>
      <c r="X52" s="147" t="n"/>
      <c r="Y52" s="145" t="n"/>
      <c r="Z52" s="146" t="n"/>
      <c r="AA52" s="147" t="n"/>
      <c r="AB52" s="148" t="inlineStr">
        <is>
          <t>545-1076-26, (31.08.2026) [IJZ-MB]</t>
        </is>
      </c>
      <c r="AC52" s="146" t="n"/>
      <c r="AD52" s="146" t="n"/>
      <c r="AE52" s="146" t="n"/>
      <c r="AF52" s="146" t="n"/>
      <c r="AG52" s="147" t="n"/>
      <c r="AH52" s="145" t="n"/>
      <c r="AI52" s="146" t="n"/>
      <c r="AJ52" s="146" t="n"/>
      <c r="AK52" s="147" t="n"/>
      <c r="AL52" s="145" t="n"/>
      <c r="AM52" s="146" t="n"/>
      <c r="AN52" s="146" t="n"/>
      <c r="AO52" s="146" t="n"/>
      <c r="AP52" s="147" t="n"/>
      <c r="AQ52" s="145" t="n"/>
      <c r="AR52" s="146" t="n"/>
      <c r="AS52" s="147" t="n"/>
    </row>
    <row r="53" ht="21" customHeight="1" s="70">
      <c r="A53" s="125" t="inlineStr">
        <is>
          <t>GRC102501</t>
        </is>
      </c>
      <c r="B53" s="126" t="inlineStr">
        <is>
          <t>P060142 / P060182</t>
        </is>
      </c>
      <c r="C53" s="149" t="inlineStr">
        <is>
          <t>⚠ 3 NO RESULT
(3 no cert / 0 cert w/o result)
2 testing instances
• 2 document(s) on file, not credited</t>
        </is>
      </c>
      <c r="D53" s="128" t="inlineStr">
        <is>
          <t>Conforms</t>
        </is>
      </c>
      <c r="E53" s="129">
        <f>IFERROR(INDEX('iCoA Register'!$B:$B,MATCH("P060142|AB|I",'iCoA Register'!$R:$R,0)),"iCoA — at issue")&amp;", (23.02.2026) [PP]"</f>
        <v/>
      </c>
      <c r="F53" s="130" t="inlineStr">
        <is>
          <t>✓</t>
        </is>
      </c>
      <c r="G53" s="128" t="inlineStr">
        <is>
          <t>Conforms</t>
        </is>
      </c>
      <c r="H53" s="129">
        <f>IFERROR(INDEX('iCoA Register'!$B:$B,MATCH("P060142|AB|I",'iCoA Register'!$R:$R,0)),"iCoA — at issue")&amp;", (23.02.2026) [PP]"</f>
        <v/>
      </c>
      <c r="I53" s="130" t="inlineStr">
        <is>
          <t>✓</t>
        </is>
      </c>
      <c r="J53" s="131" t="inlineStr">
        <is>
          <t>not on this certificate</t>
        </is>
      </c>
      <c r="K53" s="132" t="inlineStr">
        <is>
          <t>051-6-LoD-26, (02.03.2026) [FHM-K] · on file, not credited</t>
        </is>
      </c>
      <c r="L53" s="133" t="inlineStr">
        <is>
          <t>•</t>
        </is>
      </c>
      <c r="M53" s="131" t="inlineStr">
        <is>
          <t>not on this certificate</t>
        </is>
      </c>
      <c r="N53" s="132" t="inlineStr">
        <is>
          <t>051-6-LoD-26, (02.03.2026) [FHM-K] · on file, not credited</t>
        </is>
      </c>
      <c r="O53" s="133" t="inlineStr">
        <is>
          <t>•</t>
        </is>
      </c>
      <c r="P53" s="131" t="inlineStr">
        <is>
          <t>not on this certificate</t>
        </is>
      </c>
      <c r="Q53" s="132" t="inlineStr">
        <is>
          <t>051-6-LoD-26, (02.03.2026) [FHM-K] · on file, not credited</t>
        </is>
      </c>
      <c r="R53" s="133" t="inlineStr">
        <is>
          <t>•</t>
        </is>
      </c>
      <c r="S53" s="131" t="inlineStr">
        <is>
          <t>not on this certificate</t>
        </is>
      </c>
      <c r="T53" s="132" t="inlineStr">
        <is>
          <t>051-6-LoD-26, (02.03.2026) [FHM-K] · on file, not credited</t>
        </is>
      </c>
      <c r="U53" s="133" t="inlineStr">
        <is>
          <t>•</t>
        </is>
      </c>
      <c r="V53" s="128" t="inlineStr">
        <is>
          <t>Conforms</t>
        </is>
      </c>
      <c r="W53" s="129">
        <f>IFERROR(INDEX('iCoA Register'!$B:$B,MATCH("P060142|FM|I",'iCoA Register'!$R:$R,0)),"iCoA — at issue")&amp;", (23.02.2026) [PP]"</f>
        <v/>
      </c>
      <c r="X53" s="130" t="inlineStr">
        <is>
          <t>✓</t>
        </is>
      </c>
      <c r="Y53" s="128" t="inlineStr">
        <is>
          <t>7.7</t>
        </is>
      </c>
      <c r="Z53" s="129" t="inlineStr">
        <is>
          <t>051-6-LoD-26, (02.03.2026) [FHM-K]</t>
        </is>
      </c>
      <c r="AA53" s="130" t="inlineStr">
        <is>
          <t>✓</t>
        </is>
      </c>
      <c r="AB53" s="128" t="inlineStr">
        <is>
          <t>10</t>
        </is>
      </c>
      <c r="AC53" s="134" t="inlineStr">
        <is>
          <t>&lt;10</t>
        </is>
      </c>
      <c r="AD53" s="134" t="inlineStr">
        <is>
          <t>&lt;10</t>
        </is>
      </c>
      <c r="AE53" s="134" t="inlineStr">
        <is>
          <t>absent</t>
        </is>
      </c>
      <c r="AF53" s="134" t="inlineStr">
        <is>
          <t>absent</t>
        </is>
      </c>
      <c r="AG53" s="130" t="inlineStr">
        <is>
          <t>✓</t>
        </is>
      </c>
      <c r="AH53" s="150" t="inlineStr">
        <is>
          <t>— MISSING —</t>
        </is>
      </c>
      <c r="AI53" s="151" t="inlineStr">
        <is>
          <t>— MISSING —</t>
        </is>
      </c>
      <c r="AJ53" s="151" t="inlineStr">
        <is>
          <t>— MISSING —</t>
        </is>
      </c>
      <c r="AK53" s="152" t="inlineStr">
        <is>
          <t>✗</t>
        </is>
      </c>
      <c r="AL53" s="150" t="inlineStr">
        <is>
          <t>— MISSING —</t>
        </is>
      </c>
      <c r="AM53" s="151" t="inlineStr">
        <is>
          <t>— MISSING —</t>
        </is>
      </c>
      <c r="AN53" s="151" t="inlineStr">
        <is>
          <t>— MISSING —</t>
        </is>
      </c>
      <c r="AO53" s="151" t="inlineStr">
        <is>
          <t>— MISSING —</t>
        </is>
      </c>
      <c r="AP53" s="152" t="inlineStr">
        <is>
          <t>✗</t>
        </is>
      </c>
      <c r="AQ53" s="150" t="inlineStr">
        <is>
          <t>— MISSING —</t>
        </is>
      </c>
      <c r="AR53" s="153" t="inlineStr">
        <is>
          <t>— no certificate —</t>
        </is>
      </c>
      <c r="AS53" s="152" t="inlineStr">
        <is>
          <t>✗</t>
        </is>
      </c>
    </row>
    <row r="54" ht="21" customHeight="1" s="70">
      <c r="A54" s="135" t="n"/>
      <c r="D54" s="136" t="n"/>
      <c r="F54" s="137" t="n"/>
      <c r="G54" s="136" t="n"/>
      <c r="I54" s="137" t="n"/>
      <c r="J54" s="136" t="n"/>
      <c r="L54" s="137" t="n"/>
      <c r="M54" s="136" t="n"/>
      <c r="O54" s="137" t="n"/>
      <c r="P54" s="136" t="n"/>
      <c r="R54" s="137" t="n"/>
      <c r="S54" s="136" t="n"/>
      <c r="U54" s="137" t="n"/>
      <c r="V54" s="136" t="n"/>
      <c r="X54" s="137" t="n"/>
      <c r="Y54" s="136" t="n"/>
      <c r="AA54" s="137" t="n"/>
      <c r="AB54" s="138" t="inlineStr">
        <is>
          <t>550-1081-26, (01.09.2026) [IJZ-MB]</t>
        </is>
      </c>
      <c r="AG54" s="137" t="n"/>
      <c r="AH54" s="156" t="inlineStr">
        <is>
          <t>— no certificate —</t>
        </is>
      </c>
      <c r="AK54" s="137" t="n"/>
      <c r="AL54" s="156" t="inlineStr">
        <is>
          <t>— no certificate —</t>
        </is>
      </c>
      <c r="AP54" s="137" t="n"/>
      <c r="AQ54" s="136" t="n"/>
      <c r="AS54" s="137" t="n"/>
    </row>
    <row r="55" ht="14" customHeight="1" s="70">
      <c r="A55" s="139" t="n"/>
      <c r="B55" s="140" t="n"/>
      <c r="D55" s="128" t="inlineStr">
        <is>
          <t>Conforms</t>
        </is>
      </c>
      <c r="E55" s="129">
        <f>IFERROR(INDEX('iCoA Register'!$B:$B,MATCH("P060182|AB|I",'iCoA Register'!$R:$R,0)),"iCoA — at issue")&amp;", (14.03.2026) [PP]"</f>
        <v/>
      </c>
      <c r="F55" s="130" t="inlineStr">
        <is>
          <t>✓</t>
        </is>
      </c>
      <c r="G55" s="128" t="inlineStr">
        <is>
          <t>Conforms</t>
        </is>
      </c>
      <c r="H55" s="129">
        <f>IFERROR(INDEX('iCoA Register'!$B:$B,MATCH("P060182|AB|I",'iCoA Register'!$R:$R,0)),"iCoA — at issue")&amp;", (14.03.2026) [PP]"</f>
        <v/>
      </c>
      <c r="I55" s="130" t="inlineStr">
        <is>
          <t>✓</t>
        </is>
      </c>
      <c r="J55" s="128" t="inlineStr">
        <is>
          <t>Conforms (ImB spec.) ᴿ</t>
        </is>
      </c>
      <c r="K55" s="129" t="inlineStr">
        <is>
          <t>051-6-K-26, (04.03.2026) [FHM-K]</t>
        </is>
      </c>
      <c r="L55" s="130" t="inlineStr">
        <is>
          <t>✓</t>
        </is>
      </c>
      <c r="M55" s="128" t="inlineStr">
        <is>
          <t>11.53</t>
        </is>
      </c>
      <c r="N55" s="129" t="inlineStr">
        <is>
          <t>051-6-K-26, (04.03.2026) [FHM-K]</t>
        </is>
      </c>
      <c r="O55" s="130" t="inlineStr">
        <is>
          <t>✓</t>
        </is>
      </c>
      <c r="P55" s="128" t="inlineStr">
        <is>
          <t>&lt;LOQ**</t>
        </is>
      </c>
      <c r="Q55" s="129" t="inlineStr">
        <is>
          <t>051-6-K-26, (04.03.2026) [FHM-K]</t>
        </is>
      </c>
      <c r="R55" s="130" t="inlineStr">
        <is>
          <t>✓</t>
        </is>
      </c>
      <c r="S55" s="128" t="inlineStr">
        <is>
          <t>&lt;LOQ**</t>
        </is>
      </c>
      <c r="T55" s="129" t="inlineStr">
        <is>
          <t>051-6-K-26, (04.03.2026) [FHM-K]</t>
        </is>
      </c>
      <c r="U55" s="130" t="inlineStr">
        <is>
          <t>✓</t>
        </is>
      </c>
      <c r="V55" s="128" t="inlineStr">
        <is>
          <t>Conforms</t>
        </is>
      </c>
      <c r="W55" s="129">
        <f>IFERROR(INDEX('iCoA Register'!$B:$B,MATCH("P060182|FM|I",'iCoA Register'!$R:$R,0)),"iCoA — at issue")&amp;", (14.03.2026) [PP]"</f>
        <v/>
      </c>
      <c r="X55" s="130" t="inlineStr">
        <is>
          <t>✓</t>
        </is>
      </c>
      <c r="Y55" s="131" t="inlineStr">
        <is>
          <t>not on this certificate</t>
        </is>
      </c>
      <c r="Z55" s="132" t="inlineStr">
        <is>
          <t>051-6-K-26, (04.03.2026) [FHM-K] · on file, not credited</t>
        </is>
      </c>
      <c r="AA55" s="133" t="inlineStr">
        <is>
          <t>•</t>
        </is>
      </c>
      <c r="AB55" s="141" t="n"/>
      <c r="AC55" s="140" t="n"/>
      <c r="AD55" s="140" t="n"/>
      <c r="AE55" s="140" t="n"/>
      <c r="AF55" s="140" t="n"/>
      <c r="AG55" s="142" t="n"/>
      <c r="AH55" s="141" t="n"/>
      <c r="AI55" s="140" t="n"/>
      <c r="AJ55" s="140" t="n"/>
      <c r="AK55" s="142" t="n"/>
      <c r="AL55" s="141" t="n"/>
      <c r="AM55" s="140" t="n"/>
      <c r="AN55" s="140" t="n"/>
      <c r="AO55" s="140" t="n"/>
      <c r="AP55" s="142" t="n"/>
      <c r="AQ55" s="141" t="n"/>
      <c r="AR55" s="140" t="n"/>
      <c r="AS55" s="142" t="n"/>
    </row>
    <row r="56" ht="21" customHeight="1" s="70">
      <c r="A56" s="143" t="n"/>
      <c r="B56" s="144" t="n"/>
      <c r="C56" s="144" t="n"/>
      <c r="D56" s="145" t="n"/>
      <c r="E56" s="146" t="n"/>
      <c r="F56" s="147" t="n"/>
      <c r="G56" s="145" t="n"/>
      <c r="H56" s="146" t="n"/>
      <c r="I56" s="147" t="n"/>
      <c r="J56" s="145" t="n"/>
      <c r="K56" s="146" t="n"/>
      <c r="L56" s="147" t="n"/>
      <c r="M56" s="145" t="n"/>
      <c r="N56" s="146" t="n"/>
      <c r="O56" s="147" t="n"/>
      <c r="P56" s="145" t="n"/>
      <c r="Q56" s="146" t="n"/>
      <c r="R56" s="147" t="n"/>
      <c r="S56" s="145" t="n"/>
      <c r="T56" s="146" t="n"/>
      <c r="U56" s="147" t="n"/>
      <c r="V56" s="145" t="n"/>
      <c r="W56" s="146" t="n"/>
      <c r="X56" s="147" t="n"/>
      <c r="Y56" s="145" t="n"/>
      <c r="Z56" s="146" t="n"/>
      <c r="AA56" s="147" t="n"/>
      <c r="AB56" s="145" t="n"/>
      <c r="AC56" s="146" t="n"/>
      <c r="AD56" s="146" t="n"/>
      <c r="AE56" s="146" t="n"/>
      <c r="AF56" s="146" t="n"/>
      <c r="AG56" s="147" t="n"/>
      <c r="AH56" s="145" t="n"/>
      <c r="AI56" s="146" t="n"/>
      <c r="AJ56" s="146" t="n"/>
      <c r="AK56" s="147" t="n"/>
      <c r="AL56" s="145" t="n"/>
      <c r="AM56" s="146" t="n"/>
      <c r="AN56" s="146" t="n"/>
      <c r="AO56" s="146" t="n"/>
      <c r="AP56" s="147" t="n"/>
      <c r="AQ56" s="145" t="n"/>
      <c r="AR56" s="146" t="n"/>
      <c r="AS56" s="147" t="n"/>
    </row>
    <row r="57" ht="21" customHeight="1" s="70">
      <c r="A57" s="125" t="inlineStr">
        <is>
          <t>HPA1024</t>
        </is>
      </c>
      <c r="B57" s="126" t="inlineStr">
        <is>
          <t>N/A — no P batch assigned</t>
        </is>
      </c>
      <c r="C57" s="155" t="inlineStr">
        <is>
          <t>✗ 4 NO RESULT
(4 no cert / 0 cert w/o result)
2 testing instances
• 1 document(s) on file, not credited</t>
        </is>
      </c>
      <c r="D57" s="128" t="inlineStr">
        <is>
          <t>Conforms</t>
        </is>
      </c>
      <c r="E57" s="129">
        <f>IFERROR(INDEX('iCoA Register'!$B:$B,MATCH("HPA1024|AB|I",'iCoA Register'!$R:$R,0)),"iCoA — at issue")&amp;", (11.04.2025) [PP]"</f>
        <v/>
      </c>
      <c r="F57" s="130" t="inlineStr">
        <is>
          <t>✓</t>
        </is>
      </c>
      <c r="G57" s="128" t="inlineStr">
        <is>
          <t>Conforms</t>
        </is>
      </c>
      <c r="H57" s="129">
        <f>IFERROR(INDEX('iCoA Register'!$B:$B,MATCH("HPA1024|AB|I",'iCoA Register'!$R:$R,0)),"iCoA — at issue")&amp;", (11.04.2025) [PP]"</f>
        <v/>
      </c>
      <c r="I57" s="130" t="inlineStr">
        <is>
          <t>✓</t>
        </is>
      </c>
      <c r="J57" s="128" t="inlineStr">
        <is>
          <t>Conforms (ImB spec.) ᴿ</t>
        </is>
      </c>
      <c r="K57" s="129" t="inlineStr">
        <is>
          <t>197-13-K-26, (07.08.2026) [FHM-K]</t>
        </is>
      </c>
      <c r="L57" s="130" t="inlineStr">
        <is>
          <t>✓</t>
        </is>
      </c>
      <c r="M57" s="128" t="inlineStr">
        <is>
          <t>17.31</t>
        </is>
      </c>
      <c r="N57" s="129" t="inlineStr">
        <is>
          <t>197-13-K-26, (07.08.2026) [FHM-K]</t>
        </is>
      </c>
      <c r="O57" s="130" t="inlineStr">
        <is>
          <t>✓</t>
        </is>
      </c>
      <c r="P57" s="128" t="inlineStr">
        <is>
          <t>&lt;LOQ</t>
        </is>
      </c>
      <c r="Q57" s="129" t="inlineStr">
        <is>
          <t>197-13-K-26, (07.08.2026) [FHM-K]</t>
        </is>
      </c>
      <c r="R57" s="130" t="inlineStr">
        <is>
          <t>✓</t>
        </is>
      </c>
      <c r="S57" s="128" t="inlineStr">
        <is>
          <t>0.36</t>
        </is>
      </c>
      <c r="T57" s="129" t="inlineStr">
        <is>
          <t>197-13-K-26, (07.08.2026) [FHM-K]</t>
        </is>
      </c>
      <c r="U57" s="130" t="inlineStr">
        <is>
          <t>✓</t>
        </is>
      </c>
      <c r="V57" s="128" t="inlineStr">
        <is>
          <t>Conforms</t>
        </is>
      </c>
      <c r="W57" s="129">
        <f>IFERROR(INDEX('iCoA Register'!$B:$B,MATCH("HPA1024|FM|I",'iCoA Register'!$R:$R,0)),"iCoA — at issue")&amp;", (11.04.2025) [PP]"</f>
        <v/>
      </c>
      <c r="X57" s="130" t="inlineStr">
        <is>
          <t>✓</t>
        </is>
      </c>
      <c r="Y57" s="131" t="inlineStr">
        <is>
          <t>not on this certificate</t>
        </is>
      </c>
      <c r="Z57" s="132" t="inlineStr">
        <is>
          <t>197-13-K-26, (07.08.2026) [FHM-K] · on file, not credited</t>
        </is>
      </c>
      <c r="AA57" s="133" t="inlineStr">
        <is>
          <t>•</t>
        </is>
      </c>
      <c r="AB57" s="150" t="inlineStr">
        <is>
          <t>— MISSING —</t>
        </is>
      </c>
      <c r="AC57" s="151" t="inlineStr">
        <is>
          <t>— MISSING —</t>
        </is>
      </c>
      <c r="AD57" s="151" t="inlineStr">
        <is>
          <t>— MISSING —</t>
        </is>
      </c>
      <c r="AE57" s="151" t="inlineStr">
        <is>
          <t>— MISSING —</t>
        </is>
      </c>
      <c r="AF57" s="151" t="inlineStr">
        <is>
          <t>— MISSING —</t>
        </is>
      </c>
      <c r="AG57" s="152" t="inlineStr">
        <is>
          <t>✗</t>
        </is>
      </c>
      <c r="AH57" s="128" t="inlineStr">
        <is>
          <t>ND</t>
        </is>
      </c>
      <c r="AI57" s="134" t="inlineStr">
        <is>
          <t>ND ᴿ</t>
        </is>
      </c>
      <c r="AJ57" s="134" t="inlineStr">
        <is>
          <t>&lt;LOQ</t>
        </is>
      </c>
      <c r="AK57" s="130" t="inlineStr">
        <is>
          <t>✓</t>
        </is>
      </c>
      <c r="AL57" s="150" t="inlineStr">
        <is>
          <t>— MISSING —</t>
        </is>
      </c>
      <c r="AM57" s="151" t="inlineStr">
        <is>
          <t>— MISSING —</t>
        </is>
      </c>
      <c r="AN57" s="151" t="inlineStr">
        <is>
          <t>— MISSING —</t>
        </is>
      </c>
      <c r="AO57" s="151" t="inlineStr">
        <is>
          <t>— MISSING —</t>
        </is>
      </c>
      <c r="AP57" s="152" t="inlineStr">
        <is>
          <t>✗</t>
        </is>
      </c>
      <c r="AQ57" s="150" t="inlineStr">
        <is>
          <t>— MISSING —</t>
        </is>
      </c>
      <c r="AR57" s="153" t="inlineStr">
        <is>
          <t>— no certificate —</t>
        </is>
      </c>
      <c r="AS57" s="152" t="inlineStr">
        <is>
          <t>✗</t>
        </is>
      </c>
    </row>
    <row r="58" ht="21" customHeight="1" s="70">
      <c r="A58" s="135" t="n"/>
      <c r="D58" s="136" t="n"/>
      <c r="F58" s="137" t="n"/>
      <c r="G58" s="136" t="n"/>
      <c r="I58" s="137" t="n"/>
      <c r="J58" s="136" t="n"/>
      <c r="L58" s="137" t="n"/>
      <c r="M58" s="136" t="n"/>
      <c r="O58" s="137" t="n"/>
      <c r="P58" s="136" t="n"/>
      <c r="R58" s="137" t="n"/>
      <c r="S58" s="136" t="n"/>
      <c r="U58" s="137" t="n"/>
      <c r="V58" s="136" t="n"/>
      <c r="X58" s="137" t="n"/>
      <c r="Y58" s="136" t="n"/>
      <c r="AA58" s="137" t="n"/>
      <c r="AB58" s="156" t="inlineStr">
        <is>
          <t>— no certificate —</t>
        </is>
      </c>
      <c r="AG58" s="137" t="n"/>
      <c r="AH58" s="138" t="inlineStr">
        <is>
          <t>197-13-M-26, (10.08.2026) [FHM-M]</t>
        </is>
      </c>
      <c r="AK58" s="137" t="n"/>
      <c r="AL58" s="156" t="inlineStr">
        <is>
          <t>— no certificate —</t>
        </is>
      </c>
      <c r="AP58" s="137" t="n"/>
      <c r="AQ58" s="136" t="n"/>
      <c r="AS58" s="137" t="n"/>
    </row>
    <row r="59" ht="14" customHeight="1" s="70">
      <c r="A59" s="139" t="n"/>
      <c r="B59" s="140" t="n"/>
      <c r="D59" s="128" t="inlineStr">
        <is>
          <t>Confirms</t>
        </is>
      </c>
      <c r="E59" s="129" t="inlineStr">
        <is>
          <t>NO-DOC-CODE (Report of Analysis), (23.04.2025) [PP]</t>
        </is>
      </c>
      <c r="F59" s="130" t="inlineStr">
        <is>
          <t>✓</t>
        </is>
      </c>
      <c r="G59" s="141" t="n"/>
      <c r="H59" s="140" t="n"/>
      <c r="I59" s="142" t="n"/>
      <c r="J59" s="141" t="n"/>
      <c r="K59" s="140" t="n"/>
      <c r="L59" s="142" t="n"/>
      <c r="M59" s="141" t="n"/>
      <c r="N59" s="140" t="n"/>
      <c r="O59" s="142" t="n"/>
      <c r="P59" s="141" t="n"/>
      <c r="Q59" s="140" t="n"/>
      <c r="R59" s="142" t="n"/>
      <c r="S59" s="141" t="n"/>
      <c r="T59" s="140" t="n"/>
      <c r="U59" s="142" t="n"/>
      <c r="V59" s="128" t="inlineStr">
        <is>
          <t>Confirms</t>
        </is>
      </c>
      <c r="W59" s="129" t="inlineStr">
        <is>
          <t>NO-DOC-CODE (Report of Analysis), (23.04.2025) [PP]</t>
        </is>
      </c>
      <c r="X59" s="130" t="inlineStr">
        <is>
          <t>✓</t>
        </is>
      </c>
      <c r="Y59" s="141" t="n"/>
      <c r="Z59" s="140" t="n"/>
      <c r="AA59" s="142" t="n"/>
      <c r="AB59" s="141" t="n"/>
      <c r="AC59" s="140" t="n"/>
      <c r="AD59" s="140" t="n"/>
      <c r="AE59" s="140" t="n"/>
      <c r="AF59" s="140" t="n"/>
      <c r="AG59" s="142" t="n"/>
      <c r="AH59" s="141" t="n"/>
      <c r="AI59" s="140" t="n"/>
      <c r="AJ59" s="140" t="n"/>
      <c r="AK59" s="142" t="n"/>
      <c r="AL59" s="141" t="n"/>
      <c r="AM59" s="140" t="n"/>
      <c r="AN59" s="140" t="n"/>
      <c r="AO59" s="140" t="n"/>
      <c r="AP59" s="142" t="n"/>
      <c r="AQ59" s="141" t="n"/>
      <c r="AR59" s="140" t="n"/>
      <c r="AS59" s="142" t="n"/>
    </row>
    <row r="60" ht="13" customHeight="1" s="70">
      <c r="A60" s="143" t="n"/>
      <c r="B60" s="144" t="n"/>
      <c r="C60" s="144" t="n"/>
      <c r="D60" s="145" t="n"/>
      <c r="E60" s="146" t="n"/>
      <c r="F60" s="147" t="n"/>
      <c r="G60" s="145" t="n"/>
      <c r="H60" s="146" t="n"/>
      <c r="I60" s="147" t="n"/>
      <c r="J60" s="145" t="n"/>
      <c r="K60" s="146" t="n"/>
      <c r="L60" s="147" t="n"/>
      <c r="M60" s="145" t="n"/>
      <c r="N60" s="146" t="n"/>
      <c r="O60" s="147" t="n"/>
      <c r="P60" s="145" t="n"/>
      <c r="Q60" s="146" t="n"/>
      <c r="R60" s="147" t="n"/>
      <c r="S60" s="145" t="n"/>
      <c r="T60" s="146" t="n"/>
      <c r="U60" s="147" t="n"/>
      <c r="V60" s="145" t="n"/>
      <c r="W60" s="146" t="n"/>
      <c r="X60" s="147" t="n"/>
      <c r="Y60" s="145" t="n"/>
      <c r="Z60" s="146" t="n"/>
      <c r="AA60" s="147" t="n"/>
      <c r="AB60" s="145" t="n"/>
      <c r="AC60" s="146" t="n"/>
      <c r="AD60" s="146" t="n"/>
      <c r="AE60" s="146" t="n"/>
      <c r="AF60" s="146" t="n"/>
      <c r="AG60" s="147" t="n"/>
      <c r="AH60" s="145" t="n"/>
      <c r="AI60" s="146" t="n"/>
      <c r="AJ60" s="146" t="n"/>
      <c r="AK60" s="147" t="n"/>
      <c r="AL60" s="145" t="n"/>
      <c r="AM60" s="146" t="n"/>
      <c r="AN60" s="146" t="n"/>
      <c r="AO60" s="146" t="n"/>
      <c r="AP60" s="147" t="n"/>
      <c r="AQ60" s="145" t="n"/>
      <c r="AR60" s="146" t="n"/>
      <c r="AS60" s="147" t="n"/>
    </row>
    <row r="61" ht="21" customHeight="1" s="70">
      <c r="A61" s="125" t="inlineStr">
        <is>
          <t>J31102501</t>
        </is>
      </c>
      <c r="B61" s="126" t="inlineStr">
        <is>
          <t>P060152</t>
        </is>
      </c>
      <c r="C61" s="149" t="inlineStr">
        <is>
          <t>⚠ 3 NO RESULT
(3 no cert / 0 cert w/o result)
3 testing instances
• 3 document(s) on file, not credited</t>
        </is>
      </c>
      <c r="D61" s="128" t="inlineStr">
        <is>
          <t>Conforms</t>
        </is>
      </c>
      <c r="E61" s="129">
        <f>IFERROR(INDEX('iCoA Register'!$B:$B,MATCH("P060152|AB|I",'iCoA Register'!$R:$R,0)),"iCoA — at issue")&amp;", (05.03.2026) [PP]"</f>
        <v/>
      </c>
      <c r="F61" s="130" t="inlineStr">
        <is>
          <t>✓</t>
        </is>
      </c>
      <c r="G61" s="128" t="inlineStr">
        <is>
          <t>Conforms</t>
        </is>
      </c>
      <c r="H61" s="129">
        <f>IFERROR(INDEX('iCoA Register'!$B:$B,MATCH("P060152|AB|I",'iCoA Register'!$R:$R,0)),"iCoA — at issue")&amp;", (05.03.2026) [PP]"</f>
        <v/>
      </c>
      <c r="I61" s="130" t="inlineStr">
        <is>
          <t>✓</t>
        </is>
      </c>
      <c r="J61" s="131" t="inlineStr">
        <is>
          <t>not on this certificate</t>
        </is>
      </c>
      <c r="K61" s="132" t="inlineStr">
        <is>
          <t>051-1-LoD-26, (02.03.2026) [FHM-K] · on file, not credited</t>
        </is>
      </c>
      <c r="L61" s="133" t="inlineStr">
        <is>
          <t>•</t>
        </is>
      </c>
      <c r="M61" s="131" t="inlineStr">
        <is>
          <t>not on this certificate</t>
        </is>
      </c>
      <c r="N61" s="132" t="inlineStr">
        <is>
          <t>051-1-LoD-26, (02.03.2026) [FHM-K] · on file, not credited</t>
        </is>
      </c>
      <c r="O61" s="133" t="inlineStr">
        <is>
          <t>•</t>
        </is>
      </c>
      <c r="P61" s="131" t="inlineStr">
        <is>
          <t>not on this certificate</t>
        </is>
      </c>
      <c r="Q61" s="132" t="inlineStr">
        <is>
          <t>051-1-LoD-26, (02.03.2026) [FHM-K] · on file, not credited</t>
        </is>
      </c>
      <c r="R61" s="133" t="inlineStr">
        <is>
          <t>•</t>
        </is>
      </c>
      <c r="S61" s="131" t="inlineStr">
        <is>
          <t>not on this certificate</t>
        </is>
      </c>
      <c r="T61" s="132" t="inlineStr">
        <is>
          <t>051-1-LoD-26, (02.03.2026) [FHM-K] · on file, not credited</t>
        </is>
      </c>
      <c r="U61" s="133" t="inlineStr">
        <is>
          <t>•</t>
        </is>
      </c>
      <c r="V61" s="128" t="inlineStr">
        <is>
          <t>Conforms</t>
        </is>
      </c>
      <c r="W61" s="129">
        <f>IFERROR(INDEX('iCoA Register'!$B:$B,MATCH("P060152|FM|I",'iCoA Register'!$R:$R,0)),"iCoA — at issue")&amp;", (05.03.2026) [PP]"</f>
        <v/>
      </c>
      <c r="X61" s="130" t="inlineStr">
        <is>
          <t>✓</t>
        </is>
      </c>
      <c r="Y61" s="128" t="inlineStr">
        <is>
          <t>6.3</t>
        </is>
      </c>
      <c r="Z61" s="129" t="inlineStr">
        <is>
          <t>051-1-LoD-26, (02.03.2026) [FHM-K]</t>
        </is>
      </c>
      <c r="AA61" s="130" t="inlineStr">
        <is>
          <t>✓</t>
        </is>
      </c>
      <c r="AB61" s="150" t="inlineStr">
        <is>
          <t>— MISSING —</t>
        </is>
      </c>
      <c r="AC61" s="151" t="inlineStr">
        <is>
          <t>— MISSING —</t>
        </is>
      </c>
      <c r="AD61" s="151" t="inlineStr">
        <is>
          <t>— MISSING —</t>
        </is>
      </c>
      <c r="AE61" s="151" t="inlineStr">
        <is>
          <t>— MISSING —</t>
        </is>
      </c>
      <c r="AF61" s="151" t="inlineStr">
        <is>
          <t>— MISSING —</t>
        </is>
      </c>
      <c r="AG61" s="152" t="inlineStr">
        <is>
          <t>✗</t>
        </is>
      </c>
      <c r="AH61" s="128" t="inlineStr">
        <is>
          <t>ND</t>
        </is>
      </c>
      <c r="AI61" s="134" t="inlineStr">
        <is>
          <t>ND ᴿ</t>
        </is>
      </c>
      <c r="AJ61" s="134" t="inlineStr">
        <is>
          <t>ND</t>
        </is>
      </c>
      <c r="AK61" s="130" t="inlineStr">
        <is>
          <t>✓</t>
        </is>
      </c>
      <c r="AL61" s="150" t="inlineStr">
        <is>
          <t>— MISSING —</t>
        </is>
      </c>
      <c r="AM61" s="151" t="inlineStr">
        <is>
          <t>— MISSING —</t>
        </is>
      </c>
      <c r="AN61" s="151" t="inlineStr">
        <is>
          <t>— MISSING —</t>
        </is>
      </c>
      <c r="AO61" s="151" t="inlineStr">
        <is>
          <t>— MISSING —</t>
        </is>
      </c>
      <c r="AP61" s="152" t="inlineStr">
        <is>
          <t>✗</t>
        </is>
      </c>
      <c r="AQ61" s="150" t="inlineStr">
        <is>
          <t>— MISSING —</t>
        </is>
      </c>
      <c r="AR61" s="153" t="inlineStr">
        <is>
          <t>— no certificate —</t>
        </is>
      </c>
      <c r="AS61" s="152" t="inlineStr">
        <is>
          <t>✗</t>
        </is>
      </c>
    </row>
    <row r="62" ht="21" customHeight="1" s="70">
      <c r="A62" s="135" t="n"/>
      <c r="D62" s="136" t="n"/>
      <c r="F62" s="137" t="n"/>
      <c r="G62" s="136" t="n"/>
      <c r="I62" s="137" t="n"/>
      <c r="J62" s="136" t="n"/>
      <c r="L62" s="137" t="n"/>
      <c r="M62" s="136" t="n"/>
      <c r="O62" s="137" t="n"/>
      <c r="P62" s="136" t="n"/>
      <c r="R62" s="137" t="n"/>
      <c r="S62" s="136" t="n"/>
      <c r="U62" s="137" t="n"/>
      <c r="V62" s="136" t="n"/>
      <c r="X62" s="137" t="n"/>
      <c r="Y62" s="136" t="n"/>
      <c r="AA62" s="137" t="n"/>
      <c r="AB62" s="156" t="inlineStr">
        <is>
          <t>— no certificate —</t>
        </is>
      </c>
      <c r="AG62" s="137" t="n"/>
      <c r="AH62" s="138" t="inlineStr">
        <is>
          <t>197-16-M-26, (10.08.2026) [FHM-M]</t>
        </is>
      </c>
      <c r="AK62" s="137" t="n"/>
      <c r="AL62" s="156" t="inlineStr">
        <is>
          <t>— no certificate —</t>
        </is>
      </c>
      <c r="AP62" s="137" t="n"/>
      <c r="AQ62" s="136" t="n"/>
      <c r="AS62" s="137" t="n"/>
    </row>
    <row r="63" ht="14" customHeight="1" s="70">
      <c r="A63" s="139" t="n"/>
      <c r="B63" s="140" t="n"/>
      <c r="D63" s="141" t="n"/>
      <c r="E63" s="140" t="n"/>
      <c r="F63" s="142" t="n"/>
      <c r="G63" s="141" t="n"/>
      <c r="H63" s="140" t="n"/>
      <c r="I63" s="142" t="n"/>
      <c r="J63" s="128" t="inlineStr">
        <is>
          <t>Conforms (ImB spec.) ᴿ</t>
        </is>
      </c>
      <c r="K63" s="129" t="inlineStr">
        <is>
          <t>051-1-K-26, (04.03.2026) [FHM-K]</t>
        </is>
      </c>
      <c r="L63" s="130" t="inlineStr">
        <is>
          <t>✓</t>
        </is>
      </c>
      <c r="M63" s="128" t="inlineStr">
        <is>
          <t>19.14</t>
        </is>
      </c>
      <c r="N63" s="129" t="inlineStr">
        <is>
          <t>051-1-K-26, (04.03.2026) [FHM-K]</t>
        </is>
      </c>
      <c r="O63" s="130" t="inlineStr">
        <is>
          <t>✓</t>
        </is>
      </c>
      <c r="P63" s="128" t="inlineStr">
        <is>
          <t>&lt;LOQ**</t>
        </is>
      </c>
      <c r="Q63" s="129" t="inlineStr">
        <is>
          <t>051-1-K-26, (04.03.2026) [FHM-K]</t>
        </is>
      </c>
      <c r="R63" s="130" t="inlineStr">
        <is>
          <t>✓</t>
        </is>
      </c>
      <c r="S63" s="128" t="inlineStr">
        <is>
          <t>&lt;LOQ**</t>
        </is>
      </c>
      <c r="T63" s="129" t="inlineStr">
        <is>
          <t>051-1-K-26, (04.03.2026) [FHM-K]</t>
        </is>
      </c>
      <c r="U63" s="130" t="inlineStr">
        <is>
          <t>✓</t>
        </is>
      </c>
      <c r="V63" s="141" t="n"/>
      <c r="W63" s="140" t="n"/>
      <c r="X63" s="142" t="n"/>
      <c r="Y63" s="131" t="inlineStr">
        <is>
          <t>not on this certificate</t>
        </is>
      </c>
      <c r="Z63" s="132" t="inlineStr">
        <is>
          <t>051-1-K-26, (04.03.2026) [FHM-K] · on file, not credited</t>
        </is>
      </c>
      <c r="AA63" s="133" t="inlineStr">
        <is>
          <t>•</t>
        </is>
      </c>
      <c r="AB63" s="141" t="n"/>
      <c r="AC63" s="140" t="n"/>
      <c r="AD63" s="140" t="n"/>
      <c r="AE63" s="140" t="n"/>
      <c r="AF63" s="140" t="n"/>
      <c r="AG63" s="142" t="n"/>
      <c r="AH63" s="141" t="n"/>
      <c r="AI63" s="140" t="n"/>
      <c r="AJ63" s="140" t="n"/>
      <c r="AK63" s="142" t="n"/>
      <c r="AL63" s="141" t="n"/>
      <c r="AM63" s="140" t="n"/>
      <c r="AN63" s="140" t="n"/>
      <c r="AO63" s="140" t="n"/>
      <c r="AP63" s="142" t="n"/>
      <c r="AQ63" s="141" t="n"/>
      <c r="AR63" s="140" t="n"/>
      <c r="AS63" s="142" t="n"/>
    </row>
    <row r="64" ht="21" customHeight="1" s="70">
      <c r="A64" s="157" t="n"/>
      <c r="B64" s="146" t="n"/>
      <c r="D64" s="145" t="n"/>
      <c r="E64" s="146" t="n"/>
      <c r="F64" s="147" t="n"/>
      <c r="G64" s="145" t="n"/>
      <c r="H64" s="146" t="n"/>
      <c r="I64" s="147" t="n"/>
      <c r="J64" s="145" t="n"/>
      <c r="K64" s="146" t="n"/>
      <c r="L64" s="147" t="n"/>
      <c r="M64" s="145" t="n"/>
      <c r="N64" s="146" t="n"/>
      <c r="O64" s="147" t="n"/>
      <c r="P64" s="145" t="n"/>
      <c r="Q64" s="146" t="n"/>
      <c r="R64" s="147" t="n"/>
      <c r="S64" s="145" t="n"/>
      <c r="T64" s="146" t="n"/>
      <c r="U64" s="147" t="n"/>
      <c r="V64" s="145" t="n"/>
      <c r="W64" s="146" t="n"/>
      <c r="X64" s="147" t="n"/>
      <c r="Y64" s="145" t="n"/>
      <c r="Z64" s="146" t="n"/>
      <c r="AA64" s="147" t="n"/>
      <c r="AB64" s="145" t="n"/>
      <c r="AC64" s="146" t="n"/>
      <c r="AD64" s="146" t="n"/>
      <c r="AE64" s="146" t="n"/>
      <c r="AF64" s="146" t="n"/>
      <c r="AG64" s="147" t="n"/>
      <c r="AH64" s="145" t="n"/>
      <c r="AI64" s="146" t="n"/>
      <c r="AJ64" s="146" t="n"/>
      <c r="AK64" s="147" t="n"/>
      <c r="AL64" s="145" t="n"/>
      <c r="AM64" s="146" t="n"/>
      <c r="AN64" s="146" t="n"/>
      <c r="AO64" s="146" t="n"/>
      <c r="AP64" s="147" t="n"/>
      <c r="AQ64" s="145" t="n"/>
      <c r="AR64" s="146" t="n"/>
      <c r="AS64" s="147" t="n"/>
    </row>
    <row r="65" ht="14" customHeight="1" s="70">
      <c r="A65" s="139" t="n"/>
      <c r="B65" s="140" t="n"/>
      <c r="D65" s="141" t="n"/>
      <c r="E65" s="140" t="n"/>
      <c r="F65" s="142" t="n"/>
      <c r="G65" s="141" t="n"/>
      <c r="H65" s="140" t="n"/>
      <c r="I65" s="142" t="n"/>
      <c r="J65" s="128" t="inlineStr">
        <is>
          <t>Conforms (ImB spec.)</t>
        </is>
      </c>
      <c r="K65" s="129" t="inlineStr">
        <is>
          <t>197-16-K-26, (07.08.2026) [FHM-K]</t>
        </is>
      </c>
      <c r="L65" s="130" t="inlineStr">
        <is>
          <t>✓</t>
        </is>
      </c>
      <c r="M65" s="128" t="inlineStr">
        <is>
          <t>17.32</t>
        </is>
      </c>
      <c r="N65" s="129" t="inlineStr">
        <is>
          <t>197-16-K-26, (07.08.2026) [FHM-K]</t>
        </is>
      </c>
      <c r="O65" s="130" t="inlineStr">
        <is>
          <t>✓</t>
        </is>
      </c>
      <c r="P65" s="128" t="inlineStr">
        <is>
          <t>&lt;LOQ</t>
        </is>
      </c>
      <c r="Q65" s="129" t="inlineStr">
        <is>
          <t>197-16-K-26, (07.08.2026) [FHM-K]</t>
        </is>
      </c>
      <c r="R65" s="130" t="inlineStr">
        <is>
          <t>✓</t>
        </is>
      </c>
      <c r="S65" s="128" t="inlineStr">
        <is>
          <t>&lt;LOQ</t>
        </is>
      </c>
      <c r="T65" s="129" t="inlineStr">
        <is>
          <t>197-16-K-26, (07.08.2026) [FHM-K]</t>
        </is>
      </c>
      <c r="U65" s="130" t="inlineStr">
        <is>
          <t>✓</t>
        </is>
      </c>
      <c r="V65" s="141" t="n"/>
      <c r="W65" s="140" t="n"/>
      <c r="X65" s="142" t="n"/>
      <c r="Y65" s="131" t="inlineStr">
        <is>
          <t>not on this certificate</t>
        </is>
      </c>
      <c r="Z65" s="132" t="inlineStr">
        <is>
          <t>197-16-K-26, (07.08.2026) [FHM-K] · on file, not credited</t>
        </is>
      </c>
      <c r="AA65" s="133" t="inlineStr">
        <is>
          <t>•</t>
        </is>
      </c>
      <c r="AB65" s="141" t="n"/>
      <c r="AC65" s="140" t="n"/>
      <c r="AD65" s="140" t="n"/>
      <c r="AE65" s="140" t="n"/>
      <c r="AF65" s="140" t="n"/>
      <c r="AG65" s="142" t="n"/>
      <c r="AH65" s="141" t="n"/>
      <c r="AI65" s="140" t="n"/>
      <c r="AJ65" s="140" t="n"/>
      <c r="AK65" s="142" t="n"/>
      <c r="AL65" s="141" t="n"/>
      <c r="AM65" s="140" t="n"/>
      <c r="AN65" s="140" t="n"/>
      <c r="AO65" s="140" t="n"/>
      <c r="AP65" s="142" t="n"/>
      <c r="AQ65" s="141" t="n"/>
      <c r="AR65" s="140" t="n"/>
      <c r="AS65" s="142" t="n"/>
    </row>
    <row r="66" ht="21" customHeight="1" s="70">
      <c r="A66" s="143" t="n"/>
      <c r="B66" s="144" t="n"/>
      <c r="C66" s="144" t="n"/>
      <c r="D66" s="145" t="n"/>
      <c r="E66" s="146" t="n"/>
      <c r="F66" s="147" t="n"/>
      <c r="G66" s="145" t="n"/>
      <c r="H66" s="146" t="n"/>
      <c r="I66" s="147" t="n"/>
      <c r="J66" s="145" t="n"/>
      <c r="K66" s="146" t="n"/>
      <c r="L66" s="147" t="n"/>
      <c r="M66" s="145" t="n"/>
      <c r="N66" s="146" t="n"/>
      <c r="O66" s="147" t="n"/>
      <c r="P66" s="145" t="n"/>
      <c r="Q66" s="146" t="n"/>
      <c r="R66" s="147" t="n"/>
      <c r="S66" s="145" t="n"/>
      <c r="T66" s="146" t="n"/>
      <c r="U66" s="147" t="n"/>
      <c r="V66" s="145" t="n"/>
      <c r="W66" s="146" t="n"/>
      <c r="X66" s="147" t="n"/>
      <c r="Y66" s="145" t="n"/>
      <c r="Z66" s="146" t="n"/>
      <c r="AA66" s="147" t="n"/>
      <c r="AB66" s="145" t="n"/>
      <c r="AC66" s="146" t="n"/>
      <c r="AD66" s="146" t="n"/>
      <c r="AE66" s="146" t="n"/>
      <c r="AF66" s="146" t="n"/>
      <c r="AG66" s="147" t="n"/>
      <c r="AH66" s="145" t="n"/>
      <c r="AI66" s="146" t="n"/>
      <c r="AJ66" s="146" t="n"/>
      <c r="AK66" s="147" t="n"/>
      <c r="AL66" s="145" t="n"/>
      <c r="AM66" s="146" t="n"/>
      <c r="AN66" s="146" t="n"/>
      <c r="AO66" s="146" t="n"/>
      <c r="AP66" s="147" t="n"/>
      <c r="AQ66" s="145" t="n"/>
      <c r="AR66" s="146" t="n"/>
      <c r="AS66" s="147" t="n"/>
    </row>
    <row r="67" ht="21" customHeight="1" s="70">
      <c r="A67" s="125" t="inlineStr">
        <is>
          <t>J31112501</t>
        </is>
      </c>
      <c r="B67" s="126" t="inlineStr">
        <is>
          <t>P060202</t>
        </is>
      </c>
      <c r="C67" s="149" t="inlineStr">
        <is>
          <t>⚠ 3 NO RESULT
(3 no cert / 0 cert w/o result)
6 testing instances
• 6 document(s) on file, not credited</t>
        </is>
      </c>
      <c r="D67" s="128" t="inlineStr">
        <is>
          <t>Conforms</t>
        </is>
      </c>
      <c r="E67" s="129">
        <f>IFERROR(INDEX('iCoA Register'!$B:$B,MATCH("P060202|AB|I",'iCoA Register'!$R:$R,0)),"iCoA — at issue")&amp;", (17.04.2026) [PP]"</f>
        <v/>
      </c>
      <c r="F67" s="130" t="inlineStr">
        <is>
          <t>✓</t>
        </is>
      </c>
      <c r="G67" s="128" t="inlineStr">
        <is>
          <t>Conforms</t>
        </is>
      </c>
      <c r="H67" s="129">
        <f>IFERROR(INDEX('iCoA Register'!$B:$B,MATCH("P060202|AB|I",'iCoA Register'!$R:$R,0)),"iCoA — at issue")&amp;", (17.04.2026) [PP]"</f>
        <v/>
      </c>
      <c r="I67" s="130" t="inlineStr">
        <is>
          <t>✓</t>
        </is>
      </c>
      <c r="J67" s="131" t="inlineStr">
        <is>
          <t>not on this certificate</t>
        </is>
      </c>
      <c r="K67" s="132" t="inlineStr">
        <is>
          <t>051-5-LoD-26, (02.03.2026) [FHM-K] · on file, not credited</t>
        </is>
      </c>
      <c r="L67" s="133" t="inlineStr">
        <is>
          <t>•</t>
        </is>
      </c>
      <c r="M67" s="131" t="inlineStr">
        <is>
          <t>not on this certificate</t>
        </is>
      </c>
      <c r="N67" s="132" t="inlineStr">
        <is>
          <t>051-5-LoD-26, (02.03.2026) [FHM-K] · on file, not credited</t>
        </is>
      </c>
      <c r="O67" s="133" t="inlineStr">
        <is>
          <t>•</t>
        </is>
      </c>
      <c r="P67" s="131" t="inlineStr">
        <is>
          <t>not on this certificate</t>
        </is>
      </c>
      <c r="Q67" s="132" t="inlineStr">
        <is>
          <t>051-5-LoD-26, (02.03.2026) [FHM-K] · on file, not credited</t>
        </is>
      </c>
      <c r="R67" s="133" t="inlineStr">
        <is>
          <t>•</t>
        </is>
      </c>
      <c r="S67" s="131" t="inlineStr">
        <is>
          <t>not on this certificate</t>
        </is>
      </c>
      <c r="T67" s="132" t="inlineStr">
        <is>
          <t>051-5-LoD-26, (02.03.2026) [FHM-K] · on file, not credited</t>
        </is>
      </c>
      <c r="U67" s="133" t="inlineStr">
        <is>
          <t>•</t>
        </is>
      </c>
      <c r="V67" s="128" t="inlineStr">
        <is>
          <t>Conforms</t>
        </is>
      </c>
      <c r="W67" s="129">
        <f>IFERROR(INDEX('iCoA Register'!$B:$B,MATCH("P060202|FM|I",'iCoA Register'!$R:$R,0)),"iCoA — at issue")&amp;", (17.04.2026) [PP]"</f>
        <v/>
      </c>
      <c r="X67" s="130" t="inlineStr">
        <is>
          <t>✓</t>
        </is>
      </c>
      <c r="Y67" s="128" t="inlineStr">
        <is>
          <t>8.4</t>
        </is>
      </c>
      <c r="Z67" s="129" t="inlineStr">
        <is>
          <t>051-5-LoD-26, (02.03.2026) [FHM-K]</t>
        </is>
      </c>
      <c r="AA67" s="130" t="inlineStr">
        <is>
          <t>✓</t>
        </is>
      </c>
      <c r="AB67" s="128" t="inlineStr">
        <is>
          <t>4.4×10²</t>
        </is>
      </c>
      <c r="AC67" s="134" t="inlineStr">
        <is>
          <t>8.6×10²</t>
        </is>
      </c>
      <c r="AD67" s="134" t="inlineStr">
        <is>
          <t>&lt;10²</t>
        </is>
      </c>
      <c r="AE67" s="134" t="inlineStr">
        <is>
          <t>absent</t>
        </is>
      </c>
      <c r="AF67" s="134" t="inlineStr">
        <is>
          <t>absent</t>
        </is>
      </c>
      <c r="AG67" s="130" t="inlineStr">
        <is>
          <t>✓</t>
        </is>
      </c>
      <c r="AH67" s="150" t="inlineStr">
        <is>
          <t>— MISSING —</t>
        </is>
      </c>
      <c r="AI67" s="151" t="inlineStr">
        <is>
          <t>— MISSING —</t>
        </is>
      </c>
      <c r="AJ67" s="151" t="inlineStr">
        <is>
          <t>— MISSING —</t>
        </is>
      </c>
      <c r="AK67" s="152" t="inlineStr">
        <is>
          <t>✗</t>
        </is>
      </c>
      <c r="AL67" s="150" t="inlineStr">
        <is>
          <t>— MISSING —</t>
        </is>
      </c>
      <c r="AM67" s="151" t="inlineStr">
        <is>
          <t>— MISSING —</t>
        </is>
      </c>
      <c r="AN67" s="151" t="inlineStr">
        <is>
          <t>— MISSING —</t>
        </is>
      </c>
      <c r="AO67" s="151" t="inlineStr">
        <is>
          <t>— MISSING —</t>
        </is>
      </c>
      <c r="AP67" s="152" t="inlineStr">
        <is>
          <t>✗</t>
        </is>
      </c>
      <c r="AQ67" s="150" t="inlineStr">
        <is>
          <t>— MISSING —</t>
        </is>
      </c>
      <c r="AR67" s="153" t="inlineStr">
        <is>
          <t>— no certificate —</t>
        </is>
      </c>
      <c r="AS67" s="152" t="inlineStr">
        <is>
          <t>✗</t>
        </is>
      </c>
    </row>
    <row r="68" ht="21" customHeight="1" s="70">
      <c r="A68" s="135" t="n"/>
      <c r="D68" s="136" t="n"/>
      <c r="F68" s="137" t="n"/>
      <c r="G68" s="136" t="n"/>
      <c r="I68" s="137" t="n"/>
      <c r="J68" s="136" t="n"/>
      <c r="L68" s="137" t="n"/>
      <c r="M68" s="136" t="n"/>
      <c r="O68" s="137" t="n"/>
      <c r="P68" s="136" t="n"/>
      <c r="R68" s="137" t="n"/>
      <c r="S68" s="136" t="n"/>
      <c r="U68" s="137" t="n"/>
      <c r="V68" s="136" t="n"/>
      <c r="X68" s="137" t="n"/>
      <c r="Y68" s="136" t="n"/>
      <c r="AA68" s="137" t="n"/>
      <c r="AB68" s="138" t="inlineStr">
        <is>
          <t>547-1078-26, (31.08.2026) [IJZ-MB]</t>
        </is>
      </c>
      <c r="AG68" s="137" t="n"/>
      <c r="AH68" s="156" t="inlineStr">
        <is>
          <t>— no certificate —</t>
        </is>
      </c>
      <c r="AK68" s="137" t="n"/>
      <c r="AL68" s="156" t="inlineStr">
        <is>
          <t>— no certificate —</t>
        </is>
      </c>
      <c r="AP68" s="137" t="n"/>
      <c r="AQ68" s="136" t="n"/>
      <c r="AS68" s="137" t="n"/>
    </row>
    <row r="69" ht="14" customHeight="1" s="70">
      <c r="A69" s="139" t="n"/>
      <c r="B69" s="140" t="n"/>
      <c r="D69" s="141" t="n"/>
      <c r="E69" s="140" t="n"/>
      <c r="F69" s="142" t="n"/>
      <c r="G69" s="141" t="n"/>
      <c r="H69" s="140" t="n"/>
      <c r="I69" s="142" t="n"/>
      <c r="J69" s="128" t="inlineStr">
        <is>
          <t>Conforms (ImB spec.) ᴿ</t>
        </is>
      </c>
      <c r="K69" s="129" t="inlineStr">
        <is>
          <t>051-5-K-26, (04.03.2026) [FHM-K]</t>
        </is>
      </c>
      <c r="L69" s="130" t="inlineStr">
        <is>
          <t>✓</t>
        </is>
      </c>
      <c r="M69" s="128" t="inlineStr">
        <is>
          <t>25.27</t>
        </is>
      </c>
      <c r="N69" s="129" t="inlineStr">
        <is>
          <t>051-5-K-26, (04.03.2026) [FHM-K]</t>
        </is>
      </c>
      <c r="O69" s="130" t="inlineStr">
        <is>
          <t>✓</t>
        </is>
      </c>
      <c r="P69" s="128" t="inlineStr">
        <is>
          <t>&lt;LOQ**</t>
        </is>
      </c>
      <c r="Q69" s="129" t="inlineStr">
        <is>
          <t>051-5-K-26, (04.03.2026) [FHM-K]</t>
        </is>
      </c>
      <c r="R69" s="130" t="inlineStr">
        <is>
          <t>✓</t>
        </is>
      </c>
      <c r="S69" s="128" t="inlineStr">
        <is>
          <t>&lt;LOQ**</t>
        </is>
      </c>
      <c r="T69" s="129" t="inlineStr">
        <is>
          <t>051-5-K-26, (04.03.2026) [FHM-K]</t>
        </is>
      </c>
      <c r="U69" s="130" t="inlineStr">
        <is>
          <t>✓</t>
        </is>
      </c>
      <c r="V69" s="141" t="n"/>
      <c r="W69" s="140" t="n"/>
      <c r="X69" s="142" t="n"/>
      <c r="Y69" s="131" t="inlineStr">
        <is>
          <t>not on this certificate</t>
        </is>
      </c>
      <c r="Z69" s="132" t="inlineStr">
        <is>
          <t>051-5-K-26, (04.03.2026) [FHM-K] · on file, not credited</t>
        </is>
      </c>
      <c r="AA69" s="133" t="inlineStr">
        <is>
          <t>•</t>
        </is>
      </c>
      <c r="AB69" s="141" t="n"/>
      <c r="AC69" s="140" t="n"/>
      <c r="AD69" s="140" t="n"/>
      <c r="AE69" s="140" t="n"/>
      <c r="AF69" s="140" t="n"/>
      <c r="AG69" s="142" t="n"/>
      <c r="AH69" s="141" t="n"/>
      <c r="AI69" s="140" t="n"/>
      <c r="AJ69" s="140" t="n"/>
      <c r="AK69" s="142" t="n"/>
      <c r="AL69" s="141" t="n"/>
      <c r="AM69" s="140" t="n"/>
      <c r="AN69" s="140" t="n"/>
      <c r="AO69" s="140" t="n"/>
      <c r="AP69" s="142" t="n"/>
      <c r="AQ69" s="141" t="n"/>
      <c r="AR69" s="140" t="n"/>
      <c r="AS69" s="142" t="n"/>
    </row>
    <row r="70" ht="21" customHeight="1" s="70">
      <c r="A70" s="157" t="n"/>
      <c r="B70" s="146" t="n"/>
      <c r="D70" s="145" t="n"/>
      <c r="E70" s="146" t="n"/>
      <c r="F70" s="147" t="n"/>
      <c r="G70" s="145" t="n"/>
      <c r="H70" s="146" t="n"/>
      <c r="I70" s="147" t="n"/>
      <c r="J70" s="145" t="n"/>
      <c r="K70" s="146" t="n"/>
      <c r="L70" s="147" t="n"/>
      <c r="M70" s="145" t="n"/>
      <c r="N70" s="146" t="n"/>
      <c r="O70" s="147" t="n"/>
      <c r="P70" s="145" t="n"/>
      <c r="Q70" s="146" t="n"/>
      <c r="R70" s="147" t="n"/>
      <c r="S70" s="145" t="n"/>
      <c r="T70" s="146" t="n"/>
      <c r="U70" s="147" t="n"/>
      <c r="V70" s="145" t="n"/>
      <c r="W70" s="146" t="n"/>
      <c r="X70" s="147" t="n"/>
      <c r="Y70" s="145" t="n"/>
      <c r="Z70" s="146" t="n"/>
      <c r="AA70" s="147" t="n"/>
      <c r="AB70" s="145" t="n"/>
      <c r="AC70" s="146" t="n"/>
      <c r="AD70" s="146" t="n"/>
      <c r="AE70" s="146" t="n"/>
      <c r="AF70" s="146" t="n"/>
      <c r="AG70" s="147" t="n"/>
      <c r="AH70" s="145" t="n"/>
      <c r="AI70" s="146" t="n"/>
      <c r="AJ70" s="146" t="n"/>
      <c r="AK70" s="147" t="n"/>
      <c r="AL70" s="145" t="n"/>
      <c r="AM70" s="146" t="n"/>
      <c r="AN70" s="146" t="n"/>
      <c r="AO70" s="146" t="n"/>
      <c r="AP70" s="147" t="n"/>
      <c r="AQ70" s="145" t="n"/>
      <c r="AR70" s="146" t="n"/>
      <c r="AS70" s="147" t="n"/>
    </row>
    <row r="71" ht="14" customHeight="1" s="70">
      <c r="A71" s="139" t="n"/>
      <c r="B71" s="140" t="n"/>
      <c r="D71" s="141" t="n"/>
      <c r="E71" s="140" t="n"/>
      <c r="F71" s="142" t="n"/>
      <c r="G71" s="141" t="n"/>
      <c r="H71" s="140" t="n"/>
      <c r="I71" s="142" t="n"/>
      <c r="J71" s="158" t="inlineStr">
        <is>
          <t>held for review</t>
        </is>
      </c>
      <c r="K71" s="159" t="inlineStr">
        <is>
          <t>100-1-K-26, (09.04.2026) [FHM-K]</t>
        </is>
      </c>
      <c r="L71" s="160" t="inlineStr">
        <is>
          <t>✗</t>
        </is>
      </c>
      <c r="M71" s="128" t="inlineStr">
        <is>
          <t>20.21</t>
        </is>
      </c>
      <c r="N71" s="129" t="inlineStr">
        <is>
          <t>100-1-K-26, (09.04.2026) [FHM-K]</t>
        </is>
      </c>
      <c r="O71" s="130" t="inlineStr">
        <is>
          <t>✓</t>
        </is>
      </c>
      <c r="P71" s="128" t="inlineStr">
        <is>
          <t>&lt;LOQ</t>
        </is>
      </c>
      <c r="Q71" s="129" t="inlineStr">
        <is>
          <t>100-1-K-26, (09.04.2026) [FHM-K]</t>
        </is>
      </c>
      <c r="R71" s="130" t="inlineStr">
        <is>
          <t>✓</t>
        </is>
      </c>
      <c r="S71" s="128" t="inlineStr">
        <is>
          <t>&lt;LOQ</t>
        </is>
      </c>
      <c r="T71" s="129" t="inlineStr">
        <is>
          <t>100-1-K-26, (09.04.2026) [FHM-K]</t>
        </is>
      </c>
      <c r="U71" s="130" t="inlineStr">
        <is>
          <t>✓</t>
        </is>
      </c>
      <c r="V71" s="141" t="n"/>
      <c r="W71" s="140" t="n"/>
      <c r="X71" s="142" t="n"/>
      <c r="Y71" s="131" t="inlineStr">
        <is>
          <t>not on this certificate</t>
        </is>
      </c>
      <c r="Z71" s="132" t="inlineStr">
        <is>
          <t>100-1-K-26, (09.04.2026) [FHM-K] · on file, not credited</t>
        </is>
      </c>
      <c r="AA71" s="133" t="inlineStr">
        <is>
          <t>•</t>
        </is>
      </c>
      <c r="AB71" s="141" t="n"/>
      <c r="AC71" s="140" t="n"/>
      <c r="AD71" s="140" t="n"/>
      <c r="AE71" s="140" t="n"/>
      <c r="AF71" s="140" t="n"/>
      <c r="AG71" s="142" t="n"/>
      <c r="AH71" s="141" t="n"/>
      <c r="AI71" s="140" t="n"/>
      <c r="AJ71" s="140" t="n"/>
      <c r="AK71" s="142" t="n"/>
      <c r="AL71" s="141" t="n"/>
      <c r="AM71" s="140" t="n"/>
      <c r="AN71" s="140" t="n"/>
      <c r="AO71" s="140" t="n"/>
      <c r="AP71" s="142" t="n"/>
      <c r="AQ71" s="141" t="n"/>
      <c r="AR71" s="140" t="n"/>
      <c r="AS71" s="142" t="n"/>
    </row>
    <row r="72" ht="21" customHeight="1" s="70">
      <c r="A72" s="157" t="n"/>
      <c r="B72" s="146" t="n"/>
      <c r="D72" s="145" t="n"/>
      <c r="E72" s="146" t="n"/>
      <c r="F72" s="147" t="n"/>
      <c r="G72" s="145" t="n"/>
      <c r="H72" s="146" t="n"/>
      <c r="I72" s="147" t="n"/>
      <c r="J72" s="145" t="n"/>
      <c r="K72" s="146" t="n"/>
      <c r="L72" s="147" t="n"/>
      <c r="M72" s="145" t="n"/>
      <c r="N72" s="146" t="n"/>
      <c r="O72" s="147" t="n"/>
      <c r="P72" s="145" t="n"/>
      <c r="Q72" s="146" t="n"/>
      <c r="R72" s="147" t="n"/>
      <c r="S72" s="145" t="n"/>
      <c r="T72" s="146" t="n"/>
      <c r="U72" s="147" t="n"/>
      <c r="V72" s="145" t="n"/>
      <c r="W72" s="146" t="n"/>
      <c r="X72" s="147" t="n"/>
      <c r="Y72" s="145" t="n"/>
      <c r="Z72" s="146" t="n"/>
      <c r="AA72" s="147" t="n"/>
      <c r="AB72" s="145" t="n"/>
      <c r="AC72" s="146" t="n"/>
      <c r="AD72" s="146" t="n"/>
      <c r="AE72" s="146" t="n"/>
      <c r="AF72" s="146" t="n"/>
      <c r="AG72" s="147" t="n"/>
      <c r="AH72" s="145" t="n"/>
      <c r="AI72" s="146" t="n"/>
      <c r="AJ72" s="146" t="n"/>
      <c r="AK72" s="147" t="n"/>
      <c r="AL72" s="145" t="n"/>
      <c r="AM72" s="146" t="n"/>
      <c r="AN72" s="146" t="n"/>
      <c r="AO72" s="146" t="n"/>
      <c r="AP72" s="147" t="n"/>
      <c r="AQ72" s="145" t="n"/>
      <c r="AR72" s="146" t="n"/>
      <c r="AS72" s="147" t="n"/>
    </row>
    <row r="73" ht="14" customHeight="1" s="70">
      <c r="A73" s="139" t="n"/>
      <c r="B73" s="140" t="n"/>
      <c r="D73" s="141" t="n"/>
      <c r="E73" s="140" t="n"/>
      <c r="F73" s="142" t="n"/>
      <c r="G73" s="141" t="n"/>
      <c r="H73" s="140" t="n"/>
      <c r="I73" s="142" t="n"/>
      <c r="J73" s="131" t="inlineStr">
        <is>
          <t>not on this certificate</t>
        </is>
      </c>
      <c r="K73" s="132" t="inlineStr">
        <is>
          <t>100-1-LoD-26, (09.04.2026) [FHM-K] · on file, not credited</t>
        </is>
      </c>
      <c r="L73" s="133" t="inlineStr">
        <is>
          <t>•</t>
        </is>
      </c>
      <c r="M73" s="131" t="inlineStr">
        <is>
          <t>not on this certificate</t>
        </is>
      </c>
      <c r="N73" s="132" t="inlineStr">
        <is>
          <t>100-1-LoD-26, (09.04.2026) [FHM-K] · on file, not credited</t>
        </is>
      </c>
      <c r="O73" s="133" t="inlineStr">
        <is>
          <t>•</t>
        </is>
      </c>
      <c r="P73" s="131" t="inlineStr">
        <is>
          <t>not on this certificate</t>
        </is>
      </c>
      <c r="Q73" s="132" t="inlineStr">
        <is>
          <t>100-1-LoD-26, (09.04.2026) [FHM-K] · on file, not credited</t>
        </is>
      </c>
      <c r="R73" s="133" t="inlineStr">
        <is>
          <t>•</t>
        </is>
      </c>
      <c r="S73" s="131" t="inlineStr">
        <is>
          <t>not on this certificate</t>
        </is>
      </c>
      <c r="T73" s="132" t="inlineStr">
        <is>
          <t>100-1-LoD-26, (09.04.2026) [FHM-K] · on file, not credited</t>
        </is>
      </c>
      <c r="U73" s="133" t="inlineStr">
        <is>
          <t>•</t>
        </is>
      </c>
      <c r="V73" s="141" t="n"/>
      <c r="W73" s="140" t="n"/>
      <c r="X73" s="142" t="n"/>
      <c r="Y73" s="128" t="inlineStr">
        <is>
          <t>7.6</t>
        </is>
      </c>
      <c r="Z73" s="129" t="inlineStr">
        <is>
          <t>100-1-LoD-26, (09.04.2026) [FHM-K]</t>
        </is>
      </c>
      <c r="AA73" s="130" t="inlineStr">
        <is>
          <t>✓</t>
        </is>
      </c>
      <c r="AB73" s="141" t="n"/>
      <c r="AC73" s="140" t="n"/>
      <c r="AD73" s="140" t="n"/>
      <c r="AE73" s="140" t="n"/>
      <c r="AF73" s="140" t="n"/>
      <c r="AG73" s="142" t="n"/>
      <c r="AH73" s="141" t="n"/>
      <c r="AI73" s="140" t="n"/>
      <c r="AJ73" s="140" t="n"/>
      <c r="AK73" s="142" t="n"/>
      <c r="AL73" s="141" t="n"/>
      <c r="AM73" s="140" t="n"/>
      <c r="AN73" s="140" t="n"/>
      <c r="AO73" s="140" t="n"/>
      <c r="AP73" s="142" t="n"/>
      <c r="AQ73" s="141" t="n"/>
      <c r="AR73" s="140" t="n"/>
      <c r="AS73" s="142" t="n"/>
    </row>
    <row r="74" ht="21" customHeight="1" s="70">
      <c r="A74" s="157" t="n"/>
      <c r="B74" s="146" t="n"/>
      <c r="D74" s="145" t="n"/>
      <c r="E74" s="146" t="n"/>
      <c r="F74" s="147" t="n"/>
      <c r="G74" s="145" t="n"/>
      <c r="H74" s="146" t="n"/>
      <c r="I74" s="147" t="n"/>
      <c r="J74" s="145" t="n"/>
      <c r="K74" s="146" t="n"/>
      <c r="L74" s="147" t="n"/>
      <c r="M74" s="145" t="n"/>
      <c r="N74" s="146" t="n"/>
      <c r="O74" s="147" t="n"/>
      <c r="P74" s="145" t="n"/>
      <c r="Q74" s="146" t="n"/>
      <c r="R74" s="147" t="n"/>
      <c r="S74" s="145" t="n"/>
      <c r="T74" s="146" t="n"/>
      <c r="U74" s="147" t="n"/>
      <c r="V74" s="145" t="n"/>
      <c r="W74" s="146" t="n"/>
      <c r="X74" s="147" t="n"/>
      <c r="Y74" s="145" t="n"/>
      <c r="Z74" s="146" t="n"/>
      <c r="AA74" s="147" t="n"/>
      <c r="AB74" s="145" t="n"/>
      <c r="AC74" s="146" t="n"/>
      <c r="AD74" s="146" t="n"/>
      <c r="AE74" s="146" t="n"/>
      <c r="AF74" s="146" t="n"/>
      <c r="AG74" s="147" t="n"/>
      <c r="AH74" s="145" t="n"/>
      <c r="AI74" s="146" t="n"/>
      <c r="AJ74" s="146" t="n"/>
      <c r="AK74" s="147" t="n"/>
      <c r="AL74" s="145" t="n"/>
      <c r="AM74" s="146" t="n"/>
      <c r="AN74" s="146" t="n"/>
      <c r="AO74" s="146" t="n"/>
      <c r="AP74" s="147" t="n"/>
      <c r="AQ74" s="145" t="n"/>
      <c r="AR74" s="146" t="n"/>
      <c r="AS74" s="147" t="n"/>
    </row>
    <row r="75" ht="14" customHeight="1" s="70">
      <c r="A75" s="139" t="n"/>
      <c r="B75" s="140" t="n"/>
      <c r="D75" s="141" t="n"/>
      <c r="E75" s="140" t="n"/>
      <c r="F75" s="142" t="n"/>
      <c r="G75" s="141" t="n"/>
      <c r="H75" s="140" t="n"/>
      <c r="I75" s="142" t="n"/>
      <c r="J75" s="131" t="inlineStr">
        <is>
          <t>not on this certificate</t>
        </is>
      </c>
      <c r="K75" s="132" t="inlineStr">
        <is>
          <t>100-2-LoD-26, (09.04.2026) [FHM-K] · on file, not credited</t>
        </is>
      </c>
      <c r="L75" s="133" t="inlineStr">
        <is>
          <t>•</t>
        </is>
      </c>
      <c r="M75" s="131" t="inlineStr">
        <is>
          <t>not on this certificate</t>
        </is>
      </c>
      <c r="N75" s="132" t="inlineStr">
        <is>
          <t>100-2-LoD-26, (09.04.2026) [FHM-K] · on file, not credited</t>
        </is>
      </c>
      <c r="O75" s="133" t="inlineStr">
        <is>
          <t>•</t>
        </is>
      </c>
      <c r="P75" s="131" t="inlineStr">
        <is>
          <t>not on this certificate</t>
        </is>
      </c>
      <c r="Q75" s="132" t="inlineStr">
        <is>
          <t>100-2-LoD-26, (09.04.2026) [FHM-K] · on file, not credited</t>
        </is>
      </c>
      <c r="R75" s="133" t="inlineStr">
        <is>
          <t>•</t>
        </is>
      </c>
      <c r="S75" s="131" t="inlineStr">
        <is>
          <t>not on this certificate</t>
        </is>
      </c>
      <c r="T75" s="132" t="inlineStr">
        <is>
          <t>100-2-LoD-26, (09.04.2026) [FHM-K] · on file, not credited</t>
        </is>
      </c>
      <c r="U75" s="133" t="inlineStr">
        <is>
          <t>•</t>
        </is>
      </c>
      <c r="V75" s="141" t="n"/>
      <c r="W75" s="140" t="n"/>
      <c r="X75" s="142" t="n"/>
      <c r="Y75" s="128" t="inlineStr">
        <is>
          <t>10.3 ± 0.2</t>
        </is>
      </c>
      <c r="Z75" s="129" t="inlineStr">
        <is>
          <t>100-2-LoD-26, (09.04.2026) [FHM-K]</t>
        </is>
      </c>
      <c r="AA75" s="130" t="inlineStr">
        <is>
          <t>✓</t>
        </is>
      </c>
      <c r="AB75" s="141" t="n"/>
      <c r="AC75" s="140" t="n"/>
      <c r="AD75" s="140" t="n"/>
      <c r="AE75" s="140" t="n"/>
      <c r="AF75" s="140" t="n"/>
      <c r="AG75" s="142" t="n"/>
      <c r="AH75" s="141" t="n"/>
      <c r="AI75" s="140" t="n"/>
      <c r="AJ75" s="140" t="n"/>
      <c r="AK75" s="142" t="n"/>
      <c r="AL75" s="141" t="n"/>
      <c r="AM75" s="140" t="n"/>
      <c r="AN75" s="140" t="n"/>
      <c r="AO75" s="140" t="n"/>
      <c r="AP75" s="142" t="n"/>
      <c r="AQ75" s="141" t="n"/>
      <c r="AR75" s="140" t="n"/>
      <c r="AS75" s="142" t="n"/>
    </row>
    <row r="76" ht="21" customHeight="1" s="70">
      <c r="A76" s="157" t="n"/>
      <c r="B76" s="146" t="n"/>
      <c r="D76" s="145" t="n"/>
      <c r="E76" s="146" t="n"/>
      <c r="F76" s="147" t="n"/>
      <c r="G76" s="145" t="n"/>
      <c r="H76" s="146" t="n"/>
      <c r="I76" s="147" t="n"/>
      <c r="J76" s="145" t="n"/>
      <c r="K76" s="146" t="n"/>
      <c r="L76" s="147" t="n"/>
      <c r="M76" s="145" t="n"/>
      <c r="N76" s="146" t="n"/>
      <c r="O76" s="147" t="n"/>
      <c r="P76" s="145" t="n"/>
      <c r="Q76" s="146" t="n"/>
      <c r="R76" s="147" t="n"/>
      <c r="S76" s="145" t="n"/>
      <c r="T76" s="146" t="n"/>
      <c r="U76" s="147" t="n"/>
      <c r="V76" s="145" t="n"/>
      <c r="W76" s="146" t="n"/>
      <c r="X76" s="147" t="n"/>
      <c r="Y76" s="145" t="n"/>
      <c r="Z76" s="146" t="n"/>
      <c r="AA76" s="147" t="n"/>
      <c r="AB76" s="145" t="n"/>
      <c r="AC76" s="146" t="n"/>
      <c r="AD76" s="146" t="n"/>
      <c r="AE76" s="146" t="n"/>
      <c r="AF76" s="146" t="n"/>
      <c r="AG76" s="147" t="n"/>
      <c r="AH76" s="145" t="n"/>
      <c r="AI76" s="146" t="n"/>
      <c r="AJ76" s="146" t="n"/>
      <c r="AK76" s="147" t="n"/>
      <c r="AL76" s="145" t="n"/>
      <c r="AM76" s="146" t="n"/>
      <c r="AN76" s="146" t="n"/>
      <c r="AO76" s="146" t="n"/>
      <c r="AP76" s="147" t="n"/>
      <c r="AQ76" s="145" t="n"/>
      <c r="AR76" s="146" t="n"/>
      <c r="AS76" s="147" t="n"/>
    </row>
    <row r="77" ht="14" customHeight="1" s="70">
      <c r="A77" s="139" t="n"/>
      <c r="B77" s="140" t="n"/>
      <c r="D77" s="141" t="n"/>
      <c r="E77" s="140" t="n"/>
      <c r="F77" s="142" t="n"/>
      <c r="G77" s="141" t="n"/>
      <c r="H77" s="140" t="n"/>
      <c r="I77" s="142" t="n"/>
      <c r="J77" s="131" t="inlineStr">
        <is>
          <t>not on this certificate</t>
        </is>
      </c>
      <c r="K77" s="132" t="inlineStr">
        <is>
          <t>100-3-LoD-26, (09.04.2026) [FHM-K] · on file, not credited</t>
        </is>
      </c>
      <c r="L77" s="133" t="inlineStr">
        <is>
          <t>•</t>
        </is>
      </c>
      <c r="M77" s="131" t="inlineStr">
        <is>
          <t>not on this certificate</t>
        </is>
      </c>
      <c r="N77" s="132" t="inlineStr">
        <is>
          <t>100-3-LoD-26, (09.04.2026) [FHM-K] · on file, not credited</t>
        </is>
      </c>
      <c r="O77" s="133" t="inlineStr">
        <is>
          <t>•</t>
        </is>
      </c>
      <c r="P77" s="131" t="inlineStr">
        <is>
          <t>not on this certificate</t>
        </is>
      </c>
      <c r="Q77" s="132" t="inlineStr">
        <is>
          <t>100-3-LoD-26, (09.04.2026) [FHM-K] · on file, not credited</t>
        </is>
      </c>
      <c r="R77" s="133" t="inlineStr">
        <is>
          <t>•</t>
        </is>
      </c>
      <c r="S77" s="131" t="inlineStr">
        <is>
          <t>not on this certificate</t>
        </is>
      </c>
      <c r="T77" s="132" t="inlineStr">
        <is>
          <t>100-3-LoD-26, (09.04.2026) [FHM-K] · on file, not credited</t>
        </is>
      </c>
      <c r="U77" s="133" t="inlineStr">
        <is>
          <t>•</t>
        </is>
      </c>
      <c r="V77" s="141" t="n"/>
      <c r="W77" s="140" t="n"/>
      <c r="X77" s="142" t="n"/>
      <c r="Y77" s="128" t="inlineStr">
        <is>
          <t>10.3</t>
        </is>
      </c>
      <c r="Z77" s="129" t="inlineStr">
        <is>
          <t>100-3-LoD-26, (09.04.2026) [FHM-K]</t>
        </is>
      </c>
      <c r="AA77" s="130" t="inlineStr">
        <is>
          <t>✓</t>
        </is>
      </c>
      <c r="AB77" s="141" t="n"/>
      <c r="AC77" s="140" t="n"/>
      <c r="AD77" s="140" t="n"/>
      <c r="AE77" s="140" t="n"/>
      <c r="AF77" s="140" t="n"/>
      <c r="AG77" s="142" t="n"/>
      <c r="AH77" s="141" t="n"/>
      <c r="AI77" s="140" t="n"/>
      <c r="AJ77" s="140" t="n"/>
      <c r="AK77" s="142" t="n"/>
      <c r="AL77" s="141" t="n"/>
      <c r="AM77" s="140" t="n"/>
      <c r="AN77" s="140" t="n"/>
      <c r="AO77" s="140" t="n"/>
      <c r="AP77" s="142" t="n"/>
      <c r="AQ77" s="141" t="n"/>
      <c r="AR77" s="140" t="n"/>
      <c r="AS77" s="142" t="n"/>
    </row>
    <row r="78" ht="21" customHeight="1" s="70">
      <c r="A78" s="143" t="n"/>
      <c r="B78" s="144" t="n"/>
      <c r="C78" s="144" t="n"/>
      <c r="D78" s="145" t="n"/>
      <c r="E78" s="146" t="n"/>
      <c r="F78" s="147" t="n"/>
      <c r="G78" s="145" t="n"/>
      <c r="H78" s="146" t="n"/>
      <c r="I78" s="147" t="n"/>
      <c r="J78" s="145" t="n"/>
      <c r="K78" s="146" t="n"/>
      <c r="L78" s="147" t="n"/>
      <c r="M78" s="145" t="n"/>
      <c r="N78" s="146" t="n"/>
      <c r="O78" s="147" t="n"/>
      <c r="P78" s="145" t="n"/>
      <c r="Q78" s="146" t="n"/>
      <c r="R78" s="147" t="n"/>
      <c r="S78" s="145" t="n"/>
      <c r="T78" s="146" t="n"/>
      <c r="U78" s="147" t="n"/>
      <c r="V78" s="145" t="n"/>
      <c r="W78" s="146" t="n"/>
      <c r="X78" s="147" t="n"/>
      <c r="Y78" s="145" t="n"/>
      <c r="Z78" s="146" t="n"/>
      <c r="AA78" s="147" t="n"/>
      <c r="AB78" s="145" t="n"/>
      <c r="AC78" s="146" t="n"/>
      <c r="AD78" s="146" t="n"/>
      <c r="AE78" s="146" t="n"/>
      <c r="AF78" s="146" t="n"/>
      <c r="AG78" s="147" t="n"/>
      <c r="AH78" s="145" t="n"/>
      <c r="AI78" s="146" t="n"/>
      <c r="AJ78" s="146" t="n"/>
      <c r="AK78" s="147" t="n"/>
      <c r="AL78" s="145" t="n"/>
      <c r="AM78" s="146" t="n"/>
      <c r="AN78" s="146" t="n"/>
      <c r="AO78" s="146" t="n"/>
      <c r="AP78" s="147" t="n"/>
      <c r="AQ78" s="145" t="n"/>
      <c r="AR78" s="146" t="n"/>
      <c r="AS78" s="147" t="n"/>
    </row>
    <row r="79" ht="21" customHeight="1" s="70">
      <c r="A79" s="125" t="inlineStr">
        <is>
          <t>J31122501</t>
        </is>
      </c>
      <c r="B79" s="126" t="inlineStr">
        <is>
          <t>P060262</t>
        </is>
      </c>
      <c r="C79" s="149" t="inlineStr">
        <is>
          <t>⚠ 1 NO RESULT
(1 no cert / 0 cert w/o result)
3 testing instances
• 2 document(s) on file, not credited</t>
        </is>
      </c>
      <c r="D79" s="128" t="inlineStr">
        <is>
          <t>Conforms</t>
        </is>
      </c>
      <c r="E79" s="129">
        <f>IFERROR(INDEX('iCoA Register'!$B:$B,MATCH("P060262|AB|I",'iCoA Register'!$R:$R,0)),"iCoA — at issue")&amp;", (14.05.2026) [PP]"</f>
        <v/>
      </c>
      <c r="F79" s="130" t="inlineStr">
        <is>
          <t>✓</t>
        </is>
      </c>
      <c r="G79" s="128" t="inlineStr">
        <is>
          <t>Conforms</t>
        </is>
      </c>
      <c r="H79" s="129">
        <f>IFERROR(INDEX('iCoA Register'!$B:$B,MATCH("P060262|AB|I",'iCoA Register'!$R:$R,0)),"iCoA — at issue")&amp;", (14.05.2026) [PP]"</f>
        <v/>
      </c>
      <c r="I79" s="130" t="inlineStr">
        <is>
          <t>✓</t>
        </is>
      </c>
      <c r="J79" s="128" t="inlineStr">
        <is>
          <t>Conforms (ImB spec.) ᴿ</t>
        </is>
      </c>
      <c r="K79" s="129" t="inlineStr">
        <is>
          <t>100-2-K-26, (09.04.2026) [FHM-K]</t>
        </is>
      </c>
      <c r="L79" s="130" t="inlineStr">
        <is>
          <t>✓</t>
        </is>
      </c>
      <c r="M79" s="128" t="inlineStr">
        <is>
          <t>19.84 ᴿ</t>
        </is>
      </c>
      <c r="N79" s="129" t="inlineStr">
        <is>
          <t>100-2-K-26, (09.04.2026) [FHM-K]</t>
        </is>
      </c>
      <c r="O79" s="130" t="inlineStr">
        <is>
          <t>✓</t>
        </is>
      </c>
      <c r="P79" s="128" t="inlineStr">
        <is>
          <t>&lt;LOQ (&lt;0.20) ᴿ</t>
        </is>
      </c>
      <c r="Q79" s="129" t="inlineStr">
        <is>
          <t>100-2-K-26, (09.04.2026) [FHM-K]</t>
        </is>
      </c>
      <c r="R79" s="130" t="inlineStr">
        <is>
          <t>✓</t>
        </is>
      </c>
      <c r="S79" s="128" t="inlineStr">
        <is>
          <t>&lt;LOQ ᴿ</t>
        </is>
      </c>
      <c r="T79" s="129" t="inlineStr">
        <is>
          <t>100-2-K-26, (09.04.2026) [FHM-K]</t>
        </is>
      </c>
      <c r="U79" s="130" t="inlineStr">
        <is>
          <t>✓</t>
        </is>
      </c>
      <c r="V79" s="128" t="inlineStr">
        <is>
          <t>Conforms</t>
        </is>
      </c>
      <c r="W79" s="129">
        <f>IFERROR(INDEX('iCoA Register'!$B:$B,MATCH("P060262|FM|I",'iCoA Register'!$R:$R,0)),"iCoA — at issue")&amp;", (14.05.2026) [PP]"</f>
        <v/>
      </c>
      <c r="X79" s="130" t="inlineStr">
        <is>
          <t>✓</t>
        </is>
      </c>
      <c r="Y79" s="131" t="inlineStr">
        <is>
          <t>not ingested</t>
        </is>
      </c>
      <c r="Z79" s="132" t="inlineStr">
        <is>
          <t>100-2-K-26, (09.04.2026) [FHM-K] · on file, not credited</t>
        </is>
      </c>
      <c r="AA79" s="133" t="inlineStr">
        <is>
          <t>•</t>
        </is>
      </c>
      <c r="AB79" s="128" t="inlineStr">
        <is>
          <t>1900 ᴿ</t>
        </is>
      </c>
      <c r="AC79" s="134" t="inlineStr">
        <is>
          <t>840 ᴿ</t>
        </is>
      </c>
      <c r="AD79" s="134" t="inlineStr">
        <is>
          <t>&lt;10³ and &gt;10² ᴿ</t>
        </is>
      </c>
      <c r="AE79" s="134" t="inlineStr">
        <is>
          <t>absent ᴿ</t>
        </is>
      </c>
      <c r="AF79" s="134" t="inlineStr">
        <is>
          <t>absent ᴿ</t>
        </is>
      </c>
      <c r="AG79" s="130" t="inlineStr">
        <is>
          <t>✓</t>
        </is>
      </c>
      <c r="AH79" s="128" t="inlineStr">
        <is>
          <t>n.r.</t>
        </is>
      </c>
      <c r="AI79" s="134" t="inlineStr">
        <is>
          <t>Complies ᴿ</t>
        </is>
      </c>
      <c r="AJ79" s="134" t="inlineStr">
        <is>
          <t>n.r.</t>
        </is>
      </c>
      <c r="AK79" s="130" t="inlineStr">
        <is>
          <t>✓</t>
        </is>
      </c>
      <c r="AL79" s="158" t="inlineStr">
        <is>
          <t>not ingested</t>
        </is>
      </c>
      <c r="AM79" s="161" t="inlineStr"/>
      <c r="AN79" s="161" t="inlineStr"/>
      <c r="AO79" s="161" t="inlineStr"/>
      <c r="AP79" s="160" t="inlineStr">
        <is>
          <t>✗</t>
        </is>
      </c>
      <c r="AQ79" s="128" t="inlineStr">
        <is>
          <t>N.D. ᴿ</t>
        </is>
      </c>
      <c r="AR79" s="129" t="inlineStr">
        <is>
          <t>1625-2026, (23.04.2026) [IJZ]</t>
        </is>
      </c>
      <c r="AS79" s="130" t="inlineStr">
        <is>
          <t>✓</t>
        </is>
      </c>
    </row>
    <row r="80" ht="21" customHeight="1" s="70">
      <c r="A80" s="135" t="n"/>
      <c r="D80" s="136" t="n"/>
      <c r="F80" s="137" t="n"/>
      <c r="G80" s="136" t="n"/>
      <c r="I80" s="137" t="n"/>
      <c r="J80" s="136" t="n"/>
      <c r="L80" s="137" t="n"/>
      <c r="M80" s="136" t="n"/>
      <c r="O80" s="137" t="n"/>
      <c r="P80" s="136" t="n"/>
      <c r="R80" s="137" t="n"/>
      <c r="S80" s="136" t="n"/>
      <c r="U80" s="137" t="n"/>
      <c r="V80" s="136" t="n"/>
      <c r="X80" s="137" t="n"/>
      <c r="Y80" s="136" t="n"/>
      <c r="AA80" s="137" t="n"/>
      <c r="AB80" s="138" t="inlineStr">
        <is>
          <t>230-0393-26, (07.04.2026) [IJZ-MB]</t>
        </is>
      </c>
      <c r="AG80" s="137" t="n"/>
      <c r="AH80" s="138" t="inlineStr">
        <is>
          <t>1625-2026, (23.04.2026) [IJZ]</t>
        </is>
      </c>
      <c r="AK80" s="137" t="n"/>
      <c r="AL80" s="162" t="inlineStr">
        <is>
          <t>1625-2026, (23.04.2026) [IJZ]</t>
        </is>
      </c>
      <c r="AP80" s="137" t="n"/>
      <c r="AQ80" s="136" t="n"/>
      <c r="AS80" s="137" t="n"/>
    </row>
    <row r="81" ht="21" customHeight="1" s="70">
      <c r="A81" s="139" t="n"/>
      <c r="B81" s="140" t="n"/>
      <c r="D81" s="141" t="n"/>
      <c r="E81" s="140" t="n"/>
      <c r="F81" s="142" t="n"/>
      <c r="G81" s="141" t="n"/>
      <c r="H81" s="140" t="n"/>
      <c r="I81" s="142" t="n"/>
      <c r="J81" s="158" t="inlineStr">
        <is>
          <t>not ingested</t>
        </is>
      </c>
      <c r="K81" s="159" t="inlineStr">
        <is>
          <t>100-3-K-26, (09.04.2026) [FHM-K]</t>
        </is>
      </c>
      <c r="L81" s="160" t="inlineStr">
        <is>
          <t>✗</t>
        </is>
      </c>
      <c r="M81" s="128" t="inlineStr">
        <is>
          <t>21.84 ᴿ</t>
        </is>
      </c>
      <c r="N81" s="129" t="inlineStr">
        <is>
          <t>100-3-K-26, (09.04.2026) [FHM-K]</t>
        </is>
      </c>
      <c r="O81" s="130" t="inlineStr">
        <is>
          <t>✓</t>
        </is>
      </c>
      <c r="P81" s="128" t="inlineStr">
        <is>
          <t>&lt;LOQ (&lt;0.20) ᴿ</t>
        </is>
      </c>
      <c r="Q81" s="129" t="inlineStr">
        <is>
          <t>100-3-K-26, (09.04.2026) [FHM-K]</t>
        </is>
      </c>
      <c r="R81" s="130" t="inlineStr">
        <is>
          <t>✓</t>
        </is>
      </c>
      <c r="S81" s="128" t="inlineStr">
        <is>
          <t>&lt;LOQ ᴿ</t>
        </is>
      </c>
      <c r="T81" s="129" t="inlineStr">
        <is>
          <t>100-3-K-26, (09.04.2026) [FHM-K]</t>
        </is>
      </c>
      <c r="U81" s="130" t="inlineStr">
        <is>
          <t>✓</t>
        </is>
      </c>
      <c r="V81" s="141" t="n"/>
      <c r="W81" s="140" t="n"/>
      <c r="X81" s="142" t="n"/>
      <c r="Y81" s="131" t="inlineStr">
        <is>
          <t>not ingested</t>
        </is>
      </c>
      <c r="Z81" s="132" t="inlineStr">
        <is>
          <t>100-3-K-26, (09.04.2026) [FHM-K] · on file, not credited</t>
        </is>
      </c>
      <c r="AA81" s="133" t="inlineStr">
        <is>
          <t>•</t>
        </is>
      </c>
      <c r="AB81" s="128" t="inlineStr">
        <is>
          <t>850 ᴿ</t>
        </is>
      </c>
      <c r="AC81" s="134" t="inlineStr">
        <is>
          <t>370 ᴿ</t>
        </is>
      </c>
      <c r="AD81" s="134" t="inlineStr">
        <is>
          <t>&lt;10² and &gt;10 ᴿ</t>
        </is>
      </c>
      <c r="AE81" s="134" t="inlineStr">
        <is>
          <t>absent ᴿ</t>
        </is>
      </c>
      <c r="AF81" s="134" t="inlineStr">
        <is>
          <t>absent ᴿ</t>
        </is>
      </c>
      <c r="AG81" s="130" t="inlineStr">
        <is>
          <t>✓</t>
        </is>
      </c>
      <c r="AH81" s="128" t="inlineStr">
        <is>
          <t>n.r.</t>
        </is>
      </c>
      <c r="AI81" s="134" t="inlineStr">
        <is>
          <t>2.5 ᴿ</t>
        </is>
      </c>
      <c r="AJ81" s="134" t="inlineStr">
        <is>
          <t>n.r.</t>
        </is>
      </c>
      <c r="AK81" s="130" t="inlineStr">
        <is>
          <t>✓</t>
        </is>
      </c>
      <c r="AL81" s="128" t="inlineStr">
        <is>
          <t>N.D. ᴿ</t>
        </is>
      </c>
      <c r="AM81" s="134" t="inlineStr">
        <is>
          <t>N.D. ᴿ</t>
        </is>
      </c>
      <c r="AN81" s="134" t="inlineStr">
        <is>
          <t>N.D. ᴿ</t>
        </is>
      </c>
      <c r="AO81" s="134" t="inlineStr">
        <is>
          <t>N.D. ᴿ</t>
        </is>
      </c>
      <c r="AP81" s="130" t="inlineStr">
        <is>
          <t>✓</t>
        </is>
      </c>
      <c r="AQ81" s="128" t="inlineStr">
        <is>
          <t>N.D. ᴿ</t>
        </is>
      </c>
      <c r="AR81" s="129" t="inlineStr">
        <is>
          <t>1628-2026, (23.04.2026) [IJZ]</t>
        </is>
      </c>
      <c r="AS81" s="130" t="inlineStr">
        <is>
          <t>✓</t>
        </is>
      </c>
    </row>
    <row r="82" ht="21" customHeight="1" s="70">
      <c r="A82" s="157" t="n"/>
      <c r="B82" s="146" t="n"/>
      <c r="D82" s="145" t="n"/>
      <c r="E82" s="146" t="n"/>
      <c r="F82" s="147" t="n"/>
      <c r="G82" s="145" t="n"/>
      <c r="H82" s="146" t="n"/>
      <c r="I82" s="147" t="n"/>
      <c r="J82" s="145" t="n"/>
      <c r="K82" s="146" t="n"/>
      <c r="L82" s="147" t="n"/>
      <c r="M82" s="145" t="n"/>
      <c r="N82" s="146" t="n"/>
      <c r="O82" s="147" t="n"/>
      <c r="P82" s="145" t="n"/>
      <c r="Q82" s="146" t="n"/>
      <c r="R82" s="147" t="n"/>
      <c r="S82" s="145" t="n"/>
      <c r="T82" s="146" t="n"/>
      <c r="U82" s="147" t="n"/>
      <c r="V82" s="145" t="n"/>
      <c r="W82" s="146" t="n"/>
      <c r="X82" s="147" t="n"/>
      <c r="Y82" s="145" t="n"/>
      <c r="Z82" s="146" t="n"/>
      <c r="AA82" s="147" t="n"/>
      <c r="AB82" s="148" t="inlineStr">
        <is>
          <t>231-0394-26, (07.04.2026) [IJZ-MB]</t>
        </is>
      </c>
      <c r="AC82" s="146" t="n"/>
      <c r="AD82" s="146" t="n"/>
      <c r="AE82" s="146" t="n"/>
      <c r="AF82" s="146" t="n"/>
      <c r="AG82" s="147" t="n"/>
      <c r="AH82" s="148" t="inlineStr">
        <is>
          <t>1628-2026, (23.04.2026) [IJZ]</t>
        </is>
      </c>
      <c r="AI82" s="146" t="n"/>
      <c r="AJ82" s="146" t="n"/>
      <c r="AK82" s="147" t="n"/>
      <c r="AL82" s="148" t="inlineStr">
        <is>
          <t>1628-2026, (23.04.2026) [IJZ]</t>
        </is>
      </c>
      <c r="AM82" s="146" t="n"/>
      <c r="AN82" s="146" t="n"/>
      <c r="AO82" s="146" t="n"/>
      <c r="AP82" s="147" t="n"/>
      <c r="AQ82" s="145" t="n"/>
      <c r="AR82" s="146" t="n"/>
      <c r="AS82" s="147" t="n"/>
    </row>
    <row r="83" ht="21" customHeight="1" s="70">
      <c r="A83" s="139" t="n"/>
      <c r="B83" s="140" t="n"/>
      <c r="D83" s="141" t="n"/>
      <c r="E83" s="140" t="n"/>
      <c r="F83" s="142" t="n"/>
      <c r="G83" s="141" t="n"/>
      <c r="H83" s="140" t="n"/>
      <c r="I83" s="142" t="n"/>
      <c r="J83" s="141" t="n"/>
      <c r="K83" s="140" t="n"/>
      <c r="L83" s="142" t="n"/>
      <c r="M83" s="141" t="n"/>
      <c r="N83" s="140" t="n"/>
      <c r="O83" s="142" t="n"/>
      <c r="P83" s="141" t="n"/>
      <c r="Q83" s="140" t="n"/>
      <c r="R83" s="142" t="n"/>
      <c r="S83" s="141" t="n"/>
      <c r="T83" s="140" t="n"/>
      <c r="U83" s="142" t="n"/>
      <c r="V83" s="141" t="n"/>
      <c r="W83" s="140" t="n"/>
      <c r="X83" s="142" t="n"/>
      <c r="Y83" s="141" t="n"/>
      <c r="Z83" s="140" t="n"/>
      <c r="AA83" s="142" t="n"/>
      <c r="AB83" s="128" t="inlineStr">
        <is>
          <t>1×10³</t>
        </is>
      </c>
      <c r="AC83" s="134" t="inlineStr">
        <is>
          <t>1.7×10²</t>
        </is>
      </c>
      <c r="AD83" s="134" t="inlineStr">
        <is>
          <t>&lt;10³ и &gt;10²</t>
        </is>
      </c>
      <c r="AE83" s="134" t="inlineStr">
        <is>
          <t>absent</t>
        </is>
      </c>
      <c r="AF83" s="134" t="inlineStr">
        <is>
          <t>absent</t>
        </is>
      </c>
      <c r="AG83" s="130" t="inlineStr">
        <is>
          <t>✓</t>
        </is>
      </c>
      <c r="AH83" s="141" t="n"/>
      <c r="AI83" s="140" t="n"/>
      <c r="AJ83" s="140" t="n"/>
      <c r="AK83" s="142" t="n"/>
      <c r="AL83" s="141" t="n"/>
      <c r="AM83" s="140" t="n"/>
      <c r="AN83" s="140" t="n"/>
      <c r="AO83" s="140" t="n"/>
      <c r="AP83" s="142" t="n"/>
      <c r="AQ83" s="141" t="n"/>
      <c r="AR83" s="140" t="n"/>
      <c r="AS83" s="142" t="n"/>
    </row>
    <row r="84" ht="13" customHeight="1" s="70">
      <c r="A84" s="143" t="n"/>
      <c r="B84" s="144" t="n"/>
      <c r="C84" s="144" t="n"/>
      <c r="D84" s="145" t="n"/>
      <c r="E84" s="146" t="n"/>
      <c r="F84" s="147" t="n"/>
      <c r="G84" s="145" t="n"/>
      <c r="H84" s="146" t="n"/>
      <c r="I84" s="147" t="n"/>
      <c r="J84" s="145" t="n"/>
      <c r="K84" s="146" t="n"/>
      <c r="L84" s="147" t="n"/>
      <c r="M84" s="145" t="n"/>
      <c r="N84" s="146" t="n"/>
      <c r="O84" s="147" t="n"/>
      <c r="P84" s="145" t="n"/>
      <c r="Q84" s="146" t="n"/>
      <c r="R84" s="147" t="n"/>
      <c r="S84" s="145" t="n"/>
      <c r="T84" s="146" t="n"/>
      <c r="U84" s="147" t="n"/>
      <c r="V84" s="145" t="n"/>
      <c r="W84" s="146" t="n"/>
      <c r="X84" s="147" t="n"/>
      <c r="Y84" s="145" t="n"/>
      <c r="Z84" s="146" t="n"/>
      <c r="AA84" s="147" t="n"/>
      <c r="AB84" s="148" t="inlineStr">
        <is>
          <t>544-1075-26, (31.08.2026) [IJZ-MB]</t>
        </is>
      </c>
      <c r="AC84" s="146" t="n"/>
      <c r="AD84" s="146" t="n"/>
      <c r="AE84" s="146" t="n"/>
      <c r="AF84" s="146" t="n"/>
      <c r="AG84" s="147" t="n"/>
      <c r="AH84" s="145" t="n"/>
      <c r="AI84" s="146" t="n"/>
      <c r="AJ84" s="146" t="n"/>
      <c r="AK84" s="147" t="n"/>
      <c r="AL84" s="145" t="n"/>
      <c r="AM84" s="146" t="n"/>
      <c r="AN84" s="146" t="n"/>
      <c r="AO84" s="146" t="n"/>
      <c r="AP84" s="147" t="n"/>
      <c r="AQ84" s="145" t="n"/>
      <c r="AR84" s="146" t="n"/>
      <c r="AS84" s="147" t="n"/>
    </row>
    <row r="85" ht="14" customHeight="1" s="70">
      <c r="A85" s="125" t="inlineStr">
        <is>
          <t>JD012601＊</t>
        </is>
      </c>
      <c r="B85" s="126" t="inlineStr">
        <is>
          <t>P060312</t>
        </is>
      </c>
      <c r="C85" s="127" t="inlineStr">
        <is>
          <t>✓ COMPLETE
2 testing instances
• 1 document(s) on file, not credited</t>
        </is>
      </c>
      <c r="D85" s="128" t="inlineStr">
        <is>
          <t>Conforms</t>
        </is>
      </c>
      <c r="E85" s="129">
        <f>IFERROR(INDEX('iCoA Register'!$B:$B,MATCH("P060312|AB|I",'iCoA Register'!$R:$R,0)),"iCoA — at issue")&amp;", (21.05.2026) [PP]"</f>
        <v/>
      </c>
      <c r="F85" s="130" t="inlineStr">
        <is>
          <t>✓</t>
        </is>
      </c>
      <c r="G85" s="131" t="inlineStr">
        <is>
          <t>not on this certificate</t>
        </is>
      </c>
      <c r="H85" s="132" t="inlineStr">
        <is>
          <t>ППК26064, (11.05.2026) [CNP] · on file, not credited</t>
        </is>
      </c>
      <c r="I85" s="133" t="inlineStr">
        <is>
          <t>•</t>
        </is>
      </c>
      <c r="J85" s="128" t="inlineStr">
        <is>
          <t>Conforms (ImB spec.)</t>
        </is>
      </c>
      <c r="K85" s="129" t="inlineStr">
        <is>
          <t>ППК26064, (11.05.2026) [CNP]</t>
        </is>
      </c>
      <c r="L85" s="130" t="inlineStr">
        <is>
          <t>✓</t>
        </is>
      </c>
      <c r="M85" s="128" t="inlineStr">
        <is>
          <t>18.16</t>
        </is>
      </c>
      <c r="N85" s="129" t="inlineStr">
        <is>
          <t>ППК26064, (11.05.2026) [CNP]</t>
        </is>
      </c>
      <c r="O85" s="130" t="inlineStr">
        <is>
          <t>✓</t>
        </is>
      </c>
      <c r="P85" s="128" t="inlineStr">
        <is>
          <t>0.06</t>
        </is>
      </c>
      <c r="Q85" s="129" t="inlineStr">
        <is>
          <t>ППК26064, (11.05.2026) [CNP]</t>
        </is>
      </c>
      <c r="R85" s="130" t="inlineStr">
        <is>
          <t>✓</t>
        </is>
      </c>
      <c r="S85" s="128" t="inlineStr">
        <is>
          <t>BLQ ᴰ</t>
        </is>
      </c>
      <c r="T85" s="129" t="inlineStr">
        <is>
          <t>ППК26064, (11.05.2026) [CNP]</t>
        </is>
      </c>
      <c r="U85" s="130" t="inlineStr">
        <is>
          <t>✓</t>
        </is>
      </c>
      <c r="V85" s="128" t="inlineStr">
        <is>
          <t>Conforms</t>
        </is>
      </c>
      <c r="W85" s="129">
        <f>IFERROR(INDEX('iCoA Register'!$B:$B,MATCH("P060312|FM|I",'iCoA Register'!$R:$R,0)),"iCoA — at issue")&amp;", (21.05.2026) [PP]"</f>
        <v/>
      </c>
      <c r="X85" s="130" t="inlineStr">
        <is>
          <t>✓</t>
        </is>
      </c>
      <c r="Y85" s="128" t="inlineStr">
        <is>
          <t>6.68</t>
        </is>
      </c>
      <c r="Z85" s="129" t="inlineStr">
        <is>
          <t>ППК26064, (11.05.2026) [CNP]</t>
        </is>
      </c>
      <c r="AA85" s="130" t="inlineStr">
        <is>
          <t>✓</t>
        </is>
      </c>
      <c r="AB85" s="128" t="inlineStr">
        <is>
          <t>1.9 x 10³</t>
        </is>
      </c>
      <c r="AC85" s="134" t="inlineStr">
        <is>
          <t>2.4 x 10³</t>
        </is>
      </c>
      <c r="AD85" s="134" t="inlineStr">
        <is>
          <t>&lt;10</t>
        </is>
      </c>
      <c r="AE85" s="134" t="inlineStr">
        <is>
          <t>отсутна/25</t>
        </is>
      </c>
      <c r="AF85" s="134" t="inlineStr">
        <is>
          <t>отсутна/g</t>
        </is>
      </c>
      <c r="AG85" s="130" t="inlineStr">
        <is>
          <t>✓</t>
        </is>
      </c>
      <c r="AH85" s="128" t="inlineStr">
        <is>
          <t>n.r.</t>
        </is>
      </c>
      <c r="AI85" s="134" t="inlineStr">
        <is>
          <t>&lt;2</t>
        </is>
      </c>
      <c r="AJ85" s="134" t="inlineStr">
        <is>
          <t>n.r.</t>
        </is>
      </c>
      <c r="AK85" s="130" t="inlineStr">
        <is>
          <t>✓</t>
        </is>
      </c>
      <c r="AL85" s="128" t="inlineStr">
        <is>
          <t>0.0739</t>
        </is>
      </c>
      <c r="AM85" s="134" t="inlineStr">
        <is>
          <t>0.0166</t>
        </is>
      </c>
      <c r="AN85" s="134" t="inlineStr">
        <is>
          <t>0.0136</t>
        </is>
      </c>
      <c r="AO85" s="134" t="inlineStr">
        <is>
          <t>0.0322</t>
        </is>
      </c>
      <c r="AP85" s="130" t="inlineStr">
        <is>
          <t>✓</t>
        </is>
      </c>
      <c r="AQ85" s="128" t="inlineStr">
        <is>
          <t>≤ LOQ (all 28 compounds)</t>
        </is>
      </c>
      <c r="AR85" s="129" t="inlineStr">
        <is>
          <t>2363-2026, (30.04.2026) [IJZ]</t>
        </is>
      </c>
      <c r="AS85" s="130" t="inlineStr">
        <is>
          <t>✓</t>
        </is>
      </c>
    </row>
    <row r="86" ht="13" customHeight="1" s="70">
      <c r="A86" s="135" t="n"/>
      <c r="D86" s="136" t="n"/>
      <c r="F86" s="137" t="n"/>
      <c r="G86" s="136" t="n"/>
      <c r="I86" s="137" t="n"/>
      <c r="J86" s="136" t="n"/>
      <c r="L86" s="137" t="n"/>
      <c r="M86" s="136" t="n"/>
      <c r="O86" s="137" t="n"/>
      <c r="P86" s="136" t="n"/>
      <c r="R86" s="137" t="n"/>
      <c r="S86" s="136" t="n"/>
      <c r="U86" s="137" t="n"/>
      <c r="V86" s="136" t="n"/>
      <c r="X86" s="137" t="n"/>
      <c r="Y86" s="136" t="n"/>
      <c r="AA86" s="137" t="n"/>
      <c r="AB86" s="138" t="inlineStr">
        <is>
          <t>309-0553-26, (28.04.2026) [IJZ-MB]</t>
        </is>
      </c>
      <c r="AG86" s="137" t="n"/>
      <c r="AH86" s="138" t="inlineStr">
        <is>
          <t>2363-2026, (30.04.2026) [IJZ]</t>
        </is>
      </c>
      <c r="AK86" s="137" t="n"/>
      <c r="AL86" s="138" t="inlineStr">
        <is>
          <t>2363-2026, (30.04.2026) [IJZ]</t>
        </is>
      </c>
      <c r="AP86" s="137" t="n"/>
      <c r="AQ86" s="136" t="n"/>
      <c r="AS86" s="137" t="n"/>
    </row>
    <row r="87" ht="14" customHeight="1" s="70">
      <c r="A87" s="139" t="n"/>
      <c r="B87" s="140" t="n"/>
      <c r="D87" s="141" t="n"/>
      <c r="E87" s="140" t="n"/>
      <c r="F87" s="142" t="n"/>
      <c r="G87" s="128" t="inlineStr">
        <is>
          <t>Conforms</t>
        </is>
      </c>
      <c r="H87" s="129">
        <f>IFERROR(INDEX('iCoA Register'!$B:$B,MATCH("P060312|AB|I",'iCoA Register'!$R:$R,0)),"iCoA — at issue")&amp;", (21.05.2026) [PP]"</f>
        <v/>
      </c>
      <c r="I87" s="130" t="inlineStr">
        <is>
          <t>✓</t>
        </is>
      </c>
      <c r="J87" s="141" t="n"/>
      <c r="K87" s="140" t="n"/>
      <c r="L87" s="142" t="n"/>
      <c r="M87" s="141" t="n"/>
      <c r="N87" s="140" t="n"/>
      <c r="O87" s="142" t="n"/>
      <c r="P87" s="141" t="n"/>
      <c r="Q87" s="140" t="n"/>
      <c r="R87" s="142" t="n"/>
      <c r="S87" s="141" t="n"/>
      <c r="T87" s="140" t="n"/>
      <c r="U87" s="142" t="n"/>
      <c r="V87" s="141" t="n"/>
      <c r="W87" s="140" t="n"/>
      <c r="X87" s="142" t="n"/>
      <c r="Y87" s="141" t="n"/>
      <c r="Z87" s="140" t="n"/>
      <c r="AA87" s="142" t="n"/>
      <c r="AB87" s="128" t="inlineStr">
        <is>
          <t>2.2×10³</t>
        </is>
      </c>
      <c r="AC87" s="134" t="inlineStr">
        <is>
          <t>1.7×10³</t>
        </is>
      </c>
      <c r="AD87" s="134" t="inlineStr">
        <is>
          <t>&lt;10</t>
        </is>
      </c>
      <c r="AE87" s="134" t="inlineStr">
        <is>
          <t>absent</t>
        </is>
      </c>
      <c r="AF87" s="134" t="inlineStr">
        <is>
          <t>absent</t>
        </is>
      </c>
      <c r="AG87" s="130" t="inlineStr">
        <is>
          <t>✓</t>
        </is>
      </c>
      <c r="AH87" s="141" t="n"/>
      <c r="AI87" s="140" t="n"/>
      <c r="AJ87" s="140" t="n"/>
      <c r="AK87" s="142" t="n"/>
      <c r="AL87" s="141" t="n"/>
      <c r="AM87" s="140" t="n"/>
      <c r="AN87" s="140" t="n"/>
      <c r="AO87" s="140" t="n"/>
      <c r="AP87" s="142" t="n"/>
      <c r="AQ87" s="141" t="n"/>
      <c r="AR87" s="140" t="n"/>
      <c r="AS87" s="142" t="n"/>
    </row>
    <row r="88" ht="13" customHeight="1" s="70">
      <c r="A88" s="143" t="n"/>
      <c r="B88" s="144" t="n"/>
      <c r="C88" s="144" t="n"/>
      <c r="D88" s="145" t="n"/>
      <c r="E88" s="146" t="n"/>
      <c r="F88" s="147" t="n"/>
      <c r="G88" s="145" t="n"/>
      <c r="H88" s="146" t="n"/>
      <c r="I88" s="147" t="n"/>
      <c r="J88" s="145" t="n"/>
      <c r="K88" s="146" t="n"/>
      <c r="L88" s="147" t="n"/>
      <c r="M88" s="145" t="n"/>
      <c r="N88" s="146" t="n"/>
      <c r="O88" s="147" t="n"/>
      <c r="P88" s="145" t="n"/>
      <c r="Q88" s="146" t="n"/>
      <c r="R88" s="147" t="n"/>
      <c r="S88" s="145" t="n"/>
      <c r="T88" s="146" t="n"/>
      <c r="U88" s="147" t="n"/>
      <c r="V88" s="145" t="n"/>
      <c r="W88" s="146" t="n"/>
      <c r="X88" s="147" t="n"/>
      <c r="Y88" s="145" t="n"/>
      <c r="Z88" s="146" t="n"/>
      <c r="AA88" s="147" t="n"/>
      <c r="AB88" s="148" t="inlineStr">
        <is>
          <t>540-1071-26, (31.08.2026) [IJZ-MB]</t>
        </is>
      </c>
      <c r="AC88" s="146" t="n"/>
      <c r="AD88" s="146" t="n"/>
      <c r="AE88" s="146" t="n"/>
      <c r="AF88" s="146" t="n"/>
      <c r="AG88" s="147" t="n"/>
      <c r="AH88" s="145" t="n"/>
      <c r="AI88" s="146" t="n"/>
      <c r="AJ88" s="146" t="n"/>
      <c r="AK88" s="147" t="n"/>
      <c r="AL88" s="145" t="n"/>
      <c r="AM88" s="146" t="n"/>
      <c r="AN88" s="146" t="n"/>
      <c r="AO88" s="146" t="n"/>
      <c r="AP88" s="147" t="n"/>
      <c r="AQ88" s="145" t="n"/>
      <c r="AR88" s="146" t="n"/>
      <c r="AS88" s="147" t="n"/>
    </row>
    <row r="89" ht="21" customHeight="1" s="70">
      <c r="A89" s="125" t="inlineStr">
        <is>
          <t>JD012603</t>
        </is>
      </c>
      <c r="B89" s="126" t="inlineStr">
        <is>
          <t>P060362 / P060412 / P060422</t>
        </is>
      </c>
      <c r="C89" s="155" t="inlineStr">
        <is>
          <t>✗ 4 NO RESULT
(4 no cert / 0 cert w/o result)
2 testing instances
• 1 document(s) on file, not credited</t>
        </is>
      </c>
      <c r="D89" s="128" t="inlineStr">
        <is>
          <t>Одговара</t>
        </is>
      </c>
      <c r="E89" s="129" t="inlineStr">
        <is>
          <t>ППК26111, (30.06.2026) [CNP]</t>
        </is>
      </c>
      <c r="F89" s="130" t="inlineStr">
        <is>
          <t>✓</t>
        </is>
      </c>
      <c r="G89" s="128" t="inlineStr">
        <is>
          <t>Одговара</t>
        </is>
      </c>
      <c r="H89" s="129" t="inlineStr">
        <is>
          <t>ППК26111, (30.06.2026) [CNP]</t>
        </is>
      </c>
      <c r="I89" s="130" t="inlineStr">
        <is>
          <t>✓</t>
        </is>
      </c>
      <c r="J89" s="128" t="inlineStr">
        <is>
          <t>Conforms (ImB spec.)</t>
        </is>
      </c>
      <c r="K89" s="129" t="inlineStr">
        <is>
          <t>ППК26111, (30.06.2026) [CNP]</t>
        </is>
      </c>
      <c r="L89" s="130" t="inlineStr">
        <is>
          <t>✓</t>
        </is>
      </c>
      <c r="M89" s="128" t="inlineStr">
        <is>
          <t>15.16</t>
        </is>
      </c>
      <c r="N89" s="129" t="inlineStr">
        <is>
          <t>ППК26111, (30.06.2026) [CNP]</t>
        </is>
      </c>
      <c r="O89" s="130" t="inlineStr">
        <is>
          <t>✓</t>
        </is>
      </c>
      <c r="P89" s="128" t="inlineStr">
        <is>
          <t>BLQ</t>
        </is>
      </c>
      <c r="Q89" s="129" t="inlineStr">
        <is>
          <t>ППК26111, (30.06.2026) [CNP]</t>
        </is>
      </c>
      <c r="R89" s="130" t="inlineStr">
        <is>
          <t>✓</t>
        </is>
      </c>
      <c r="S89" s="128" t="inlineStr">
        <is>
          <t>0.04</t>
        </is>
      </c>
      <c r="T89" s="129" t="inlineStr">
        <is>
          <t>ППК26111, (30.06.2026) [CNP]</t>
        </is>
      </c>
      <c r="U89" s="130" t="inlineStr">
        <is>
          <t>✓</t>
        </is>
      </c>
      <c r="V89" s="128" t="inlineStr">
        <is>
          <t>/ (Одговара)</t>
        </is>
      </c>
      <c r="W89" s="129" t="inlineStr">
        <is>
          <t>ППК26111, (30.06.2026) [CNP]</t>
        </is>
      </c>
      <c r="X89" s="130" t="inlineStr">
        <is>
          <t>✓</t>
        </is>
      </c>
      <c r="Y89" s="128" t="inlineStr">
        <is>
          <t>7.04</t>
        </is>
      </c>
      <c r="Z89" s="129" t="inlineStr">
        <is>
          <t>ППК26111, (30.06.2026) [CNP]</t>
        </is>
      </c>
      <c r="AA89" s="130" t="inlineStr">
        <is>
          <t>✓</t>
        </is>
      </c>
      <c r="AB89" s="150" t="inlineStr">
        <is>
          <t>— MISSING —</t>
        </is>
      </c>
      <c r="AC89" s="151" t="inlineStr">
        <is>
          <t>— MISSING —</t>
        </is>
      </c>
      <c r="AD89" s="151" t="inlineStr">
        <is>
          <t>— MISSING —</t>
        </is>
      </c>
      <c r="AE89" s="151" t="inlineStr">
        <is>
          <t>— MISSING —</t>
        </is>
      </c>
      <c r="AF89" s="151" t="inlineStr">
        <is>
          <t>— MISSING —</t>
        </is>
      </c>
      <c r="AG89" s="152" t="inlineStr">
        <is>
          <t>✗</t>
        </is>
      </c>
      <c r="AH89" s="150" t="inlineStr">
        <is>
          <t>— MISSING —</t>
        </is>
      </c>
      <c r="AI89" s="151" t="inlineStr">
        <is>
          <t>— MISSING —</t>
        </is>
      </c>
      <c r="AJ89" s="151" t="inlineStr">
        <is>
          <t>— MISSING —</t>
        </is>
      </c>
      <c r="AK89" s="152" t="inlineStr">
        <is>
          <t>✗</t>
        </is>
      </c>
      <c r="AL89" s="150" t="inlineStr">
        <is>
          <t>— MISSING —</t>
        </is>
      </c>
      <c r="AM89" s="151" t="inlineStr">
        <is>
          <t>— MISSING —</t>
        </is>
      </c>
      <c r="AN89" s="151" t="inlineStr">
        <is>
          <t>— MISSING —</t>
        </is>
      </c>
      <c r="AO89" s="151" t="inlineStr">
        <is>
          <t>— MISSING —</t>
        </is>
      </c>
      <c r="AP89" s="152" t="inlineStr">
        <is>
          <t>✗</t>
        </is>
      </c>
      <c r="AQ89" s="150" t="inlineStr">
        <is>
          <t>— MISSING —</t>
        </is>
      </c>
      <c r="AR89" s="153" t="inlineStr">
        <is>
          <t>— no certificate —</t>
        </is>
      </c>
      <c r="AS89" s="152" t="inlineStr">
        <is>
          <t>✗</t>
        </is>
      </c>
    </row>
    <row r="90" ht="13" customHeight="1" s="70">
      <c r="A90" s="135" t="n"/>
      <c r="D90" s="136" t="n"/>
      <c r="F90" s="137" t="n"/>
      <c r="G90" s="136" t="n"/>
      <c r="I90" s="137" t="n"/>
      <c r="J90" s="136" t="n"/>
      <c r="L90" s="137" t="n"/>
      <c r="M90" s="136" t="n"/>
      <c r="O90" s="137" t="n"/>
      <c r="P90" s="136" t="n"/>
      <c r="R90" s="137" t="n"/>
      <c r="S90" s="136" t="n"/>
      <c r="U90" s="137" t="n"/>
      <c r="V90" s="136" t="n"/>
      <c r="X90" s="137" t="n"/>
      <c r="Y90" s="136" t="n"/>
      <c r="AA90" s="137" t="n"/>
      <c r="AB90" s="156" t="inlineStr">
        <is>
          <t>— no certificate —</t>
        </is>
      </c>
      <c r="AG90" s="137" t="n"/>
      <c r="AH90" s="156" t="inlineStr">
        <is>
          <t>— no certificate —</t>
        </is>
      </c>
      <c r="AK90" s="137" t="n"/>
      <c r="AL90" s="156" t="inlineStr">
        <is>
          <t>— no certificate —</t>
        </is>
      </c>
      <c r="AP90" s="137" t="n"/>
      <c r="AQ90" s="136" t="n"/>
      <c r="AS90" s="137" t="n"/>
    </row>
    <row r="91" ht="14" customHeight="1" s="70">
      <c r="A91" s="139" t="n"/>
      <c r="B91" s="140" t="n"/>
      <c r="D91" s="131" t="inlineStr">
        <is>
          <t>Одговара</t>
        </is>
      </c>
      <c r="E91" s="132" t="inlineStr">
        <is>
          <t>ППК26113, (30.06.2026) [CNP] · on file, not credited</t>
        </is>
      </c>
      <c r="F91" s="133" t="inlineStr">
        <is>
          <t>•</t>
        </is>
      </c>
      <c r="G91" s="128" t="inlineStr">
        <is>
          <t>Одговара</t>
        </is>
      </c>
      <c r="H91" s="129" t="inlineStr">
        <is>
          <t>ППК26113, (30.06.2026) [CNP]</t>
        </is>
      </c>
      <c r="I91" s="130" t="inlineStr">
        <is>
          <t>✓</t>
        </is>
      </c>
      <c r="J91" s="128" t="inlineStr">
        <is>
          <t>Conforms (ImB spec.)</t>
        </is>
      </c>
      <c r="K91" s="129" t="inlineStr">
        <is>
          <t>ППК26113, (30.06.2026) [CNP]</t>
        </is>
      </c>
      <c r="L91" s="130" t="inlineStr">
        <is>
          <t>✓</t>
        </is>
      </c>
      <c r="M91" s="128" t="inlineStr">
        <is>
          <t>20.54</t>
        </is>
      </c>
      <c r="N91" s="129" t="inlineStr">
        <is>
          <t>ППК26113, (30.06.2026) [CNP]</t>
        </is>
      </c>
      <c r="O91" s="130" t="inlineStr">
        <is>
          <t>✓</t>
        </is>
      </c>
      <c r="P91" s="128" t="inlineStr">
        <is>
          <t>0.05</t>
        </is>
      </c>
      <c r="Q91" s="129" t="inlineStr">
        <is>
          <t>ППК26113, (30.06.2026) [CNP]</t>
        </is>
      </c>
      <c r="R91" s="130" t="inlineStr">
        <is>
          <t>✓</t>
        </is>
      </c>
      <c r="S91" s="128" t="inlineStr">
        <is>
          <t>0.05</t>
        </is>
      </c>
      <c r="T91" s="129" t="inlineStr">
        <is>
          <t>ППК26113, (30.06.2026) [CNP]</t>
        </is>
      </c>
      <c r="U91" s="130" t="inlineStr">
        <is>
          <t>✓</t>
        </is>
      </c>
      <c r="V91" s="131" t="inlineStr">
        <is>
          <t>/ (Одговара)</t>
        </is>
      </c>
      <c r="W91" s="132" t="inlineStr">
        <is>
          <t>ППК26113, (30.06.2026) [CNP] · on file, not credited</t>
        </is>
      </c>
      <c r="X91" s="133" t="inlineStr">
        <is>
          <t>•</t>
        </is>
      </c>
      <c r="Y91" s="128" t="inlineStr">
        <is>
          <t>7.52</t>
        </is>
      </c>
      <c r="Z91" s="129" t="inlineStr">
        <is>
          <t>ППК26113, (30.06.2026) [CNP]</t>
        </is>
      </c>
      <c r="AA91" s="130" t="inlineStr">
        <is>
          <t>✓</t>
        </is>
      </c>
      <c r="AB91" s="141" t="n"/>
      <c r="AC91" s="140" t="n"/>
      <c r="AD91" s="140" t="n"/>
      <c r="AE91" s="140" t="n"/>
      <c r="AF91" s="140" t="n"/>
      <c r="AG91" s="142" t="n"/>
      <c r="AH91" s="141" t="n"/>
      <c r="AI91" s="140" t="n"/>
      <c r="AJ91" s="140" t="n"/>
      <c r="AK91" s="142" t="n"/>
      <c r="AL91" s="141" t="n"/>
      <c r="AM91" s="140" t="n"/>
      <c r="AN91" s="140" t="n"/>
      <c r="AO91" s="140" t="n"/>
      <c r="AP91" s="142" t="n"/>
      <c r="AQ91" s="141" t="n"/>
      <c r="AR91" s="140" t="n"/>
      <c r="AS91" s="142" t="n"/>
    </row>
    <row r="92" ht="13" customHeight="1" s="70">
      <c r="A92" s="143" t="n"/>
      <c r="B92" s="144" t="n"/>
      <c r="C92" s="144" t="n"/>
      <c r="D92" s="145" t="n"/>
      <c r="E92" s="146" t="n"/>
      <c r="F92" s="147" t="n"/>
      <c r="G92" s="145" t="n"/>
      <c r="H92" s="146" t="n"/>
      <c r="I92" s="147" t="n"/>
      <c r="J92" s="145" t="n"/>
      <c r="K92" s="146" t="n"/>
      <c r="L92" s="147" t="n"/>
      <c r="M92" s="145" t="n"/>
      <c r="N92" s="146" t="n"/>
      <c r="O92" s="147" t="n"/>
      <c r="P92" s="145" t="n"/>
      <c r="Q92" s="146" t="n"/>
      <c r="R92" s="147" t="n"/>
      <c r="S92" s="145" t="n"/>
      <c r="T92" s="146" t="n"/>
      <c r="U92" s="147" t="n"/>
      <c r="V92" s="145" t="n"/>
      <c r="W92" s="146" t="n"/>
      <c r="X92" s="147" t="n"/>
      <c r="Y92" s="145" t="n"/>
      <c r="Z92" s="146" t="n"/>
      <c r="AA92" s="147" t="n"/>
      <c r="AB92" s="145" t="n"/>
      <c r="AC92" s="146" t="n"/>
      <c r="AD92" s="146" t="n"/>
      <c r="AE92" s="146" t="n"/>
      <c r="AF92" s="146" t="n"/>
      <c r="AG92" s="147" t="n"/>
      <c r="AH92" s="145" t="n"/>
      <c r="AI92" s="146" t="n"/>
      <c r="AJ92" s="146" t="n"/>
      <c r="AK92" s="147" t="n"/>
      <c r="AL92" s="145" t="n"/>
      <c r="AM92" s="146" t="n"/>
      <c r="AN92" s="146" t="n"/>
      <c r="AO92" s="146" t="n"/>
      <c r="AP92" s="147" t="n"/>
      <c r="AQ92" s="145" t="n"/>
      <c r="AR92" s="146" t="n"/>
      <c r="AS92" s="147" t="n"/>
    </row>
    <row r="93" ht="21" customHeight="1" s="70">
      <c r="A93" s="125" t="inlineStr">
        <is>
          <t>JD022601</t>
        </is>
      </c>
      <c r="B93" s="126" t="inlineStr">
        <is>
          <t>P060482</t>
        </is>
      </c>
      <c r="C93" s="155" t="inlineStr">
        <is>
          <t>✗ 4 NO RESULT
(4 no cert / 0 cert w/o result)</t>
        </is>
      </c>
      <c r="D93" s="128" t="inlineStr">
        <is>
          <t>Одговара</t>
        </is>
      </c>
      <c r="E93" s="129" t="inlineStr">
        <is>
          <t>ППК26115, (30.06.2026) [CNP]</t>
        </is>
      </c>
      <c r="F93" s="130" t="inlineStr">
        <is>
          <t>✓</t>
        </is>
      </c>
      <c r="G93" s="128" t="inlineStr">
        <is>
          <t>Одговара</t>
        </is>
      </c>
      <c r="H93" s="129" t="inlineStr">
        <is>
          <t>ППК26115, (30.06.2026) [CNP]</t>
        </is>
      </c>
      <c r="I93" s="130" t="inlineStr">
        <is>
          <t>✓</t>
        </is>
      </c>
      <c r="J93" s="128" t="inlineStr">
        <is>
          <t>Conforms (ImB spec.)</t>
        </is>
      </c>
      <c r="K93" s="129" t="inlineStr">
        <is>
          <t>ППК26115, (30.06.2026) [CNP]</t>
        </is>
      </c>
      <c r="L93" s="130" t="inlineStr">
        <is>
          <t>✓</t>
        </is>
      </c>
      <c r="M93" s="128" t="inlineStr">
        <is>
          <t>18.58</t>
        </is>
      </c>
      <c r="N93" s="129" t="inlineStr">
        <is>
          <t>ППК26115, (30.06.2026) [CNP]</t>
        </is>
      </c>
      <c r="O93" s="130" t="inlineStr">
        <is>
          <t>✓</t>
        </is>
      </c>
      <c r="P93" s="128" t="inlineStr">
        <is>
          <t>BLQ</t>
        </is>
      </c>
      <c r="Q93" s="129" t="inlineStr">
        <is>
          <t>ППК26115, (30.06.2026) [CNP]</t>
        </is>
      </c>
      <c r="R93" s="130" t="inlineStr">
        <is>
          <t>✓</t>
        </is>
      </c>
      <c r="S93" s="128" t="inlineStr">
        <is>
          <t>0.05</t>
        </is>
      </c>
      <c r="T93" s="129" t="inlineStr">
        <is>
          <t>ППК26115, (30.06.2026) [CNP]</t>
        </is>
      </c>
      <c r="U93" s="130" t="inlineStr">
        <is>
          <t>✓</t>
        </is>
      </c>
      <c r="V93" s="128" t="inlineStr">
        <is>
          <t>/ (Одговара)</t>
        </is>
      </c>
      <c r="W93" s="129" t="inlineStr">
        <is>
          <t>ППК26115, (30.06.2026) [CNP]</t>
        </is>
      </c>
      <c r="X93" s="130" t="inlineStr">
        <is>
          <t>✓</t>
        </is>
      </c>
      <c r="Y93" s="128" t="inlineStr">
        <is>
          <t>7.73</t>
        </is>
      </c>
      <c r="Z93" s="129" t="inlineStr">
        <is>
          <t>ППК26115, (30.06.2026) [CNP]</t>
        </is>
      </c>
      <c r="AA93" s="130" t="inlineStr">
        <is>
          <t>✓</t>
        </is>
      </c>
      <c r="AB93" s="150" t="inlineStr">
        <is>
          <t>— MISSING —</t>
        </is>
      </c>
      <c r="AC93" s="151" t="inlineStr">
        <is>
          <t>— MISSING —</t>
        </is>
      </c>
      <c r="AD93" s="151" t="inlineStr">
        <is>
          <t>— MISSING —</t>
        </is>
      </c>
      <c r="AE93" s="151" t="inlineStr">
        <is>
          <t>— MISSING —</t>
        </is>
      </c>
      <c r="AF93" s="151" t="inlineStr">
        <is>
          <t>— MISSING —</t>
        </is>
      </c>
      <c r="AG93" s="152" t="inlineStr">
        <is>
          <t>✗</t>
        </is>
      </c>
      <c r="AH93" s="150" t="inlineStr">
        <is>
          <t>— MISSING —</t>
        </is>
      </c>
      <c r="AI93" s="151" t="inlineStr">
        <is>
          <t>— MISSING —</t>
        </is>
      </c>
      <c r="AJ93" s="151" t="inlineStr">
        <is>
          <t>— MISSING —</t>
        </is>
      </c>
      <c r="AK93" s="152" t="inlineStr">
        <is>
          <t>✗</t>
        </is>
      </c>
      <c r="AL93" s="150" t="inlineStr">
        <is>
          <t>— MISSING —</t>
        </is>
      </c>
      <c r="AM93" s="151" t="inlineStr">
        <is>
          <t>— MISSING —</t>
        </is>
      </c>
      <c r="AN93" s="151" t="inlineStr">
        <is>
          <t>— MISSING —</t>
        </is>
      </c>
      <c r="AO93" s="151" t="inlineStr">
        <is>
          <t>— MISSING —</t>
        </is>
      </c>
      <c r="AP93" s="152" t="inlineStr">
        <is>
          <t>✗</t>
        </is>
      </c>
      <c r="AQ93" s="150" t="inlineStr">
        <is>
          <t>— MISSING —</t>
        </is>
      </c>
      <c r="AR93" s="153" t="inlineStr">
        <is>
          <t>— no certificate —</t>
        </is>
      </c>
      <c r="AS93" s="152" t="inlineStr">
        <is>
          <t>✗</t>
        </is>
      </c>
    </row>
    <row r="94" ht="13" customHeight="1" s="70">
      <c r="A94" s="143" t="n"/>
      <c r="B94" s="144" t="n"/>
      <c r="C94" s="144" t="n"/>
      <c r="D94" s="145" t="n"/>
      <c r="E94" s="146" t="n"/>
      <c r="F94" s="147" t="n"/>
      <c r="G94" s="145" t="n"/>
      <c r="H94" s="146" t="n"/>
      <c r="I94" s="147" t="n"/>
      <c r="J94" s="145" t="n"/>
      <c r="K94" s="146" t="n"/>
      <c r="L94" s="147" t="n"/>
      <c r="M94" s="145" t="n"/>
      <c r="N94" s="146" t="n"/>
      <c r="O94" s="147" t="n"/>
      <c r="P94" s="145" t="n"/>
      <c r="Q94" s="146" t="n"/>
      <c r="R94" s="147" t="n"/>
      <c r="S94" s="145" t="n"/>
      <c r="T94" s="146" t="n"/>
      <c r="U94" s="147" t="n"/>
      <c r="V94" s="145" t="n"/>
      <c r="W94" s="146" t="n"/>
      <c r="X94" s="147" t="n"/>
      <c r="Y94" s="145" t="n"/>
      <c r="Z94" s="146" t="n"/>
      <c r="AA94" s="147" t="n"/>
      <c r="AB94" s="154" t="inlineStr">
        <is>
          <t>— no certificate —</t>
        </is>
      </c>
      <c r="AC94" s="146" t="n"/>
      <c r="AD94" s="146" t="n"/>
      <c r="AE94" s="146" t="n"/>
      <c r="AF94" s="146" t="n"/>
      <c r="AG94" s="147" t="n"/>
      <c r="AH94" s="154" t="inlineStr">
        <is>
          <t>— no certificate —</t>
        </is>
      </c>
      <c r="AI94" s="146" t="n"/>
      <c r="AJ94" s="146" t="n"/>
      <c r="AK94" s="147" t="n"/>
      <c r="AL94" s="154" t="inlineStr">
        <is>
          <t>— no certificate —</t>
        </is>
      </c>
      <c r="AM94" s="146" t="n"/>
      <c r="AN94" s="146" t="n"/>
      <c r="AO94" s="146" t="n"/>
      <c r="AP94" s="147" t="n"/>
      <c r="AQ94" s="145" t="n"/>
      <c r="AR94" s="146" t="n"/>
      <c r="AS94" s="147" t="n"/>
    </row>
    <row r="95" ht="21" customHeight="1" s="70">
      <c r="A95" s="125" t="inlineStr">
        <is>
          <t>JD112501</t>
        </is>
      </c>
      <c r="B95" s="126" t="inlineStr">
        <is>
          <t>P060212</t>
        </is>
      </c>
      <c r="C95" s="127" t="inlineStr">
        <is>
          <t>✓ COMPLETE
3 testing instances
• 5 document(s) on file, not credited</t>
        </is>
      </c>
      <c r="D95" s="128" t="inlineStr">
        <is>
          <t>Conforms</t>
        </is>
      </c>
      <c r="E95" s="129">
        <f>IFERROR(INDEX('iCoA Register'!$B:$B,MATCH("P060212|AB|I",'iCoA Register'!$R:$R,0)),"iCoA — at issue")&amp;", (21.04.2026) [PP]"</f>
        <v/>
      </c>
      <c r="F95" s="130" t="inlineStr">
        <is>
          <t>✓</t>
        </is>
      </c>
      <c r="G95" s="128" t="inlineStr">
        <is>
          <t>Conforms</t>
        </is>
      </c>
      <c r="H95" s="129">
        <f>IFERROR(INDEX('iCoA Register'!$B:$B,MATCH("P060212|AB|I",'iCoA Register'!$R:$R,0)),"iCoA — at issue")&amp;", (21.04.2026) [PP]"</f>
        <v/>
      </c>
      <c r="I95" s="130" t="inlineStr">
        <is>
          <t>✓</t>
        </is>
      </c>
      <c r="J95" s="128" t="inlineStr">
        <is>
          <t>Conforms (ImB spec.)</t>
        </is>
      </c>
      <c r="K95" s="129" t="inlineStr">
        <is>
          <t>ППК26063, (11.05.2026) [CNP]</t>
        </is>
      </c>
      <c r="L95" s="130" t="inlineStr">
        <is>
          <t>✓</t>
        </is>
      </c>
      <c r="M95" s="128" t="inlineStr">
        <is>
          <t>19.64</t>
        </is>
      </c>
      <c r="N95" s="129" t="inlineStr">
        <is>
          <t>ППК26063, (11.05.2026) [CNP]</t>
        </is>
      </c>
      <c r="O95" s="130" t="inlineStr">
        <is>
          <t>✓</t>
        </is>
      </c>
      <c r="P95" s="128" t="inlineStr">
        <is>
          <t>0.06</t>
        </is>
      </c>
      <c r="Q95" s="129" t="inlineStr">
        <is>
          <t>ППК26063, (11.05.2026) [CNP]</t>
        </is>
      </c>
      <c r="R95" s="130" t="inlineStr">
        <is>
          <t>✓</t>
        </is>
      </c>
      <c r="S95" s="128" t="inlineStr">
        <is>
          <t>BLQ ᴰ</t>
        </is>
      </c>
      <c r="T95" s="129" t="inlineStr">
        <is>
          <t>ППК26063, (11.05.2026) [CNP]</t>
        </is>
      </c>
      <c r="U95" s="130" t="inlineStr">
        <is>
          <t>✓</t>
        </is>
      </c>
      <c r="V95" s="128" t="inlineStr">
        <is>
          <t>Conforms</t>
        </is>
      </c>
      <c r="W95" s="129">
        <f>IFERROR(INDEX('iCoA Register'!$B:$B,MATCH("P060212|FM|I",'iCoA Register'!$R:$R,0)),"iCoA — at issue")&amp;", (21.04.2026) [PP]"</f>
        <v/>
      </c>
      <c r="X95" s="130" t="inlineStr">
        <is>
          <t>✓</t>
        </is>
      </c>
      <c r="Y95" s="128" t="inlineStr">
        <is>
          <t>6.69</t>
        </is>
      </c>
      <c r="Z95" s="129" t="inlineStr">
        <is>
          <t>ППК26063, (11.05.2026) [CNP]</t>
        </is>
      </c>
      <c r="AA95" s="130" t="inlineStr">
        <is>
          <t>✓</t>
        </is>
      </c>
      <c r="AB95" s="131" t="inlineStr">
        <is>
          <t>1 x 10⁴</t>
        </is>
      </c>
      <c r="AC95" s="163" t="inlineStr">
        <is>
          <t>6.7 x 10³</t>
        </is>
      </c>
      <c r="AD95" s="163" t="inlineStr">
        <is>
          <t>&lt;10³ и &gt;10²</t>
        </is>
      </c>
      <c r="AE95" s="163" t="inlineStr">
        <is>
          <t>отсутна/25</t>
        </is>
      </c>
      <c r="AF95" s="163" t="inlineStr">
        <is>
          <t>отсутна/g</t>
        </is>
      </c>
      <c r="AG95" s="133" t="inlineStr">
        <is>
          <t>•</t>
        </is>
      </c>
      <c r="AH95" s="128" t="inlineStr">
        <is>
          <t>n.r.</t>
        </is>
      </c>
      <c r="AI95" s="134" t="inlineStr">
        <is>
          <t>&lt;2</t>
        </is>
      </c>
      <c r="AJ95" s="134" t="inlineStr">
        <is>
          <t>n.r.</t>
        </is>
      </c>
      <c r="AK95" s="130" t="inlineStr">
        <is>
          <t>✓</t>
        </is>
      </c>
      <c r="AL95" s="128" t="inlineStr">
        <is>
          <t>0.022</t>
        </is>
      </c>
      <c r="AM95" s="134" t="inlineStr">
        <is>
          <t>0.0149</t>
        </is>
      </c>
      <c r="AN95" s="134" t="inlineStr">
        <is>
          <t>0.02</t>
        </is>
      </c>
      <c r="AO95" s="134" t="inlineStr">
        <is>
          <t>0.0166</t>
        </is>
      </c>
      <c r="AP95" s="130" t="inlineStr">
        <is>
          <t>✓</t>
        </is>
      </c>
      <c r="AQ95" s="128" t="inlineStr">
        <is>
          <t>≤ LOQ (all 26 compounds)</t>
        </is>
      </c>
      <c r="AR95" s="129" t="inlineStr">
        <is>
          <t>2361-2026, (30.04.2026) [IJZ]</t>
        </is>
      </c>
      <c r="AS95" s="130" t="inlineStr">
        <is>
          <t>✓</t>
        </is>
      </c>
    </row>
    <row r="96" ht="13" customHeight="1" s="70">
      <c r="A96" s="135" t="n"/>
      <c r="D96" s="136" t="n"/>
      <c r="F96" s="137" t="n"/>
      <c r="G96" s="136" t="n"/>
      <c r="I96" s="137" t="n"/>
      <c r="J96" s="136" t="n"/>
      <c r="L96" s="137" t="n"/>
      <c r="M96" s="136" t="n"/>
      <c r="O96" s="137" t="n"/>
      <c r="P96" s="136" t="n"/>
      <c r="R96" s="137" t="n"/>
      <c r="S96" s="136" t="n"/>
      <c r="U96" s="137" t="n"/>
      <c r="V96" s="136" t="n"/>
      <c r="X96" s="137" t="n"/>
      <c r="Y96" s="136" t="n"/>
      <c r="AA96" s="137" t="n"/>
      <c r="AB96" s="164" t="inlineStr">
        <is>
          <t>306-0550-26, (28.04.2026) [IJZ-MB] · on file, not credited</t>
        </is>
      </c>
      <c r="AG96" s="137" t="n"/>
      <c r="AH96" s="138" t="inlineStr">
        <is>
          <t>2361-2026, (30.04.2026) [IJZ]</t>
        </is>
      </c>
      <c r="AK96" s="137" t="n"/>
      <c r="AL96" s="138" t="inlineStr">
        <is>
          <t>2361-2026, (30.04.2026) [IJZ]</t>
        </is>
      </c>
      <c r="AP96" s="137" t="n"/>
      <c r="AQ96" s="136" t="n"/>
      <c r="AS96" s="137" t="n"/>
    </row>
    <row r="97" ht="21" customHeight="1" s="70">
      <c r="A97" s="139" t="n"/>
      <c r="B97" s="140" t="n"/>
      <c r="D97" s="141" t="n"/>
      <c r="E97" s="140" t="n"/>
      <c r="F97" s="142" t="n"/>
      <c r="G97" s="131" t="inlineStr">
        <is>
          <t>not on this certificate</t>
        </is>
      </c>
      <c r="H97" s="132" t="inlineStr">
        <is>
          <t>ППК26063, (11.05.2026) [CNP] · on file, not credited</t>
        </is>
      </c>
      <c r="I97" s="133" t="inlineStr">
        <is>
          <t>•</t>
        </is>
      </c>
      <c r="J97" s="131" t="inlineStr">
        <is>
          <t>Conforms (ImB spec.)</t>
        </is>
      </c>
      <c r="K97" s="132" t="inlineStr">
        <is>
          <t>ППК26065, (11.05.2026) [CNP] · on file, not credited</t>
        </is>
      </c>
      <c r="L97" s="133" t="inlineStr">
        <is>
          <t>•</t>
        </is>
      </c>
      <c r="M97" s="131" t="inlineStr">
        <is>
          <t>13.93</t>
        </is>
      </c>
      <c r="N97" s="132" t="inlineStr">
        <is>
          <t>ППК26065, (11.05.2026) [CNP] · on file, not credited</t>
        </is>
      </c>
      <c r="O97" s="133" t="inlineStr">
        <is>
          <t>•</t>
        </is>
      </c>
      <c r="P97" s="131" t="inlineStr">
        <is>
          <t>0.04</t>
        </is>
      </c>
      <c r="Q97" s="132" t="inlineStr">
        <is>
          <t>ППК26065, (11.05.2026) [CNP] · on file, not credited</t>
        </is>
      </c>
      <c r="R97" s="133" t="inlineStr">
        <is>
          <t>•</t>
        </is>
      </c>
      <c r="S97" s="131" t="inlineStr">
        <is>
          <t>BLQ ᴰ</t>
        </is>
      </c>
      <c r="T97" s="132" t="inlineStr">
        <is>
          <t>ППК26065, (11.05.2026) [CNP] · on file, not credited</t>
        </is>
      </c>
      <c r="U97" s="133" t="inlineStr">
        <is>
          <t>•</t>
        </is>
      </c>
      <c r="V97" s="141" t="n"/>
      <c r="W97" s="140" t="n"/>
      <c r="X97" s="142" t="n"/>
      <c r="Y97" s="131" t="inlineStr">
        <is>
          <t>6.38</t>
        </is>
      </c>
      <c r="Z97" s="132" t="inlineStr">
        <is>
          <t>ППК26065, (11.05.2026) [CNP] · on file, not credited</t>
        </is>
      </c>
      <c r="AA97" s="133" t="inlineStr">
        <is>
          <t>•</t>
        </is>
      </c>
      <c r="AB97" s="128" t="inlineStr">
        <is>
          <t>2.6 x 10³</t>
        </is>
      </c>
      <c r="AC97" s="134" t="inlineStr">
        <is>
          <t>3.3 x 10³</t>
        </is>
      </c>
      <c r="AD97" s="134" t="inlineStr">
        <is>
          <t>n.r.</t>
        </is>
      </c>
      <c r="AE97" s="134" t="inlineStr">
        <is>
          <t>отсуство/25</t>
        </is>
      </c>
      <c r="AF97" s="134" t="inlineStr">
        <is>
          <t>отсуство/g</t>
        </is>
      </c>
      <c r="AG97" s="130" t="inlineStr">
        <is>
          <t>✓</t>
        </is>
      </c>
      <c r="AH97" s="131" t="inlineStr">
        <is>
          <t>n.r.</t>
        </is>
      </c>
      <c r="AI97" s="163" t="inlineStr">
        <is>
          <t>&lt;2</t>
        </is>
      </c>
      <c r="AJ97" s="163" t="inlineStr">
        <is>
          <t>n.r.</t>
        </is>
      </c>
      <c r="AK97" s="133" t="inlineStr">
        <is>
          <t>•</t>
        </is>
      </c>
      <c r="AL97" s="131" t="inlineStr">
        <is>
          <t>0.0109</t>
        </is>
      </c>
      <c r="AM97" s="163" t="inlineStr">
        <is>
          <t>0.01287</t>
        </is>
      </c>
      <c r="AN97" s="163" t="inlineStr">
        <is>
          <t>0.0175</t>
        </is>
      </c>
      <c r="AO97" s="163" t="inlineStr">
        <is>
          <t>0.0165</t>
        </is>
      </c>
      <c r="AP97" s="133" t="inlineStr">
        <is>
          <t>•</t>
        </is>
      </c>
      <c r="AQ97" s="131" t="inlineStr">
        <is>
          <t>≤ LOQ (all 27 compounds)</t>
        </is>
      </c>
      <c r="AR97" s="132" t="inlineStr">
        <is>
          <t>2365-2026, (30.04.2026) [IJZ] · on file, not credited</t>
        </is>
      </c>
      <c r="AS97" s="133" t="inlineStr">
        <is>
          <t>•</t>
        </is>
      </c>
    </row>
    <row r="98" ht="21" customHeight="1" s="70">
      <c r="A98" s="157" t="n"/>
      <c r="B98" s="146" t="n"/>
      <c r="D98" s="145" t="n"/>
      <c r="E98" s="146" t="n"/>
      <c r="F98" s="147" t="n"/>
      <c r="G98" s="145" t="n"/>
      <c r="H98" s="146" t="n"/>
      <c r="I98" s="147" t="n"/>
      <c r="J98" s="145" t="n"/>
      <c r="K98" s="146" t="n"/>
      <c r="L98" s="147" t="n"/>
      <c r="M98" s="145" t="n"/>
      <c r="N98" s="146" t="n"/>
      <c r="O98" s="147" t="n"/>
      <c r="P98" s="145" t="n"/>
      <c r="Q98" s="146" t="n"/>
      <c r="R98" s="147" t="n"/>
      <c r="S98" s="145" t="n"/>
      <c r="T98" s="146" t="n"/>
      <c r="U98" s="147" t="n"/>
      <c r="V98" s="145" t="n"/>
      <c r="W98" s="146" t="n"/>
      <c r="X98" s="147" t="n"/>
      <c r="Y98" s="145" t="n"/>
      <c r="Z98" s="146" t="n"/>
      <c r="AA98" s="147" t="n"/>
      <c r="AB98" s="148" t="inlineStr">
        <is>
          <t>307-0551-26, (28.04.2026) [IJZ-MB]</t>
        </is>
      </c>
      <c r="AC98" s="146" t="n"/>
      <c r="AD98" s="146" t="n"/>
      <c r="AE98" s="146" t="n"/>
      <c r="AF98" s="146" t="n"/>
      <c r="AG98" s="147" t="n"/>
      <c r="AH98" s="165" t="inlineStr">
        <is>
          <t>2365-2026, (30.04.2026) [IJZ] · on file, not credited</t>
        </is>
      </c>
      <c r="AI98" s="146" t="n"/>
      <c r="AJ98" s="146" t="n"/>
      <c r="AK98" s="147" t="n"/>
      <c r="AL98" s="165" t="inlineStr">
        <is>
          <t>2365-2026, (30.04.2026) [IJZ] · on file, not credited</t>
        </is>
      </c>
      <c r="AM98" s="146" t="n"/>
      <c r="AN98" s="146" t="n"/>
      <c r="AO98" s="146" t="n"/>
      <c r="AP98" s="147" t="n"/>
      <c r="AQ98" s="145" t="n"/>
      <c r="AR98" s="146" t="n"/>
      <c r="AS98" s="147" t="n"/>
    </row>
    <row r="99" ht="14" customHeight="1" s="70">
      <c r="A99" s="139" t="n"/>
      <c r="B99" s="140" t="n"/>
      <c r="D99" s="141" t="n"/>
      <c r="E99" s="140" t="n"/>
      <c r="F99" s="142" t="n"/>
      <c r="G99" s="131" t="inlineStr">
        <is>
          <t>not on this certificate</t>
        </is>
      </c>
      <c r="H99" s="132" t="inlineStr">
        <is>
          <t>ППК26065, (11.05.2026) [CNP] · on file, not credited</t>
        </is>
      </c>
      <c r="I99" s="133" t="inlineStr">
        <is>
          <t>•</t>
        </is>
      </c>
      <c r="J99" s="128" t="inlineStr">
        <is>
          <t>Conforms (ImB spec.) ᴿ</t>
        </is>
      </c>
      <c r="K99" s="129" t="inlineStr">
        <is>
          <t>197-15-K-26, (07.08.2026) [FHM-K]</t>
        </is>
      </c>
      <c r="L99" s="130" t="inlineStr">
        <is>
          <t>✓</t>
        </is>
      </c>
      <c r="M99" s="128" t="inlineStr">
        <is>
          <t>20.32</t>
        </is>
      </c>
      <c r="N99" s="129" t="inlineStr">
        <is>
          <t>197-15-K-26, (07.08.2026) [FHM-K]</t>
        </is>
      </c>
      <c r="O99" s="130" t="inlineStr">
        <is>
          <t>✓</t>
        </is>
      </c>
      <c r="P99" s="128" t="inlineStr">
        <is>
          <t>&lt; LOQ</t>
        </is>
      </c>
      <c r="Q99" s="129" t="inlineStr">
        <is>
          <t>197-15-K-26, (07.08.2026) [FHM-K]</t>
        </is>
      </c>
      <c r="R99" s="130" t="inlineStr">
        <is>
          <t>✓</t>
        </is>
      </c>
      <c r="S99" s="128" t="inlineStr">
        <is>
          <t>&lt; LOQ</t>
        </is>
      </c>
      <c r="T99" s="129" t="inlineStr">
        <is>
          <t>197-15-K-26, (07.08.2026) [FHM-K]</t>
        </is>
      </c>
      <c r="U99" s="130" t="inlineStr">
        <is>
          <t>✓</t>
        </is>
      </c>
      <c r="V99" s="141" t="n"/>
      <c r="W99" s="140" t="n"/>
      <c r="X99" s="142" t="n"/>
      <c r="Y99" s="131" t="inlineStr">
        <is>
          <t>not on this certificate</t>
        </is>
      </c>
      <c r="Z99" s="132" t="inlineStr">
        <is>
          <t>197-15-K-26, (07.08.2026) [FHM-K] · on file, not credited</t>
        </is>
      </c>
      <c r="AA99" s="133" t="inlineStr">
        <is>
          <t>•</t>
        </is>
      </c>
      <c r="AB99" s="141" t="n"/>
      <c r="AC99" s="140" t="n"/>
      <c r="AD99" s="140" t="n"/>
      <c r="AE99" s="140" t="n"/>
      <c r="AF99" s="140" t="n"/>
      <c r="AG99" s="142" t="n"/>
      <c r="AH99" s="128" t="inlineStr">
        <is>
          <t>ND</t>
        </is>
      </c>
      <c r="AI99" s="134" t="inlineStr">
        <is>
          <t>ND ᴿ</t>
        </is>
      </c>
      <c r="AJ99" s="134" t="inlineStr">
        <is>
          <t>ND</t>
        </is>
      </c>
      <c r="AK99" s="130" t="inlineStr">
        <is>
          <t>✓</t>
        </is>
      </c>
      <c r="AL99" s="141" t="n"/>
      <c r="AM99" s="140" t="n"/>
      <c r="AN99" s="140" t="n"/>
      <c r="AO99" s="140" t="n"/>
      <c r="AP99" s="142" t="n"/>
      <c r="AQ99" s="141" t="n"/>
      <c r="AR99" s="140" t="n"/>
      <c r="AS99" s="142" t="n"/>
    </row>
    <row r="100" ht="21" customHeight="1" s="70">
      <c r="A100" s="143" t="n"/>
      <c r="B100" s="144" t="n"/>
      <c r="C100" s="144" t="n"/>
      <c r="D100" s="145" t="n"/>
      <c r="E100" s="146" t="n"/>
      <c r="F100" s="147" t="n"/>
      <c r="G100" s="145" t="n"/>
      <c r="H100" s="146" t="n"/>
      <c r="I100" s="147" t="n"/>
      <c r="J100" s="145" t="n"/>
      <c r="K100" s="146" t="n"/>
      <c r="L100" s="147" t="n"/>
      <c r="M100" s="145" t="n"/>
      <c r="N100" s="146" t="n"/>
      <c r="O100" s="147" t="n"/>
      <c r="P100" s="145" t="n"/>
      <c r="Q100" s="146" t="n"/>
      <c r="R100" s="147" t="n"/>
      <c r="S100" s="145" t="n"/>
      <c r="T100" s="146" t="n"/>
      <c r="U100" s="147" t="n"/>
      <c r="V100" s="145" t="n"/>
      <c r="W100" s="146" t="n"/>
      <c r="X100" s="147" t="n"/>
      <c r="Y100" s="145" t="n"/>
      <c r="Z100" s="146" t="n"/>
      <c r="AA100" s="147" t="n"/>
      <c r="AB100" s="145" t="n"/>
      <c r="AC100" s="146" t="n"/>
      <c r="AD100" s="146" t="n"/>
      <c r="AE100" s="146" t="n"/>
      <c r="AF100" s="146" t="n"/>
      <c r="AG100" s="147" t="n"/>
      <c r="AH100" s="148" t="inlineStr">
        <is>
          <t>197-15-M-26, (10.08.2026) [FHM-M]</t>
        </is>
      </c>
      <c r="AI100" s="146" t="n"/>
      <c r="AJ100" s="146" t="n"/>
      <c r="AK100" s="147" t="n"/>
      <c r="AL100" s="145" t="n"/>
      <c r="AM100" s="146" t="n"/>
      <c r="AN100" s="146" t="n"/>
      <c r="AO100" s="146" t="n"/>
      <c r="AP100" s="147" t="n"/>
      <c r="AQ100" s="145" t="n"/>
      <c r="AR100" s="146" t="n"/>
      <c r="AS100" s="147" t="n"/>
    </row>
    <row r="101" ht="21" customHeight="1" s="70">
      <c r="A101" s="125" t="inlineStr">
        <is>
          <t>JD112501＊</t>
        </is>
      </c>
      <c r="B101" s="126" t="inlineStr">
        <is>
          <t>N/A — no P batch assigned</t>
        </is>
      </c>
      <c r="C101" s="127" t="inlineStr">
        <is>
          <t>✓ COMPLETE</t>
        </is>
      </c>
      <c r="D101" s="128" t="inlineStr">
        <is>
          <t>Conforms</t>
        </is>
      </c>
      <c r="E101" s="129">
        <f>IFERROR(INDEX('iCoA Register'!$B:$B,MATCH("JD112501|AB|I",'iCoA Register'!$R:$R,0)),"iCoA — at issue")&amp;", (21.04.2026) [PP]"</f>
        <v/>
      </c>
      <c r="F101" s="130" t="inlineStr">
        <is>
          <t>✓</t>
        </is>
      </c>
      <c r="G101" s="128" t="inlineStr">
        <is>
          <t>Conforms</t>
        </is>
      </c>
      <c r="H101" s="129">
        <f>IFERROR(INDEX('iCoA Register'!$B:$B,MATCH("JD112501|AB|I",'iCoA Register'!$R:$R,0)),"iCoA — at issue")&amp;", (21.04.2026) [PP]"</f>
        <v/>
      </c>
      <c r="I101" s="130" t="inlineStr">
        <is>
          <t>✓</t>
        </is>
      </c>
      <c r="J101" s="128" t="inlineStr">
        <is>
          <t>Conforms (ImB spec.)</t>
        </is>
      </c>
      <c r="K101" s="129" t="inlineStr">
        <is>
          <t>ППК26065, (11.05.2026) [CNP]</t>
        </is>
      </c>
      <c r="L101" s="130" t="inlineStr">
        <is>
          <t>✓</t>
        </is>
      </c>
      <c r="M101" s="128" t="inlineStr">
        <is>
          <t>13.93</t>
        </is>
      </c>
      <c r="N101" s="129" t="inlineStr">
        <is>
          <t>ППК26065, (11.05.2026) [CNP]</t>
        </is>
      </c>
      <c r="O101" s="130" t="inlineStr">
        <is>
          <t>✓</t>
        </is>
      </c>
      <c r="P101" s="128" t="inlineStr">
        <is>
          <t>0.04</t>
        </is>
      </c>
      <c r="Q101" s="129" t="inlineStr">
        <is>
          <t>ППК26065, (11.05.2026) [CNP]</t>
        </is>
      </c>
      <c r="R101" s="130" t="inlineStr">
        <is>
          <t>✓</t>
        </is>
      </c>
      <c r="S101" s="128" t="inlineStr">
        <is>
          <t>BLQ ᴰ</t>
        </is>
      </c>
      <c r="T101" s="129" t="inlineStr">
        <is>
          <t>ППК26065, (11.05.2026) [CNP]</t>
        </is>
      </c>
      <c r="U101" s="130" t="inlineStr">
        <is>
          <t>✓</t>
        </is>
      </c>
      <c r="V101" s="128" t="inlineStr">
        <is>
          <t>Conforms</t>
        </is>
      </c>
      <c r="W101" s="129">
        <f>IFERROR(INDEX('iCoA Register'!$B:$B,MATCH("JD112501|FM|I",'iCoA Register'!$R:$R,0)),"iCoA — at issue")&amp;", (21.04.2026) [PP]"</f>
        <v/>
      </c>
      <c r="X101" s="130" t="inlineStr">
        <is>
          <t>✓</t>
        </is>
      </c>
      <c r="Y101" s="128" t="inlineStr">
        <is>
          <t>6.38</t>
        </is>
      </c>
      <c r="Z101" s="129" t="inlineStr">
        <is>
          <t>ППК26065, (11.05.2026) [CNP]</t>
        </is>
      </c>
      <c r="AA101" s="130" t="inlineStr">
        <is>
          <t>✓</t>
        </is>
      </c>
      <c r="AB101" s="128" t="inlineStr">
        <is>
          <t>1 x 10⁴</t>
        </is>
      </c>
      <c r="AC101" s="134" t="inlineStr">
        <is>
          <t>6.7 x 10³</t>
        </is>
      </c>
      <c r="AD101" s="134" t="inlineStr">
        <is>
          <t>&lt;10³ и &gt;10²</t>
        </is>
      </c>
      <c r="AE101" s="134" t="inlineStr">
        <is>
          <t>отсутна/25</t>
        </is>
      </c>
      <c r="AF101" s="134" t="inlineStr">
        <is>
          <t>отсутна/g</t>
        </is>
      </c>
      <c r="AG101" s="130" t="inlineStr">
        <is>
          <t>✓</t>
        </is>
      </c>
      <c r="AH101" s="128" t="inlineStr">
        <is>
          <t>n.r.</t>
        </is>
      </c>
      <c r="AI101" s="134" t="inlineStr">
        <is>
          <t>&lt;2</t>
        </is>
      </c>
      <c r="AJ101" s="134" t="inlineStr">
        <is>
          <t>n.r.</t>
        </is>
      </c>
      <c r="AK101" s="130" t="inlineStr">
        <is>
          <t>✓</t>
        </is>
      </c>
      <c r="AL101" s="128" t="inlineStr">
        <is>
          <t>0.0109</t>
        </is>
      </c>
      <c r="AM101" s="134" t="inlineStr">
        <is>
          <t>0.01287</t>
        </is>
      </c>
      <c r="AN101" s="134" t="inlineStr">
        <is>
          <t>0.0175</t>
        </is>
      </c>
      <c r="AO101" s="134" t="inlineStr">
        <is>
          <t>0.0165</t>
        </is>
      </c>
      <c r="AP101" s="130" t="inlineStr">
        <is>
          <t>✓</t>
        </is>
      </c>
      <c r="AQ101" s="128" t="inlineStr">
        <is>
          <t>≤ LOQ (all 27 compounds)</t>
        </is>
      </c>
      <c r="AR101" s="129" t="inlineStr">
        <is>
          <t>2365-2026, (30.04.2026) [IJZ]</t>
        </is>
      </c>
      <c r="AS101" s="130" t="inlineStr">
        <is>
          <t>✓</t>
        </is>
      </c>
    </row>
    <row r="102" ht="13" customHeight="1" s="70">
      <c r="A102" s="143" t="n"/>
      <c r="B102" s="144" t="n"/>
      <c r="C102" s="144" t="n"/>
      <c r="D102" s="145" t="n"/>
      <c r="E102" s="146" t="n"/>
      <c r="F102" s="147" t="n"/>
      <c r="G102" s="145" t="n"/>
      <c r="H102" s="146" t="n"/>
      <c r="I102" s="147" t="n"/>
      <c r="J102" s="145" t="n"/>
      <c r="K102" s="146" t="n"/>
      <c r="L102" s="147" t="n"/>
      <c r="M102" s="145" t="n"/>
      <c r="N102" s="146" t="n"/>
      <c r="O102" s="147" t="n"/>
      <c r="P102" s="145" t="n"/>
      <c r="Q102" s="146" t="n"/>
      <c r="R102" s="147" t="n"/>
      <c r="S102" s="145" t="n"/>
      <c r="T102" s="146" t="n"/>
      <c r="U102" s="147" t="n"/>
      <c r="V102" s="145" t="n"/>
      <c r="W102" s="146" t="n"/>
      <c r="X102" s="147" t="n"/>
      <c r="Y102" s="145" t="n"/>
      <c r="Z102" s="146" t="n"/>
      <c r="AA102" s="147" t="n"/>
      <c r="AB102" s="148" t="inlineStr">
        <is>
          <t>306-0550-26, (28.04.2026) [IJZ-MB]</t>
        </is>
      </c>
      <c r="AC102" s="146" t="n"/>
      <c r="AD102" s="146" t="n"/>
      <c r="AE102" s="146" t="n"/>
      <c r="AF102" s="146" t="n"/>
      <c r="AG102" s="147" t="n"/>
      <c r="AH102" s="148" t="inlineStr">
        <is>
          <t>2365-2026, (30.04.2026) [IJZ]</t>
        </is>
      </c>
      <c r="AI102" s="146" t="n"/>
      <c r="AJ102" s="146" t="n"/>
      <c r="AK102" s="147" t="n"/>
      <c r="AL102" s="148" t="inlineStr">
        <is>
          <t>2365-2026, (30.04.2026) [IJZ]</t>
        </is>
      </c>
      <c r="AM102" s="146" t="n"/>
      <c r="AN102" s="146" t="n"/>
      <c r="AO102" s="146" t="n"/>
      <c r="AP102" s="147" t="n"/>
      <c r="AQ102" s="145" t="n"/>
      <c r="AR102" s="146" t="n"/>
      <c r="AS102" s="147" t="n"/>
    </row>
    <row r="103" ht="21" customHeight="1" s="70">
      <c r="A103" s="125" t="inlineStr">
        <is>
          <t>KC102501</t>
        </is>
      </c>
      <c r="B103" s="126" t="inlineStr">
        <is>
          <t>P060172</t>
        </is>
      </c>
      <c r="C103" s="155" t="inlineStr">
        <is>
          <t>✗ 4 NO RESULT
(4 no cert / 0 cert w/o result)
2 testing instances
• 2 document(s) on file, not credited</t>
        </is>
      </c>
      <c r="D103" s="128" t="inlineStr">
        <is>
          <t>Conforms</t>
        </is>
      </c>
      <c r="E103" s="129">
        <f>IFERROR(INDEX('iCoA Register'!$B:$B,MATCH("P060172|AB|I",'iCoA Register'!$R:$R,0)),"iCoA — at issue")&amp;", (12.03.2026) [PP]"</f>
        <v/>
      </c>
      <c r="F103" s="130" t="inlineStr">
        <is>
          <t>✓</t>
        </is>
      </c>
      <c r="G103" s="128" t="inlineStr">
        <is>
          <t>Conforms</t>
        </is>
      </c>
      <c r="H103" s="129">
        <f>IFERROR(INDEX('iCoA Register'!$B:$B,MATCH("P060172|AB|I",'iCoA Register'!$R:$R,0)),"iCoA — at issue")&amp;", (12.03.2026) [PP]"</f>
        <v/>
      </c>
      <c r="I103" s="130" t="inlineStr">
        <is>
          <t>✓</t>
        </is>
      </c>
      <c r="J103" s="131" t="inlineStr">
        <is>
          <t>not on this certificate</t>
        </is>
      </c>
      <c r="K103" s="132" t="inlineStr">
        <is>
          <t>051-4-LoD-26, (02.03.2026) [FHM-K] · on file, not credited</t>
        </is>
      </c>
      <c r="L103" s="133" t="inlineStr">
        <is>
          <t>•</t>
        </is>
      </c>
      <c r="M103" s="131" t="inlineStr">
        <is>
          <t>not on this certificate</t>
        </is>
      </c>
      <c r="N103" s="132" t="inlineStr">
        <is>
          <t>051-4-LoD-26, (02.03.2026) [FHM-K] · on file, not credited</t>
        </is>
      </c>
      <c r="O103" s="133" t="inlineStr">
        <is>
          <t>•</t>
        </is>
      </c>
      <c r="P103" s="131" t="inlineStr">
        <is>
          <t>not on this certificate</t>
        </is>
      </c>
      <c r="Q103" s="132" t="inlineStr">
        <is>
          <t>051-4-LoD-26, (02.03.2026) [FHM-K] · on file, not credited</t>
        </is>
      </c>
      <c r="R103" s="133" t="inlineStr">
        <is>
          <t>•</t>
        </is>
      </c>
      <c r="S103" s="131" t="inlineStr">
        <is>
          <t>not on this certificate</t>
        </is>
      </c>
      <c r="T103" s="132" t="inlineStr">
        <is>
          <t>051-4-LoD-26, (02.03.2026) [FHM-K] · on file, not credited</t>
        </is>
      </c>
      <c r="U103" s="133" t="inlineStr">
        <is>
          <t>•</t>
        </is>
      </c>
      <c r="V103" s="128" t="inlineStr">
        <is>
          <t>Conforms</t>
        </is>
      </c>
      <c r="W103" s="129">
        <f>IFERROR(INDEX('iCoA Register'!$B:$B,MATCH("P060172|FM|I",'iCoA Register'!$R:$R,0)),"iCoA — at issue")&amp;", (12.03.2026) [PP]"</f>
        <v/>
      </c>
      <c r="X103" s="130" t="inlineStr">
        <is>
          <t>✓</t>
        </is>
      </c>
      <c r="Y103" s="128" t="inlineStr">
        <is>
          <t>8.6</t>
        </is>
      </c>
      <c r="Z103" s="129" t="inlineStr">
        <is>
          <t>051-4-LoD-26, (02.03.2026) [FHM-K]</t>
        </is>
      </c>
      <c r="AA103" s="130" t="inlineStr">
        <is>
          <t>✓</t>
        </is>
      </c>
      <c r="AB103" s="150" t="inlineStr">
        <is>
          <t>— MISSING —</t>
        </is>
      </c>
      <c r="AC103" s="151" t="inlineStr">
        <is>
          <t>— MISSING —</t>
        </is>
      </c>
      <c r="AD103" s="151" t="inlineStr">
        <is>
          <t>— MISSING —</t>
        </is>
      </c>
      <c r="AE103" s="151" t="inlineStr">
        <is>
          <t>— MISSING —</t>
        </is>
      </c>
      <c r="AF103" s="151" t="inlineStr">
        <is>
          <t>— MISSING —</t>
        </is>
      </c>
      <c r="AG103" s="152" t="inlineStr">
        <is>
          <t>✗</t>
        </is>
      </c>
      <c r="AH103" s="150" t="inlineStr">
        <is>
          <t>— MISSING —</t>
        </is>
      </c>
      <c r="AI103" s="151" t="inlineStr">
        <is>
          <t>— MISSING —</t>
        </is>
      </c>
      <c r="AJ103" s="151" t="inlineStr">
        <is>
          <t>— MISSING —</t>
        </is>
      </c>
      <c r="AK103" s="152" t="inlineStr">
        <is>
          <t>✗</t>
        </is>
      </c>
      <c r="AL103" s="150" t="inlineStr">
        <is>
          <t>— MISSING —</t>
        </is>
      </c>
      <c r="AM103" s="151" t="inlineStr">
        <is>
          <t>— MISSING —</t>
        </is>
      </c>
      <c r="AN103" s="151" t="inlineStr">
        <is>
          <t>— MISSING —</t>
        </is>
      </c>
      <c r="AO103" s="151" t="inlineStr">
        <is>
          <t>— MISSING —</t>
        </is>
      </c>
      <c r="AP103" s="152" t="inlineStr">
        <is>
          <t>✗</t>
        </is>
      </c>
      <c r="AQ103" s="150" t="inlineStr">
        <is>
          <t>— MISSING —</t>
        </is>
      </c>
      <c r="AR103" s="153" t="inlineStr">
        <is>
          <t>— no certificate —</t>
        </is>
      </c>
      <c r="AS103" s="152" t="inlineStr">
        <is>
          <t>✗</t>
        </is>
      </c>
    </row>
    <row r="104" ht="21" customHeight="1" s="70">
      <c r="A104" s="135" t="n"/>
      <c r="D104" s="136" t="n"/>
      <c r="F104" s="137" t="n"/>
      <c r="G104" s="136" t="n"/>
      <c r="I104" s="137" t="n"/>
      <c r="J104" s="136" t="n"/>
      <c r="L104" s="137" t="n"/>
      <c r="M104" s="136" t="n"/>
      <c r="O104" s="137" t="n"/>
      <c r="P104" s="136" t="n"/>
      <c r="R104" s="137" t="n"/>
      <c r="S104" s="136" t="n"/>
      <c r="U104" s="137" t="n"/>
      <c r="V104" s="136" t="n"/>
      <c r="X104" s="137" t="n"/>
      <c r="Y104" s="136" t="n"/>
      <c r="AA104" s="137" t="n"/>
      <c r="AB104" s="156" t="inlineStr">
        <is>
          <t>— no certificate —</t>
        </is>
      </c>
      <c r="AG104" s="137" t="n"/>
      <c r="AH104" s="156" t="inlineStr">
        <is>
          <t>— no certificate —</t>
        </is>
      </c>
      <c r="AK104" s="137" t="n"/>
      <c r="AL104" s="156" t="inlineStr">
        <is>
          <t>— no certificate —</t>
        </is>
      </c>
      <c r="AP104" s="137" t="n"/>
      <c r="AQ104" s="136" t="n"/>
      <c r="AS104" s="137" t="n"/>
    </row>
    <row r="105" ht="14" customHeight="1" s="70">
      <c r="A105" s="139" t="n"/>
      <c r="B105" s="140" t="n"/>
      <c r="D105" s="141" t="n"/>
      <c r="E105" s="140" t="n"/>
      <c r="F105" s="142" t="n"/>
      <c r="G105" s="141" t="n"/>
      <c r="H105" s="140" t="n"/>
      <c r="I105" s="142" t="n"/>
      <c r="J105" s="128" t="inlineStr">
        <is>
          <t>Conforms (ImB spec.) ᴿ</t>
        </is>
      </c>
      <c r="K105" s="129" t="inlineStr">
        <is>
          <t>051-4-K-26, (04.03.2026) [FHM-K]</t>
        </is>
      </c>
      <c r="L105" s="130" t="inlineStr">
        <is>
          <t>✓</t>
        </is>
      </c>
      <c r="M105" s="128" t="inlineStr">
        <is>
          <t>17.04</t>
        </is>
      </c>
      <c r="N105" s="129" t="inlineStr">
        <is>
          <t>051-4-K-26, (04.03.2026) [FHM-K]</t>
        </is>
      </c>
      <c r="O105" s="130" t="inlineStr">
        <is>
          <t>✓</t>
        </is>
      </c>
      <c r="P105" s="128" t="inlineStr">
        <is>
          <t>&lt;LOQ**</t>
        </is>
      </c>
      <c r="Q105" s="129" t="inlineStr">
        <is>
          <t>051-4-K-26, (04.03.2026) [FHM-K]</t>
        </is>
      </c>
      <c r="R105" s="130" t="inlineStr">
        <is>
          <t>✓</t>
        </is>
      </c>
      <c r="S105" s="128" t="inlineStr">
        <is>
          <t>&lt;LOQ**</t>
        </is>
      </c>
      <c r="T105" s="129" t="inlineStr">
        <is>
          <t>051-4-K-26, (04.03.2026) [FHM-K]</t>
        </is>
      </c>
      <c r="U105" s="130" t="inlineStr">
        <is>
          <t>✓</t>
        </is>
      </c>
      <c r="V105" s="141" t="n"/>
      <c r="W105" s="140" t="n"/>
      <c r="X105" s="142" t="n"/>
      <c r="Y105" s="131" t="inlineStr">
        <is>
          <t>not on this certificate</t>
        </is>
      </c>
      <c r="Z105" s="132" t="inlineStr">
        <is>
          <t>051-4-K-26, (04.03.2026) [FHM-K] · on file, not credited</t>
        </is>
      </c>
      <c r="AA105" s="133" t="inlineStr">
        <is>
          <t>•</t>
        </is>
      </c>
      <c r="AB105" s="141" t="n"/>
      <c r="AC105" s="140" t="n"/>
      <c r="AD105" s="140" t="n"/>
      <c r="AE105" s="140" t="n"/>
      <c r="AF105" s="140" t="n"/>
      <c r="AG105" s="142" t="n"/>
      <c r="AH105" s="141" t="n"/>
      <c r="AI105" s="140" t="n"/>
      <c r="AJ105" s="140" t="n"/>
      <c r="AK105" s="142" t="n"/>
      <c r="AL105" s="141" t="n"/>
      <c r="AM105" s="140" t="n"/>
      <c r="AN105" s="140" t="n"/>
      <c r="AO105" s="140" t="n"/>
      <c r="AP105" s="142" t="n"/>
      <c r="AQ105" s="141" t="n"/>
      <c r="AR105" s="140" t="n"/>
      <c r="AS105" s="142" t="n"/>
    </row>
    <row r="106" ht="21" customHeight="1" s="70">
      <c r="A106" s="143" t="n"/>
      <c r="B106" s="144" t="n"/>
      <c r="C106" s="144" t="n"/>
      <c r="D106" s="145" t="n"/>
      <c r="E106" s="146" t="n"/>
      <c r="F106" s="147" t="n"/>
      <c r="G106" s="145" t="n"/>
      <c r="H106" s="146" t="n"/>
      <c r="I106" s="147" t="n"/>
      <c r="J106" s="145" t="n"/>
      <c r="K106" s="146" t="n"/>
      <c r="L106" s="147" t="n"/>
      <c r="M106" s="145" t="n"/>
      <c r="N106" s="146" t="n"/>
      <c r="O106" s="147" t="n"/>
      <c r="P106" s="145" t="n"/>
      <c r="Q106" s="146" t="n"/>
      <c r="R106" s="147" t="n"/>
      <c r="S106" s="145" t="n"/>
      <c r="T106" s="146" t="n"/>
      <c r="U106" s="147" t="n"/>
      <c r="V106" s="145" t="n"/>
      <c r="W106" s="146" t="n"/>
      <c r="X106" s="147" t="n"/>
      <c r="Y106" s="145" t="n"/>
      <c r="Z106" s="146" t="n"/>
      <c r="AA106" s="147" t="n"/>
      <c r="AB106" s="145" t="n"/>
      <c r="AC106" s="146" t="n"/>
      <c r="AD106" s="146" t="n"/>
      <c r="AE106" s="146" t="n"/>
      <c r="AF106" s="146" t="n"/>
      <c r="AG106" s="147" t="n"/>
      <c r="AH106" s="145" t="n"/>
      <c r="AI106" s="146" t="n"/>
      <c r="AJ106" s="146" t="n"/>
      <c r="AK106" s="147" t="n"/>
      <c r="AL106" s="145" t="n"/>
      <c r="AM106" s="146" t="n"/>
      <c r="AN106" s="146" t="n"/>
      <c r="AO106" s="146" t="n"/>
      <c r="AP106" s="147" t="n"/>
      <c r="AQ106" s="145" t="n"/>
      <c r="AR106" s="146" t="n"/>
      <c r="AS106" s="147" t="n"/>
    </row>
    <row r="107" ht="21" customHeight="1" s="70">
      <c r="A107" s="125" t="inlineStr">
        <is>
          <t>OPM1024</t>
        </is>
      </c>
      <c r="B107" s="126" t="inlineStr">
        <is>
          <t>N/A — no P batch assigned</t>
        </is>
      </c>
      <c r="C107" s="155" t="inlineStr">
        <is>
          <t>✗ 4 NO RESULT
(4 no cert / 0 cert w/o result)
2 testing instances
• 1 document(s) on file, not credited</t>
        </is>
      </c>
      <c r="D107" s="128" t="inlineStr">
        <is>
          <t>Confirms</t>
        </is>
      </c>
      <c r="E107" s="129" t="inlineStr">
        <is>
          <t>NO-DOC-CODE (Report of Analysis), (23.04.2025) [PP]</t>
        </is>
      </c>
      <c r="F107" s="130" t="inlineStr">
        <is>
          <t>✓</t>
        </is>
      </c>
      <c r="G107" s="128" t="inlineStr">
        <is>
          <t>Conforms</t>
        </is>
      </c>
      <c r="H107" s="129">
        <f>IFERROR(INDEX('iCoA Register'!$B:$B,MATCH("OPM1024|AB|I",'iCoA Register'!$R:$R,0)),"iCoA — at issue")&amp;", (24.04.2025) [PP]"</f>
        <v/>
      </c>
      <c r="I107" s="130" t="inlineStr">
        <is>
          <t>✓</t>
        </is>
      </c>
      <c r="J107" s="128" t="inlineStr">
        <is>
          <t>Conforms (ImB spec.) ᴿ</t>
        </is>
      </c>
      <c r="K107" s="129" t="inlineStr">
        <is>
          <t>197-17-K-26, (07.08.2026) [FHM-K]</t>
        </is>
      </c>
      <c r="L107" s="130" t="inlineStr">
        <is>
          <t>✓</t>
        </is>
      </c>
      <c r="M107" s="128" t="inlineStr">
        <is>
          <t>20.03</t>
        </is>
      </c>
      <c r="N107" s="129" t="inlineStr">
        <is>
          <t>197-17-K-26, (07.08.2026) [FHM-K]</t>
        </is>
      </c>
      <c r="O107" s="130" t="inlineStr">
        <is>
          <t>✓</t>
        </is>
      </c>
      <c r="P107" s="128" t="inlineStr">
        <is>
          <t>&lt;LOQ</t>
        </is>
      </c>
      <c r="Q107" s="129" t="inlineStr">
        <is>
          <t>197-17-K-26, (07.08.2026) [FHM-K]</t>
        </is>
      </c>
      <c r="R107" s="130" t="inlineStr">
        <is>
          <t>✓</t>
        </is>
      </c>
      <c r="S107" s="128" t="inlineStr">
        <is>
          <t>&lt;LOQ</t>
        </is>
      </c>
      <c r="T107" s="129" t="inlineStr">
        <is>
          <t>197-17-K-26, (07.08.2026) [FHM-K]</t>
        </is>
      </c>
      <c r="U107" s="130" t="inlineStr">
        <is>
          <t>✓</t>
        </is>
      </c>
      <c r="V107" s="128" t="inlineStr">
        <is>
          <t>Confirms</t>
        </is>
      </c>
      <c r="W107" s="129" t="inlineStr">
        <is>
          <t>NO-DOC-CODE (Report of Analysis), (23.04.2025) [PP]</t>
        </is>
      </c>
      <c r="X107" s="130" t="inlineStr">
        <is>
          <t>✓</t>
        </is>
      </c>
      <c r="Y107" s="131" t="inlineStr">
        <is>
          <t>not on this certificate</t>
        </is>
      </c>
      <c r="Z107" s="132" t="inlineStr">
        <is>
          <t>197-17-K-26, (07.08.2026) [FHM-K] · on file, not credited</t>
        </is>
      </c>
      <c r="AA107" s="133" t="inlineStr">
        <is>
          <t>•</t>
        </is>
      </c>
      <c r="AB107" s="150" t="inlineStr">
        <is>
          <t>— MISSING —</t>
        </is>
      </c>
      <c r="AC107" s="151" t="inlineStr">
        <is>
          <t>— MISSING —</t>
        </is>
      </c>
      <c r="AD107" s="151" t="inlineStr">
        <is>
          <t>— MISSING —</t>
        </is>
      </c>
      <c r="AE107" s="151" t="inlineStr">
        <is>
          <t>— MISSING —</t>
        </is>
      </c>
      <c r="AF107" s="151" t="inlineStr">
        <is>
          <t>— MISSING —</t>
        </is>
      </c>
      <c r="AG107" s="152" t="inlineStr">
        <is>
          <t>✗</t>
        </is>
      </c>
      <c r="AH107" s="128" t="inlineStr">
        <is>
          <t>ND</t>
        </is>
      </c>
      <c r="AI107" s="134" t="inlineStr">
        <is>
          <t>ND ᴿ</t>
        </is>
      </c>
      <c r="AJ107" s="134" t="inlineStr">
        <is>
          <t>ND</t>
        </is>
      </c>
      <c r="AK107" s="130" t="inlineStr">
        <is>
          <t>✓</t>
        </is>
      </c>
      <c r="AL107" s="150" t="inlineStr">
        <is>
          <t>— MISSING —</t>
        </is>
      </c>
      <c r="AM107" s="151" t="inlineStr">
        <is>
          <t>— MISSING —</t>
        </is>
      </c>
      <c r="AN107" s="151" t="inlineStr">
        <is>
          <t>— MISSING —</t>
        </is>
      </c>
      <c r="AO107" s="151" t="inlineStr">
        <is>
          <t>— MISSING —</t>
        </is>
      </c>
      <c r="AP107" s="152" t="inlineStr">
        <is>
          <t>✗</t>
        </is>
      </c>
      <c r="AQ107" s="150" t="inlineStr">
        <is>
          <t>— MISSING —</t>
        </is>
      </c>
      <c r="AR107" s="153" t="inlineStr">
        <is>
          <t>— no certificate —</t>
        </is>
      </c>
      <c r="AS107" s="152" t="inlineStr">
        <is>
          <t>✗</t>
        </is>
      </c>
    </row>
    <row r="108" ht="21" customHeight="1" s="70">
      <c r="A108" s="135" t="n"/>
      <c r="D108" s="136" t="n"/>
      <c r="F108" s="137" t="n"/>
      <c r="G108" s="136" t="n"/>
      <c r="I108" s="137" t="n"/>
      <c r="J108" s="136" t="n"/>
      <c r="L108" s="137" t="n"/>
      <c r="M108" s="136" t="n"/>
      <c r="O108" s="137" t="n"/>
      <c r="P108" s="136" t="n"/>
      <c r="R108" s="137" t="n"/>
      <c r="S108" s="136" t="n"/>
      <c r="U108" s="137" t="n"/>
      <c r="V108" s="136" t="n"/>
      <c r="X108" s="137" t="n"/>
      <c r="Y108" s="136" t="n"/>
      <c r="AA108" s="137" t="n"/>
      <c r="AB108" s="156" t="inlineStr">
        <is>
          <t>— no certificate —</t>
        </is>
      </c>
      <c r="AG108" s="137" t="n"/>
      <c r="AH108" s="138" t="inlineStr">
        <is>
          <t>197-17-M-26, (10.08.2026) [FHM-M]</t>
        </is>
      </c>
      <c r="AK108" s="137" t="n"/>
      <c r="AL108" s="156" t="inlineStr">
        <is>
          <t>— no certificate —</t>
        </is>
      </c>
      <c r="AP108" s="137" t="n"/>
      <c r="AQ108" s="136" t="n"/>
      <c r="AS108" s="137" t="n"/>
    </row>
    <row r="109" ht="14" customHeight="1" s="70">
      <c r="A109" s="139" t="n"/>
      <c r="B109" s="140" t="n"/>
      <c r="D109" s="128" t="inlineStr">
        <is>
          <t>Conforms</t>
        </is>
      </c>
      <c r="E109" s="129">
        <f>IFERROR(INDEX('iCoA Register'!$B:$B,MATCH("OPM1024|AB|I",'iCoA Register'!$R:$R,0)),"iCoA — at issue")&amp;", (24.04.2025) [PP]"</f>
        <v/>
      </c>
      <c r="F109" s="130" t="inlineStr">
        <is>
          <t>✓</t>
        </is>
      </c>
      <c r="G109" s="141" t="n"/>
      <c r="H109" s="140" t="n"/>
      <c r="I109" s="142" t="n"/>
      <c r="J109" s="141" t="n"/>
      <c r="K109" s="140" t="n"/>
      <c r="L109" s="142" t="n"/>
      <c r="M109" s="141" t="n"/>
      <c r="N109" s="140" t="n"/>
      <c r="O109" s="142" t="n"/>
      <c r="P109" s="141" t="n"/>
      <c r="Q109" s="140" t="n"/>
      <c r="R109" s="142" t="n"/>
      <c r="S109" s="141" t="n"/>
      <c r="T109" s="140" t="n"/>
      <c r="U109" s="142" t="n"/>
      <c r="V109" s="128" t="inlineStr">
        <is>
          <t>Conforms</t>
        </is>
      </c>
      <c r="W109" s="129">
        <f>IFERROR(INDEX('iCoA Register'!$B:$B,MATCH("OPM1024|FM|I",'iCoA Register'!$R:$R,0)),"iCoA — at issue")&amp;", (24.04.2025) [PP]"</f>
        <v/>
      </c>
      <c r="X109" s="130" t="inlineStr">
        <is>
          <t>✓</t>
        </is>
      </c>
      <c r="Y109" s="141" t="n"/>
      <c r="Z109" s="140" t="n"/>
      <c r="AA109" s="142" t="n"/>
      <c r="AB109" s="141" t="n"/>
      <c r="AC109" s="140" t="n"/>
      <c r="AD109" s="140" t="n"/>
      <c r="AE109" s="140" t="n"/>
      <c r="AF109" s="140" t="n"/>
      <c r="AG109" s="142" t="n"/>
      <c r="AH109" s="141" t="n"/>
      <c r="AI109" s="140" t="n"/>
      <c r="AJ109" s="140" t="n"/>
      <c r="AK109" s="142" t="n"/>
      <c r="AL109" s="141" t="n"/>
      <c r="AM109" s="140" t="n"/>
      <c r="AN109" s="140" t="n"/>
      <c r="AO109" s="140" t="n"/>
      <c r="AP109" s="142" t="n"/>
      <c r="AQ109" s="141" t="n"/>
      <c r="AR109" s="140" t="n"/>
      <c r="AS109" s="142" t="n"/>
    </row>
    <row r="110" ht="13" customHeight="1" s="70">
      <c r="A110" s="143" t="n"/>
      <c r="B110" s="144" t="n"/>
      <c r="C110" s="144" t="n"/>
      <c r="D110" s="145" t="n"/>
      <c r="E110" s="146" t="n"/>
      <c r="F110" s="147" t="n"/>
      <c r="G110" s="145" t="n"/>
      <c r="H110" s="146" t="n"/>
      <c r="I110" s="147" t="n"/>
      <c r="J110" s="145" t="n"/>
      <c r="K110" s="146" t="n"/>
      <c r="L110" s="147" t="n"/>
      <c r="M110" s="145" t="n"/>
      <c r="N110" s="146" t="n"/>
      <c r="O110" s="147" t="n"/>
      <c r="P110" s="145" t="n"/>
      <c r="Q110" s="146" t="n"/>
      <c r="R110" s="147" t="n"/>
      <c r="S110" s="145" t="n"/>
      <c r="T110" s="146" t="n"/>
      <c r="U110" s="147" t="n"/>
      <c r="V110" s="145" t="n"/>
      <c r="W110" s="146" t="n"/>
      <c r="X110" s="147" t="n"/>
      <c r="Y110" s="145" t="n"/>
      <c r="Z110" s="146" t="n"/>
      <c r="AA110" s="147" t="n"/>
      <c r="AB110" s="145" t="n"/>
      <c r="AC110" s="146" t="n"/>
      <c r="AD110" s="146" t="n"/>
      <c r="AE110" s="146" t="n"/>
      <c r="AF110" s="146" t="n"/>
      <c r="AG110" s="147" t="n"/>
      <c r="AH110" s="145" t="n"/>
      <c r="AI110" s="146" t="n"/>
      <c r="AJ110" s="146" t="n"/>
      <c r="AK110" s="147" t="n"/>
      <c r="AL110" s="145" t="n"/>
      <c r="AM110" s="146" t="n"/>
      <c r="AN110" s="146" t="n"/>
      <c r="AO110" s="146" t="n"/>
      <c r="AP110" s="147" t="n"/>
      <c r="AQ110" s="145" t="n"/>
      <c r="AR110" s="146" t="n"/>
      <c r="AS110" s="147" t="n"/>
    </row>
    <row r="111" ht="21" customHeight="1" s="70">
      <c r="A111" s="125" t="inlineStr">
        <is>
          <t>OPM112501</t>
        </is>
      </c>
      <c r="B111" s="126" t="inlineStr">
        <is>
          <t>P060222</t>
        </is>
      </c>
      <c r="C111" s="155" t="inlineStr">
        <is>
          <t>✗ 4 NO RESULT
(3 no cert / 1 cert w/o result)
2 testing instances
• 1 document(s) on file, not credited</t>
        </is>
      </c>
      <c r="D111" s="128" t="inlineStr">
        <is>
          <t>Conforms</t>
        </is>
      </c>
      <c r="E111" s="129">
        <f>IFERROR(INDEX('iCoA Register'!$B:$B,MATCH("P060222|AB|I",'iCoA Register'!$R:$R,0)),"iCoA — at issue")&amp;", (24.04.2026) [PP]"</f>
        <v/>
      </c>
      <c r="F111" s="130" t="inlineStr">
        <is>
          <t>✓</t>
        </is>
      </c>
      <c r="G111" s="131" t="inlineStr">
        <is>
          <t>not ingested</t>
        </is>
      </c>
      <c r="H111" s="132" t="inlineStr">
        <is>
          <t>ППК26031, (05.03.2026) [CNP] · on file, not credited</t>
        </is>
      </c>
      <c r="I111" s="133" t="inlineStr">
        <is>
          <t>•</t>
        </is>
      </c>
      <c r="J111" s="128" t="inlineStr">
        <is>
          <t>Conforms (ImB spec.) ᴿ</t>
        </is>
      </c>
      <c r="K111" s="129" t="inlineStr">
        <is>
          <t>ППК26031, (05.03.2026) [CNP]</t>
        </is>
      </c>
      <c r="L111" s="130" t="inlineStr">
        <is>
          <t>✓</t>
        </is>
      </c>
      <c r="M111" s="128" t="inlineStr">
        <is>
          <t>8.00 ᴿ</t>
        </is>
      </c>
      <c r="N111" s="129" t="inlineStr">
        <is>
          <t>ППК26031, (05.03.2026) [CNP]</t>
        </is>
      </c>
      <c r="O111" s="130" t="inlineStr">
        <is>
          <t>✓</t>
        </is>
      </c>
      <c r="P111" s="128" t="inlineStr">
        <is>
          <t>0.02 ᴿ</t>
        </is>
      </c>
      <c r="Q111" s="129" t="inlineStr">
        <is>
          <t>ППК26031, (05.03.2026) [CNP]</t>
        </is>
      </c>
      <c r="R111" s="130" t="inlineStr">
        <is>
          <t>✓</t>
        </is>
      </c>
      <c r="S111" s="158" t="inlineStr">
        <is>
          <t>not ingested</t>
        </is>
      </c>
      <c r="T111" s="159" t="inlineStr">
        <is>
          <t>ППК26031, (05.03.2026) [CNP]</t>
        </is>
      </c>
      <c r="U111" s="160" t="inlineStr">
        <is>
          <t>✗</t>
        </is>
      </c>
      <c r="V111" s="128" t="inlineStr">
        <is>
          <t>Conforms</t>
        </is>
      </c>
      <c r="W111" s="129">
        <f>IFERROR(INDEX('iCoA Register'!$B:$B,MATCH("P060222|FM|I",'iCoA Register'!$R:$R,0)),"iCoA — at issue")&amp;", (24.04.2026) [PP]"</f>
        <v/>
      </c>
      <c r="X111" s="130" t="inlineStr">
        <is>
          <t>✓</t>
        </is>
      </c>
      <c r="Y111" s="128" t="inlineStr">
        <is>
          <t>8.06 ᴿ</t>
        </is>
      </c>
      <c r="Z111" s="129" t="inlineStr">
        <is>
          <t>ППК26031, (05.03.2026) [CNP]</t>
        </is>
      </c>
      <c r="AA111" s="130" t="inlineStr">
        <is>
          <t>✓</t>
        </is>
      </c>
      <c r="AB111" s="128" t="inlineStr">
        <is>
          <t>&lt;10</t>
        </is>
      </c>
      <c r="AC111" s="134" t="inlineStr">
        <is>
          <t>10</t>
        </is>
      </c>
      <c r="AD111" s="134" t="inlineStr">
        <is>
          <t>&lt;10</t>
        </is>
      </c>
      <c r="AE111" s="134" t="inlineStr">
        <is>
          <t>absent</t>
        </is>
      </c>
      <c r="AF111" s="134" t="inlineStr">
        <is>
          <t>absent</t>
        </is>
      </c>
      <c r="AG111" s="130" t="inlineStr">
        <is>
          <t>✓</t>
        </is>
      </c>
      <c r="AH111" s="150" t="inlineStr">
        <is>
          <t>— MISSING —</t>
        </is>
      </c>
      <c r="AI111" s="151" t="inlineStr">
        <is>
          <t>— MISSING —</t>
        </is>
      </c>
      <c r="AJ111" s="151" t="inlineStr">
        <is>
          <t>— MISSING —</t>
        </is>
      </c>
      <c r="AK111" s="152" t="inlineStr">
        <is>
          <t>✗</t>
        </is>
      </c>
      <c r="AL111" s="150" t="inlineStr">
        <is>
          <t>— MISSING —</t>
        </is>
      </c>
      <c r="AM111" s="151" t="inlineStr">
        <is>
          <t>— MISSING —</t>
        </is>
      </c>
      <c r="AN111" s="151" t="inlineStr">
        <is>
          <t>— MISSING —</t>
        </is>
      </c>
      <c r="AO111" s="151" t="inlineStr">
        <is>
          <t>— MISSING —</t>
        </is>
      </c>
      <c r="AP111" s="152" t="inlineStr">
        <is>
          <t>✗</t>
        </is>
      </c>
      <c r="AQ111" s="150" t="inlineStr">
        <is>
          <t>— MISSING —</t>
        </is>
      </c>
      <c r="AR111" s="153" t="inlineStr">
        <is>
          <t>— no certificate —</t>
        </is>
      </c>
      <c r="AS111" s="152" t="inlineStr">
        <is>
          <t>✗</t>
        </is>
      </c>
    </row>
    <row r="112" ht="13" customHeight="1" s="70">
      <c r="A112" s="135" t="n"/>
      <c r="D112" s="136" t="n"/>
      <c r="F112" s="137" t="n"/>
      <c r="G112" s="136" t="n"/>
      <c r="I112" s="137" t="n"/>
      <c r="J112" s="136" t="n"/>
      <c r="L112" s="137" t="n"/>
      <c r="M112" s="136" t="n"/>
      <c r="O112" s="137" t="n"/>
      <c r="P112" s="136" t="n"/>
      <c r="R112" s="137" t="n"/>
      <c r="S112" s="136" t="n"/>
      <c r="U112" s="137" t="n"/>
      <c r="V112" s="136" t="n"/>
      <c r="X112" s="137" t="n"/>
      <c r="Y112" s="136" t="n"/>
      <c r="AA112" s="137" t="n"/>
      <c r="AB112" s="138" t="inlineStr">
        <is>
          <t>546-1077-26, (31.08.2026) [IJZ-MB]</t>
        </is>
      </c>
      <c r="AG112" s="137" t="n"/>
      <c r="AH112" s="156" t="inlineStr">
        <is>
          <t>— no certificate —</t>
        </is>
      </c>
      <c r="AK112" s="137" t="n"/>
      <c r="AL112" s="156" t="inlineStr">
        <is>
          <t>— no certificate —</t>
        </is>
      </c>
      <c r="AP112" s="137" t="n"/>
      <c r="AQ112" s="136" t="n"/>
      <c r="AS112" s="137" t="n"/>
    </row>
    <row r="113" ht="14" customHeight="1" s="70">
      <c r="A113" s="139" t="n"/>
      <c r="B113" s="140" t="n"/>
      <c r="D113" s="141" t="n"/>
      <c r="E113" s="140" t="n"/>
      <c r="F113" s="142" t="n"/>
      <c r="G113" s="128" t="inlineStr">
        <is>
          <t>Conforms</t>
        </is>
      </c>
      <c r="H113" s="129">
        <f>IFERROR(INDEX('iCoA Register'!$B:$B,MATCH("P060222|AB|I",'iCoA Register'!$R:$R,0)),"iCoA — at issue")&amp;", (24.04.2026) [PP]"</f>
        <v/>
      </c>
      <c r="I113" s="130" t="inlineStr">
        <is>
          <t>✓</t>
        </is>
      </c>
      <c r="J113" s="141" t="n"/>
      <c r="K113" s="140" t="n"/>
      <c r="L113" s="142" t="n"/>
      <c r="M113" s="141" t="n"/>
      <c r="N113" s="140" t="n"/>
      <c r="O113" s="142" t="n"/>
      <c r="P113" s="141" t="n"/>
      <c r="Q113" s="140" t="n"/>
      <c r="R113" s="142" t="n"/>
      <c r="S113" s="141" t="n"/>
      <c r="T113" s="140" t="n"/>
      <c r="U113" s="142" t="n"/>
      <c r="V113" s="141" t="n"/>
      <c r="W113" s="140" t="n"/>
      <c r="X113" s="142" t="n"/>
      <c r="Y113" s="141" t="n"/>
      <c r="Z113" s="140" t="n"/>
      <c r="AA113" s="142" t="n"/>
      <c r="AB113" s="141" t="n"/>
      <c r="AC113" s="140" t="n"/>
      <c r="AD113" s="140" t="n"/>
      <c r="AE113" s="140" t="n"/>
      <c r="AF113" s="140" t="n"/>
      <c r="AG113" s="142" t="n"/>
      <c r="AH113" s="141" t="n"/>
      <c r="AI113" s="140" t="n"/>
      <c r="AJ113" s="140" t="n"/>
      <c r="AK113" s="142" t="n"/>
      <c r="AL113" s="141" t="n"/>
      <c r="AM113" s="140" t="n"/>
      <c r="AN113" s="140" t="n"/>
      <c r="AO113" s="140" t="n"/>
      <c r="AP113" s="142" t="n"/>
      <c r="AQ113" s="141" t="n"/>
      <c r="AR113" s="140" t="n"/>
      <c r="AS113" s="142" t="n"/>
    </row>
    <row r="114" ht="13" customHeight="1" s="70">
      <c r="A114" s="143" t="n"/>
      <c r="B114" s="144" t="n"/>
      <c r="C114" s="144" t="n"/>
      <c r="D114" s="145" t="n"/>
      <c r="E114" s="146" t="n"/>
      <c r="F114" s="147" t="n"/>
      <c r="G114" s="145" t="n"/>
      <c r="H114" s="146" t="n"/>
      <c r="I114" s="147" t="n"/>
      <c r="J114" s="145" t="n"/>
      <c r="K114" s="146" t="n"/>
      <c r="L114" s="147" t="n"/>
      <c r="M114" s="145" t="n"/>
      <c r="N114" s="146" t="n"/>
      <c r="O114" s="147" t="n"/>
      <c r="P114" s="145" t="n"/>
      <c r="Q114" s="146" t="n"/>
      <c r="R114" s="147" t="n"/>
      <c r="S114" s="145" t="n"/>
      <c r="T114" s="146" t="n"/>
      <c r="U114" s="147" t="n"/>
      <c r="V114" s="145" t="n"/>
      <c r="W114" s="146" t="n"/>
      <c r="X114" s="147" t="n"/>
      <c r="Y114" s="145" t="n"/>
      <c r="Z114" s="146" t="n"/>
      <c r="AA114" s="147" t="n"/>
      <c r="AB114" s="145" t="n"/>
      <c r="AC114" s="146" t="n"/>
      <c r="AD114" s="146" t="n"/>
      <c r="AE114" s="146" t="n"/>
      <c r="AF114" s="146" t="n"/>
      <c r="AG114" s="147" t="n"/>
      <c r="AH114" s="145" t="n"/>
      <c r="AI114" s="146" t="n"/>
      <c r="AJ114" s="146" t="n"/>
      <c r="AK114" s="147" t="n"/>
      <c r="AL114" s="145" t="n"/>
      <c r="AM114" s="146" t="n"/>
      <c r="AN114" s="146" t="n"/>
      <c r="AO114" s="146" t="n"/>
      <c r="AP114" s="147" t="n"/>
      <c r="AQ114" s="145" t="n"/>
      <c r="AR114" s="146" t="n"/>
      <c r="AS114" s="147" t="n"/>
    </row>
    <row r="115" ht="14" customHeight="1" s="70">
      <c r="A115" s="125" t="inlineStr">
        <is>
          <t>OPM122501</t>
        </is>
      </c>
      <c r="B115" s="126" t="inlineStr">
        <is>
          <t>P060242</t>
        </is>
      </c>
      <c r="C115" s="127" t="inlineStr">
        <is>
          <t>✓ COMPLETE
3 testing instances
• 3 document(s) on file, not credited</t>
        </is>
      </c>
      <c r="D115" s="128" t="inlineStr">
        <is>
          <t>Conforms</t>
        </is>
      </c>
      <c r="E115" s="129">
        <f>IFERROR(INDEX('iCoA Register'!$B:$B,MATCH("P060242|AB|I",'iCoA Register'!$R:$R,0)),"iCoA — at issue")&amp;", (28.04.2026) [PP]"</f>
        <v/>
      </c>
      <c r="F115" s="130" t="inlineStr">
        <is>
          <t>✓</t>
        </is>
      </c>
      <c r="G115" s="128" t="inlineStr">
        <is>
          <t>Conforms</t>
        </is>
      </c>
      <c r="H115" s="129">
        <f>IFERROR(INDEX('iCoA Register'!$B:$B,MATCH("P060242|AB|I",'iCoA Register'!$R:$R,0)),"iCoA — at issue")&amp;", (28.04.2026) [PP]"</f>
        <v/>
      </c>
      <c r="I115" s="130" t="inlineStr">
        <is>
          <t>✓</t>
        </is>
      </c>
      <c r="J115" s="128" t="inlineStr">
        <is>
          <t>Conforms (ImB spec.) ᴿ</t>
        </is>
      </c>
      <c r="K115" s="129" t="inlineStr">
        <is>
          <t>100-4-K-26, (09.04.2026) [FHM-K]</t>
        </is>
      </c>
      <c r="L115" s="130" t="inlineStr">
        <is>
          <t>✓</t>
        </is>
      </c>
      <c r="M115" s="128" t="inlineStr">
        <is>
          <t>8.09</t>
        </is>
      </c>
      <c r="N115" s="129" t="inlineStr">
        <is>
          <t>100-4-K-26, (09.04.2026) [FHM-K]</t>
        </is>
      </c>
      <c r="O115" s="130" t="inlineStr">
        <is>
          <t>✓</t>
        </is>
      </c>
      <c r="P115" s="128" t="inlineStr">
        <is>
          <t>&lt;LOQ</t>
        </is>
      </c>
      <c r="Q115" s="129" t="inlineStr">
        <is>
          <t>100-4-K-26, (09.04.2026) [FHM-K]</t>
        </is>
      </c>
      <c r="R115" s="130" t="inlineStr">
        <is>
          <t>✓</t>
        </is>
      </c>
      <c r="S115" s="128" t="inlineStr">
        <is>
          <t>&lt;LOQ</t>
        </is>
      </c>
      <c r="T115" s="129" t="inlineStr">
        <is>
          <t>100-4-K-26, (09.04.2026) [FHM-K]</t>
        </is>
      </c>
      <c r="U115" s="130" t="inlineStr">
        <is>
          <t>✓</t>
        </is>
      </c>
      <c r="V115" s="128" t="inlineStr">
        <is>
          <t>Conforms</t>
        </is>
      </c>
      <c r="W115" s="129">
        <f>IFERROR(INDEX('iCoA Register'!$B:$B,MATCH("P060242|FM|I",'iCoA Register'!$R:$R,0)),"iCoA — at issue")&amp;", (28.04.2026) [PP]"</f>
        <v/>
      </c>
      <c r="X115" s="130" t="inlineStr">
        <is>
          <t>✓</t>
        </is>
      </c>
      <c r="Y115" s="131" t="inlineStr">
        <is>
          <t>not on this certificate</t>
        </is>
      </c>
      <c r="Z115" s="132" t="inlineStr">
        <is>
          <t>100-4-K-26, (09.04.2026) [FHM-K] · on file, not credited</t>
        </is>
      </c>
      <c r="AA115" s="133" t="inlineStr">
        <is>
          <t>•</t>
        </is>
      </c>
      <c r="AB115" s="128" t="inlineStr">
        <is>
          <t>120</t>
        </is>
      </c>
      <c r="AC115" s="134" t="inlineStr">
        <is>
          <t>100</t>
        </is>
      </c>
      <c r="AD115" s="134" t="inlineStr">
        <is>
          <t>&lt;10</t>
        </is>
      </c>
      <c r="AE115" s="134" t="inlineStr">
        <is>
          <t>Одговара</t>
        </is>
      </c>
      <c r="AF115" s="134" t="inlineStr">
        <is>
          <t>Одговара</t>
        </is>
      </c>
      <c r="AG115" s="130" t="inlineStr">
        <is>
          <t>✓</t>
        </is>
      </c>
      <c r="AH115" s="128" t="inlineStr">
        <is>
          <t>n.r.</t>
        </is>
      </c>
      <c r="AI115" s="134" t="inlineStr">
        <is>
          <t>2.2</t>
        </is>
      </c>
      <c r="AJ115" s="134" t="inlineStr">
        <is>
          <t>n.r.</t>
        </is>
      </c>
      <c r="AK115" s="130" t="inlineStr">
        <is>
          <t>✓</t>
        </is>
      </c>
      <c r="AL115" s="128" t="inlineStr">
        <is>
          <t>0.049</t>
        </is>
      </c>
      <c r="AM115" s="134" t="inlineStr">
        <is>
          <t>0.165</t>
        </is>
      </c>
      <c r="AN115" s="134" t="inlineStr">
        <is>
          <t>н.д.</t>
        </is>
      </c>
      <c r="AO115" s="134" t="inlineStr">
        <is>
          <t>н.д.</t>
        </is>
      </c>
      <c r="AP115" s="130" t="inlineStr">
        <is>
          <t>✓</t>
        </is>
      </c>
      <c r="AQ115" s="128" t="inlineStr">
        <is>
          <t>≤ LOQ (all 25 compounds)</t>
        </is>
      </c>
      <c r="AR115" s="129" t="inlineStr">
        <is>
          <t>1627-2026, (23.04.2026) [IJZ]</t>
        </is>
      </c>
      <c r="AS115" s="130" t="inlineStr">
        <is>
          <t>✓</t>
        </is>
      </c>
    </row>
    <row r="116" ht="21" customHeight="1" s="70">
      <c r="A116" s="135" t="n"/>
      <c r="D116" s="136" t="n"/>
      <c r="F116" s="137" t="n"/>
      <c r="G116" s="136" t="n"/>
      <c r="I116" s="137" t="n"/>
      <c r="J116" s="136" t="n"/>
      <c r="L116" s="137" t="n"/>
      <c r="M116" s="136" t="n"/>
      <c r="O116" s="137" t="n"/>
      <c r="P116" s="136" t="n"/>
      <c r="R116" s="137" t="n"/>
      <c r="S116" s="136" t="n"/>
      <c r="U116" s="137" t="n"/>
      <c r="V116" s="136" t="n"/>
      <c r="X116" s="137" t="n"/>
      <c r="Y116" s="136" t="n"/>
      <c r="AA116" s="137" t="n"/>
      <c r="AB116" s="138" t="inlineStr">
        <is>
          <t>229-0392-26, (07.04.2026) [IJZ-MB]</t>
        </is>
      </c>
      <c r="AG116" s="137" t="n"/>
      <c r="AH116" s="138" t="inlineStr">
        <is>
          <t>1627-2026, (23.04.2026) [IJZ]</t>
        </is>
      </c>
      <c r="AK116" s="137" t="n"/>
      <c r="AL116" s="138" t="inlineStr">
        <is>
          <t>1627-2026, (23.04.2026) [IJZ]</t>
        </is>
      </c>
      <c r="AP116" s="137" t="n"/>
      <c r="AQ116" s="136" t="n"/>
      <c r="AS116" s="137" t="n"/>
    </row>
    <row r="117" ht="14" customHeight="1" s="70">
      <c r="A117" s="139" t="n"/>
      <c r="B117" s="140" t="n"/>
      <c r="D117" s="141" t="n"/>
      <c r="E117" s="140" t="n"/>
      <c r="F117" s="142" t="n"/>
      <c r="G117" s="141" t="n"/>
      <c r="H117" s="140" t="n"/>
      <c r="I117" s="142" t="n"/>
      <c r="J117" s="131" t="inlineStr">
        <is>
          <t>not on this certificate</t>
        </is>
      </c>
      <c r="K117" s="132" t="inlineStr">
        <is>
          <t>100-4-LoD-26, (09.04.2026) [FHM-K] · on file, not credited</t>
        </is>
      </c>
      <c r="L117" s="133" t="inlineStr">
        <is>
          <t>•</t>
        </is>
      </c>
      <c r="M117" s="131" t="inlineStr">
        <is>
          <t>not on this certificate</t>
        </is>
      </c>
      <c r="N117" s="132" t="inlineStr">
        <is>
          <t>100-4-LoD-26, (09.04.2026) [FHM-K] · on file, not credited</t>
        </is>
      </c>
      <c r="O117" s="133" t="inlineStr">
        <is>
          <t>•</t>
        </is>
      </c>
      <c r="P117" s="131" t="inlineStr">
        <is>
          <t>not on this certificate</t>
        </is>
      </c>
      <c r="Q117" s="132" t="inlineStr">
        <is>
          <t>100-4-LoD-26, (09.04.2026) [FHM-K] · on file, not credited</t>
        </is>
      </c>
      <c r="R117" s="133" t="inlineStr">
        <is>
          <t>•</t>
        </is>
      </c>
      <c r="S117" s="131" t="inlineStr">
        <is>
          <t>not on this certificate</t>
        </is>
      </c>
      <c r="T117" s="132" t="inlineStr">
        <is>
          <t>100-4-LoD-26, (09.04.2026) [FHM-K] · on file, not credited</t>
        </is>
      </c>
      <c r="U117" s="133" t="inlineStr">
        <is>
          <t>•</t>
        </is>
      </c>
      <c r="V117" s="141" t="n"/>
      <c r="W117" s="140" t="n"/>
      <c r="X117" s="142" t="n"/>
      <c r="Y117" s="128" t="inlineStr">
        <is>
          <t>6.6</t>
        </is>
      </c>
      <c r="Z117" s="129" t="inlineStr">
        <is>
          <t>100-4-LoD-26, (09.04.2026) [FHM-K]</t>
        </is>
      </c>
      <c r="AA117" s="130" t="inlineStr">
        <is>
          <t>✓</t>
        </is>
      </c>
      <c r="AB117" s="141" t="n"/>
      <c r="AC117" s="140" t="n"/>
      <c r="AD117" s="140" t="n"/>
      <c r="AE117" s="140" t="n"/>
      <c r="AF117" s="140" t="n"/>
      <c r="AG117" s="142" t="n"/>
      <c r="AH117" s="128" t="inlineStr">
        <is>
          <t>ND</t>
        </is>
      </c>
      <c r="AI117" s="134" t="inlineStr">
        <is>
          <t>ND ᴿ</t>
        </is>
      </c>
      <c r="AJ117" s="134" t="inlineStr">
        <is>
          <t>ND</t>
        </is>
      </c>
      <c r="AK117" s="130" t="inlineStr">
        <is>
          <t>✓</t>
        </is>
      </c>
      <c r="AL117" s="141" t="n"/>
      <c r="AM117" s="140" t="n"/>
      <c r="AN117" s="140" t="n"/>
      <c r="AO117" s="140" t="n"/>
      <c r="AP117" s="142" t="n"/>
      <c r="AQ117" s="141" t="n"/>
      <c r="AR117" s="140" t="n"/>
      <c r="AS117" s="142" t="n"/>
    </row>
    <row r="118" ht="21" customHeight="1" s="70">
      <c r="A118" s="157" t="n"/>
      <c r="B118" s="146" t="n"/>
      <c r="D118" s="145" t="n"/>
      <c r="E118" s="146" t="n"/>
      <c r="F118" s="147" t="n"/>
      <c r="G118" s="145" t="n"/>
      <c r="H118" s="146" t="n"/>
      <c r="I118" s="147" t="n"/>
      <c r="J118" s="145" t="n"/>
      <c r="K118" s="146" t="n"/>
      <c r="L118" s="147" t="n"/>
      <c r="M118" s="145" t="n"/>
      <c r="N118" s="146" t="n"/>
      <c r="O118" s="147" t="n"/>
      <c r="P118" s="145" t="n"/>
      <c r="Q118" s="146" t="n"/>
      <c r="R118" s="147" t="n"/>
      <c r="S118" s="145" t="n"/>
      <c r="T118" s="146" t="n"/>
      <c r="U118" s="147" t="n"/>
      <c r="V118" s="145" t="n"/>
      <c r="W118" s="146" t="n"/>
      <c r="X118" s="147" t="n"/>
      <c r="Y118" s="145" t="n"/>
      <c r="Z118" s="146" t="n"/>
      <c r="AA118" s="147" t="n"/>
      <c r="AB118" s="145" t="n"/>
      <c r="AC118" s="146" t="n"/>
      <c r="AD118" s="146" t="n"/>
      <c r="AE118" s="146" t="n"/>
      <c r="AF118" s="146" t="n"/>
      <c r="AG118" s="147" t="n"/>
      <c r="AH118" s="148" t="inlineStr">
        <is>
          <t>197-19-M-26, (10.08.2026) [FHM-M]</t>
        </is>
      </c>
      <c r="AI118" s="146" t="n"/>
      <c r="AJ118" s="146" t="n"/>
      <c r="AK118" s="147" t="n"/>
      <c r="AL118" s="145" t="n"/>
      <c r="AM118" s="146" t="n"/>
      <c r="AN118" s="146" t="n"/>
      <c r="AO118" s="146" t="n"/>
      <c r="AP118" s="147" t="n"/>
      <c r="AQ118" s="145" t="n"/>
      <c r="AR118" s="146" t="n"/>
      <c r="AS118" s="147" t="n"/>
    </row>
    <row r="119" ht="14" customHeight="1" s="70">
      <c r="A119" s="139" t="n"/>
      <c r="B119" s="140" t="n"/>
      <c r="D119" s="141" t="n"/>
      <c r="E119" s="140" t="n"/>
      <c r="F119" s="142" t="n"/>
      <c r="G119" s="141" t="n"/>
      <c r="H119" s="140" t="n"/>
      <c r="I119" s="142" t="n"/>
      <c r="J119" s="128" t="inlineStr">
        <is>
          <t>Conforms (ImB spec.) ᴿ</t>
        </is>
      </c>
      <c r="K119" s="129" t="inlineStr">
        <is>
          <t>197-19-K-26, (07.08.2026) [FHM-K]</t>
        </is>
      </c>
      <c r="L119" s="130" t="inlineStr">
        <is>
          <t>✓</t>
        </is>
      </c>
      <c r="M119" s="128" t="inlineStr">
        <is>
          <t>7.91</t>
        </is>
      </c>
      <c r="N119" s="129" t="inlineStr">
        <is>
          <t>197-19-K-26, (07.08.2026) [FHM-K]</t>
        </is>
      </c>
      <c r="O119" s="130" t="inlineStr">
        <is>
          <t>✓</t>
        </is>
      </c>
      <c r="P119" s="128" t="inlineStr">
        <is>
          <t>&lt;LOQ</t>
        </is>
      </c>
      <c r="Q119" s="129" t="inlineStr">
        <is>
          <t>197-19-K-26, (07.08.2026) [FHM-K]</t>
        </is>
      </c>
      <c r="R119" s="130" t="inlineStr">
        <is>
          <t>✓</t>
        </is>
      </c>
      <c r="S119" s="128" t="inlineStr">
        <is>
          <t>&lt;LOQ</t>
        </is>
      </c>
      <c r="T119" s="129" t="inlineStr">
        <is>
          <t>197-19-K-26, (07.08.2026) [FHM-K]</t>
        </is>
      </c>
      <c r="U119" s="130" t="inlineStr">
        <is>
          <t>✓</t>
        </is>
      </c>
      <c r="V119" s="141" t="n"/>
      <c r="W119" s="140" t="n"/>
      <c r="X119" s="142" t="n"/>
      <c r="Y119" s="131" t="inlineStr">
        <is>
          <t>not on this certificate</t>
        </is>
      </c>
      <c r="Z119" s="132" t="inlineStr">
        <is>
          <t>197-19-K-26, (07.08.2026) [FHM-K] · on file, not credited</t>
        </is>
      </c>
      <c r="AA119" s="133" t="inlineStr">
        <is>
          <t>•</t>
        </is>
      </c>
      <c r="AB119" s="141" t="n"/>
      <c r="AC119" s="140" t="n"/>
      <c r="AD119" s="140" t="n"/>
      <c r="AE119" s="140" t="n"/>
      <c r="AF119" s="140" t="n"/>
      <c r="AG119" s="142" t="n"/>
      <c r="AH119" s="141" t="n"/>
      <c r="AI119" s="140" t="n"/>
      <c r="AJ119" s="140" t="n"/>
      <c r="AK119" s="142" t="n"/>
      <c r="AL119" s="141" t="n"/>
      <c r="AM119" s="140" t="n"/>
      <c r="AN119" s="140" t="n"/>
      <c r="AO119" s="140" t="n"/>
      <c r="AP119" s="142" t="n"/>
      <c r="AQ119" s="141" t="n"/>
      <c r="AR119" s="140" t="n"/>
      <c r="AS119" s="142" t="n"/>
    </row>
    <row r="120" ht="21" customHeight="1" s="70">
      <c r="A120" s="143" t="n"/>
      <c r="B120" s="144" t="n"/>
      <c r="C120" s="144" t="n"/>
      <c r="D120" s="145" t="n"/>
      <c r="E120" s="146" t="n"/>
      <c r="F120" s="147" t="n"/>
      <c r="G120" s="145" t="n"/>
      <c r="H120" s="146" t="n"/>
      <c r="I120" s="147" t="n"/>
      <c r="J120" s="145" t="n"/>
      <c r="K120" s="146" t="n"/>
      <c r="L120" s="147" t="n"/>
      <c r="M120" s="145" t="n"/>
      <c r="N120" s="146" t="n"/>
      <c r="O120" s="147" t="n"/>
      <c r="P120" s="145" t="n"/>
      <c r="Q120" s="146" t="n"/>
      <c r="R120" s="147" t="n"/>
      <c r="S120" s="145" t="n"/>
      <c r="T120" s="146" t="n"/>
      <c r="U120" s="147" t="n"/>
      <c r="V120" s="145" t="n"/>
      <c r="W120" s="146" t="n"/>
      <c r="X120" s="147" t="n"/>
      <c r="Y120" s="145" t="n"/>
      <c r="Z120" s="146" t="n"/>
      <c r="AA120" s="147" t="n"/>
      <c r="AB120" s="145" t="n"/>
      <c r="AC120" s="146" t="n"/>
      <c r="AD120" s="146" t="n"/>
      <c r="AE120" s="146" t="n"/>
      <c r="AF120" s="146" t="n"/>
      <c r="AG120" s="147" t="n"/>
      <c r="AH120" s="145" t="n"/>
      <c r="AI120" s="146" t="n"/>
      <c r="AJ120" s="146" t="n"/>
      <c r="AK120" s="147" t="n"/>
      <c r="AL120" s="145" t="n"/>
      <c r="AM120" s="146" t="n"/>
      <c r="AN120" s="146" t="n"/>
      <c r="AO120" s="146" t="n"/>
      <c r="AP120" s="147" t="n"/>
      <c r="AQ120" s="145" t="n"/>
      <c r="AR120" s="146" t="n"/>
      <c r="AS120" s="147" t="n"/>
    </row>
    <row r="121" ht="14" customHeight="1" s="70">
      <c r="A121" s="125" t="inlineStr">
        <is>
          <t>GG1024_02</t>
        </is>
      </c>
      <c r="B121" s="126" t="inlineStr">
        <is>
          <t>P050012</t>
        </is>
      </c>
      <c r="C121" s="149" t="inlineStr">
        <is>
          <t>✓ COMPLETE
2 testing instances
• 1 document(s) on file, not credited
◐ UNDETERMINED (Ph. Eur. band): #9 TYMC</t>
        </is>
      </c>
      <c r="D121" s="128" t="inlineStr">
        <is>
          <t>Conforms</t>
        </is>
      </c>
      <c r="E121" s="129">
        <f>IFERROR(INDEX('iCoA Register'!$B:$B,MATCH("P050012|AB|I",'iCoA Register'!$R:$R,0)),"iCoA — at issue")&amp;", (11.06.2025) [PP]"</f>
        <v/>
      </c>
      <c r="F121" s="130" t="inlineStr">
        <is>
          <t>✓</t>
        </is>
      </c>
      <c r="G121" s="131" t="inlineStr">
        <is>
          <t>not on this certificate</t>
        </is>
      </c>
      <c r="H121" s="132" t="inlineStr">
        <is>
          <t>ППК25140, (22.05.2025) [CNP] · on file, not credited</t>
        </is>
      </c>
      <c r="I121" s="133" t="inlineStr">
        <is>
          <t>•</t>
        </is>
      </c>
      <c r="J121" s="128" t="inlineStr">
        <is>
          <t>Conforms (ImB spec.)</t>
        </is>
      </c>
      <c r="K121" s="129" t="inlineStr">
        <is>
          <t>ППК25140, (22.05.2025) [CNP]</t>
        </is>
      </c>
      <c r="L121" s="130" t="inlineStr">
        <is>
          <t>✓</t>
        </is>
      </c>
      <c r="M121" s="128" t="inlineStr">
        <is>
          <t>15.95</t>
        </is>
      </c>
      <c r="N121" s="129" t="inlineStr">
        <is>
          <t>ППК25140, (22.05.2025) [CNP]</t>
        </is>
      </c>
      <c r="O121" s="130" t="inlineStr">
        <is>
          <t>✓</t>
        </is>
      </c>
      <c r="P121" s="128" t="inlineStr">
        <is>
          <t>0.05</t>
        </is>
      </c>
      <c r="Q121" s="129" t="inlineStr">
        <is>
          <t>ППК25140, (22.05.2025) [CNP]</t>
        </is>
      </c>
      <c r="R121" s="130" t="inlineStr">
        <is>
          <t>✓</t>
        </is>
      </c>
      <c r="S121" s="128" t="inlineStr">
        <is>
          <t>0.01 ᴰ</t>
        </is>
      </c>
      <c r="T121" s="129" t="inlineStr">
        <is>
          <t>ППК25140, (22.05.2025) [CNP]</t>
        </is>
      </c>
      <c r="U121" s="130" t="inlineStr">
        <is>
          <t>✓</t>
        </is>
      </c>
      <c r="V121" s="128" t="inlineStr">
        <is>
          <t>Conforms</t>
        </is>
      </c>
      <c r="W121" s="129">
        <f>IFERROR(INDEX('iCoA Register'!$B:$B,MATCH("P050012|FM|I",'iCoA Register'!$R:$R,0)),"iCoA — at issue")&amp;", (11.06.2025) [PP]"</f>
        <v/>
      </c>
      <c r="X121" s="130" t="inlineStr">
        <is>
          <t>✓</t>
        </is>
      </c>
      <c r="Y121" s="128" t="inlineStr">
        <is>
          <t>6.88</t>
        </is>
      </c>
      <c r="Z121" s="129" t="inlineStr">
        <is>
          <t>ППК25140, (22.05.2025) [CNP]</t>
        </is>
      </c>
      <c r="AA121" s="130" t="inlineStr">
        <is>
          <t>✓</t>
        </is>
      </c>
      <c r="AB121" s="128" t="inlineStr">
        <is>
          <t>2.1 x 10⁴</t>
        </is>
      </c>
      <c r="AC121" s="166" t="inlineStr">
        <is>
          <t>1.9 x 10⁴</t>
        </is>
      </c>
      <c r="AD121" s="134" t="inlineStr">
        <is>
          <t>&lt;10</t>
        </is>
      </c>
      <c r="AE121" s="134" t="inlineStr">
        <is>
          <t>Одговара</t>
        </is>
      </c>
      <c r="AF121" s="134" t="inlineStr">
        <is>
          <t>Одговара</t>
        </is>
      </c>
      <c r="AG121" s="130" t="inlineStr">
        <is>
          <t>✓</t>
        </is>
      </c>
      <c r="AH121" s="128" t="inlineStr">
        <is>
          <t>n.r.</t>
        </is>
      </c>
      <c r="AI121" s="134" t="inlineStr">
        <is>
          <t>&lt;2</t>
        </is>
      </c>
      <c r="AJ121" s="134" t="inlineStr">
        <is>
          <t>n.r.</t>
        </is>
      </c>
      <c r="AK121" s="130" t="inlineStr">
        <is>
          <t>✓</t>
        </is>
      </c>
      <c r="AL121" s="128" t="inlineStr">
        <is>
          <t>Н.д.</t>
        </is>
      </c>
      <c r="AM121" s="134" t="inlineStr">
        <is>
          <t>Н.д.</t>
        </is>
      </c>
      <c r="AN121" s="134" t="inlineStr">
        <is>
          <t>Н.д.</t>
        </is>
      </c>
      <c r="AO121" s="134" t="inlineStr">
        <is>
          <t>Н.д.</t>
        </is>
      </c>
      <c r="AP121" s="130" t="inlineStr">
        <is>
          <t>✓</t>
        </is>
      </c>
      <c r="AQ121" s="128" t="inlineStr">
        <is>
          <t>≤ LOQ (all 26 compounds)</t>
        </is>
      </c>
      <c r="AR121" s="129" t="inlineStr">
        <is>
          <t>2472-2025, (30.05.2025) [IJZ]</t>
        </is>
      </c>
      <c r="AS121" s="130" t="inlineStr">
        <is>
          <t>✓</t>
        </is>
      </c>
    </row>
    <row r="122" ht="13" customHeight="1" s="70">
      <c r="A122" s="135" t="n"/>
      <c r="D122" s="136" t="n"/>
      <c r="F122" s="137" t="n"/>
      <c r="G122" s="136" t="n"/>
      <c r="I122" s="137" t="n"/>
      <c r="J122" s="136" t="n"/>
      <c r="L122" s="137" t="n"/>
      <c r="M122" s="136" t="n"/>
      <c r="O122" s="137" t="n"/>
      <c r="P122" s="136" t="n"/>
      <c r="R122" s="137" t="n"/>
      <c r="S122" s="136" t="n"/>
      <c r="U122" s="137" t="n"/>
      <c r="V122" s="136" t="n"/>
      <c r="X122" s="137" t="n"/>
      <c r="Y122" s="136" t="n"/>
      <c r="AA122" s="137" t="n"/>
      <c r="AB122" s="138" t="inlineStr">
        <is>
          <t>472-0863-25, (22.05.2025) [IJZ-MB]</t>
        </is>
      </c>
      <c r="AG122" s="137" t="n"/>
      <c r="AH122" s="138" t="inlineStr">
        <is>
          <t>2472-2025, (30.05.2025) [IJZ]</t>
        </is>
      </c>
      <c r="AK122" s="137" t="n"/>
      <c r="AL122" s="138" t="inlineStr">
        <is>
          <t>2472-2025, (30.05.2025) [IJZ]</t>
        </is>
      </c>
      <c r="AP122" s="137" t="n"/>
      <c r="AQ122" s="136" t="n"/>
      <c r="AS122" s="137" t="n"/>
    </row>
    <row r="123" ht="14" customHeight="1" s="70">
      <c r="A123" s="139" t="n"/>
      <c r="B123" s="140" t="n"/>
      <c r="D123" s="141" t="n"/>
      <c r="E123" s="140" t="n"/>
      <c r="F123" s="142" t="n"/>
      <c r="G123" s="128" t="inlineStr">
        <is>
          <t>Conforms</t>
        </is>
      </c>
      <c r="H123" s="129">
        <f>IFERROR(INDEX('iCoA Register'!$B:$B,MATCH("P050012|AB|I",'iCoA Register'!$R:$R,0)),"iCoA — at issue")&amp;", (11.06.2025) [PP]"</f>
        <v/>
      </c>
      <c r="I123" s="130" t="inlineStr">
        <is>
          <t>✓</t>
        </is>
      </c>
      <c r="J123" s="141" t="n"/>
      <c r="K123" s="140" t="n"/>
      <c r="L123" s="142" t="n"/>
      <c r="M123" s="141" t="n"/>
      <c r="N123" s="140" t="n"/>
      <c r="O123" s="142" t="n"/>
      <c r="P123" s="141" t="n"/>
      <c r="Q123" s="140" t="n"/>
      <c r="R123" s="142" t="n"/>
      <c r="S123" s="141" t="n"/>
      <c r="T123" s="140" t="n"/>
      <c r="U123" s="142" t="n"/>
      <c r="V123" s="141" t="n"/>
      <c r="W123" s="140" t="n"/>
      <c r="X123" s="142" t="n"/>
      <c r="Y123" s="141" t="n"/>
      <c r="Z123" s="140" t="n"/>
      <c r="AA123" s="142" t="n"/>
      <c r="AB123" s="128" t="inlineStr">
        <is>
          <t>&lt;10</t>
        </is>
      </c>
      <c r="AC123" s="134" t="inlineStr">
        <is>
          <t>&lt;10</t>
        </is>
      </c>
      <c r="AD123" s="134" t="inlineStr">
        <is>
          <t>&lt;10</t>
        </is>
      </c>
      <c r="AE123" s="134" t="inlineStr">
        <is>
          <t>absent</t>
        </is>
      </c>
      <c r="AF123" s="134" t="inlineStr">
        <is>
          <t>absent</t>
        </is>
      </c>
      <c r="AG123" s="130" t="inlineStr">
        <is>
          <t>✓</t>
        </is>
      </c>
      <c r="AH123" s="141" t="n"/>
      <c r="AI123" s="140" t="n"/>
      <c r="AJ123" s="140" t="n"/>
      <c r="AK123" s="142" t="n"/>
      <c r="AL123" s="141" t="n"/>
      <c r="AM123" s="140" t="n"/>
      <c r="AN123" s="140" t="n"/>
      <c r="AO123" s="140" t="n"/>
      <c r="AP123" s="142" t="n"/>
      <c r="AQ123" s="141" t="n"/>
      <c r="AR123" s="140" t="n"/>
      <c r="AS123" s="142" t="n"/>
    </row>
    <row r="124" ht="13" customHeight="1" s="70">
      <c r="A124" s="143" t="n"/>
      <c r="B124" s="144" t="n"/>
      <c r="C124" s="144" t="n"/>
      <c r="D124" s="145" t="n"/>
      <c r="E124" s="146" t="n"/>
      <c r="F124" s="147" t="n"/>
      <c r="G124" s="145" t="n"/>
      <c r="H124" s="146" t="n"/>
      <c r="I124" s="147" t="n"/>
      <c r="J124" s="145" t="n"/>
      <c r="K124" s="146" t="n"/>
      <c r="L124" s="147" t="n"/>
      <c r="M124" s="145" t="n"/>
      <c r="N124" s="146" t="n"/>
      <c r="O124" s="147" t="n"/>
      <c r="P124" s="145" t="n"/>
      <c r="Q124" s="146" t="n"/>
      <c r="R124" s="147" t="n"/>
      <c r="S124" s="145" t="n"/>
      <c r="T124" s="146" t="n"/>
      <c r="U124" s="147" t="n"/>
      <c r="V124" s="145" t="n"/>
      <c r="W124" s="146" t="n"/>
      <c r="X124" s="147" t="n"/>
      <c r="Y124" s="145" t="n"/>
      <c r="Z124" s="146" t="n"/>
      <c r="AA124" s="147" t="n"/>
      <c r="AB124" s="148" t="inlineStr">
        <is>
          <t>564-1095-26, (01.09.2026) [IJZ-MB]</t>
        </is>
      </c>
      <c r="AC124" s="146" t="n"/>
      <c r="AD124" s="146" t="n"/>
      <c r="AE124" s="146" t="n"/>
      <c r="AF124" s="146" t="n"/>
      <c r="AG124" s="147" t="n"/>
      <c r="AH124" s="145" t="n"/>
      <c r="AI124" s="146" t="n"/>
      <c r="AJ124" s="146" t="n"/>
      <c r="AK124" s="147" t="n"/>
      <c r="AL124" s="145" t="n"/>
      <c r="AM124" s="146" t="n"/>
      <c r="AN124" s="146" t="n"/>
      <c r="AO124" s="146" t="n"/>
      <c r="AP124" s="147" t="n"/>
      <c r="AQ124" s="145" t="n"/>
      <c r="AR124" s="146" t="n"/>
      <c r="AS124" s="147" t="n"/>
    </row>
    <row r="125" ht="21" customHeight="1" s="70">
      <c r="A125" s="125" t="inlineStr">
        <is>
          <t>GP0824_02</t>
        </is>
      </c>
      <c r="B125" s="126" t="inlineStr">
        <is>
          <t>P050022</t>
        </is>
      </c>
      <c r="C125" s="127" t="inlineStr">
        <is>
          <t>✓ COMPLETE
6 testing instances
• 6 document(s) on file, not credited
· stability above A.C.: #6</t>
        </is>
      </c>
      <c r="D125" s="128" t="inlineStr">
        <is>
          <t>Conforms</t>
        </is>
      </c>
      <c r="E125" s="129">
        <f>IFERROR(INDEX('iCoA Register'!$B:$B,MATCH("P050022|AB|I",'iCoA Register'!$R:$R,0)),"iCoA — at issue")&amp;", (03.06.2025) [PP]"</f>
        <v/>
      </c>
      <c r="F125" s="130" t="inlineStr">
        <is>
          <t>✓</t>
        </is>
      </c>
      <c r="G125" s="131" t="inlineStr">
        <is>
          <t>not on this certificate</t>
        </is>
      </c>
      <c r="H125" s="132" t="inlineStr">
        <is>
          <t>ППК25139, (22.05.2025) [CNP] · on file, not credited</t>
        </is>
      </c>
      <c r="I125" s="133" t="inlineStr">
        <is>
          <t>•</t>
        </is>
      </c>
      <c r="J125" s="128" t="inlineStr">
        <is>
          <t>Conforms (ImB spec.)</t>
        </is>
      </c>
      <c r="K125" s="129" t="inlineStr">
        <is>
          <t>ППК25139, (22.05.2025) [CNP]</t>
        </is>
      </c>
      <c r="L125" s="130" t="inlineStr">
        <is>
          <t>✓</t>
        </is>
      </c>
      <c r="M125" s="128" t="inlineStr">
        <is>
          <t>23.79</t>
        </is>
      </c>
      <c r="N125" s="129" t="inlineStr">
        <is>
          <t>ППК25139, (22.05.2025) [CNP]</t>
        </is>
      </c>
      <c r="O125" s="130" t="inlineStr">
        <is>
          <t>✓</t>
        </is>
      </c>
      <c r="P125" s="128" t="inlineStr">
        <is>
          <t>0.10</t>
        </is>
      </c>
      <c r="Q125" s="129" t="inlineStr">
        <is>
          <t>ППК25139, (22.05.2025) [CNP]</t>
        </is>
      </c>
      <c r="R125" s="130" t="inlineStr">
        <is>
          <t>✓</t>
        </is>
      </c>
      <c r="S125" s="128" t="inlineStr">
        <is>
          <t>0.02 ᴰ</t>
        </is>
      </c>
      <c r="T125" s="129" t="inlineStr">
        <is>
          <t>ППК25139, (22.05.2025) [CNP]</t>
        </is>
      </c>
      <c r="U125" s="130" t="inlineStr">
        <is>
          <t>✓</t>
        </is>
      </c>
      <c r="V125" s="128" t="inlineStr">
        <is>
          <t>Conforms</t>
        </is>
      </c>
      <c r="W125" s="129">
        <f>IFERROR(INDEX('iCoA Register'!$B:$B,MATCH("P050022|FM|I",'iCoA Register'!$R:$R,0)),"iCoA — at issue")&amp;", (03.06.2025) [PP]"</f>
        <v/>
      </c>
      <c r="X125" s="130" t="inlineStr">
        <is>
          <t>✓</t>
        </is>
      </c>
      <c r="Y125" s="128" t="inlineStr">
        <is>
          <t>7.21</t>
        </is>
      </c>
      <c r="Z125" s="129" t="inlineStr">
        <is>
          <t>ППК25139, (22.05.2025) [CNP]</t>
        </is>
      </c>
      <c r="AA125" s="130" t="inlineStr">
        <is>
          <t>✓</t>
        </is>
      </c>
      <c r="AB125" s="128" t="inlineStr">
        <is>
          <t>700</t>
        </is>
      </c>
      <c r="AC125" s="134" t="inlineStr">
        <is>
          <t>10</t>
        </is>
      </c>
      <c r="AD125" s="134" t="inlineStr">
        <is>
          <t>&lt;10^2 и &gt;10</t>
        </is>
      </c>
      <c r="AE125" s="134" t="inlineStr">
        <is>
          <t>Одговара</t>
        </is>
      </c>
      <c r="AF125" s="134" t="inlineStr">
        <is>
          <t>Одговара</t>
        </is>
      </c>
      <c r="AG125" s="130" t="inlineStr">
        <is>
          <t>✓</t>
        </is>
      </c>
      <c r="AH125" s="128" t="inlineStr">
        <is>
          <t>n.r.</t>
        </is>
      </c>
      <c r="AI125" s="134" t="inlineStr">
        <is>
          <t>&lt;2</t>
        </is>
      </c>
      <c r="AJ125" s="134" t="inlineStr">
        <is>
          <t>n.r.</t>
        </is>
      </c>
      <c r="AK125" s="130" t="inlineStr">
        <is>
          <t>✓</t>
        </is>
      </c>
      <c r="AL125" s="128" t="inlineStr">
        <is>
          <t>н.д.</t>
        </is>
      </c>
      <c r="AM125" s="134" t="inlineStr">
        <is>
          <t>н.д.</t>
        </is>
      </c>
      <c r="AN125" s="134" t="inlineStr">
        <is>
          <t>н.д.</t>
        </is>
      </c>
      <c r="AO125" s="134" t="inlineStr">
        <is>
          <t>н.д.</t>
        </is>
      </c>
      <c r="AP125" s="130" t="inlineStr">
        <is>
          <t>✓</t>
        </is>
      </c>
      <c r="AQ125" s="128" t="inlineStr">
        <is>
          <t>≤ LOQ (all 29 compounds)</t>
        </is>
      </c>
      <c r="AR125" s="129" t="inlineStr">
        <is>
          <t>2471-2025, (30.05.2025) [IJZ]</t>
        </is>
      </c>
      <c r="AS125" s="130" t="inlineStr">
        <is>
          <t>✓</t>
        </is>
      </c>
    </row>
    <row r="126" ht="13" customHeight="1" s="70">
      <c r="A126" s="135" t="n"/>
      <c r="D126" s="136" t="n"/>
      <c r="F126" s="137" t="n"/>
      <c r="G126" s="136" t="n"/>
      <c r="I126" s="137" t="n"/>
      <c r="J126" s="136" t="n"/>
      <c r="L126" s="137" t="n"/>
      <c r="M126" s="136" t="n"/>
      <c r="O126" s="137" t="n"/>
      <c r="P126" s="136" t="n"/>
      <c r="R126" s="137" t="n"/>
      <c r="S126" s="136" t="n"/>
      <c r="U126" s="137" t="n"/>
      <c r="V126" s="136" t="n"/>
      <c r="X126" s="137" t="n"/>
      <c r="Y126" s="136" t="n"/>
      <c r="AA126" s="137" t="n"/>
      <c r="AB126" s="138" t="inlineStr">
        <is>
          <t>471-0862-25, (22.05.2025) [IJZ-MB]</t>
        </is>
      </c>
      <c r="AG126" s="137" t="n"/>
      <c r="AH126" s="138" t="inlineStr">
        <is>
          <t>2471-2025, (30.05.2025) [IJZ]</t>
        </is>
      </c>
      <c r="AK126" s="137" t="n"/>
      <c r="AL126" s="138" t="inlineStr">
        <is>
          <t>2471-2025, (30.05.2025) [IJZ]</t>
        </is>
      </c>
      <c r="AP126" s="137" t="n"/>
      <c r="AQ126" s="136" t="n"/>
      <c r="AS126" s="137" t="n"/>
    </row>
    <row r="127" ht="14" customHeight="1" s="70">
      <c r="A127" s="139" t="n"/>
      <c r="B127" s="140" t="n"/>
      <c r="D127" s="141" t="n"/>
      <c r="E127" s="140" t="n"/>
      <c r="F127" s="142" t="n"/>
      <c r="G127" s="128" t="inlineStr">
        <is>
          <t>Conforms</t>
        </is>
      </c>
      <c r="H127" s="129">
        <f>IFERROR(INDEX('iCoA Register'!$B:$B,MATCH("P050022|AB|I",'iCoA Register'!$R:$R,0)),"iCoA — at issue")&amp;", (03.06.2025) [PP]"</f>
        <v/>
      </c>
      <c r="I127" s="130" t="inlineStr">
        <is>
          <t>✓</t>
        </is>
      </c>
      <c r="J127" s="128" t="inlineStr">
        <is>
          <t>Conforms (ImB spec.)</t>
        </is>
      </c>
      <c r="K127" s="129" t="inlineStr">
        <is>
          <t>ППК25174, (10.07.2025) [CNP]</t>
        </is>
      </c>
      <c r="L127" s="130" t="inlineStr">
        <is>
          <t>✓</t>
        </is>
      </c>
      <c r="M127" s="128" t="inlineStr">
        <is>
          <t>23.19</t>
        </is>
      </c>
      <c r="N127" s="129" t="inlineStr">
        <is>
          <t>ППК25174, (10.07.2025) [CNP]</t>
        </is>
      </c>
      <c r="O127" s="130" t="inlineStr">
        <is>
          <t>✓</t>
        </is>
      </c>
      <c r="P127" s="128" t="inlineStr">
        <is>
          <t>0.07</t>
        </is>
      </c>
      <c r="Q127" s="129" t="inlineStr">
        <is>
          <t>ППК25174, (10.07.2025) [CNP]</t>
        </is>
      </c>
      <c r="R127" s="130" t="inlineStr">
        <is>
          <t>✓</t>
        </is>
      </c>
      <c r="S127" s="128" t="inlineStr">
        <is>
          <t>BLQ ᴰ</t>
        </is>
      </c>
      <c r="T127" s="129" t="inlineStr">
        <is>
          <t>ППК25174, (10.07.2025) [CNP]</t>
        </is>
      </c>
      <c r="U127" s="130" t="inlineStr">
        <is>
          <t>✓</t>
        </is>
      </c>
      <c r="V127" s="141" t="n"/>
      <c r="W127" s="140" t="n"/>
      <c r="X127" s="142" t="n"/>
      <c r="Y127" s="128" t="inlineStr">
        <is>
          <t>6.51</t>
        </is>
      </c>
      <c r="Z127" s="129" t="inlineStr">
        <is>
          <t>ППК25174, (10.07.2025) [CNP]</t>
        </is>
      </c>
      <c r="AA127" s="130" t="inlineStr">
        <is>
          <t>✓</t>
        </is>
      </c>
      <c r="AB127" s="128" t="inlineStr">
        <is>
          <t>&lt;10</t>
        </is>
      </c>
      <c r="AC127" s="134" t="inlineStr">
        <is>
          <t>&lt;10</t>
        </is>
      </c>
      <c r="AD127" s="134" t="inlineStr">
        <is>
          <t>&lt;10</t>
        </is>
      </c>
      <c r="AE127" s="134" t="inlineStr">
        <is>
          <t>Одговара</t>
        </is>
      </c>
      <c r="AF127" s="134" t="inlineStr">
        <is>
          <t>Одговара</t>
        </is>
      </c>
      <c r="AG127" s="130" t="inlineStr">
        <is>
          <t>✓</t>
        </is>
      </c>
      <c r="AH127" s="128" t="inlineStr">
        <is>
          <t>n.r.</t>
        </is>
      </c>
      <c r="AI127" s="134" t="inlineStr">
        <is>
          <t>&lt;2</t>
        </is>
      </c>
      <c r="AJ127" s="134" t="inlineStr">
        <is>
          <t>n.r.</t>
        </is>
      </c>
      <c r="AK127" s="130" t="inlineStr">
        <is>
          <t>✓</t>
        </is>
      </c>
      <c r="AL127" s="128" t="inlineStr">
        <is>
          <t>Н.д.</t>
        </is>
      </c>
      <c r="AM127" s="134" t="inlineStr">
        <is>
          <t>Н.д.</t>
        </is>
      </c>
      <c r="AN127" s="134" t="inlineStr">
        <is>
          <t>0.047</t>
        </is>
      </c>
      <c r="AO127" s="134" t="inlineStr">
        <is>
          <t>Н.д.</t>
        </is>
      </c>
      <c r="AP127" s="130" t="inlineStr">
        <is>
          <t>✓</t>
        </is>
      </c>
      <c r="AQ127" s="128" t="inlineStr">
        <is>
          <t>≤ LOQ (all 29 compounds)</t>
        </is>
      </c>
      <c r="AR127" s="129" t="inlineStr">
        <is>
          <t>3176-2025, (26.06.2025) [IJZ]</t>
        </is>
      </c>
      <c r="AS127" s="130" t="inlineStr">
        <is>
          <t>✓</t>
        </is>
      </c>
    </row>
    <row r="128" ht="13" customHeight="1" s="70">
      <c r="A128" s="157" t="n"/>
      <c r="B128" s="146" t="n"/>
      <c r="D128" s="145" t="n"/>
      <c r="E128" s="146" t="n"/>
      <c r="F128" s="147" t="n"/>
      <c r="G128" s="145" t="n"/>
      <c r="H128" s="146" t="n"/>
      <c r="I128" s="147" t="n"/>
      <c r="J128" s="145" t="n"/>
      <c r="K128" s="146" t="n"/>
      <c r="L128" s="147" t="n"/>
      <c r="M128" s="145" t="n"/>
      <c r="N128" s="146" t="n"/>
      <c r="O128" s="147" t="n"/>
      <c r="P128" s="145" t="n"/>
      <c r="Q128" s="146" t="n"/>
      <c r="R128" s="147" t="n"/>
      <c r="S128" s="145" t="n"/>
      <c r="T128" s="146" t="n"/>
      <c r="U128" s="147" t="n"/>
      <c r="V128" s="145" t="n"/>
      <c r="W128" s="146" t="n"/>
      <c r="X128" s="147" t="n"/>
      <c r="Y128" s="145" t="n"/>
      <c r="Z128" s="146" t="n"/>
      <c r="AA128" s="147" t="n"/>
      <c r="AB128" s="148" t="inlineStr">
        <is>
          <t>627-1128-25, (02.07.2025) [IJZ-MB]</t>
        </is>
      </c>
      <c r="AC128" s="146" t="n"/>
      <c r="AD128" s="146" t="n"/>
      <c r="AE128" s="146" t="n"/>
      <c r="AF128" s="146" t="n"/>
      <c r="AG128" s="147" t="n"/>
      <c r="AH128" s="148" t="inlineStr">
        <is>
          <t>3176-2025, (26.06.2025) [IJZ]</t>
        </is>
      </c>
      <c r="AI128" s="146" t="n"/>
      <c r="AJ128" s="146" t="n"/>
      <c r="AK128" s="147" t="n"/>
      <c r="AL128" s="148" t="inlineStr">
        <is>
          <t>3176-2025, (26.06.2025) [IJZ]</t>
        </is>
      </c>
      <c r="AM128" s="146" t="n"/>
      <c r="AN128" s="146" t="n"/>
      <c r="AO128" s="146" t="n"/>
      <c r="AP128" s="147" t="n"/>
      <c r="AQ128" s="145" t="n"/>
      <c r="AR128" s="146" t="n"/>
      <c r="AS128" s="147" t="n"/>
    </row>
    <row r="129" ht="14" customHeight="1" s="70">
      <c r="A129" s="139" t="n"/>
      <c r="B129" s="140" t="n"/>
      <c r="D129" s="141" t="n"/>
      <c r="E129" s="140" t="n"/>
      <c r="F129" s="142" t="n"/>
      <c r="G129" s="131" t="inlineStr">
        <is>
          <t>not on this certificate</t>
        </is>
      </c>
      <c r="H129" s="132" t="inlineStr">
        <is>
          <t>ППК25174, (10.07.2025) [CNP] · on file, not credited</t>
        </is>
      </c>
      <c r="I129" s="133" t="inlineStr">
        <is>
          <t>•</t>
        </is>
      </c>
      <c r="J129" s="167" t="inlineStr">
        <is>
          <t>Conforms (ImB spec.)</t>
        </is>
      </c>
      <c r="K129" s="168" t="inlineStr">
        <is>
          <t>ППК26032, (05.03.2026) [CNP]</t>
        </is>
      </c>
      <c r="L129" s="169" t="inlineStr">
        <is>
          <t>✓</t>
        </is>
      </c>
      <c r="M129" s="167" t="inlineStr">
        <is>
          <t>21.31</t>
        </is>
      </c>
      <c r="N129" s="168" t="inlineStr">
        <is>
          <t>ППК26032, (05.03.2026) [CNP]</t>
        </is>
      </c>
      <c r="O129" s="169" t="inlineStr">
        <is>
          <t>✓</t>
        </is>
      </c>
      <c r="P129" s="167" t="inlineStr">
        <is>
          <t>0.03</t>
        </is>
      </c>
      <c r="Q129" s="168" t="inlineStr">
        <is>
          <t>ППК26032, (05.03.2026) [CNP]</t>
        </is>
      </c>
      <c r="R129" s="169" t="inlineStr">
        <is>
          <t>✓</t>
        </is>
      </c>
      <c r="S129" s="167" t="inlineStr">
        <is>
          <t>0.23 % ᴰ</t>
        </is>
      </c>
      <c r="T129" s="168" t="inlineStr">
        <is>
          <t>ППК26032, (05.03.2026) [CNP]</t>
        </is>
      </c>
      <c r="U129" s="169" t="inlineStr">
        <is>
          <t>✓</t>
        </is>
      </c>
      <c r="V129" s="141" t="n"/>
      <c r="W129" s="140" t="n"/>
      <c r="X129" s="142" t="n"/>
      <c r="Y129" s="167" t="inlineStr">
        <is>
          <t>6.32</t>
        </is>
      </c>
      <c r="Z129" s="168" t="inlineStr">
        <is>
          <t>ППК26032, (05.03.2026) [CNP]</t>
        </is>
      </c>
      <c r="AA129" s="169" t="inlineStr">
        <is>
          <t>✓</t>
        </is>
      </c>
      <c r="AB129" s="141" t="n"/>
      <c r="AC129" s="140" t="n"/>
      <c r="AD129" s="140" t="n"/>
      <c r="AE129" s="140" t="n"/>
      <c r="AF129" s="140" t="n"/>
      <c r="AG129" s="142" t="n"/>
      <c r="AH129" s="128" t="inlineStr">
        <is>
          <t>ND</t>
        </is>
      </c>
      <c r="AI129" s="134" t="inlineStr">
        <is>
          <t>ND ᴿ</t>
        </is>
      </c>
      <c r="AJ129" s="134" t="inlineStr">
        <is>
          <t>ND</t>
        </is>
      </c>
      <c r="AK129" s="130" t="inlineStr">
        <is>
          <t>✓</t>
        </is>
      </c>
      <c r="AL129" s="141" t="n"/>
      <c r="AM129" s="140" t="n"/>
      <c r="AN129" s="140" t="n"/>
      <c r="AO129" s="140" t="n"/>
      <c r="AP129" s="142" t="n"/>
      <c r="AQ129" s="141" t="n"/>
      <c r="AR129" s="140" t="n"/>
      <c r="AS129" s="142" t="n"/>
    </row>
    <row r="130" ht="13" customHeight="1" s="70">
      <c r="A130" s="157" t="n"/>
      <c r="B130" s="146" t="n"/>
      <c r="D130" s="145" t="n"/>
      <c r="E130" s="146" t="n"/>
      <c r="F130" s="147" t="n"/>
      <c r="G130" s="145" t="n"/>
      <c r="H130" s="146" t="n"/>
      <c r="I130" s="147" t="n"/>
      <c r="J130" s="145" t="n"/>
      <c r="K130" s="146" t="n"/>
      <c r="L130" s="147" t="n"/>
      <c r="M130" s="145" t="n"/>
      <c r="N130" s="146" t="n"/>
      <c r="O130" s="147" t="n"/>
      <c r="P130" s="145" t="n"/>
      <c r="Q130" s="146" t="n"/>
      <c r="R130" s="147" t="n"/>
      <c r="S130" s="145" t="n"/>
      <c r="T130" s="146" t="n"/>
      <c r="U130" s="147" t="n"/>
      <c r="V130" s="145" t="n"/>
      <c r="W130" s="146" t="n"/>
      <c r="X130" s="147" t="n"/>
      <c r="Y130" s="145" t="n"/>
      <c r="Z130" s="146" t="n"/>
      <c r="AA130" s="147" t="n"/>
      <c r="AB130" s="145" t="n"/>
      <c r="AC130" s="146" t="n"/>
      <c r="AD130" s="146" t="n"/>
      <c r="AE130" s="146" t="n"/>
      <c r="AF130" s="146" t="n"/>
      <c r="AG130" s="147" t="n"/>
      <c r="AH130" s="148" t="inlineStr">
        <is>
          <t>197-11-M-26, (10.08.2026) [FHM-M]</t>
        </is>
      </c>
      <c r="AI130" s="146" t="n"/>
      <c r="AJ130" s="146" t="n"/>
      <c r="AK130" s="147" t="n"/>
      <c r="AL130" s="145" t="n"/>
      <c r="AM130" s="146" t="n"/>
      <c r="AN130" s="146" t="n"/>
      <c r="AO130" s="146" t="n"/>
      <c r="AP130" s="147" t="n"/>
      <c r="AQ130" s="145" t="n"/>
      <c r="AR130" s="146" t="n"/>
      <c r="AS130" s="147" t="n"/>
    </row>
    <row r="131" ht="14" customHeight="1" s="70">
      <c r="A131" s="139" t="n"/>
      <c r="B131" s="140" t="n"/>
      <c r="D131" s="141" t="n"/>
      <c r="E131" s="140" t="n"/>
      <c r="F131" s="142" t="n"/>
      <c r="G131" s="131" t="inlineStr">
        <is>
          <t>not on this certificate</t>
        </is>
      </c>
      <c r="H131" s="132" t="inlineStr">
        <is>
          <t>ППК26032, (05.03.2026) [CNP] · on file, not credited</t>
        </is>
      </c>
      <c r="I131" s="133" t="inlineStr">
        <is>
          <t>•</t>
        </is>
      </c>
      <c r="J131" s="167" t="inlineStr">
        <is>
          <t>Conforms (ImB spec.)</t>
        </is>
      </c>
      <c r="K131" s="168" t="inlineStr">
        <is>
          <t>ППК26033, (05.03.2026) [CNP]</t>
        </is>
      </c>
      <c r="L131" s="169" t="inlineStr">
        <is>
          <t>✓</t>
        </is>
      </c>
      <c r="M131" s="167" t="inlineStr">
        <is>
          <t>13.16</t>
        </is>
      </c>
      <c r="N131" s="168" t="inlineStr">
        <is>
          <t>ППК26033, (05.03.2026) [CNP]</t>
        </is>
      </c>
      <c r="O131" s="169" t="inlineStr">
        <is>
          <t>✓</t>
        </is>
      </c>
      <c r="P131" s="167" t="inlineStr">
        <is>
          <t>0.05</t>
        </is>
      </c>
      <c r="Q131" s="168" t="inlineStr">
        <is>
          <t>ППК26033, (05.03.2026) [CNP]</t>
        </is>
      </c>
      <c r="R131" s="169" t="inlineStr">
        <is>
          <t>✓</t>
        </is>
      </c>
      <c r="S131" s="170" t="inlineStr">
        <is>
          <t>2.35 % ᴰ</t>
        </is>
      </c>
      <c r="T131" s="168" t="inlineStr">
        <is>
          <t>ППК26033, (05.03.2026) [CNP]</t>
        </is>
      </c>
      <c r="U131" s="169" t="inlineStr">
        <is>
          <t>✓</t>
        </is>
      </c>
      <c r="V131" s="141" t="n"/>
      <c r="W131" s="140" t="n"/>
      <c r="X131" s="142" t="n"/>
      <c r="Y131" s="167" t="inlineStr">
        <is>
          <t>5.84</t>
        </is>
      </c>
      <c r="Z131" s="168" t="inlineStr">
        <is>
          <t>ППК26033, (05.03.2026) [CNP]</t>
        </is>
      </c>
      <c r="AA131" s="169" t="inlineStr">
        <is>
          <t>✓</t>
        </is>
      </c>
      <c r="AB131" s="141" t="n"/>
      <c r="AC131" s="140" t="n"/>
      <c r="AD131" s="140" t="n"/>
      <c r="AE131" s="140" t="n"/>
      <c r="AF131" s="140" t="n"/>
      <c r="AG131" s="142" t="n"/>
      <c r="AH131" s="141" t="n"/>
      <c r="AI131" s="140" t="n"/>
      <c r="AJ131" s="140" t="n"/>
      <c r="AK131" s="142" t="n"/>
      <c r="AL131" s="141" t="n"/>
      <c r="AM131" s="140" t="n"/>
      <c r="AN131" s="140" t="n"/>
      <c r="AO131" s="140" t="n"/>
      <c r="AP131" s="142" t="n"/>
      <c r="AQ131" s="141" t="n"/>
      <c r="AR131" s="140" t="n"/>
      <c r="AS131" s="142" t="n"/>
    </row>
    <row r="132" ht="13" customHeight="1" s="70">
      <c r="A132" s="157" t="n"/>
      <c r="B132" s="146" t="n"/>
      <c r="D132" s="145" t="n"/>
      <c r="E132" s="146" t="n"/>
      <c r="F132" s="147" t="n"/>
      <c r="G132" s="145" t="n"/>
      <c r="H132" s="146" t="n"/>
      <c r="I132" s="147" t="n"/>
      <c r="J132" s="145" t="n"/>
      <c r="K132" s="146" t="n"/>
      <c r="L132" s="147" t="n"/>
      <c r="M132" s="145" t="n"/>
      <c r="N132" s="146" t="n"/>
      <c r="O132" s="147" t="n"/>
      <c r="P132" s="145" t="n"/>
      <c r="Q132" s="146" t="n"/>
      <c r="R132" s="147" t="n"/>
      <c r="S132" s="145" t="n"/>
      <c r="T132" s="146" t="n"/>
      <c r="U132" s="147" t="n"/>
      <c r="V132" s="145" t="n"/>
      <c r="W132" s="146" t="n"/>
      <c r="X132" s="147" t="n"/>
      <c r="Y132" s="145" t="n"/>
      <c r="Z132" s="146" t="n"/>
      <c r="AA132" s="147" t="n"/>
      <c r="AB132" s="145" t="n"/>
      <c r="AC132" s="146" t="n"/>
      <c r="AD132" s="146" t="n"/>
      <c r="AE132" s="146" t="n"/>
      <c r="AF132" s="146" t="n"/>
      <c r="AG132" s="147" t="n"/>
      <c r="AH132" s="145" t="n"/>
      <c r="AI132" s="146" t="n"/>
      <c r="AJ132" s="146" t="n"/>
      <c r="AK132" s="147" t="n"/>
      <c r="AL132" s="145" t="n"/>
      <c r="AM132" s="146" t="n"/>
      <c r="AN132" s="146" t="n"/>
      <c r="AO132" s="146" t="n"/>
      <c r="AP132" s="147" t="n"/>
      <c r="AQ132" s="145" t="n"/>
      <c r="AR132" s="146" t="n"/>
      <c r="AS132" s="147" t="n"/>
    </row>
    <row r="133" ht="14" customHeight="1" s="70">
      <c r="A133" s="139" t="n"/>
      <c r="B133" s="140" t="n"/>
      <c r="D133" s="141" t="n"/>
      <c r="E133" s="140" t="n"/>
      <c r="F133" s="142" t="n"/>
      <c r="G133" s="131" t="inlineStr">
        <is>
          <t>not on this certificate</t>
        </is>
      </c>
      <c r="H133" s="132" t="inlineStr">
        <is>
          <t>ППК26033, (05.03.2026) [CNP] · on file, not credited</t>
        </is>
      </c>
      <c r="I133" s="133" t="inlineStr">
        <is>
          <t>•</t>
        </is>
      </c>
      <c r="J133" s="167" t="inlineStr">
        <is>
          <t>Conforms (ImB spec.)</t>
        </is>
      </c>
      <c r="K133" s="168" t="inlineStr">
        <is>
          <t>ППК26059, (11.05.2026) [CNP]</t>
        </is>
      </c>
      <c r="L133" s="169" t="inlineStr">
        <is>
          <t>✓</t>
        </is>
      </c>
      <c r="M133" s="167" t="inlineStr">
        <is>
          <t>23.08</t>
        </is>
      </c>
      <c r="N133" s="168" t="inlineStr">
        <is>
          <t>ППК26059, (11.05.2026) [CNP]</t>
        </is>
      </c>
      <c r="O133" s="169" t="inlineStr">
        <is>
          <t>✓</t>
        </is>
      </c>
      <c r="P133" s="167" t="inlineStr">
        <is>
          <t>0.03</t>
        </is>
      </c>
      <c r="Q133" s="168" t="inlineStr">
        <is>
          <t>ППК26059, (11.05.2026) [CNP]</t>
        </is>
      </c>
      <c r="R133" s="169" t="inlineStr">
        <is>
          <t>✓</t>
        </is>
      </c>
      <c r="S133" s="167" t="inlineStr">
        <is>
          <t>0.30 % ᴰ</t>
        </is>
      </c>
      <c r="T133" s="168" t="inlineStr">
        <is>
          <t>ППК26059, (11.05.2026) [CNP]</t>
        </is>
      </c>
      <c r="U133" s="169" t="inlineStr">
        <is>
          <t>✓</t>
        </is>
      </c>
      <c r="V133" s="141" t="n"/>
      <c r="W133" s="140" t="n"/>
      <c r="X133" s="142" t="n"/>
      <c r="Y133" s="167" t="inlineStr">
        <is>
          <t>6.62</t>
        </is>
      </c>
      <c r="Z133" s="168" t="inlineStr">
        <is>
          <t>ППК26059, (11.05.2026) [CNP]</t>
        </is>
      </c>
      <c r="AA133" s="169" t="inlineStr">
        <is>
          <t>✓</t>
        </is>
      </c>
      <c r="AB133" s="141" t="n"/>
      <c r="AC133" s="140" t="n"/>
      <c r="AD133" s="140" t="n"/>
      <c r="AE133" s="140" t="n"/>
      <c r="AF133" s="140" t="n"/>
      <c r="AG133" s="142" t="n"/>
      <c r="AH133" s="141" t="n"/>
      <c r="AI133" s="140" t="n"/>
      <c r="AJ133" s="140" t="n"/>
      <c r="AK133" s="142" t="n"/>
      <c r="AL133" s="141" t="n"/>
      <c r="AM133" s="140" t="n"/>
      <c r="AN133" s="140" t="n"/>
      <c r="AO133" s="140" t="n"/>
      <c r="AP133" s="142" t="n"/>
      <c r="AQ133" s="141" t="n"/>
      <c r="AR133" s="140" t="n"/>
      <c r="AS133" s="142" t="n"/>
    </row>
    <row r="134" ht="13" customHeight="1" s="70">
      <c r="A134" s="157" t="n"/>
      <c r="B134" s="146" t="n"/>
      <c r="D134" s="145" t="n"/>
      <c r="E134" s="146" t="n"/>
      <c r="F134" s="147" t="n"/>
      <c r="G134" s="145" t="n"/>
      <c r="H134" s="146" t="n"/>
      <c r="I134" s="147" t="n"/>
      <c r="J134" s="145" t="n"/>
      <c r="K134" s="146" t="n"/>
      <c r="L134" s="147" t="n"/>
      <c r="M134" s="145" t="n"/>
      <c r="N134" s="146" t="n"/>
      <c r="O134" s="147" t="n"/>
      <c r="P134" s="145" t="n"/>
      <c r="Q134" s="146" t="n"/>
      <c r="R134" s="147" t="n"/>
      <c r="S134" s="145" t="n"/>
      <c r="T134" s="146" t="n"/>
      <c r="U134" s="147" t="n"/>
      <c r="V134" s="145" t="n"/>
      <c r="W134" s="146" t="n"/>
      <c r="X134" s="147" t="n"/>
      <c r="Y134" s="145" t="n"/>
      <c r="Z134" s="146" t="n"/>
      <c r="AA134" s="147" t="n"/>
      <c r="AB134" s="145" t="n"/>
      <c r="AC134" s="146" t="n"/>
      <c r="AD134" s="146" t="n"/>
      <c r="AE134" s="146" t="n"/>
      <c r="AF134" s="146" t="n"/>
      <c r="AG134" s="147" t="n"/>
      <c r="AH134" s="145" t="n"/>
      <c r="AI134" s="146" t="n"/>
      <c r="AJ134" s="146" t="n"/>
      <c r="AK134" s="147" t="n"/>
      <c r="AL134" s="145" t="n"/>
      <c r="AM134" s="146" t="n"/>
      <c r="AN134" s="146" t="n"/>
      <c r="AO134" s="146" t="n"/>
      <c r="AP134" s="147" t="n"/>
      <c r="AQ134" s="145" t="n"/>
      <c r="AR134" s="146" t="n"/>
      <c r="AS134" s="147" t="n"/>
    </row>
    <row r="135" ht="14" customHeight="1" s="70">
      <c r="A135" s="139" t="n"/>
      <c r="B135" s="140" t="n"/>
      <c r="D135" s="141" t="n"/>
      <c r="E135" s="140" t="n"/>
      <c r="F135" s="142" t="n"/>
      <c r="G135" s="131" t="inlineStr">
        <is>
          <t>not on this certificate</t>
        </is>
      </c>
      <c r="H135" s="132" t="inlineStr">
        <is>
          <t>ППК26059, (11.05.2026) [CNP] · on file, not credited</t>
        </is>
      </c>
      <c r="I135" s="133" t="inlineStr">
        <is>
          <t>•</t>
        </is>
      </c>
      <c r="J135" s="128" t="inlineStr">
        <is>
          <t>Conforms (ImB spec.) ᴿ</t>
        </is>
      </c>
      <c r="K135" s="129" t="inlineStr">
        <is>
          <t>197-11-K-26, (07.08.2026) [FHM-K]</t>
        </is>
      </c>
      <c r="L135" s="130" t="inlineStr">
        <is>
          <t>✓</t>
        </is>
      </c>
      <c r="M135" s="128" t="inlineStr">
        <is>
          <t>22.61</t>
        </is>
      </c>
      <c r="N135" s="129" t="inlineStr">
        <is>
          <t>197-11-K-26, (07.08.2026) [FHM-K]</t>
        </is>
      </c>
      <c r="O135" s="130" t="inlineStr">
        <is>
          <t>✓</t>
        </is>
      </c>
      <c r="P135" s="128" t="inlineStr">
        <is>
          <t>&lt; LOQ</t>
        </is>
      </c>
      <c r="Q135" s="129" t="inlineStr">
        <is>
          <t>197-11-K-26, (07.08.2026) [FHM-K]</t>
        </is>
      </c>
      <c r="R135" s="130" t="inlineStr">
        <is>
          <t>✓</t>
        </is>
      </c>
      <c r="S135" s="128" t="inlineStr">
        <is>
          <t>0.23</t>
        </is>
      </c>
      <c r="T135" s="129" t="inlineStr">
        <is>
          <t>197-11-K-26, (07.08.2026) [FHM-K]</t>
        </is>
      </c>
      <c r="U135" s="130" t="inlineStr">
        <is>
          <t>✓</t>
        </is>
      </c>
      <c r="V135" s="141" t="n"/>
      <c r="W135" s="140" t="n"/>
      <c r="X135" s="142" t="n"/>
      <c r="Y135" s="131" t="inlineStr">
        <is>
          <t>not on this certificate</t>
        </is>
      </c>
      <c r="Z135" s="132" t="inlineStr">
        <is>
          <t>197-11-K-26, (07.08.2026) [FHM-K] · on file, not credited</t>
        </is>
      </c>
      <c r="AA135" s="133" t="inlineStr">
        <is>
          <t>•</t>
        </is>
      </c>
      <c r="AB135" s="141" t="n"/>
      <c r="AC135" s="140" t="n"/>
      <c r="AD135" s="140" t="n"/>
      <c r="AE135" s="140" t="n"/>
      <c r="AF135" s="140" t="n"/>
      <c r="AG135" s="142" t="n"/>
      <c r="AH135" s="141" t="n"/>
      <c r="AI135" s="140" t="n"/>
      <c r="AJ135" s="140" t="n"/>
      <c r="AK135" s="142" t="n"/>
      <c r="AL135" s="141" t="n"/>
      <c r="AM135" s="140" t="n"/>
      <c r="AN135" s="140" t="n"/>
      <c r="AO135" s="140" t="n"/>
      <c r="AP135" s="142" t="n"/>
      <c r="AQ135" s="141" t="n"/>
      <c r="AR135" s="140" t="n"/>
      <c r="AS135" s="142" t="n"/>
    </row>
    <row r="136" ht="21" customHeight="1" s="70">
      <c r="A136" s="143" t="n"/>
      <c r="B136" s="144" t="n"/>
      <c r="C136" s="144" t="n"/>
      <c r="D136" s="145" t="n"/>
      <c r="E136" s="146" t="n"/>
      <c r="F136" s="147" t="n"/>
      <c r="G136" s="145" t="n"/>
      <c r="H136" s="146" t="n"/>
      <c r="I136" s="147" t="n"/>
      <c r="J136" s="145" t="n"/>
      <c r="K136" s="146" t="n"/>
      <c r="L136" s="147" t="n"/>
      <c r="M136" s="145" t="n"/>
      <c r="N136" s="146" t="n"/>
      <c r="O136" s="147" t="n"/>
      <c r="P136" s="145" t="n"/>
      <c r="Q136" s="146" t="n"/>
      <c r="R136" s="147" t="n"/>
      <c r="S136" s="145" t="n"/>
      <c r="T136" s="146" t="n"/>
      <c r="U136" s="147" t="n"/>
      <c r="V136" s="145" t="n"/>
      <c r="W136" s="146" t="n"/>
      <c r="X136" s="147" t="n"/>
      <c r="Y136" s="145" t="n"/>
      <c r="Z136" s="146" t="n"/>
      <c r="AA136" s="147" t="n"/>
      <c r="AB136" s="145" t="n"/>
      <c r="AC136" s="146" t="n"/>
      <c r="AD136" s="146" t="n"/>
      <c r="AE136" s="146" t="n"/>
      <c r="AF136" s="146" t="n"/>
      <c r="AG136" s="147" t="n"/>
      <c r="AH136" s="145" t="n"/>
      <c r="AI136" s="146" t="n"/>
      <c r="AJ136" s="146" t="n"/>
      <c r="AK136" s="147" t="n"/>
      <c r="AL136" s="145" t="n"/>
      <c r="AM136" s="146" t="n"/>
      <c r="AN136" s="146" t="n"/>
      <c r="AO136" s="146" t="n"/>
      <c r="AP136" s="147" t="n"/>
      <c r="AQ136" s="145" t="n"/>
      <c r="AR136" s="146" t="n"/>
      <c r="AS136" s="147" t="n"/>
    </row>
    <row r="137" ht="14" customHeight="1" s="70">
      <c r="A137" s="125" t="inlineStr">
        <is>
          <t>MB0824_04</t>
        </is>
      </c>
      <c r="B137" s="126" t="inlineStr">
        <is>
          <t>P050032</t>
        </is>
      </c>
      <c r="C137" s="149" t="inlineStr">
        <is>
          <t>⚠ 1 NO RESULT
(0 no cert / 1 cert w/o result)
2 testing instances
• 1 document(s) on file, not credited</t>
        </is>
      </c>
      <c r="D137" s="128" t="inlineStr">
        <is>
          <t>Conforms</t>
        </is>
      </c>
      <c r="E137" s="129">
        <f>IFERROR(INDEX('iCoA Register'!$B:$B,MATCH("P050032|AB|I",'iCoA Register'!$R:$R,0)),"iCoA — at issue")&amp;", (16.06.2025) [PP]"</f>
        <v/>
      </c>
      <c r="F137" s="130" t="inlineStr">
        <is>
          <t>✓</t>
        </is>
      </c>
      <c r="G137" s="131" t="inlineStr">
        <is>
          <t>not ingested</t>
        </is>
      </c>
      <c r="H137" s="132" t="inlineStr">
        <is>
          <t>ППК25118, (06.05.2025) [CNP] · on file, not credited</t>
        </is>
      </c>
      <c r="I137" s="133" t="inlineStr">
        <is>
          <t>•</t>
        </is>
      </c>
      <c r="J137" s="128" t="inlineStr">
        <is>
          <t>Conforms (ImB spec.) ᴿ</t>
        </is>
      </c>
      <c r="K137" s="129" t="inlineStr">
        <is>
          <t>ППК25118, (06.05.2025) [CNP]</t>
        </is>
      </c>
      <c r="L137" s="130" t="inlineStr">
        <is>
          <t>✓</t>
        </is>
      </c>
      <c r="M137" s="128" t="inlineStr">
        <is>
          <t>18.67 ᴿ</t>
        </is>
      </c>
      <c r="N137" s="129" t="inlineStr">
        <is>
          <t>ППК25118, (06.05.2025) [CNP]</t>
        </is>
      </c>
      <c r="O137" s="130" t="inlineStr">
        <is>
          <t>✓</t>
        </is>
      </c>
      <c r="P137" s="128" t="inlineStr">
        <is>
          <t>0.05 ᴿ</t>
        </is>
      </c>
      <c r="Q137" s="129" t="inlineStr">
        <is>
          <t>ППК25118, (06.05.2025) [CNP]</t>
        </is>
      </c>
      <c r="R137" s="130" t="inlineStr">
        <is>
          <t>✓</t>
        </is>
      </c>
      <c r="S137" s="158" t="inlineStr">
        <is>
          <t>not ingested</t>
        </is>
      </c>
      <c r="T137" s="159" t="inlineStr">
        <is>
          <t>ППК25118, (06.05.2025) [CNP]</t>
        </is>
      </c>
      <c r="U137" s="160" t="inlineStr">
        <is>
          <t>✗</t>
        </is>
      </c>
      <c r="V137" s="128" t="inlineStr">
        <is>
          <t>Conforms</t>
        </is>
      </c>
      <c r="W137" s="129">
        <f>IFERROR(INDEX('iCoA Register'!$B:$B,MATCH("P050032|FM|I",'iCoA Register'!$R:$R,0)),"iCoA — at issue")&amp;", (16.06.2025) [PP]"</f>
        <v/>
      </c>
      <c r="X137" s="130" t="inlineStr">
        <is>
          <t>✓</t>
        </is>
      </c>
      <c r="Y137" s="128" t="inlineStr">
        <is>
          <t>6.01 ᴿ</t>
        </is>
      </c>
      <c r="Z137" s="129" t="inlineStr">
        <is>
          <t>ППК25118, (06.05.2025) [CNP]</t>
        </is>
      </c>
      <c r="AA137" s="130" t="inlineStr">
        <is>
          <t>✓</t>
        </is>
      </c>
      <c r="AB137" s="128" t="inlineStr">
        <is>
          <t>&lt;10 ᴿ</t>
        </is>
      </c>
      <c r="AC137" s="134" t="inlineStr">
        <is>
          <t>&lt;10 ᴿ</t>
        </is>
      </c>
      <c r="AD137" s="134" t="inlineStr">
        <is>
          <t>&lt;10 ᴿ</t>
        </is>
      </c>
      <c r="AE137" s="134" t="inlineStr">
        <is>
          <t>absent ᴿ</t>
        </is>
      </c>
      <c r="AF137" s="134" t="inlineStr">
        <is>
          <t>absent ᴿ</t>
        </is>
      </c>
      <c r="AG137" s="130" t="inlineStr">
        <is>
          <t>✓</t>
        </is>
      </c>
      <c r="AH137" s="128" t="inlineStr">
        <is>
          <t>n.r.</t>
        </is>
      </c>
      <c r="AI137" s="134" t="inlineStr">
        <is>
          <t>&lt;2 ᴿ</t>
        </is>
      </c>
      <c r="AJ137" s="134" t="inlineStr">
        <is>
          <t>n.r.</t>
        </is>
      </c>
      <c r="AK137" s="130" t="inlineStr">
        <is>
          <t>✓</t>
        </is>
      </c>
      <c r="AL137" s="128" t="inlineStr">
        <is>
          <t>0.031 ᴿ</t>
        </is>
      </c>
      <c r="AM137" s="134" t="inlineStr">
        <is>
          <t>0.005 ᴿ</t>
        </is>
      </c>
      <c r="AN137" s="134" t="inlineStr">
        <is>
          <t>0.011 ᴿ</t>
        </is>
      </c>
      <c r="AO137" s="134" t="inlineStr">
        <is>
          <t>N.D. ᴿ</t>
        </is>
      </c>
      <c r="AP137" s="130" t="inlineStr">
        <is>
          <t>✓</t>
        </is>
      </c>
      <c r="AQ137" s="128" t="inlineStr">
        <is>
          <t>N.D. ᴿ</t>
        </is>
      </c>
      <c r="AR137" s="129" t="inlineStr">
        <is>
          <t>2157-2025, (07.05.2025) [IJZ]</t>
        </is>
      </c>
      <c r="AS137" s="130" t="inlineStr">
        <is>
          <t>✓</t>
        </is>
      </c>
    </row>
    <row r="138" ht="13" customHeight="1" s="70">
      <c r="A138" s="135" t="n"/>
      <c r="D138" s="136" t="n"/>
      <c r="F138" s="137" t="n"/>
      <c r="G138" s="136" t="n"/>
      <c r="I138" s="137" t="n"/>
      <c r="J138" s="136" t="n"/>
      <c r="L138" s="137" t="n"/>
      <c r="M138" s="136" t="n"/>
      <c r="O138" s="137" t="n"/>
      <c r="P138" s="136" t="n"/>
      <c r="R138" s="137" t="n"/>
      <c r="S138" s="136" t="n"/>
      <c r="U138" s="137" t="n"/>
      <c r="V138" s="136" t="n"/>
      <c r="X138" s="137" t="n"/>
      <c r="Y138" s="136" t="n"/>
      <c r="AA138" s="137" t="n"/>
      <c r="AB138" s="138" t="inlineStr">
        <is>
          <t>406-0744-25, (05.05.2025) [IJZ-MB]</t>
        </is>
      </c>
      <c r="AG138" s="137" t="n"/>
      <c r="AH138" s="138" t="inlineStr">
        <is>
          <t>2157-2025, (07.05.2025) [IJZ]</t>
        </is>
      </c>
      <c r="AK138" s="137" t="n"/>
      <c r="AL138" s="138" t="inlineStr">
        <is>
          <t>2157-2025, (07.05.2025) [IJZ]</t>
        </is>
      </c>
      <c r="AP138" s="137" t="n"/>
      <c r="AQ138" s="136" t="n"/>
      <c r="AS138" s="137" t="n"/>
    </row>
    <row r="139" ht="14" customHeight="1" s="70">
      <c r="A139" s="139" t="n"/>
      <c r="B139" s="140" t="n"/>
      <c r="D139" s="141" t="n"/>
      <c r="E139" s="140" t="n"/>
      <c r="F139" s="142" t="n"/>
      <c r="G139" s="128" t="inlineStr">
        <is>
          <t>Conforms</t>
        </is>
      </c>
      <c r="H139" s="129">
        <f>IFERROR(INDEX('iCoA Register'!$B:$B,MATCH("P050032|AB|I",'iCoA Register'!$R:$R,0)),"iCoA — at issue")&amp;", (16.06.2025) [PP]"</f>
        <v/>
      </c>
      <c r="I139" s="130" t="inlineStr">
        <is>
          <t>✓</t>
        </is>
      </c>
      <c r="J139" s="141" t="n"/>
      <c r="K139" s="140" t="n"/>
      <c r="L139" s="142" t="n"/>
      <c r="M139" s="141" t="n"/>
      <c r="N139" s="140" t="n"/>
      <c r="O139" s="142" t="n"/>
      <c r="P139" s="141" t="n"/>
      <c r="Q139" s="140" t="n"/>
      <c r="R139" s="142" t="n"/>
      <c r="S139" s="141" t="n"/>
      <c r="T139" s="140" t="n"/>
      <c r="U139" s="142" t="n"/>
      <c r="V139" s="141" t="n"/>
      <c r="W139" s="140" t="n"/>
      <c r="X139" s="142" t="n"/>
      <c r="Y139" s="141" t="n"/>
      <c r="Z139" s="140" t="n"/>
      <c r="AA139" s="142" t="n"/>
      <c r="AB139" s="128" t="inlineStr">
        <is>
          <t>&lt;10</t>
        </is>
      </c>
      <c r="AC139" s="134" t="inlineStr">
        <is>
          <t>&lt;10</t>
        </is>
      </c>
      <c r="AD139" s="134" t="inlineStr">
        <is>
          <t>&lt;10</t>
        </is>
      </c>
      <c r="AE139" s="134" t="inlineStr">
        <is>
          <t>absent</t>
        </is>
      </c>
      <c r="AF139" s="134" t="inlineStr">
        <is>
          <t>absent</t>
        </is>
      </c>
      <c r="AG139" s="130" t="inlineStr">
        <is>
          <t>✓</t>
        </is>
      </c>
      <c r="AH139" s="141" t="n"/>
      <c r="AI139" s="140" t="n"/>
      <c r="AJ139" s="140" t="n"/>
      <c r="AK139" s="142" t="n"/>
      <c r="AL139" s="141" t="n"/>
      <c r="AM139" s="140" t="n"/>
      <c r="AN139" s="140" t="n"/>
      <c r="AO139" s="140" t="n"/>
      <c r="AP139" s="142" t="n"/>
      <c r="AQ139" s="141" t="n"/>
      <c r="AR139" s="140" t="n"/>
      <c r="AS139" s="142" t="n"/>
    </row>
    <row r="140" ht="13" customHeight="1" s="70">
      <c r="A140" s="143" t="n"/>
      <c r="B140" s="144" t="n"/>
      <c r="C140" s="144" t="n"/>
      <c r="D140" s="145" t="n"/>
      <c r="E140" s="146" t="n"/>
      <c r="F140" s="147" t="n"/>
      <c r="G140" s="145" t="n"/>
      <c r="H140" s="146" t="n"/>
      <c r="I140" s="147" t="n"/>
      <c r="J140" s="145" t="n"/>
      <c r="K140" s="146" t="n"/>
      <c r="L140" s="147" t="n"/>
      <c r="M140" s="145" t="n"/>
      <c r="N140" s="146" t="n"/>
      <c r="O140" s="147" t="n"/>
      <c r="P140" s="145" t="n"/>
      <c r="Q140" s="146" t="n"/>
      <c r="R140" s="147" t="n"/>
      <c r="S140" s="145" t="n"/>
      <c r="T140" s="146" t="n"/>
      <c r="U140" s="147" t="n"/>
      <c r="V140" s="145" t="n"/>
      <c r="W140" s="146" t="n"/>
      <c r="X140" s="147" t="n"/>
      <c r="Y140" s="145" t="n"/>
      <c r="Z140" s="146" t="n"/>
      <c r="AA140" s="147" t="n"/>
      <c r="AB140" s="148" t="inlineStr">
        <is>
          <t>563-1094-26, (01.09.2026) [IJZ-MB]</t>
        </is>
      </c>
      <c r="AC140" s="146" t="n"/>
      <c r="AD140" s="146" t="n"/>
      <c r="AE140" s="146" t="n"/>
      <c r="AF140" s="146" t="n"/>
      <c r="AG140" s="147" t="n"/>
      <c r="AH140" s="145" t="n"/>
      <c r="AI140" s="146" t="n"/>
      <c r="AJ140" s="146" t="n"/>
      <c r="AK140" s="147" t="n"/>
      <c r="AL140" s="145" t="n"/>
      <c r="AM140" s="146" t="n"/>
      <c r="AN140" s="146" t="n"/>
      <c r="AO140" s="146" t="n"/>
      <c r="AP140" s="147" t="n"/>
      <c r="AQ140" s="145" t="n"/>
      <c r="AR140" s="146" t="n"/>
      <c r="AS140" s="147" t="n"/>
    </row>
    <row r="141" ht="14" customHeight="1" s="70">
      <c r="A141" s="125" t="inlineStr">
        <is>
          <t>OMP1024_01</t>
        </is>
      </c>
      <c r="B141" s="126" t="inlineStr">
        <is>
          <t>P050042</t>
        </is>
      </c>
      <c r="C141" s="127" t="inlineStr">
        <is>
          <t>✓ COMPLETE
2 testing instances
• 2 document(s) on file, not credited</t>
        </is>
      </c>
      <c r="D141" s="128" t="inlineStr">
        <is>
          <t>Conforms</t>
        </is>
      </c>
      <c r="E141" s="129">
        <f>IFERROR(INDEX('iCoA Register'!$B:$B,MATCH("P050042|AB|I",'iCoA Register'!$R:$R,0)),"iCoA — at issue")&amp;", (20.06.2025) [PP]"</f>
        <v/>
      </c>
      <c r="F141" s="130" t="inlineStr">
        <is>
          <t>✓</t>
        </is>
      </c>
      <c r="G141" s="131" t="inlineStr">
        <is>
          <t>not on this certificate</t>
        </is>
      </c>
      <c r="H141" s="132" t="inlineStr">
        <is>
          <t>ППК25117, (06.05.2025) [CNP] · on file, not credited</t>
        </is>
      </c>
      <c r="I141" s="133" t="inlineStr">
        <is>
          <t>•</t>
        </is>
      </c>
      <c r="J141" s="128" t="inlineStr">
        <is>
          <t>Conforms (ImB spec.)</t>
        </is>
      </c>
      <c r="K141" s="129" t="inlineStr">
        <is>
          <t>ППК25117, (06.05.2025) [CNP]</t>
        </is>
      </c>
      <c r="L141" s="130" t="inlineStr">
        <is>
          <t>✓</t>
        </is>
      </c>
      <c r="M141" s="128" t="inlineStr">
        <is>
          <t>15.38</t>
        </is>
      </c>
      <c r="N141" s="129" t="inlineStr">
        <is>
          <t>ППК25117, (06.05.2025) [CNP]</t>
        </is>
      </c>
      <c r="O141" s="130" t="inlineStr">
        <is>
          <t>✓</t>
        </is>
      </c>
      <c r="P141" s="128" t="inlineStr">
        <is>
          <t>0.04</t>
        </is>
      </c>
      <c r="Q141" s="129" t="inlineStr">
        <is>
          <t>ППК25117, (06.05.2025) [CNP]</t>
        </is>
      </c>
      <c r="R141" s="130" t="inlineStr">
        <is>
          <t>✓</t>
        </is>
      </c>
      <c r="S141" s="128" t="inlineStr">
        <is>
          <t>0.01 ᴰ</t>
        </is>
      </c>
      <c r="T141" s="129" t="inlineStr">
        <is>
          <t>ППК25117, (06.05.2025) [CNP]</t>
        </is>
      </c>
      <c r="U141" s="130" t="inlineStr">
        <is>
          <t>✓</t>
        </is>
      </c>
      <c r="V141" s="128" t="inlineStr">
        <is>
          <t>Conforms</t>
        </is>
      </c>
      <c r="W141" s="129">
        <f>IFERROR(INDEX('iCoA Register'!$B:$B,MATCH("P050042|FM|I",'iCoA Register'!$R:$R,0)),"iCoA — at issue")&amp;", (20.06.2025) [PP]"</f>
        <v/>
      </c>
      <c r="X141" s="130" t="inlineStr">
        <is>
          <t>✓</t>
        </is>
      </c>
      <c r="Y141" s="128" t="inlineStr">
        <is>
          <t>5.86</t>
        </is>
      </c>
      <c r="Z141" s="129" t="inlineStr">
        <is>
          <t>ППК25117, (06.05.2025) [CNP]</t>
        </is>
      </c>
      <c r="AA141" s="130" t="inlineStr">
        <is>
          <t>✓</t>
        </is>
      </c>
      <c r="AB141" s="128" t="inlineStr">
        <is>
          <t>10</t>
        </is>
      </c>
      <c r="AC141" s="134" t="inlineStr">
        <is>
          <t>&lt;10</t>
        </is>
      </c>
      <c r="AD141" s="134" t="inlineStr">
        <is>
          <t>&lt;10² и &gt;10</t>
        </is>
      </c>
      <c r="AE141" s="134" t="inlineStr">
        <is>
          <t>Одговара</t>
        </is>
      </c>
      <c r="AF141" s="134" t="inlineStr">
        <is>
          <t>Одговара</t>
        </is>
      </c>
      <c r="AG141" s="130" t="inlineStr">
        <is>
          <t>✓</t>
        </is>
      </c>
      <c r="AH141" s="128" t="inlineStr">
        <is>
          <t>n.r.</t>
        </is>
      </c>
      <c r="AI141" s="134" t="inlineStr">
        <is>
          <t>&lt;2</t>
        </is>
      </c>
      <c r="AJ141" s="134" t="inlineStr">
        <is>
          <t>n.r.</t>
        </is>
      </c>
      <c r="AK141" s="130" t="inlineStr">
        <is>
          <t>✓</t>
        </is>
      </c>
      <c r="AL141" s="128" t="inlineStr">
        <is>
          <t>0.031</t>
        </is>
      </c>
      <c r="AM141" s="134" t="inlineStr">
        <is>
          <t>0.004</t>
        </is>
      </c>
      <c r="AN141" s="134" t="inlineStr">
        <is>
          <t>0.01</t>
        </is>
      </c>
      <c r="AO141" s="134" t="inlineStr">
        <is>
          <t>0.001</t>
        </is>
      </c>
      <c r="AP141" s="130" t="inlineStr">
        <is>
          <t>✓</t>
        </is>
      </c>
      <c r="AQ141" s="128" t="inlineStr">
        <is>
          <t>≤ LOQ (all 26 compounds)</t>
        </is>
      </c>
      <c r="AR141" s="129" t="inlineStr">
        <is>
          <t>2156-2025, (07.05.2025) [IJZ]</t>
        </is>
      </c>
      <c r="AS141" s="130" t="inlineStr">
        <is>
          <t>✓</t>
        </is>
      </c>
    </row>
    <row r="142" ht="13" customHeight="1" s="70">
      <c r="A142" s="135" t="n"/>
      <c r="D142" s="136" t="n"/>
      <c r="F142" s="137" t="n"/>
      <c r="G142" s="136" t="n"/>
      <c r="I142" s="137" t="n"/>
      <c r="J142" s="136" t="n"/>
      <c r="L142" s="137" t="n"/>
      <c r="M142" s="136" t="n"/>
      <c r="O142" s="137" t="n"/>
      <c r="P142" s="136" t="n"/>
      <c r="R142" s="137" t="n"/>
      <c r="S142" s="136" t="n"/>
      <c r="U142" s="137" t="n"/>
      <c r="V142" s="136" t="n"/>
      <c r="X142" s="137" t="n"/>
      <c r="Y142" s="136" t="n"/>
      <c r="AA142" s="137" t="n"/>
      <c r="AB142" s="138" t="inlineStr">
        <is>
          <t>407-0745-25, (05.05.2025) [IJZ-MB]</t>
        </is>
      </c>
      <c r="AG142" s="137" t="n"/>
      <c r="AH142" s="138" t="inlineStr">
        <is>
          <t>2156-2025, (07.05.2025) [IJZ]</t>
        </is>
      </c>
      <c r="AK142" s="137" t="n"/>
      <c r="AL142" s="138" t="inlineStr">
        <is>
          <t>2156-2025, (07.05.2025) [IJZ]</t>
        </is>
      </c>
      <c r="AP142" s="137" t="n"/>
      <c r="AQ142" s="136" t="n"/>
      <c r="AS142" s="137" t="n"/>
    </row>
    <row r="143" ht="21" customHeight="1" s="70">
      <c r="A143" s="139" t="n"/>
      <c r="B143" s="140" t="n"/>
      <c r="D143" s="141" t="n"/>
      <c r="E143" s="140" t="n"/>
      <c r="F143" s="142" t="n"/>
      <c r="G143" s="128" t="inlineStr">
        <is>
          <t>Conforms</t>
        </is>
      </c>
      <c r="H143" s="129">
        <f>IFERROR(INDEX('iCoA Register'!$B:$B,MATCH("P050042|AB|I",'iCoA Register'!$R:$R,0)),"iCoA — at issue")&amp;", (20.06.2025) [PP]"</f>
        <v/>
      </c>
      <c r="I143" s="130" t="inlineStr">
        <is>
          <t>✓</t>
        </is>
      </c>
      <c r="J143" s="141" t="n"/>
      <c r="K143" s="140" t="n"/>
      <c r="L143" s="142" t="n"/>
      <c r="M143" s="141" t="n"/>
      <c r="N143" s="140" t="n"/>
      <c r="O143" s="142" t="n"/>
      <c r="P143" s="141" t="n"/>
      <c r="Q143" s="140" t="n"/>
      <c r="R143" s="142" t="n"/>
      <c r="S143" s="141" t="n"/>
      <c r="T143" s="140" t="n"/>
      <c r="U143" s="142" t="n"/>
      <c r="V143" s="141" t="n"/>
      <c r="W143" s="140" t="n"/>
      <c r="X143" s="142" t="n"/>
      <c r="Y143" s="141" t="n"/>
      <c r="Z143" s="140" t="n"/>
      <c r="AA143" s="142" t="n"/>
      <c r="AB143" s="131" t="inlineStr">
        <is>
          <t>&lt;10 ᴿ</t>
        </is>
      </c>
      <c r="AC143" s="163" t="inlineStr">
        <is>
          <t>&lt;10 ᴿ</t>
        </is>
      </c>
      <c r="AD143" s="163" t="inlineStr">
        <is>
          <t>&lt;10² and &gt;10 ᴿ</t>
        </is>
      </c>
      <c r="AE143" s="163" t="inlineStr">
        <is>
          <t>absent ᴿ</t>
        </is>
      </c>
      <c r="AF143" s="163" t="inlineStr">
        <is>
          <t>absent ᴿ</t>
        </is>
      </c>
      <c r="AG143" s="133" t="inlineStr">
        <is>
          <t>•</t>
        </is>
      </c>
      <c r="AH143" s="141" t="n"/>
      <c r="AI143" s="140" t="n"/>
      <c r="AJ143" s="140" t="n"/>
      <c r="AK143" s="142" t="n"/>
      <c r="AL143" s="141" t="n"/>
      <c r="AM143" s="140" t="n"/>
      <c r="AN143" s="140" t="n"/>
      <c r="AO143" s="140" t="n"/>
      <c r="AP143" s="142" t="n"/>
      <c r="AQ143" s="141" t="n"/>
      <c r="AR143" s="140" t="n"/>
      <c r="AS143" s="142" t="n"/>
    </row>
    <row r="144" ht="13" customHeight="1" s="70">
      <c r="A144" s="143" t="n"/>
      <c r="B144" s="144" t="n"/>
      <c r="C144" s="144" t="n"/>
      <c r="D144" s="145" t="n"/>
      <c r="E144" s="146" t="n"/>
      <c r="F144" s="147" t="n"/>
      <c r="G144" s="145" t="n"/>
      <c r="H144" s="146" t="n"/>
      <c r="I144" s="147" t="n"/>
      <c r="J144" s="145" t="n"/>
      <c r="K144" s="146" t="n"/>
      <c r="L144" s="147" t="n"/>
      <c r="M144" s="145" t="n"/>
      <c r="N144" s="146" t="n"/>
      <c r="O144" s="147" t="n"/>
      <c r="P144" s="145" t="n"/>
      <c r="Q144" s="146" t="n"/>
      <c r="R144" s="147" t="n"/>
      <c r="S144" s="145" t="n"/>
      <c r="T144" s="146" t="n"/>
      <c r="U144" s="147" t="n"/>
      <c r="V144" s="145" t="n"/>
      <c r="W144" s="146" t="n"/>
      <c r="X144" s="147" t="n"/>
      <c r="Y144" s="145" t="n"/>
      <c r="Z144" s="146" t="n"/>
      <c r="AA144" s="147" t="n"/>
      <c r="AB144" s="165" t="inlineStr">
        <is>
          <t>2156-2025, (07.05.2025) [IJZ] · on file, not credited</t>
        </is>
      </c>
      <c r="AC144" s="146" t="n"/>
      <c r="AD144" s="146" t="n"/>
      <c r="AE144" s="146" t="n"/>
      <c r="AF144" s="146" t="n"/>
      <c r="AG144" s="147" t="n"/>
      <c r="AH144" s="145" t="n"/>
      <c r="AI144" s="146" t="n"/>
      <c r="AJ144" s="146" t="n"/>
      <c r="AK144" s="147" t="n"/>
      <c r="AL144" s="145" t="n"/>
      <c r="AM144" s="146" t="n"/>
      <c r="AN144" s="146" t="n"/>
      <c r="AO144" s="146" t="n"/>
      <c r="AP144" s="147" t="n"/>
      <c r="AQ144" s="145" t="n"/>
      <c r="AR144" s="146" t="n"/>
      <c r="AS144" s="147" t="n"/>
    </row>
    <row r="145" ht="14" customHeight="1" s="70">
      <c r="A145" s="125" t="inlineStr">
        <is>
          <t>HPA1024_01</t>
        </is>
      </c>
      <c r="B145" s="126" t="inlineStr">
        <is>
          <t>P050052</t>
        </is>
      </c>
      <c r="C145" s="149" t="inlineStr">
        <is>
          <t>✓ COMPLETE
2 testing instances
• 2 document(s) on file, not credited
◐ UNDETERMINED (Ph. Eur. band): #9 TYMC</t>
        </is>
      </c>
      <c r="D145" s="128" t="inlineStr">
        <is>
          <t>Conforms</t>
        </is>
      </c>
      <c r="E145" s="129">
        <f>IFERROR(INDEX('iCoA Register'!$B:$B,MATCH("P050052|AB|I",'iCoA Register'!$R:$R,0)),"iCoA — at issue")&amp;", (27.06.2025) [PP]"</f>
        <v/>
      </c>
      <c r="F145" s="130" t="inlineStr">
        <is>
          <t>✓</t>
        </is>
      </c>
      <c r="G145" s="131" t="inlineStr">
        <is>
          <t>not on this certificate</t>
        </is>
      </c>
      <c r="H145" s="132" t="inlineStr">
        <is>
          <t>ППК25155, (24.06.2025) [CNP] · on file, not credited</t>
        </is>
      </c>
      <c r="I145" s="133" t="inlineStr">
        <is>
          <t>•</t>
        </is>
      </c>
      <c r="J145" s="128" t="inlineStr">
        <is>
          <t>Conforms (ImB spec.)</t>
        </is>
      </c>
      <c r="K145" s="129" t="inlineStr">
        <is>
          <t>ППК25155, (24.06.2025) [CNP]</t>
        </is>
      </c>
      <c r="L145" s="130" t="inlineStr">
        <is>
          <t>✓</t>
        </is>
      </c>
      <c r="M145" s="128" t="inlineStr">
        <is>
          <t>22.43</t>
        </is>
      </c>
      <c r="N145" s="129" t="inlineStr">
        <is>
          <t>ППК25155, (24.06.2025) [CNP]</t>
        </is>
      </c>
      <c r="O145" s="130" t="inlineStr">
        <is>
          <t>✓</t>
        </is>
      </c>
      <c r="P145" s="128" t="inlineStr">
        <is>
          <t>0.10</t>
        </is>
      </c>
      <c r="Q145" s="129" t="inlineStr">
        <is>
          <t>ППК25155, (24.06.2025) [CNP]</t>
        </is>
      </c>
      <c r="R145" s="130" t="inlineStr">
        <is>
          <t>✓</t>
        </is>
      </c>
      <c r="S145" s="128" t="inlineStr">
        <is>
          <t>0.02 ᴰ</t>
        </is>
      </c>
      <c r="T145" s="129" t="inlineStr">
        <is>
          <t>ППК25155, (24.06.2025) [CNP]</t>
        </is>
      </c>
      <c r="U145" s="130" t="inlineStr">
        <is>
          <t>✓</t>
        </is>
      </c>
      <c r="V145" s="128" t="inlineStr">
        <is>
          <t>Conforms</t>
        </is>
      </c>
      <c r="W145" s="129">
        <f>IFERROR(INDEX('iCoA Register'!$B:$B,MATCH("P050052|FM|I",'iCoA Register'!$R:$R,0)),"iCoA — at issue")&amp;", (27.06.2025) [PP]"</f>
        <v/>
      </c>
      <c r="X145" s="130" t="inlineStr">
        <is>
          <t>✓</t>
        </is>
      </c>
      <c r="Y145" s="128" t="inlineStr">
        <is>
          <t>6.36</t>
        </is>
      </c>
      <c r="Z145" s="129" t="inlineStr">
        <is>
          <t>ППК25155, (24.06.2025) [CNP]</t>
        </is>
      </c>
      <c r="AA145" s="130" t="inlineStr">
        <is>
          <t>✓</t>
        </is>
      </c>
      <c r="AB145" s="128" t="inlineStr">
        <is>
          <t>9.6 x 10³</t>
        </is>
      </c>
      <c r="AC145" s="166" t="inlineStr">
        <is>
          <t>1.5 x 10⁴</t>
        </is>
      </c>
      <c r="AD145" s="134" t="inlineStr">
        <is>
          <t>&lt;10</t>
        </is>
      </c>
      <c r="AE145" s="134" t="inlineStr">
        <is>
          <t>Одговара</t>
        </is>
      </c>
      <c r="AF145" s="134" t="inlineStr">
        <is>
          <t>Одговара</t>
        </is>
      </c>
      <c r="AG145" s="130" t="inlineStr">
        <is>
          <t>✓</t>
        </is>
      </c>
      <c r="AH145" s="128" t="inlineStr">
        <is>
          <t>n.r.</t>
        </is>
      </c>
      <c r="AI145" s="134" t="inlineStr">
        <is>
          <t>&lt;2</t>
        </is>
      </c>
      <c r="AJ145" s="134" t="inlineStr">
        <is>
          <t>n.r.</t>
        </is>
      </c>
      <c r="AK145" s="130" t="inlineStr">
        <is>
          <t>✓</t>
        </is>
      </c>
      <c r="AL145" s="128" t="inlineStr">
        <is>
          <t>0.059</t>
        </is>
      </c>
      <c r="AM145" s="134" t="inlineStr">
        <is>
          <t>0.014</t>
        </is>
      </c>
      <c r="AN145" s="134" t="inlineStr">
        <is>
          <t>0.037</t>
        </is>
      </c>
      <c r="AO145" s="134" t="inlineStr">
        <is>
          <t>0.008</t>
        </is>
      </c>
      <c r="AP145" s="130" t="inlineStr">
        <is>
          <t>✓</t>
        </is>
      </c>
      <c r="AQ145" s="128" t="inlineStr">
        <is>
          <t>≤ LOQ (all 23 compounds)</t>
        </is>
      </c>
      <c r="AR145" s="129" t="inlineStr">
        <is>
          <t>2995-2025, (19.06.2025) [IJZ]</t>
        </is>
      </c>
      <c r="AS145" s="130" t="inlineStr">
        <is>
          <t>✓</t>
        </is>
      </c>
    </row>
    <row r="146" ht="13" customHeight="1" s="70">
      <c r="A146" s="135" t="n"/>
      <c r="D146" s="136" t="n"/>
      <c r="F146" s="137" t="n"/>
      <c r="G146" s="136" t="n"/>
      <c r="I146" s="137" t="n"/>
      <c r="J146" s="136" t="n"/>
      <c r="L146" s="137" t="n"/>
      <c r="M146" s="136" t="n"/>
      <c r="O146" s="137" t="n"/>
      <c r="P146" s="136" t="n"/>
      <c r="R146" s="137" t="n"/>
      <c r="S146" s="136" t="n"/>
      <c r="U146" s="137" t="n"/>
      <c r="V146" s="136" t="n"/>
      <c r="X146" s="137" t="n"/>
      <c r="Y146" s="136" t="n"/>
      <c r="AA146" s="137" t="n"/>
      <c r="AB146" s="138" t="inlineStr">
        <is>
          <t>587-1066-25, (18.06.2025) [IJZ-MB]</t>
        </is>
      </c>
      <c r="AG146" s="137" t="n"/>
      <c r="AH146" s="138" t="inlineStr">
        <is>
          <t>2995-2025, (19.06.2025) [IJZ]</t>
        </is>
      </c>
      <c r="AK146" s="137" t="n"/>
      <c r="AL146" s="138" t="inlineStr">
        <is>
          <t>2995-2025, (19.06.2025) [IJZ]</t>
        </is>
      </c>
      <c r="AP146" s="137" t="n"/>
      <c r="AQ146" s="136" t="n"/>
      <c r="AS146" s="137" t="n"/>
    </row>
    <row r="147" ht="14" customHeight="1" s="70">
      <c r="A147" s="139" t="n"/>
      <c r="B147" s="140" t="n"/>
      <c r="D147" s="141" t="n"/>
      <c r="E147" s="140" t="n"/>
      <c r="F147" s="142" t="n"/>
      <c r="G147" s="128" t="inlineStr">
        <is>
          <t>Conforms</t>
        </is>
      </c>
      <c r="H147" s="129">
        <f>IFERROR(INDEX('iCoA Register'!$B:$B,MATCH("P050052|AB|I",'iCoA Register'!$R:$R,0)),"iCoA — at issue")&amp;", (27.06.2025) [PP]"</f>
        <v/>
      </c>
      <c r="I147" s="130" t="inlineStr">
        <is>
          <t>✓</t>
        </is>
      </c>
      <c r="J147" s="128" t="inlineStr">
        <is>
          <t>Conforms (ImB spec.) ᴿ</t>
        </is>
      </c>
      <c r="K147" s="129" t="inlineStr">
        <is>
          <t>197-14-K-26, (07.08.2026) [FHM-K]</t>
        </is>
      </c>
      <c r="L147" s="130" t="inlineStr">
        <is>
          <t>✓</t>
        </is>
      </c>
      <c r="M147" s="128" t="inlineStr">
        <is>
          <t>21.61</t>
        </is>
      </c>
      <c r="N147" s="129" t="inlineStr">
        <is>
          <t>197-14-K-26, (07.08.2026) [FHM-K]</t>
        </is>
      </c>
      <c r="O147" s="130" t="inlineStr">
        <is>
          <t>✓</t>
        </is>
      </c>
      <c r="P147" s="128" t="inlineStr">
        <is>
          <t>&lt;LOQ</t>
        </is>
      </c>
      <c r="Q147" s="129" t="inlineStr">
        <is>
          <t>197-14-K-26, (07.08.2026) [FHM-K]</t>
        </is>
      </c>
      <c r="R147" s="130" t="inlineStr">
        <is>
          <t>✓</t>
        </is>
      </c>
      <c r="S147" s="128" t="inlineStr">
        <is>
          <t>&lt;LOQ</t>
        </is>
      </c>
      <c r="T147" s="129" t="inlineStr">
        <is>
          <t>197-14-K-26, (07.08.2026) [FHM-K]</t>
        </is>
      </c>
      <c r="U147" s="130" t="inlineStr">
        <is>
          <t>✓</t>
        </is>
      </c>
      <c r="V147" s="141" t="n"/>
      <c r="W147" s="140" t="n"/>
      <c r="X147" s="142" t="n"/>
      <c r="Y147" s="131" t="inlineStr">
        <is>
          <t>not on this certificate</t>
        </is>
      </c>
      <c r="Z147" s="132" t="inlineStr">
        <is>
          <t>197-14-K-26, (07.08.2026) [FHM-K] · on file, not credited</t>
        </is>
      </c>
      <c r="AA147" s="133" t="inlineStr">
        <is>
          <t>•</t>
        </is>
      </c>
      <c r="AB147" s="141" t="n"/>
      <c r="AC147" s="140" t="n"/>
      <c r="AD147" s="140" t="n"/>
      <c r="AE147" s="140" t="n"/>
      <c r="AF147" s="140" t="n"/>
      <c r="AG147" s="142" t="n"/>
      <c r="AH147" s="128" t="inlineStr">
        <is>
          <t>ND</t>
        </is>
      </c>
      <c r="AI147" s="134" t="inlineStr">
        <is>
          <t>ND ᴿ</t>
        </is>
      </c>
      <c r="AJ147" s="134" t="inlineStr">
        <is>
          <t>2.06</t>
        </is>
      </c>
      <c r="AK147" s="130" t="inlineStr">
        <is>
          <t>✓</t>
        </is>
      </c>
      <c r="AL147" s="141" t="n"/>
      <c r="AM147" s="140" t="n"/>
      <c r="AN147" s="140" t="n"/>
      <c r="AO147" s="140" t="n"/>
      <c r="AP147" s="142" t="n"/>
      <c r="AQ147" s="141" t="n"/>
      <c r="AR147" s="140" t="n"/>
      <c r="AS147" s="142" t="n"/>
    </row>
    <row r="148" ht="21" customHeight="1" s="70">
      <c r="A148" s="143" t="n"/>
      <c r="B148" s="144" t="n"/>
      <c r="C148" s="144" t="n"/>
      <c r="D148" s="145" t="n"/>
      <c r="E148" s="146" t="n"/>
      <c r="F148" s="147" t="n"/>
      <c r="G148" s="145" t="n"/>
      <c r="H148" s="146" t="n"/>
      <c r="I148" s="147" t="n"/>
      <c r="J148" s="145" t="n"/>
      <c r="K148" s="146" t="n"/>
      <c r="L148" s="147" t="n"/>
      <c r="M148" s="145" t="n"/>
      <c r="N148" s="146" t="n"/>
      <c r="O148" s="147" t="n"/>
      <c r="P148" s="145" t="n"/>
      <c r="Q148" s="146" t="n"/>
      <c r="R148" s="147" t="n"/>
      <c r="S148" s="145" t="n"/>
      <c r="T148" s="146" t="n"/>
      <c r="U148" s="147" t="n"/>
      <c r="V148" s="145" t="n"/>
      <c r="W148" s="146" t="n"/>
      <c r="X148" s="147" t="n"/>
      <c r="Y148" s="145" t="n"/>
      <c r="Z148" s="146" t="n"/>
      <c r="AA148" s="147" t="n"/>
      <c r="AB148" s="145" t="n"/>
      <c r="AC148" s="146" t="n"/>
      <c r="AD148" s="146" t="n"/>
      <c r="AE148" s="146" t="n"/>
      <c r="AF148" s="146" t="n"/>
      <c r="AG148" s="147" t="n"/>
      <c r="AH148" s="148" t="inlineStr">
        <is>
          <t>197-14-M-26, (10.08.2026) [FHM-M]</t>
        </is>
      </c>
      <c r="AI148" s="146" t="n"/>
      <c r="AJ148" s="146" t="n"/>
      <c r="AK148" s="147" t="n"/>
      <c r="AL148" s="145" t="n"/>
      <c r="AM148" s="146" t="n"/>
      <c r="AN148" s="146" t="n"/>
      <c r="AO148" s="146" t="n"/>
      <c r="AP148" s="147" t="n"/>
      <c r="AQ148" s="145" t="n"/>
      <c r="AR148" s="146" t="n"/>
      <c r="AS148" s="147" t="n"/>
    </row>
    <row r="149" ht="14" customHeight="1" s="70">
      <c r="A149" s="125" t="inlineStr">
        <is>
          <t>OPM1024_02</t>
        </is>
      </c>
      <c r="B149" s="126" t="inlineStr">
        <is>
          <t>P050062</t>
        </is>
      </c>
      <c r="C149" s="127" t="inlineStr">
        <is>
          <t>✓ COMPLETE
2 testing instances
• 2 document(s) on file, not credited</t>
        </is>
      </c>
      <c r="D149" s="128" t="inlineStr">
        <is>
          <t>Conforms</t>
        </is>
      </c>
      <c r="E149" s="129">
        <f>IFERROR(INDEX('iCoA Register'!$B:$B,MATCH("P050062|AB|I",'iCoA Register'!$R:$R,0)),"iCoA — at issue")&amp;", (04.07.2025) [PP]"</f>
        <v/>
      </c>
      <c r="F149" s="130" t="inlineStr">
        <is>
          <t>✓</t>
        </is>
      </c>
      <c r="G149" s="131" t="inlineStr">
        <is>
          <t>not on this certificate</t>
        </is>
      </c>
      <c r="H149" s="132" t="inlineStr">
        <is>
          <t>ППК25154, (24.06.2025) [CNP] · on file, not credited</t>
        </is>
      </c>
      <c r="I149" s="133" t="inlineStr">
        <is>
          <t>•</t>
        </is>
      </c>
      <c r="J149" s="128" t="inlineStr">
        <is>
          <t>Conforms (ImB spec.)</t>
        </is>
      </c>
      <c r="K149" s="129" t="inlineStr">
        <is>
          <t>ППК25154, (24.06.2025) [CNP]</t>
        </is>
      </c>
      <c r="L149" s="130" t="inlineStr">
        <is>
          <t>✓</t>
        </is>
      </c>
      <c r="M149" s="128" t="inlineStr">
        <is>
          <t>18.27</t>
        </is>
      </c>
      <c r="N149" s="129" t="inlineStr">
        <is>
          <t>ППК25154, (24.06.2025) [CNP]</t>
        </is>
      </c>
      <c r="O149" s="130" t="inlineStr">
        <is>
          <t>✓</t>
        </is>
      </c>
      <c r="P149" s="128" t="inlineStr">
        <is>
          <t>0.05</t>
        </is>
      </c>
      <c r="Q149" s="129" t="inlineStr">
        <is>
          <t>ППК25154, (24.06.2025) [CNP]</t>
        </is>
      </c>
      <c r="R149" s="130" t="inlineStr">
        <is>
          <t>✓</t>
        </is>
      </c>
      <c r="S149" s="128" t="inlineStr">
        <is>
          <t>0.02 ᴰ</t>
        </is>
      </c>
      <c r="T149" s="129" t="inlineStr">
        <is>
          <t>ППК25154, (24.06.2025) [CNP]</t>
        </is>
      </c>
      <c r="U149" s="130" t="inlineStr">
        <is>
          <t>✓</t>
        </is>
      </c>
      <c r="V149" s="128" t="inlineStr">
        <is>
          <t>Conforms</t>
        </is>
      </c>
      <c r="W149" s="129">
        <f>IFERROR(INDEX('iCoA Register'!$B:$B,MATCH("P050062|FM|I",'iCoA Register'!$R:$R,0)),"iCoA — at issue")&amp;", (04.07.2025) [PP]"</f>
        <v/>
      </c>
      <c r="X149" s="130" t="inlineStr">
        <is>
          <t>✓</t>
        </is>
      </c>
      <c r="Y149" s="128" t="inlineStr">
        <is>
          <t>6.89</t>
        </is>
      </c>
      <c r="Z149" s="129" t="inlineStr">
        <is>
          <t>ППК25154, (24.06.2025) [CNP]</t>
        </is>
      </c>
      <c r="AA149" s="130" t="inlineStr">
        <is>
          <t>✓</t>
        </is>
      </c>
      <c r="AB149" s="128" t="inlineStr">
        <is>
          <t>3.4 x 10³</t>
        </is>
      </c>
      <c r="AC149" s="134" t="inlineStr">
        <is>
          <t>3.6 x 10³</t>
        </is>
      </c>
      <c r="AD149" s="134" t="inlineStr">
        <is>
          <t>&lt;10</t>
        </is>
      </c>
      <c r="AE149" s="134" t="inlineStr">
        <is>
          <t>Одговара</t>
        </is>
      </c>
      <c r="AF149" s="134" t="inlineStr">
        <is>
          <t>Одговара</t>
        </is>
      </c>
      <c r="AG149" s="130" t="inlineStr">
        <is>
          <t>✓</t>
        </is>
      </c>
      <c r="AH149" s="128" t="inlineStr">
        <is>
          <t>n.r.</t>
        </is>
      </c>
      <c r="AI149" s="134" t="inlineStr">
        <is>
          <t>&lt;2</t>
        </is>
      </c>
      <c r="AJ149" s="134" t="inlineStr">
        <is>
          <t>n.r.</t>
        </is>
      </c>
      <c r="AK149" s="130" t="inlineStr">
        <is>
          <t>✓</t>
        </is>
      </c>
      <c r="AL149" s="128" t="inlineStr">
        <is>
          <t>0.052</t>
        </is>
      </c>
      <c r="AM149" s="134" t="inlineStr">
        <is>
          <t>0.011</t>
        </is>
      </c>
      <c r="AN149" s="134" t="inlineStr">
        <is>
          <t>0.028</t>
        </is>
      </c>
      <c r="AO149" s="134" t="inlineStr">
        <is>
          <t>0.061</t>
        </is>
      </c>
      <c r="AP149" s="130" t="inlineStr">
        <is>
          <t>✓</t>
        </is>
      </c>
      <c r="AQ149" s="128" t="inlineStr">
        <is>
          <t>FINDS: delta HCH &lt;0.01</t>
        </is>
      </c>
      <c r="AR149" s="129" t="inlineStr">
        <is>
          <t>2994-2025, (19.06.2025) [IJZ]</t>
        </is>
      </c>
      <c r="AS149" s="130" t="inlineStr">
        <is>
          <t>✓</t>
        </is>
      </c>
    </row>
    <row r="150" ht="13" customHeight="1" s="70">
      <c r="A150" s="135" t="n"/>
      <c r="D150" s="136" t="n"/>
      <c r="F150" s="137" t="n"/>
      <c r="G150" s="136" t="n"/>
      <c r="I150" s="137" t="n"/>
      <c r="J150" s="136" t="n"/>
      <c r="L150" s="137" t="n"/>
      <c r="M150" s="136" t="n"/>
      <c r="O150" s="137" t="n"/>
      <c r="P150" s="136" t="n"/>
      <c r="R150" s="137" t="n"/>
      <c r="S150" s="136" t="n"/>
      <c r="U150" s="137" t="n"/>
      <c r="V150" s="136" t="n"/>
      <c r="X150" s="137" t="n"/>
      <c r="Y150" s="136" t="n"/>
      <c r="AA150" s="137" t="n"/>
      <c r="AB150" s="138" t="inlineStr">
        <is>
          <t>588-1067-25, (18.06.2025) [IJZ-MB]</t>
        </is>
      </c>
      <c r="AG150" s="137" t="n"/>
      <c r="AH150" s="138" t="inlineStr">
        <is>
          <t>2994-2025, (19.06.2025) [IJZ]</t>
        </is>
      </c>
      <c r="AK150" s="137" t="n"/>
      <c r="AL150" s="138" t="inlineStr">
        <is>
          <t>2994-2025, (19.06.2025) [IJZ]</t>
        </is>
      </c>
      <c r="AP150" s="137" t="n"/>
      <c r="AQ150" s="136" t="n"/>
      <c r="AS150" s="137" t="n"/>
    </row>
    <row r="151" ht="14" customHeight="1" s="70">
      <c r="A151" s="139" t="n"/>
      <c r="B151" s="140" t="n"/>
      <c r="D151" s="141" t="n"/>
      <c r="E151" s="140" t="n"/>
      <c r="F151" s="142" t="n"/>
      <c r="G151" s="128" t="inlineStr">
        <is>
          <t>Conforms</t>
        </is>
      </c>
      <c r="H151" s="129">
        <f>IFERROR(INDEX('iCoA Register'!$B:$B,MATCH("P050062|AB|I",'iCoA Register'!$R:$R,0)),"iCoA — at issue")&amp;", (04.07.2025) [PP]"</f>
        <v/>
      </c>
      <c r="I151" s="130" t="inlineStr">
        <is>
          <t>✓</t>
        </is>
      </c>
      <c r="J151" s="128" t="inlineStr">
        <is>
          <t>Conforms (ImB spec.) ᴿ</t>
        </is>
      </c>
      <c r="K151" s="129" t="inlineStr">
        <is>
          <t>197-18-K-26, (07.08.2026) [FHM-K]</t>
        </is>
      </c>
      <c r="L151" s="130" t="inlineStr">
        <is>
          <t>✓</t>
        </is>
      </c>
      <c r="M151" s="128" t="inlineStr">
        <is>
          <t>18.04</t>
        </is>
      </c>
      <c r="N151" s="129" t="inlineStr">
        <is>
          <t>197-18-K-26, (07.08.2026) [FHM-K]</t>
        </is>
      </c>
      <c r="O151" s="130" t="inlineStr">
        <is>
          <t>✓</t>
        </is>
      </c>
      <c r="P151" s="128" t="inlineStr">
        <is>
          <t>&lt; LOQ</t>
        </is>
      </c>
      <c r="Q151" s="129" t="inlineStr">
        <is>
          <t>197-18-K-26, (07.08.2026) [FHM-K]</t>
        </is>
      </c>
      <c r="R151" s="130" t="inlineStr">
        <is>
          <t>✓</t>
        </is>
      </c>
      <c r="S151" s="128" t="inlineStr">
        <is>
          <t>&lt; LOQ</t>
        </is>
      </c>
      <c r="T151" s="129" t="inlineStr">
        <is>
          <t>197-18-K-26, (07.08.2026) [FHM-K]</t>
        </is>
      </c>
      <c r="U151" s="130" t="inlineStr">
        <is>
          <t>✓</t>
        </is>
      </c>
      <c r="V151" s="141" t="n"/>
      <c r="W151" s="140" t="n"/>
      <c r="X151" s="142" t="n"/>
      <c r="Y151" s="131" t="inlineStr">
        <is>
          <t>not on this certificate</t>
        </is>
      </c>
      <c r="Z151" s="132" t="inlineStr">
        <is>
          <t>197-18-K-26, (07.08.2026) [FHM-K] · on file, not credited</t>
        </is>
      </c>
      <c r="AA151" s="133" t="inlineStr">
        <is>
          <t>•</t>
        </is>
      </c>
      <c r="AB151" s="141" t="n"/>
      <c r="AC151" s="140" t="n"/>
      <c r="AD151" s="140" t="n"/>
      <c r="AE151" s="140" t="n"/>
      <c r="AF151" s="140" t="n"/>
      <c r="AG151" s="142" t="n"/>
      <c r="AH151" s="128" t="inlineStr">
        <is>
          <t>ND</t>
        </is>
      </c>
      <c r="AI151" s="134" t="inlineStr">
        <is>
          <t>ND ᴿ</t>
        </is>
      </c>
      <c r="AJ151" s="134" t="inlineStr">
        <is>
          <t>ND</t>
        </is>
      </c>
      <c r="AK151" s="130" t="inlineStr">
        <is>
          <t>✓</t>
        </is>
      </c>
      <c r="AL151" s="141" t="n"/>
      <c r="AM151" s="140" t="n"/>
      <c r="AN151" s="140" t="n"/>
      <c r="AO151" s="140" t="n"/>
      <c r="AP151" s="142" t="n"/>
      <c r="AQ151" s="141" t="n"/>
      <c r="AR151" s="140" t="n"/>
      <c r="AS151" s="142" t="n"/>
    </row>
    <row r="152" ht="21" customHeight="1" s="70">
      <c r="A152" s="143" t="n"/>
      <c r="B152" s="144" t="n"/>
      <c r="C152" s="144" t="n"/>
      <c r="D152" s="145" t="n"/>
      <c r="E152" s="146" t="n"/>
      <c r="F152" s="147" t="n"/>
      <c r="G152" s="145" t="n"/>
      <c r="H152" s="146" t="n"/>
      <c r="I152" s="147" t="n"/>
      <c r="J152" s="145" t="n"/>
      <c r="K152" s="146" t="n"/>
      <c r="L152" s="147" t="n"/>
      <c r="M152" s="145" t="n"/>
      <c r="N152" s="146" t="n"/>
      <c r="O152" s="147" t="n"/>
      <c r="P152" s="145" t="n"/>
      <c r="Q152" s="146" t="n"/>
      <c r="R152" s="147" t="n"/>
      <c r="S152" s="145" t="n"/>
      <c r="T152" s="146" t="n"/>
      <c r="U152" s="147" t="n"/>
      <c r="V152" s="145" t="n"/>
      <c r="W152" s="146" t="n"/>
      <c r="X152" s="147" t="n"/>
      <c r="Y152" s="145" t="n"/>
      <c r="Z152" s="146" t="n"/>
      <c r="AA152" s="147" t="n"/>
      <c r="AB152" s="145" t="n"/>
      <c r="AC152" s="146" t="n"/>
      <c r="AD152" s="146" t="n"/>
      <c r="AE152" s="146" t="n"/>
      <c r="AF152" s="146" t="n"/>
      <c r="AG152" s="147" t="n"/>
      <c r="AH152" s="148" t="inlineStr">
        <is>
          <t>197-18-M-26, (10.08.2026) [FHM-M]</t>
        </is>
      </c>
      <c r="AI152" s="146" t="n"/>
      <c r="AJ152" s="146" t="n"/>
      <c r="AK152" s="147" t="n"/>
      <c r="AL152" s="145" t="n"/>
      <c r="AM152" s="146" t="n"/>
      <c r="AN152" s="146" t="n"/>
      <c r="AO152" s="146" t="n"/>
      <c r="AP152" s="147" t="n"/>
      <c r="AQ152" s="145" t="n"/>
      <c r="AR152" s="146" t="n"/>
      <c r="AS152" s="147" t="n"/>
    </row>
    <row r="153" ht="21" customHeight="1" s="70">
      <c r="A153" s="125" t="inlineStr">
        <is>
          <t>GP0824_03</t>
        </is>
      </c>
      <c r="B153" s="126" t="inlineStr">
        <is>
          <t>P050072</t>
        </is>
      </c>
      <c r="C153" s="149" t="inlineStr">
        <is>
          <t>✓ COMPLETE
5 testing instances
• 4 document(s) on file, not credited
◐ UNDETERMINED (Ph. Eur. band): #9 TYMC
· stability above A.C.: #6</t>
        </is>
      </c>
      <c r="D153" s="128" t="inlineStr">
        <is>
          <t>Conforms</t>
        </is>
      </c>
      <c r="E153" s="129">
        <f>IFERROR(INDEX('iCoA Register'!$B:$B,MATCH("P050072|AB|I",'iCoA Register'!$R:$R,0)),"iCoA — at issue")&amp;", (14.07.2025) [PP]"</f>
        <v/>
      </c>
      <c r="F153" s="130" t="inlineStr">
        <is>
          <t>✓</t>
        </is>
      </c>
      <c r="G153" s="131" t="inlineStr">
        <is>
          <t>not on this certificate</t>
        </is>
      </c>
      <c r="H153" s="132" t="inlineStr">
        <is>
          <t>ППК25175, (10.07.2025) [CNP] · on file, not credited</t>
        </is>
      </c>
      <c r="I153" s="133" t="inlineStr">
        <is>
          <t>•</t>
        </is>
      </c>
      <c r="J153" s="128" t="inlineStr">
        <is>
          <t>Conforms (ImB spec.)</t>
        </is>
      </c>
      <c r="K153" s="129" t="inlineStr">
        <is>
          <t>ППК25175, (10.07.2025) [CNP]</t>
        </is>
      </c>
      <c r="L153" s="130" t="inlineStr">
        <is>
          <t>✓</t>
        </is>
      </c>
      <c r="M153" s="128" t="inlineStr">
        <is>
          <t>25.45</t>
        </is>
      </c>
      <c r="N153" s="129" t="inlineStr">
        <is>
          <t>ППК25175, (10.07.2025) [CNP]</t>
        </is>
      </c>
      <c r="O153" s="130" t="inlineStr">
        <is>
          <t>✓</t>
        </is>
      </c>
      <c r="P153" s="128" t="inlineStr">
        <is>
          <t>0.08</t>
        </is>
      </c>
      <c r="Q153" s="129" t="inlineStr">
        <is>
          <t>ППК25175, (10.07.2025) [CNP]</t>
        </is>
      </c>
      <c r="R153" s="130" t="inlineStr">
        <is>
          <t>✓</t>
        </is>
      </c>
      <c r="S153" s="128" t="inlineStr">
        <is>
          <t>BLQ ᴰ</t>
        </is>
      </c>
      <c r="T153" s="129" t="inlineStr">
        <is>
          <t>ППК25175, (10.07.2025) [CNP]</t>
        </is>
      </c>
      <c r="U153" s="130" t="inlineStr">
        <is>
          <t>✓</t>
        </is>
      </c>
      <c r="V153" s="128" t="inlineStr">
        <is>
          <t>Conforms</t>
        </is>
      </c>
      <c r="W153" s="129">
        <f>IFERROR(INDEX('iCoA Register'!$B:$B,MATCH("P050072|FM|I",'iCoA Register'!$R:$R,0)),"iCoA — at issue")&amp;", (14.07.2025) [PP]"</f>
        <v/>
      </c>
      <c r="X153" s="130" t="inlineStr">
        <is>
          <t>✓</t>
        </is>
      </c>
      <c r="Y153" s="128" t="inlineStr">
        <is>
          <t>6.58</t>
        </is>
      </c>
      <c r="Z153" s="129" t="inlineStr">
        <is>
          <t>ППК25175, (10.07.2025) [CNP]</t>
        </is>
      </c>
      <c r="AA153" s="130" t="inlineStr">
        <is>
          <t>✓</t>
        </is>
      </c>
      <c r="AB153" s="128" t="inlineStr">
        <is>
          <t>1.1 x 10⁴</t>
        </is>
      </c>
      <c r="AC153" s="166" t="inlineStr">
        <is>
          <t>1.2 x 10⁴</t>
        </is>
      </c>
      <c r="AD153" s="134" t="inlineStr">
        <is>
          <t>&lt;10⁴ и &gt;10³</t>
        </is>
      </c>
      <c r="AE153" s="134" t="inlineStr">
        <is>
          <t>Одговара</t>
        </is>
      </c>
      <c r="AF153" s="134" t="inlineStr">
        <is>
          <t>Одговара</t>
        </is>
      </c>
      <c r="AG153" s="130" t="inlineStr">
        <is>
          <t>✓</t>
        </is>
      </c>
      <c r="AH153" s="128" t="inlineStr">
        <is>
          <t>n.r.</t>
        </is>
      </c>
      <c r="AI153" s="134" t="inlineStr">
        <is>
          <t>&lt;2</t>
        </is>
      </c>
      <c r="AJ153" s="134" t="inlineStr">
        <is>
          <t>n.r.</t>
        </is>
      </c>
      <c r="AK153" s="130" t="inlineStr">
        <is>
          <t>✓</t>
        </is>
      </c>
      <c r="AL153" s="128" t="inlineStr">
        <is>
          <t>н.д.</t>
        </is>
      </c>
      <c r="AM153" s="134" t="inlineStr">
        <is>
          <t>н.д.</t>
        </is>
      </c>
      <c r="AN153" s="134" t="inlineStr">
        <is>
          <t>0.119</t>
        </is>
      </c>
      <c r="AO153" s="134" t="inlineStr">
        <is>
          <t>н.д.</t>
        </is>
      </c>
      <c r="AP153" s="130" t="inlineStr">
        <is>
          <t>✓</t>
        </is>
      </c>
      <c r="AQ153" s="128" t="inlineStr">
        <is>
          <t>≤ LOQ (all 29 compounds)</t>
        </is>
      </c>
      <c r="AR153" s="129" t="inlineStr">
        <is>
          <t>3178-2025, (26.06.2025) [IJZ]</t>
        </is>
      </c>
      <c r="AS153" s="130" t="inlineStr">
        <is>
          <t>✓</t>
        </is>
      </c>
    </row>
    <row r="154" ht="13" customHeight="1" s="70">
      <c r="A154" s="135" t="n"/>
      <c r="D154" s="136" t="n"/>
      <c r="F154" s="137" t="n"/>
      <c r="G154" s="136" t="n"/>
      <c r="I154" s="137" t="n"/>
      <c r="J154" s="136" t="n"/>
      <c r="L154" s="137" t="n"/>
      <c r="M154" s="136" t="n"/>
      <c r="O154" s="137" t="n"/>
      <c r="P154" s="136" t="n"/>
      <c r="R154" s="137" t="n"/>
      <c r="S154" s="136" t="n"/>
      <c r="U154" s="137" t="n"/>
      <c r="V154" s="136" t="n"/>
      <c r="X154" s="137" t="n"/>
      <c r="Y154" s="136" t="n"/>
      <c r="AA154" s="137" t="n"/>
      <c r="AB154" s="138" t="inlineStr">
        <is>
          <t>628-1129-25, (02.07.2025) [IJZ-MB]</t>
        </is>
      </c>
      <c r="AG154" s="137" t="n"/>
      <c r="AH154" s="138" t="inlineStr">
        <is>
          <t>3178-2025, (26.06.2025) [IJZ]</t>
        </is>
      </c>
      <c r="AK154" s="137" t="n"/>
      <c r="AL154" s="138" t="inlineStr">
        <is>
          <t>3178-2025, (26.06.2025) [IJZ]</t>
        </is>
      </c>
      <c r="AP154" s="137" t="n"/>
      <c r="AQ154" s="136" t="n"/>
      <c r="AS154" s="137" t="n"/>
    </row>
    <row r="155" ht="14" customHeight="1" s="70">
      <c r="A155" s="139" t="n"/>
      <c r="B155" s="140" t="n"/>
      <c r="D155" s="141" t="n"/>
      <c r="E155" s="140" t="n"/>
      <c r="F155" s="142" t="n"/>
      <c r="G155" s="128" t="inlineStr">
        <is>
          <t>Conforms</t>
        </is>
      </c>
      <c r="H155" s="129">
        <f>IFERROR(INDEX('iCoA Register'!$B:$B,MATCH("P050072|AB|I",'iCoA Register'!$R:$R,0)),"iCoA — at issue")&amp;", (14.07.2025) [PP]"</f>
        <v/>
      </c>
      <c r="I155" s="130" t="inlineStr">
        <is>
          <t>✓</t>
        </is>
      </c>
      <c r="J155" s="167" t="inlineStr">
        <is>
          <t>Conforms (ImB spec.)</t>
        </is>
      </c>
      <c r="K155" s="168" t="inlineStr">
        <is>
          <t>ППК26034, (05.03.2026) [CNP]</t>
        </is>
      </c>
      <c r="L155" s="169" t="inlineStr">
        <is>
          <t>✓</t>
        </is>
      </c>
      <c r="M155" s="167" t="inlineStr">
        <is>
          <t>24.62</t>
        </is>
      </c>
      <c r="N155" s="168" t="inlineStr">
        <is>
          <t>ППК26034, (05.03.2026) [CNP]</t>
        </is>
      </c>
      <c r="O155" s="169" t="inlineStr">
        <is>
          <t>✓</t>
        </is>
      </c>
      <c r="P155" s="167" t="inlineStr">
        <is>
          <t>0.04</t>
        </is>
      </c>
      <c r="Q155" s="168" t="inlineStr">
        <is>
          <t>ППК26034, (05.03.2026) [CNP]</t>
        </is>
      </c>
      <c r="R155" s="169" t="inlineStr">
        <is>
          <t>✓</t>
        </is>
      </c>
      <c r="S155" s="167" t="inlineStr">
        <is>
          <t>0.05 % ᴰ</t>
        </is>
      </c>
      <c r="T155" s="168" t="inlineStr">
        <is>
          <t>ППК26034, (05.03.2026) [CNP]</t>
        </is>
      </c>
      <c r="U155" s="169" t="inlineStr">
        <is>
          <t>✓</t>
        </is>
      </c>
      <c r="V155" s="141" t="n"/>
      <c r="W155" s="140" t="n"/>
      <c r="X155" s="142" t="n"/>
      <c r="Y155" s="167" t="inlineStr">
        <is>
          <t>5.92</t>
        </is>
      </c>
      <c r="Z155" s="168" t="inlineStr">
        <is>
          <t>ППК26034, (05.03.2026) [CNP]</t>
        </is>
      </c>
      <c r="AA155" s="169" t="inlineStr">
        <is>
          <t>✓</t>
        </is>
      </c>
      <c r="AB155" s="141" t="n"/>
      <c r="AC155" s="140" t="n"/>
      <c r="AD155" s="140" t="n"/>
      <c r="AE155" s="140" t="n"/>
      <c r="AF155" s="140" t="n"/>
      <c r="AG155" s="142" t="n"/>
      <c r="AH155" s="141" t="n"/>
      <c r="AI155" s="140" t="n"/>
      <c r="AJ155" s="140" t="n"/>
      <c r="AK155" s="142" t="n"/>
      <c r="AL155" s="141" t="n"/>
      <c r="AM155" s="140" t="n"/>
      <c r="AN155" s="140" t="n"/>
      <c r="AO155" s="140" t="n"/>
      <c r="AP155" s="142" t="n"/>
      <c r="AQ155" s="141" t="n"/>
      <c r="AR155" s="140" t="n"/>
      <c r="AS155" s="142" t="n"/>
    </row>
    <row r="156" ht="13" customHeight="1" s="70">
      <c r="A156" s="157" t="n"/>
      <c r="B156" s="146" t="n"/>
      <c r="D156" s="145" t="n"/>
      <c r="E156" s="146" t="n"/>
      <c r="F156" s="147" t="n"/>
      <c r="G156" s="145" t="n"/>
      <c r="H156" s="146" t="n"/>
      <c r="I156" s="147" t="n"/>
      <c r="J156" s="145" t="n"/>
      <c r="K156" s="146" t="n"/>
      <c r="L156" s="147" t="n"/>
      <c r="M156" s="145" t="n"/>
      <c r="N156" s="146" t="n"/>
      <c r="O156" s="147" t="n"/>
      <c r="P156" s="145" t="n"/>
      <c r="Q156" s="146" t="n"/>
      <c r="R156" s="147" t="n"/>
      <c r="S156" s="145" t="n"/>
      <c r="T156" s="146" t="n"/>
      <c r="U156" s="147" t="n"/>
      <c r="V156" s="145" t="n"/>
      <c r="W156" s="146" t="n"/>
      <c r="X156" s="147" t="n"/>
      <c r="Y156" s="145" t="n"/>
      <c r="Z156" s="146" t="n"/>
      <c r="AA156" s="147" t="n"/>
      <c r="AB156" s="145" t="n"/>
      <c r="AC156" s="146" t="n"/>
      <c r="AD156" s="146" t="n"/>
      <c r="AE156" s="146" t="n"/>
      <c r="AF156" s="146" t="n"/>
      <c r="AG156" s="147" t="n"/>
      <c r="AH156" s="145" t="n"/>
      <c r="AI156" s="146" t="n"/>
      <c r="AJ156" s="146" t="n"/>
      <c r="AK156" s="147" t="n"/>
      <c r="AL156" s="145" t="n"/>
      <c r="AM156" s="146" t="n"/>
      <c r="AN156" s="146" t="n"/>
      <c r="AO156" s="146" t="n"/>
      <c r="AP156" s="147" t="n"/>
      <c r="AQ156" s="145" t="n"/>
      <c r="AR156" s="146" t="n"/>
      <c r="AS156" s="147" t="n"/>
    </row>
    <row r="157" ht="14" customHeight="1" s="70">
      <c r="A157" s="139" t="n"/>
      <c r="B157" s="140" t="n"/>
      <c r="D157" s="141" t="n"/>
      <c r="E157" s="140" t="n"/>
      <c r="F157" s="142" t="n"/>
      <c r="G157" s="131" t="inlineStr">
        <is>
          <t>not on this certificate</t>
        </is>
      </c>
      <c r="H157" s="132" t="inlineStr">
        <is>
          <t>ППК26034, (05.03.2026) [CNP] · on file, not credited</t>
        </is>
      </c>
      <c r="I157" s="133" t="inlineStr">
        <is>
          <t>•</t>
        </is>
      </c>
      <c r="J157" s="167" t="inlineStr">
        <is>
          <t>Conforms (ImB spec.)</t>
        </is>
      </c>
      <c r="K157" s="168" t="inlineStr">
        <is>
          <t>ППК26035, (05.03.2026) [CNP]</t>
        </is>
      </c>
      <c r="L157" s="169" t="inlineStr">
        <is>
          <t>✓</t>
        </is>
      </c>
      <c r="M157" s="167" t="inlineStr">
        <is>
          <t>14.99</t>
        </is>
      </c>
      <c r="N157" s="168" t="inlineStr">
        <is>
          <t>ППК26035, (05.03.2026) [CNP]</t>
        </is>
      </c>
      <c r="O157" s="169" t="inlineStr">
        <is>
          <t>✓</t>
        </is>
      </c>
      <c r="P157" s="167" t="inlineStr">
        <is>
          <t>0.02</t>
        </is>
      </c>
      <c r="Q157" s="168" t="inlineStr">
        <is>
          <t>ППК26035, (05.03.2026) [CNP]</t>
        </is>
      </c>
      <c r="R157" s="169" t="inlineStr">
        <is>
          <t>✓</t>
        </is>
      </c>
      <c r="S157" s="170" t="inlineStr">
        <is>
          <t>2.15 % ᴰ</t>
        </is>
      </c>
      <c r="T157" s="168" t="inlineStr">
        <is>
          <t>ППК26035, (05.03.2026) [CNP]</t>
        </is>
      </c>
      <c r="U157" s="169" t="inlineStr">
        <is>
          <t>✓</t>
        </is>
      </c>
      <c r="V157" s="141" t="n"/>
      <c r="W157" s="140" t="n"/>
      <c r="X157" s="142" t="n"/>
      <c r="Y157" s="167" t="inlineStr">
        <is>
          <t>5.52</t>
        </is>
      </c>
      <c r="Z157" s="168" t="inlineStr">
        <is>
          <t>ППК26035, (05.03.2026) [CNP]</t>
        </is>
      </c>
      <c r="AA157" s="169" t="inlineStr">
        <is>
          <t>✓</t>
        </is>
      </c>
      <c r="AB157" s="141" t="n"/>
      <c r="AC157" s="140" t="n"/>
      <c r="AD157" s="140" t="n"/>
      <c r="AE157" s="140" t="n"/>
      <c r="AF157" s="140" t="n"/>
      <c r="AG157" s="142" t="n"/>
      <c r="AH157" s="141" t="n"/>
      <c r="AI157" s="140" t="n"/>
      <c r="AJ157" s="140" t="n"/>
      <c r="AK157" s="142" t="n"/>
      <c r="AL157" s="141" t="n"/>
      <c r="AM157" s="140" t="n"/>
      <c r="AN157" s="140" t="n"/>
      <c r="AO157" s="140" t="n"/>
      <c r="AP157" s="142" t="n"/>
      <c r="AQ157" s="141" t="n"/>
      <c r="AR157" s="140" t="n"/>
      <c r="AS157" s="142" t="n"/>
    </row>
    <row r="158" ht="13" customHeight="1" s="70">
      <c r="A158" s="157" t="n"/>
      <c r="B158" s="146" t="n"/>
      <c r="D158" s="145" t="n"/>
      <c r="E158" s="146" t="n"/>
      <c r="F158" s="147" t="n"/>
      <c r="G158" s="145" t="n"/>
      <c r="H158" s="146" t="n"/>
      <c r="I158" s="147" t="n"/>
      <c r="J158" s="145" t="n"/>
      <c r="K158" s="146" t="n"/>
      <c r="L158" s="147" t="n"/>
      <c r="M158" s="145" t="n"/>
      <c r="N158" s="146" t="n"/>
      <c r="O158" s="147" t="n"/>
      <c r="P158" s="145" t="n"/>
      <c r="Q158" s="146" t="n"/>
      <c r="R158" s="147" t="n"/>
      <c r="S158" s="145" t="n"/>
      <c r="T158" s="146" t="n"/>
      <c r="U158" s="147" t="n"/>
      <c r="V158" s="145" t="n"/>
      <c r="W158" s="146" t="n"/>
      <c r="X158" s="147" t="n"/>
      <c r="Y158" s="145" t="n"/>
      <c r="Z158" s="146" t="n"/>
      <c r="AA158" s="147" t="n"/>
      <c r="AB158" s="145" t="n"/>
      <c r="AC158" s="146" t="n"/>
      <c r="AD158" s="146" t="n"/>
      <c r="AE158" s="146" t="n"/>
      <c r="AF158" s="146" t="n"/>
      <c r="AG158" s="147" t="n"/>
      <c r="AH158" s="145" t="n"/>
      <c r="AI158" s="146" t="n"/>
      <c r="AJ158" s="146" t="n"/>
      <c r="AK158" s="147" t="n"/>
      <c r="AL158" s="145" t="n"/>
      <c r="AM158" s="146" t="n"/>
      <c r="AN158" s="146" t="n"/>
      <c r="AO158" s="146" t="n"/>
      <c r="AP158" s="147" t="n"/>
      <c r="AQ158" s="145" t="n"/>
      <c r="AR158" s="146" t="n"/>
      <c r="AS158" s="147" t="n"/>
    </row>
    <row r="159" ht="14" customHeight="1" s="70">
      <c r="A159" s="139" t="n"/>
      <c r="B159" s="140" t="n"/>
      <c r="D159" s="141" t="n"/>
      <c r="E159" s="140" t="n"/>
      <c r="F159" s="142" t="n"/>
      <c r="G159" s="131" t="inlineStr">
        <is>
          <t>not on this certificate</t>
        </is>
      </c>
      <c r="H159" s="132" t="inlineStr">
        <is>
          <t>ППК26035, (05.03.2026) [CNP] · on file, not credited</t>
        </is>
      </c>
      <c r="I159" s="133" t="inlineStr">
        <is>
          <t>•</t>
        </is>
      </c>
      <c r="J159" s="167" t="inlineStr">
        <is>
          <t>Conforms (ImB spec.)</t>
        </is>
      </c>
      <c r="K159" s="168" t="inlineStr">
        <is>
          <t>ППК26060, (11.05.2026) [CNP]</t>
        </is>
      </c>
      <c r="L159" s="169" t="inlineStr">
        <is>
          <t>✓</t>
        </is>
      </c>
      <c r="M159" s="167" t="inlineStr">
        <is>
          <t>25.98</t>
        </is>
      </c>
      <c r="N159" s="168" t="inlineStr">
        <is>
          <t>ППК26060, (11.05.2026) [CNP]</t>
        </is>
      </c>
      <c r="O159" s="169" t="inlineStr">
        <is>
          <t>✓</t>
        </is>
      </c>
      <c r="P159" s="167" t="inlineStr">
        <is>
          <t>0.04</t>
        </is>
      </c>
      <c r="Q159" s="168" t="inlineStr">
        <is>
          <t>ППК26060, (11.05.2026) [CNP]</t>
        </is>
      </c>
      <c r="R159" s="169" t="inlineStr">
        <is>
          <t>✓</t>
        </is>
      </c>
      <c r="S159" s="167" t="inlineStr">
        <is>
          <t>0.04 % ᴰ</t>
        </is>
      </c>
      <c r="T159" s="168" t="inlineStr">
        <is>
          <t>ППК26060, (11.05.2026) [CNP]</t>
        </is>
      </c>
      <c r="U159" s="169" t="inlineStr">
        <is>
          <t>✓</t>
        </is>
      </c>
      <c r="V159" s="141" t="n"/>
      <c r="W159" s="140" t="n"/>
      <c r="X159" s="142" t="n"/>
      <c r="Y159" s="167" t="inlineStr">
        <is>
          <t>7.07</t>
        </is>
      </c>
      <c r="Z159" s="168" t="inlineStr">
        <is>
          <t>ППК26060, (11.05.2026) [CNP]</t>
        </is>
      </c>
      <c r="AA159" s="169" t="inlineStr">
        <is>
          <t>✓</t>
        </is>
      </c>
      <c r="AB159" s="141" t="n"/>
      <c r="AC159" s="140" t="n"/>
      <c r="AD159" s="140" t="n"/>
      <c r="AE159" s="140" t="n"/>
      <c r="AF159" s="140" t="n"/>
      <c r="AG159" s="142" t="n"/>
      <c r="AH159" s="141" t="n"/>
      <c r="AI159" s="140" t="n"/>
      <c r="AJ159" s="140" t="n"/>
      <c r="AK159" s="142" t="n"/>
      <c r="AL159" s="141" t="n"/>
      <c r="AM159" s="140" t="n"/>
      <c r="AN159" s="140" t="n"/>
      <c r="AO159" s="140" t="n"/>
      <c r="AP159" s="142" t="n"/>
      <c r="AQ159" s="141" t="n"/>
      <c r="AR159" s="140" t="n"/>
      <c r="AS159" s="142" t="n"/>
    </row>
    <row r="160" ht="13" customHeight="1" s="70">
      <c r="A160" s="157" t="n"/>
      <c r="B160" s="146" t="n"/>
      <c r="D160" s="145" t="n"/>
      <c r="E160" s="146" t="n"/>
      <c r="F160" s="147" t="n"/>
      <c r="G160" s="145" t="n"/>
      <c r="H160" s="146" t="n"/>
      <c r="I160" s="147" t="n"/>
      <c r="J160" s="145" t="n"/>
      <c r="K160" s="146" t="n"/>
      <c r="L160" s="147" t="n"/>
      <c r="M160" s="145" t="n"/>
      <c r="N160" s="146" t="n"/>
      <c r="O160" s="147" t="n"/>
      <c r="P160" s="145" t="n"/>
      <c r="Q160" s="146" t="n"/>
      <c r="R160" s="147" t="n"/>
      <c r="S160" s="145" t="n"/>
      <c r="T160" s="146" t="n"/>
      <c r="U160" s="147" t="n"/>
      <c r="V160" s="145" t="n"/>
      <c r="W160" s="146" t="n"/>
      <c r="X160" s="147" t="n"/>
      <c r="Y160" s="145" t="n"/>
      <c r="Z160" s="146" t="n"/>
      <c r="AA160" s="147" t="n"/>
      <c r="AB160" s="145" t="n"/>
      <c r="AC160" s="146" t="n"/>
      <c r="AD160" s="146" t="n"/>
      <c r="AE160" s="146" t="n"/>
      <c r="AF160" s="146" t="n"/>
      <c r="AG160" s="147" t="n"/>
      <c r="AH160" s="145" t="n"/>
      <c r="AI160" s="146" t="n"/>
      <c r="AJ160" s="146" t="n"/>
      <c r="AK160" s="147" t="n"/>
      <c r="AL160" s="145" t="n"/>
      <c r="AM160" s="146" t="n"/>
      <c r="AN160" s="146" t="n"/>
      <c r="AO160" s="146" t="n"/>
      <c r="AP160" s="147" t="n"/>
      <c r="AQ160" s="145" t="n"/>
      <c r="AR160" s="146" t="n"/>
      <c r="AS160" s="147" t="n"/>
    </row>
    <row r="161" ht="14" customHeight="1" s="70">
      <c r="A161" s="139" t="n"/>
      <c r="B161" s="140" t="n"/>
      <c r="D161" s="141" t="n"/>
      <c r="E161" s="140" t="n"/>
      <c r="F161" s="142" t="n"/>
      <c r="G161" s="131" t="inlineStr">
        <is>
          <t>not on this certificate</t>
        </is>
      </c>
      <c r="H161" s="132" t="inlineStr">
        <is>
          <t>ППК26060, (11.05.2026) [CNP] · on file, not credited</t>
        </is>
      </c>
      <c r="I161" s="133" t="inlineStr">
        <is>
          <t>•</t>
        </is>
      </c>
      <c r="J161" s="141" t="n"/>
      <c r="K161" s="140" t="n"/>
      <c r="L161" s="142" t="n"/>
      <c r="M161" s="141" t="n"/>
      <c r="N161" s="140" t="n"/>
      <c r="O161" s="142" t="n"/>
      <c r="P161" s="141" t="n"/>
      <c r="Q161" s="140" t="n"/>
      <c r="R161" s="142" t="n"/>
      <c r="S161" s="141" t="n"/>
      <c r="T161" s="140" t="n"/>
      <c r="U161" s="142" t="n"/>
      <c r="V161" s="141" t="n"/>
      <c r="W161" s="140" t="n"/>
      <c r="X161" s="142" t="n"/>
      <c r="Y161" s="141" t="n"/>
      <c r="Z161" s="140" t="n"/>
      <c r="AA161" s="142" t="n"/>
      <c r="AB161" s="141" t="n"/>
      <c r="AC161" s="140" t="n"/>
      <c r="AD161" s="140" t="n"/>
      <c r="AE161" s="140" t="n"/>
      <c r="AF161" s="140" t="n"/>
      <c r="AG161" s="142" t="n"/>
      <c r="AH161" s="141" t="n"/>
      <c r="AI161" s="140" t="n"/>
      <c r="AJ161" s="140" t="n"/>
      <c r="AK161" s="142" t="n"/>
      <c r="AL161" s="141" t="n"/>
      <c r="AM161" s="140" t="n"/>
      <c r="AN161" s="140" t="n"/>
      <c r="AO161" s="140" t="n"/>
      <c r="AP161" s="142" t="n"/>
      <c r="AQ161" s="141" t="n"/>
      <c r="AR161" s="140" t="n"/>
      <c r="AS161" s="142" t="n"/>
    </row>
    <row r="162" ht="13" customHeight="1" s="70">
      <c r="A162" s="143" t="n"/>
      <c r="B162" s="144" t="n"/>
      <c r="C162" s="144" t="n"/>
      <c r="D162" s="145" t="n"/>
      <c r="E162" s="146" t="n"/>
      <c r="F162" s="147" t="n"/>
      <c r="G162" s="145" t="n"/>
      <c r="H162" s="146" t="n"/>
      <c r="I162" s="147" t="n"/>
      <c r="J162" s="145" t="n"/>
      <c r="K162" s="146" t="n"/>
      <c r="L162" s="147" t="n"/>
      <c r="M162" s="145" t="n"/>
      <c r="N162" s="146" t="n"/>
      <c r="O162" s="147" t="n"/>
      <c r="P162" s="145" t="n"/>
      <c r="Q162" s="146" t="n"/>
      <c r="R162" s="147" t="n"/>
      <c r="S162" s="145" t="n"/>
      <c r="T162" s="146" t="n"/>
      <c r="U162" s="147" t="n"/>
      <c r="V162" s="145" t="n"/>
      <c r="W162" s="146" t="n"/>
      <c r="X162" s="147" t="n"/>
      <c r="Y162" s="145" t="n"/>
      <c r="Z162" s="146" t="n"/>
      <c r="AA162" s="147" t="n"/>
      <c r="AB162" s="145" t="n"/>
      <c r="AC162" s="146" t="n"/>
      <c r="AD162" s="146" t="n"/>
      <c r="AE162" s="146" t="n"/>
      <c r="AF162" s="146" t="n"/>
      <c r="AG162" s="147" t="n"/>
      <c r="AH162" s="145" t="n"/>
      <c r="AI162" s="146" t="n"/>
      <c r="AJ162" s="146" t="n"/>
      <c r="AK162" s="147" t="n"/>
      <c r="AL162" s="145" t="n"/>
      <c r="AM162" s="146" t="n"/>
      <c r="AN162" s="146" t="n"/>
      <c r="AO162" s="146" t="n"/>
      <c r="AP162" s="147" t="n"/>
      <c r="AQ162" s="145" t="n"/>
      <c r="AR162" s="146" t="n"/>
      <c r="AS162" s="147" t="n"/>
    </row>
    <row r="163" ht="14" customHeight="1" s="70">
      <c r="A163" s="125" t="inlineStr">
        <is>
          <t>OPM1024_03</t>
        </is>
      </c>
      <c r="B163" s="126" t="inlineStr">
        <is>
          <t>P050082</t>
        </is>
      </c>
      <c r="C163" s="127" t="inlineStr">
        <is>
          <t>✓ COMPLETE
2 testing instances
• 1 document(s) on file, not credited</t>
        </is>
      </c>
      <c r="D163" s="128" t="inlineStr">
        <is>
          <t>Conforms</t>
        </is>
      </c>
      <c r="E163" s="129">
        <f>IFERROR(INDEX('iCoA Register'!$B:$B,MATCH("P050082|AB|I",'iCoA Register'!$R:$R,0)),"iCoA — at issue")&amp;", (22.07.2025) [PP]"</f>
        <v/>
      </c>
      <c r="F163" s="130" t="inlineStr">
        <is>
          <t>✓</t>
        </is>
      </c>
      <c r="G163" s="128" t="inlineStr">
        <is>
          <t>Conforms</t>
        </is>
      </c>
      <c r="H163" s="129">
        <f>IFERROR(INDEX('iCoA Register'!$B:$B,MATCH("P050082|AB|I",'iCoA Register'!$R:$R,0)),"iCoA — at issue")&amp;", (22.07.2025) [PP]"</f>
        <v/>
      </c>
      <c r="I163" s="130" t="inlineStr">
        <is>
          <t>✓</t>
        </is>
      </c>
      <c r="J163" s="128" t="inlineStr">
        <is>
          <t>Conforms (ImB spec.)</t>
        </is>
      </c>
      <c r="K163" s="129" t="inlineStr">
        <is>
          <t>ППК25210, (28.07.2025) [CNP]</t>
        </is>
      </c>
      <c r="L163" s="130" t="inlineStr">
        <is>
          <t>✓</t>
        </is>
      </c>
      <c r="M163" s="128" t="inlineStr">
        <is>
          <t>16.55</t>
        </is>
      </c>
      <c r="N163" s="129" t="inlineStr">
        <is>
          <t>ППК25210, (28.07.2025) [CNP]</t>
        </is>
      </c>
      <c r="O163" s="130" t="inlineStr">
        <is>
          <t>✓</t>
        </is>
      </c>
      <c r="P163" s="128" t="inlineStr">
        <is>
          <t>0.04</t>
        </is>
      </c>
      <c r="Q163" s="129" t="inlineStr">
        <is>
          <t>ППК25210, (28.07.2025) [CNP]</t>
        </is>
      </c>
      <c r="R163" s="130" t="inlineStr">
        <is>
          <t>✓</t>
        </is>
      </c>
      <c r="S163" s="128" t="inlineStr">
        <is>
          <t>0.01 ᴰ</t>
        </is>
      </c>
      <c r="T163" s="129" t="inlineStr">
        <is>
          <t>ППК25210, (28.07.2025) [CNP]</t>
        </is>
      </c>
      <c r="U163" s="130" t="inlineStr">
        <is>
          <t>✓</t>
        </is>
      </c>
      <c r="V163" s="128" t="inlineStr">
        <is>
          <t>Conforms</t>
        </is>
      </c>
      <c r="W163" s="129">
        <f>IFERROR(INDEX('iCoA Register'!$B:$B,MATCH("P050082|FM|I",'iCoA Register'!$R:$R,0)),"iCoA — at issue")&amp;", (22.07.2025) [PP]"</f>
        <v/>
      </c>
      <c r="X163" s="130" t="inlineStr">
        <is>
          <t>✓</t>
        </is>
      </c>
      <c r="Y163" s="128" t="inlineStr">
        <is>
          <t>6.38</t>
        </is>
      </c>
      <c r="Z163" s="129" t="inlineStr">
        <is>
          <t>ППК25210, (28.07.2025) [CNP]</t>
        </is>
      </c>
      <c r="AA163" s="130" t="inlineStr">
        <is>
          <t>✓</t>
        </is>
      </c>
      <c r="AB163" s="128" t="inlineStr">
        <is>
          <t>2×10²</t>
        </is>
      </c>
      <c r="AC163" s="134" t="inlineStr">
        <is>
          <t>3×10²</t>
        </is>
      </c>
      <c r="AD163" s="134" t="inlineStr">
        <is>
          <t>&lt;10</t>
        </is>
      </c>
      <c r="AE163" s="134" t="inlineStr">
        <is>
          <t>Одговара</t>
        </is>
      </c>
      <c r="AF163" s="134" t="inlineStr">
        <is>
          <t>Одговара</t>
        </is>
      </c>
      <c r="AG163" s="130" t="inlineStr">
        <is>
          <t>✓</t>
        </is>
      </c>
      <c r="AH163" s="128" t="inlineStr">
        <is>
          <t>n.r.</t>
        </is>
      </c>
      <c r="AI163" s="134" t="inlineStr">
        <is>
          <t>2.1</t>
        </is>
      </c>
      <c r="AJ163" s="134" t="inlineStr">
        <is>
          <t>n.r.</t>
        </is>
      </c>
      <c r="AK163" s="130" t="inlineStr">
        <is>
          <t>✓</t>
        </is>
      </c>
      <c r="AL163" s="128" t="inlineStr">
        <is>
          <t>Н.д.</t>
        </is>
      </c>
      <c r="AM163" s="134" t="inlineStr">
        <is>
          <t>Н.д.</t>
        </is>
      </c>
      <c r="AN163" s="134" t="inlineStr">
        <is>
          <t>0.135</t>
        </is>
      </c>
      <c r="AO163" s="134" t="inlineStr">
        <is>
          <t>0.03</t>
        </is>
      </c>
      <c r="AP163" s="130" t="inlineStr">
        <is>
          <t>✓</t>
        </is>
      </c>
      <c r="AQ163" s="128" t="inlineStr">
        <is>
          <t>≤ LOQ (all 26 compounds)</t>
        </is>
      </c>
      <c r="AR163" s="129" t="inlineStr">
        <is>
          <t>3636-2025, (28.07.2025) [IJZ]</t>
        </is>
      </c>
      <c r="AS163" s="130" t="inlineStr">
        <is>
          <t>✓</t>
        </is>
      </c>
    </row>
    <row r="164" ht="13" customHeight="1" s="70">
      <c r="A164" s="135" t="n"/>
      <c r="D164" s="136" t="n"/>
      <c r="F164" s="137" t="n"/>
      <c r="G164" s="136" t="n"/>
      <c r="I164" s="137" t="n"/>
      <c r="J164" s="136" t="n"/>
      <c r="L164" s="137" t="n"/>
      <c r="M164" s="136" t="n"/>
      <c r="O164" s="137" t="n"/>
      <c r="P164" s="136" t="n"/>
      <c r="R164" s="137" t="n"/>
      <c r="S164" s="136" t="n"/>
      <c r="U164" s="137" t="n"/>
      <c r="V164" s="136" t="n"/>
      <c r="X164" s="137" t="n"/>
      <c r="Y164" s="136" t="n"/>
      <c r="AA164" s="137" t="n"/>
      <c r="AB164" s="138" t="inlineStr">
        <is>
          <t>766-1375-25, (29.07.2025) [IJZ-MB]</t>
        </is>
      </c>
      <c r="AG164" s="137" t="n"/>
      <c r="AH164" s="138" t="inlineStr">
        <is>
          <t>3636-2025, (28.07.2025) [IJZ]</t>
        </is>
      </c>
      <c r="AK164" s="137" t="n"/>
      <c r="AL164" s="138" t="inlineStr">
        <is>
          <t>3636-2025, (28.07.2025) [IJZ]</t>
        </is>
      </c>
      <c r="AP164" s="137" t="n"/>
      <c r="AQ164" s="136" t="n"/>
      <c r="AS164" s="137" t="n"/>
    </row>
    <row r="165" ht="14" customHeight="1" s="70">
      <c r="A165" s="139" t="n"/>
      <c r="B165" s="140" t="n"/>
      <c r="D165" s="141" t="n"/>
      <c r="E165" s="140" t="n"/>
      <c r="F165" s="142" t="n"/>
      <c r="G165" s="131" t="inlineStr">
        <is>
          <t>not on this certificate</t>
        </is>
      </c>
      <c r="H165" s="132" t="inlineStr">
        <is>
          <t>ППК25210, (28.07.2025) [CNP] · on file, not credited</t>
        </is>
      </c>
      <c r="I165" s="133" t="inlineStr">
        <is>
          <t>•</t>
        </is>
      </c>
      <c r="J165" s="141" t="n"/>
      <c r="K165" s="140" t="n"/>
      <c r="L165" s="142" t="n"/>
      <c r="M165" s="141" t="n"/>
      <c r="N165" s="140" t="n"/>
      <c r="O165" s="142" t="n"/>
      <c r="P165" s="141" t="n"/>
      <c r="Q165" s="140" t="n"/>
      <c r="R165" s="142" t="n"/>
      <c r="S165" s="141" t="n"/>
      <c r="T165" s="140" t="n"/>
      <c r="U165" s="142" t="n"/>
      <c r="V165" s="141" t="n"/>
      <c r="W165" s="140" t="n"/>
      <c r="X165" s="142" t="n"/>
      <c r="Y165" s="141" t="n"/>
      <c r="Z165" s="140" t="n"/>
      <c r="AA165" s="142" t="n"/>
      <c r="AB165" s="141" t="n"/>
      <c r="AC165" s="140" t="n"/>
      <c r="AD165" s="140" t="n"/>
      <c r="AE165" s="140" t="n"/>
      <c r="AF165" s="140" t="n"/>
      <c r="AG165" s="142" t="n"/>
      <c r="AH165" s="141" t="n"/>
      <c r="AI165" s="140" t="n"/>
      <c r="AJ165" s="140" t="n"/>
      <c r="AK165" s="142" t="n"/>
      <c r="AL165" s="141" t="n"/>
      <c r="AM165" s="140" t="n"/>
      <c r="AN165" s="140" t="n"/>
      <c r="AO165" s="140" t="n"/>
      <c r="AP165" s="142" t="n"/>
      <c r="AQ165" s="141" t="n"/>
      <c r="AR165" s="140" t="n"/>
      <c r="AS165" s="142" t="n"/>
    </row>
    <row r="166" ht="13" customHeight="1" s="70">
      <c r="A166" s="143" t="n"/>
      <c r="B166" s="144" t="n"/>
      <c r="C166" s="144" t="n"/>
      <c r="D166" s="145" t="n"/>
      <c r="E166" s="146" t="n"/>
      <c r="F166" s="147" t="n"/>
      <c r="G166" s="145" t="n"/>
      <c r="H166" s="146" t="n"/>
      <c r="I166" s="147" t="n"/>
      <c r="J166" s="145" t="n"/>
      <c r="K166" s="146" t="n"/>
      <c r="L166" s="147" t="n"/>
      <c r="M166" s="145" t="n"/>
      <c r="N166" s="146" t="n"/>
      <c r="O166" s="147" t="n"/>
      <c r="P166" s="145" t="n"/>
      <c r="Q166" s="146" t="n"/>
      <c r="R166" s="147" t="n"/>
      <c r="S166" s="145" t="n"/>
      <c r="T166" s="146" t="n"/>
      <c r="U166" s="147" t="n"/>
      <c r="V166" s="145" t="n"/>
      <c r="W166" s="146" t="n"/>
      <c r="X166" s="147" t="n"/>
      <c r="Y166" s="145" t="n"/>
      <c r="Z166" s="146" t="n"/>
      <c r="AA166" s="147" t="n"/>
      <c r="AB166" s="145" t="n"/>
      <c r="AC166" s="146" t="n"/>
      <c r="AD166" s="146" t="n"/>
      <c r="AE166" s="146" t="n"/>
      <c r="AF166" s="146" t="n"/>
      <c r="AG166" s="147" t="n"/>
      <c r="AH166" s="145" t="n"/>
      <c r="AI166" s="146" t="n"/>
      <c r="AJ166" s="146" t="n"/>
      <c r="AK166" s="147" t="n"/>
      <c r="AL166" s="145" t="n"/>
      <c r="AM166" s="146" t="n"/>
      <c r="AN166" s="146" t="n"/>
      <c r="AO166" s="146" t="n"/>
      <c r="AP166" s="147" t="n"/>
      <c r="AQ166" s="145" t="n"/>
      <c r="AR166" s="146" t="n"/>
      <c r="AS166" s="147" t="n"/>
    </row>
    <row r="167" ht="14" customHeight="1" s="70">
      <c r="A167" s="125" t="inlineStr">
        <is>
          <t>GG1024_01</t>
        </is>
      </c>
      <c r="B167" s="126" t="inlineStr">
        <is>
          <t>P050092</t>
        </is>
      </c>
      <c r="C167" s="155" t="inlineStr">
        <is>
          <t>✓ COMPLETE
2 testing instances
• 2 document(s) on file, not credited
✗ OUT OF SPECIFICATION: #9 TYMC</t>
        </is>
      </c>
      <c r="D167" s="128" t="inlineStr">
        <is>
          <t>Conforms</t>
        </is>
      </c>
      <c r="E167" s="129">
        <f>IFERROR(INDEX('iCoA Register'!$B:$B,MATCH("P050092|AB|I",'iCoA Register'!$R:$R,0)),"iCoA — at issue")&amp;", (31.07.2025) [PP]"</f>
        <v/>
      </c>
      <c r="F167" s="130" t="inlineStr">
        <is>
          <t>✓</t>
        </is>
      </c>
      <c r="G167" s="131" t="inlineStr">
        <is>
          <t>not on this certificate</t>
        </is>
      </c>
      <c r="H167" s="132" t="inlineStr">
        <is>
          <t>ППК25104, (17.04.2025) [CNP] · on file, not credited</t>
        </is>
      </c>
      <c r="I167" s="133" t="inlineStr">
        <is>
          <t>•</t>
        </is>
      </c>
      <c r="J167" s="128" t="inlineStr">
        <is>
          <t>Conforms (ImB spec.)</t>
        </is>
      </c>
      <c r="K167" s="129" t="inlineStr">
        <is>
          <t>ППК25104, (17.04.2025) [CNP]</t>
        </is>
      </c>
      <c r="L167" s="130" t="inlineStr">
        <is>
          <t>✓</t>
        </is>
      </c>
      <c r="M167" s="128" t="inlineStr">
        <is>
          <t>17.22</t>
        </is>
      </c>
      <c r="N167" s="129" t="inlineStr">
        <is>
          <t>ППК25104, (17.04.2025) [CNP]</t>
        </is>
      </c>
      <c r="O167" s="130" t="inlineStr">
        <is>
          <t>✓</t>
        </is>
      </c>
      <c r="P167" s="128" t="inlineStr">
        <is>
          <t>0.05</t>
        </is>
      </c>
      <c r="Q167" s="129" t="inlineStr">
        <is>
          <t>ППК25104, (17.04.2025) [CNP]</t>
        </is>
      </c>
      <c r="R167" s="130" t="inlineStr">
        <is>
          <t>✓</t>
        </is>
      </c>
      <c r="S167" s="128" t="inlineStr">
        <is>
          <t>ND ᴰ</t>
        </is>
      </c>
      <c r="T167" s="129" t="inlineStr">
        <is>
          <t>ППК25104, (17.04.2025) [CNP]</t>
        </is>
      </c>
      <c r="U167" s="130" t="inlineStr">
        <is>
          <t>✓</t>
        </is>
      </c>
      <c r="V167" s="128" t="inlineStr">
        <is>
          <t>Conforms</t>
        </is>
      </c>
      <c r="W167" s="129">
        <f>IFERROR(INDEX('iCoA Register'!$B:$B,MATCH("P050092|FM|I",'iCoA Register'!$R:$R,0)),"iCoA — at issue")&amp;", (31.07.2025) [PP]"</f>
        <v/>
      </c>
      <c r="X167" s="130" t="inlineStr">
        <is>
          <t>✓</t>
        </is>
      </c>
      <c r="Y167" s="128" t="inlineStr">
        <is>
          <t>7.54</t>
        </is>
      </c>
      <c r="Z167" s="129" t="inlineStr">
        <is>
          <t>ППК25104, (17.04.2025) [CNP]</t>
        </is>
      </c>
      <c r="AA167" s="130" t="inlineStr">
        <is>
          <t>✓</t>
        </is>
      </c>
      <c r="AB167" s="128" t="inlineStr">
        <is>
          <t>5.1 x 10⁴</t>
        </is>
      </c>
      <c r="AC167" s="171" t="inlineStr">
        <is>
          <t>4.2 x 10⁴</t>
        </is>
      </c>
      <c r="AD167" s="134" t="inlineStr">
        <is>
          <t>&lt;10</t>
        </is>
      </c>
      <c r="AE167" s="134" t="inlineStr">
        <is>
          <t>Одговара</t>
        </is>
      </c>
      <c r="AF167" s="134" t="inlineStr">
        <is>
          <t>Одговара</t>
        </is>
      </c>
      <c r="AG167" s="130" t="inlineStr">
        <is>
          <t>✓</t>
        </is>
      </c>
      <c r="AH167" s="128" t="inlineStr">
        <is>
          <t>n.r.</t>
        </is>
      </c>
      <c r="AI167" s="134" t="inlineStr">
        <is>
          <t>&lt;2</t>
        </is>
      </c>
      <c r="AJ167" s="134" t="inlineStr">
        <is>
          <t>n.r.</t>
        </is>
      </c>
      <c r="AK167" s="130" t="inlineStr">
        <is>
          <t>✓</t>
        </is>
      </c>
      <c r="AL167" s="128" t="inlineStr">
        <is>
          <t>0.02</t>
        </is>
      </c>
      <c r="AM167" s="134" t="inlineStr">
        <is>
          <t>0.007</t>
        </is>
      </c>
      <c r="AN167" s="134" t="inlineStr">
        <is>
          <t>0.015</t>
        </is>
      </c>
      <c r="AO167" s="134" t="inlineStr">
        <is>
          <t>0.005</t>
        </is>
      </c>
      <c r="AP167" s="130" t="inlineStr">
        <is>
          <t>✓</t>
        </is>
      </c>
      <c r="AQ167" s="128" t="inlineStr">
        <is>
          <t>≤ LOQ (all 27 compounds)</t>
        </is>
      </c>
      <c r="AR167" s="129" t="inlineStr">
        <is>
          <t>1766-2025, (11.04.2025) [IJZ]</t>
        </is>
      </c>
      <c r="AS167" s="130" t="inlineStr">
        <is>
          <t>✓</t>
        </is>
      </c>
    </row>
    <row r="168" ht="13" customHeight="1" s="70">
      <c r="A168" s="135" t="n"/>
      <c r="D168" s="136" t="n"/>
      <c r="F168" s="137" t="n"/>
      <c r="G168" s="136" t="n"/>
      <c r="I168" s="137" t="n"/>
      <c r="J168" s="136" t="n"/>
      <c r="L168" s="137" t="n"/>
      <c r="M168" s="136" t="n"/>
      <c r="O168" s="137" t="n"/>
      <c r="P168" s="136" t="n"/>
      <c r="R168" s="137" t="n"/>
      <c r="S168" s="136" t="n"/>
      <c r="U168" s="137" t="n"/>
      <c r="V168" s="136" t="n"/>
      <c r="X168" s="137" t="n"/>
      <c r="Y168" s="136" t="n"/>
      <c r="AA168" s="137" t="n"/>
      <c r="AB168" s="138" t="inlineStr">
        <is>
          <t>320-0587-25, (14.04.2025) [IJZ-MB]</t>
        </is>
      </c>
      <c r="AG168" s="137" t="n"/>
      <c r="AH168" s="138" t="inlineStr">
        <is>
          <t>1766-2025, (11.04.2025) [IJZ]</t>
        </is>
      </c>
      <c r="AK168" s="137" t="n"/>
      <c r="AL168" s="138" t="inlineStr">
        <is>
          <t>1766-2025, (11.04.2025) [IJZ]</t>
        </is>
      </c>
      <c r="AP168" s="137" t="n"/>
      <c r="AQ168" s="136" t="n"/>
      <c r="AS168" s="137" t="n"/>
    </row>
    <row r="169" ht="14" customHeight="1" s="70">
      <c r="A169" s="139" t="n"/>
      <c r="B169" s="140" t="n"/>
      <c r="D169" s="141" t="n"/>
      <c r="E169" s="140" t="n"/>
      <c r="F169" s="142" t="n"/>
      <c r="G169" s="128" t="inlineStr">
        <is>
          <t>Conforms</t>
        </is>
      </c>
      <c r="H169" s="129">
        <f>IFERROR(INDEX('iCoA Register'!$B:$B,MATCH("P050092|AB|I",'iCoA Register'!$R:$R,0)),"iCoA — at issue")&amp;", (31.07.2025) [PP]"</f>
        <v/>
      </c>
      <c r="I169" s="130" t="inlineStr">
        <is>
          <t>✓</t>
        </is>
      </c>
      <c r="J169" s="128" t="inlineStr">
        <is>
          <t>Conforms (ImB spec.) ᴿ</t>
        </is>
      </c>
      <c r="K169" s="129" t="inlineStr">
        <is>
          <t>197-9-K-26, (07.08.2026) [FHM-K]</t>
        </is>
      </c>
      <c r="L169" s="130" t="inlineStr">
        <is>
          <t>✓</t>
        </is>
      </c>
      <c r="M169" s="128" t="inlineStr">
        <is>
          <t>18.67</t>
        </is>
      </c>
      <c r="N169" s="129" t="inlineStr">
        <is>
          <t>197-9-K-26, (07.08.2026) [FHM-K]</t>
        </is>
      </c>
      <c r="O169" s="130" t="inlineStr">
        <is>
          <t>✓</t>
        </is>
      </c>
      <c r="P169" s="128" t="inlineStr">
        <is>
          <t>&lt; LOQ</t>
        </is>
      </c>
      <c r="Q169" s="129" t="inlineStr">
        <is>
          <t>197-9-K-26, (07.08.2026) [FHM-K]</t>
        </is>
      </c>
      <c r="R169" s="130" t="inlineStr">
        <is>
          <t>✓</t>
        </is>
      </c>
      <c r="S169" s="128" t="inlineStr">
        <is>
          <t>0.20</t>
        </is>
      </c>
      <c r="T169" s="129" t="inlineStr">
        <is>
          <t>197-9-K-26, (07.08.2026) [FHM-K]</t>
        </is>
      </c>
      <c r="U169" s="130" t="inlineStr">
        <is>
          <t>✓</t>
        </is>
      </c>
      <c r="V169" s="141" t="n"/>
      <c r="W169" s="140" t="n"/>
      <c r="X169" s="142" t="n"/>
      <c r="Y169" s="131" t="inlineStr">
        <is>
          <t>not on this certificate</t>
        </is>
      </c>
      <c r="Z169" s="132" t="inlineStr">
        <is>
          <t>197-9-K-26, (07.08.2026) [FHM-K] · on file, not credited</t>
        </is>
      </c>
      <c r="AA169" s="133" t="inlineStr">
        <is>
          <t>•</t>
        </is>
      </c>
      <c r="AB169" s="141" t="n"/>
      <c r="AC169" s="140" t="n"/>
      <c r="AD169" s="140" t="n"/>
      <c r="AE169" s="140" t="n"/>
      <c r="AF169" s="140" t="n"/>
      <c r="AG169" s="142" t="n"/>
      <c r="AH169" s="128" t="inlineStr">
        <is>
          <t>ND</t>
        </is>
      </c>
      <c r="AI169" s="134" t="inlineStr">
        <is>
          <t>ND ᴿ</t>
        </is>
      </c>
      <c r="AJ169" s="134" t="inlineStr">
        <is>
          <t>ND</t>
        </is>
      </c>
      <c r="AK169" s="130" t="inlineStr">
        <is>
          <t>✓</t>
        </is>
      </c>
      <c r="AL169" s="141" t="n"/>
      <c r="AM169" s="140" t="n"/>
      <c r="AN169" s="140" t="n"/>
      <c r="AO169" s="140" t="n"/>
      <c r="AP169" s="142" t="n"/>
      <c r="AQ169" s="141" t="n"/>
      <c r="AR169" s="140" t="n"/>
      <c r="AS169" s="142" t="n"/>
    </row>
    <row r="170" ht="21" customHeight="1" s="70">
      <c r="A170" s="143" t="n"/>
      <c r="B170" s="144" t="n"/>
      <c r="C170" s="144" t="n"/>
      <c r="D170" s="145" t="n"/>
      <c r="E170" s="146" t="n"/>
      <c r="F170" s="147" t="n"/>
      <c r="G170" s="145" t="n"/>
      <c r="H170" s="146" t="n"/>
      <c r="I170" s="147" t="n"/>
      <c r="J170" s="145" t="n"/>
      <c r="K170" s="146" t="n"/>
      <c r="L170" s="147" t="n"/>
      <c r="M170" s="145" t="n"/>
      <c r="N170" s="146" t="n"/>
      <c r="O170" s="147" t="n"/>
      <c r="P170" s="145" t="n"/>
      <c r="Q170" s="146" t="n"/>
      <c r="R170" s="147" t="n"/>
      <c r="S170" s="145" t="n"/>
      <c r="T170" s="146" t="n"/>
      <c r="U170" s="147" t="n"/>
      <c r="V170" s="145" t="n"/>
      <c r="W170" s="146" t="n"/>
      <c r="X170" s="147" t="n"/>
      <c r="Y170" s="145" t="n"/>
      <c r="Z170" s="146" t="n"/>
      <c r="AA170" s="147" t="n"/>
      <c r="AB170" s="145" t="n"/>
      <c r="AC170" s="146" t="n"/>
      <c r="AD170" s="146" t="n"/>
      <c r="AE170" s="146" t="n"/>
      <c r="AF170" s="146" t="n"/>
      <c r="AG170" s="147" t="n"/>
      <c r="AH170" s="148" t="inlineStr">
        <is>
          <t>197-9-M-26, (10.08.2026) [FHM-M]</t>
        </is>
      </c>
      <c r="AI170" s="146" t="n"/>
      <c r="AJ170" s="146" t="n"/>
      <c r="AK170" s="147" t="n"/>
      <c r="AL170" s="145" t="n"/>
      <c r="AM170" s="146" t="n"/>
      <c r="AN170" s="146" t="n"/>
      <c r="AO170" s="146" t="n"/>
      <c r="AP170" s="147" t="n"/>
      <c r="AQ170" s="145" t="n"/>
      <c r="AR170" s="146" t="n"/>
      <c r="AS170" s="147" t="n"/>
    </row>
    <row r="171" ht="14" customHeight="1" s="70">
      <c r="A171" s="125" t="inlineStr">
        <is>
          <t>GP0824_01</t>
        </is>
      </c>
      <c r="B171" s="126" t="inlineStr">
        <is>
          <t>P050102</t>
        </is>
      </c>
      <c r="C171" s="127" t="inlineStr">
        <is>
          <t>✓ COMPLETE
3 testing instances
• 1 document(s) on file, not credited</t>
        </is>
      </c>
      <c r="D171" s="128" t="inlineStr">
        <is>
          <t>Conforms</t>
        </is>
      </c>
      <c r="E171" s="129">
        <f>IFERROR(INDEX('iCoA Register'!$B:$B,MATCH("P050102|AB|I",'iCoA Register'!$R:$R,0)),"iCoA — at issue")&amp;", (05.08.2025) [PP]"</f>
        <v/>
      </c>
      <c r="F171" s="130" t="inlineStr">
        <is>
          <t>✓</t>
        </is>
      </c>
      <c r="G171" s="131" t="inlineStr">
        <is>
          <t>not on this certificate</t>
        </is>
      </c>
      <c r="H171" s="132" t="inlineStr">
        <is>
          <t>ППК25105, (17.04.2025) [CNP] · on file, not credited</t>
        </is>
      </c>
      <c r="I171" s="133" t="inlineStr">
        <is>
          <t>•</t>
        </is>
      </c>
      <c r="J171" s="128" t="inlineStr">
        <is>
          <t>Conforms (ImB spec.)</t>
        </is>
      </c>
      <c r="K171" s="129" t="inlineStr">
        <is>
          <t>ППК25105, (17.04.2025) [CNP]</t>
        </is>
      </c>
      <c r="L171" s="130" t="inlineStr">
        <is>
          <t>✓</t>
        </is>
      </c>
      <c r="M171" s="128" t="inlineStr">
        <is>
          <t>20.79</t>
        </is>
      </c>
      <c r="N171" s="129" t="inlineStr">
        <is>
          <t>ППК25105, (17.04.2025) [CNP]</t>
        </is>
      </c>
      <c r="O171" s="130" t="inlineStr">
        <is>
          <t>✓</t>
        </is>
      </c>
      <c r="P171" s="128" t="inlineStr">
        <is>
          <t>0.06</t>
        </is>
      </c>
      <c r="Q171" s="129" t="inlineStr">
        <is>
          <t>ППК25105, (17.04.2025) [CNP]</t>
        </is>
      </c>
      <c r="R171" s="130" t="inlineStr">
        <is>
          <t>✓</t>
        </is>
      </c>
      <c r="S171" s="128" t="inlineStr">
        <is>
          <t>ND ᴰ</t>
        </is>
      </c>
      <c r="T171" s="129" t="inlineStr">
        <is>
          <t>ППК25105, (17.04.2025) [CNP]</t>
        </is>
      </c>
      <c r="U171" s="130" t="inlineStr">
        <is>
          <t>✓</t>
        </is>
      </c>
      <c r="V171" s="128" t="inlineStr">
        <is>
          <t>Conforms</t>
        </is>
      </c>
      <c r="W171" s="129">
        <f>IFERROR(INDEX('iCoA Register'!$B:$B,MATCH("P050102|FM|I",'iCoA Register'!$R:$R,0)),"iCoA — at issue")&amp;", (05.08.2025) [PP]"</f>
        <v/>
      </c>
      <c r="X171" s="130" t="inlineStr">
        <is>
          <t>✓</t>
        </is>
      </c>
      <c r="Y171" s="128" t="inlineStr">
        <is>
          <t>6.73</t>
        </is>
      </c>
      <c r="Z171" s="129" t="inlineStr">
        <is>
          <t>ППК25105, (17.04.2025) [CNP]</t>
        </is>
      </c>
      <c r="AA171" s="130" t="inlineStr">
        <is>
          <t>✓</t>
        </is>
      </c>
      <c r="AB171" s="128" t="inlineStr">
        <is>
          <t>4.2 x 10³</t>
        </is>
      </c>
      <c r="AC171" s="134" t="inlineStr">
        <is>
          <t>6 x 10³</t>
        </is>
      </c>
      <c r="AD171" s="134" t="inlineStr">
        <is>
          <t>&lt;10</t>
        </is>
      </c>
      <c r="AE171" s="134" t="inlineStr">
        <is>
          <t>Одговара</t>
        </is>
      </c>
      <c r="AF171" s="134" t="inlineStr">
        <is>
          <t>Одговара</t>
        </is>
      </c>
      <c r="AG171" s="130" t="inlineStr">
        <is>
          <t>✓</t>
        </is>
      </c>
      <c r="AH171" s="128" t="inlineStr">
        <is>
          <t>n.r.</t>
        </is>
      </c>
      <c r="AI171" s="134" t="inlineStr">
        <is>
          <t>&lt;2</t>
        </is>
      </c>
      <c r="AJ171" s="134" t="inlineStr">
        <is>
          <t>n.r.</t>
        </is>
      </c>
      <c r="AK171" s="130" t="inlineStr">
        <is>
          <t>✓</t>
        </is>
      </c>
      <c r="AL171" s="128" t="inlineStr">
        <is>
          <t>0.026</t>
        </is>
      </c>
      <c r="AM171" s="134" t="inlineStr">
        <is>
          <t>0.005</t>
        </is>
      </c>
      <c r="AN171" s="134" t="inlineStr">
        <is>
          <t>0.015</t>
        </is>
      </c>
      <c r="AO171" s="134" t="inlineStr">
        <is>
          <t>0.005</t>
        </is>
      </c>
      <c r="AP171" s="130" t="inlineStr">
        <is>
          <t>✓</t>
        </is>
      </c>
      <c r="AQ171" s="128" t="inlineStr">
        <is>
          <t>≤ LOQ (all 27 compounds)</t>
        </is>
      </c>
      <c r="AR171" s="129" t="inlineStr">
        <is>
          <t>1767-2025, (11.04.2025) [IJZ]</t>
        </is>
      </c>
      <c r="AS171" s="130" t="inlineStr">
        <is>
          <t>✓</t>
        </is>
      </c>
    </row>
    <row r="172" ht="13" customHeight="1" s="70">
      <c r="A172" s="135" t="n"/>
      <c r="D172" s="136" t="n"/>
      <c r="F172" s="137" t="n"/>
      <c r="G172" s="136" t="n"/>
      <c r="I172" s="137" t="n"/>
      <c r="J172" s="136" t="n"/>
      <c r="L172" s="137" t="n"/>
      <c r="M172" s="136" t="n"/>
      <c r="O172" s="137" t="n"/>
      <c r="P172" s="136" t="n"/>
      <c r="R172" s="137" t="n"/>
      <c r="S172" s="136" t="n"/>
      <c r="U172" s="137" t="n"/>
      <c r="V172" s="136" t="n"/>
      <c r="X172" s="137" t="n"/>
      <c r="Y172" s="136" t="n"/>
      <c r="AA172" s="137" t="n"/>
      <c r="AB172" s="138" t="inlineStr">
        <is>
          <t>318-0585-25, (14.04.2025) [IJZ-MB]</t>
        </is>
      </c>
      <c r="AG172" s="137" t="n"/>
      <c r="AH172" s="138" t="inlineStr">
        <is>
          <t>1767-2025, (11.04.2025) [IJZ]</t>
        </is>
      </c>
      <c r="AK172" s="137" t="n"/>
      <c r="AL172" s="138" t="inlineStr">
        <is>
          <t>1767-2025, (11.04.2025) [IJZ]</t>
        </is>
      </c>
      <c r="AP172" s="137" t="n"/>
      <c r="AQ172" s="136" t="n"/>
      <c r="AS172" s="137" t="n"/>
    </row>
    <row r="173" ht="14" customHeight="1" s="70">
      <c r="A173" s="139" t="n"/>
      <c r="B173" s="140" t="n"/>
      <c r="D173" s="141" t="n"/>
      <c r="E173" s="140" t="n"/>
      <c r="F173" s="142" t="n"/>
      <c r="G173" s="128" t="inlineStr">
        <is>
          <t>Conforms</t>
        </is>
      </c>
      <c r="H173" s="129">
        <f>IFERROR(INDEX('iCoA Register'!$B:$B,MATCH("P050102|AB|I",'iCoA Register'!$R:$R,0)),"iCoA — at issue")&amp;", (05.08.2025) [PP]"</f>
        <v/>
      </c>
      <c r="I173" s="130" t="inlineStr">
        <is>
          <t>✓</t>
        </is>
      </c>
      <c r="J173" s="141" t="n"/>
      <c r="K173" s="140" t="n"/>
      <c r="L173" s="142" t="n"/>
      <c r="M173" s="141" t="n"/>
      <c r="N173" s="140" t="n"/>
      <c r="O173" s="142" t="n"/>
      <c r="P173" s="141" t="n"/>
      <c r="Q173" s="140" t="n"/>
      <c r="R173" s="142" t="n"/>
      <c r="S173" s="141" t="n"/>
      <c r="T173" s="140" t="n"/>
      <c r="U173" s="142" t="n"/>
      <c r="V173" s="141" t="n"/>
      <c r="W173" s="140" t="n"/>
      <c r="X173" s="142" t="n"/>
      <c r="Y173" s="141" t="n"/>
      <c r="Z173" s="140" t="n"/>
      <c r="AA173" s="142" t="n"/>
      <c r="AB173" s="128" t="inlineStr">
        <is>
          <t>5.2 x 10³</t>
        </is>
      </c>
      <c r="AC173" s="134" t="inlineStr">
        <is>
          <t>8.8 x 10³</t>
        </is>
      </c>
      <c r="AD173" s="134" t="inlineStr">
        <is>
          <t>&lt;10</t>
        </is>
      </c>
      <c r="AE173" s="134" t="inlineStr">
        <is>
          <t>Одговара</t>
        </is>
      </c>
      <c r="AF173" s="134" t="inlineStr">
        <is>
          <t>Одговара</t>
        </is>
      </c>
      <c r="AG173" s="130" t="inlineStr">
        <is>
          <t>✓</t>
        </is>
      </c>
      <c r="AH173" s="141" t="n"/>
      <c r="AI173" s="140" t="n"/>
      <c r="AJ173" s="140" t="n"/>
      <c r="AK173" s="142" t="n"/>
      <c r="AL173" s="141" t="n"/>
      <c r="AM173" s="140" t="n"/>
      <c r="AN173" s="140" t="n"/>
      <c r="AO173" s="140" t="n"/>
      <c r="AP173" s="142" t="n"/>
      <c r="AQ173" s="141" t="n"/>
      <c r="AR173" s="140" t="n"/>
      <c r="AS173" s="142" t="n"/>
    </row>
    <row r="174" ht="13" customHeight="1" s="70">
      <c r="A174" s="157" t="n"/>
      <c r="B174" s="146" t="n"/>
      <c r="D174" s="145" t="n"/>
      <c r="E174" s="146" t="n"/>
      <c r="F174" s="147" t="n"/>
      <c r="G174" s="145" t="n"/>
      <c r="H174" s="146" t="n"/>
      <c r="I174" s="147" t="n"/>
      <c r="J174" s="145" t="n"/>
      <c r="K174" s="146" t="n"/>
      <c r="L174" s="147" t="n"/>
      <c r="M174" s="145" t="n"/>
      <c r="N174" s="146" t="n"/>
      <c r="O174" s="147" t="n"/>
      <c r="P174" s="145" t="n"/>
      <c r="Q174" s="146" t="n"/>
      <c r="R174" s="147" t="n"/>
      <c r="S174" s="145" t="n"/>
      <c r="T174" s="146" t="n"/>
      <c r="U174" s="147" t="n"/>
      <c r="V174" s="145" t="n"/>
      <c r="W174" s="146" t="n"/>
      <c r="X174" s="147" t="n"/>
      <c r="Y174" s="145" t="n"/>
      <c r="Z174" s="146" t="n"/>
      <c r="AA174" s="147" t="n"/>
      <c r="AB174" s="148" t="inlineStr">
        <is>
          <t>319-0586-25, (14.04.2025) [IJZ-MB]</t>
        </is>
      </c>
      <c r="AC174" s="146" t="n"/>
      <c r="AD174" s="146" t="n"/>
      <c r="AE174" s="146" t="n"/>
      <c r="AF174" s="146" t="n"/>
      <c r="AG174" s="147" t="n"/>
      <c r="AH174" s="145" t="n"/>
      <c r="AI174" s="146" t="n"/>
      <c r="AJ174" s="146" t="n"/>
      <c r="AK174" s="147" t="n"/>
      <c r="AL174" s="145" t="n"/>
      <c r="AM174" s="146" t="n"/>
      <c r="AN174" s="146" t="n"/>
      <c r="AO174" s="146" t="n"/>
      <c r="AP174" s="147" t="n"/>
      <c r="AQ174" s="145" t="n"/>
      <c r="AR174" s="146" t="n"/>
      <c r="AS174" s="147" t="n"/>
    </row>
    <row r="175" ht="14" customHeight="1" s="70">
      <c r="A175" s="139" t="n"/>
      <c r="B175" s="140" t="n"/>
      <c r="D175" s="141" t="n"/>
      <c r="E175" s="140" t="n"/>
      <c r="F175" s="142" t="n"/>
      <c r="G175" s="141" t="n"/>
      <c r="H175" s="140" t="n"/>
      <c r="I175" s="142" t="n"/>
      <c r="J175" s="141" t="n"/>
      <c r="K175" s="140" t="n"/>
      <c r="L175" s="142" t="n"/>
      <c r="M175" s="141" t="n"/>
      <c r="N175" s="140" t="n"/>
      <c r="O175" s="142" t="n"/>
      <c r="P175" s="141" t="n"/>
      <c r="Q175" s="140" t="n"/>
      <c r="R175" s="142" t="n"/>
      <c r="S175" s="141" t="n"/>
      <c r="T175" s="140" t="n"/>
      <c r="U175" s="142" t="n"/>
      <c r="V175" s="141" t="n"/>
      <c r="W175" s="140" t="n"/>
      <c r="X175" s="142" t="n"/>
      <c r="Y175" s="141" t="n"/>
      <c r="Z175" s="140" t="n"/>
      <c r="AA175" s="142" t="n"/>
      <c r="AB175" s="128" t="inlineStr">
        <is>
          <t>&lt;10</t>
        </is>
      </c>
      <c r="AC175" s="134" t="inlineStr">
        <is>
          <t>50</t>
        </is>
      </c>
      <c r="AD175" s="134" t="inlineStr">
        <is>
          <t>&lt;10</t>
        </is>
      </c>
      <c r="AE175" s="134" t="inlineStr">
        <is>
          <t>absent</t>
        </is>
      </c>
      <c r="AF175" s="134" t="inlineStr">
        <is>
          <t>absent</t>
        </is>
      </c>
      <c r="AG175" s="130" t="inlineStr">
        <is>
          <t>✓</t>
        </is>
      </c>
      <c r="AH175" s="141" t="n"/>
      <c r="AI175" s="140" t="n"/>
      <c r="AJ175" s="140" t="n"/>
      <c r="AK175" s="142" t="n"/>
      <c r="AL175" s="141" t="n"/>
      <c r="AM175" s="140" t="n"/>
      <c r="AN175" s="140" t="n"/>
      <c r="AO175" s="140" t="n"/>
      <c r="AP175" s="142" t="n"/>
      <c r="AQ175" s="141" t="n"/>
      <c r="AR175" s="140" t="n"/>
      <c r="AS175" s="142" t="n"/>
    </row>
    <row r="176" ht="13" customHeight="1" s="70">
      <c r="A176" s="143" t="n"/>
      <c r="B176" s="144" t="n"/>
      <c r="C176" s="144" t="n"/>
      <c r="D176" s="145" t="n"/>
      <c r="E176" s="146" t="n"/>
      <c r="F176" s="147" t="n"/>
      <c r="G176" s="145" t="n"/>
      <c r="H176" s="146" t="n"/>
      <c r="I176" s="147" t="n"/>
      <c r="J176" s="145" t="n"/>
      <c r="K176" s="146" t="n"/>
      <c r="L176" s="147" t="n"/>
      <c r="M176" s="145" t="n"/>
      <c r="N176" s="146" t="n"/>
      <c r="O176" s="147" t="n"/>
      <c r="P176" s="145" t="n"/>
      <c r="Q176" s="146" t="n"/>
      <c r="R176" s="147" t="n"/>
      <c r="S176" s="145" t="n"/>
      <c r="T176" s="146" t="n"/>
      <c r="U176" s="147" t="n"/>
      <c r="V176" s="145" t="n"/>
      <c r="W176" s="146" t="n"/>
      <c r="X176" s="147" t="n"/>
      <c r="Y176" s="145" t="n"/>
      <c r="Z176" s="146" t="n"/>
      <c r="AA176" s="147" t="n"/>
      <c r="AB176" s="148" t="inlineStr">
        <is>
          <t>562-1093-26, (01.09.2026) [IJZ-MB]</t>
        </is>
      </c>
      <c r="AC176" s="146" t="n"/>
      <c r="AD176" s="146" t="n"/>
      <c r="AE176" s="146" t="n"/>
      <c r="AF176" s="146" t="n"/>
      <c r="AG176" s="147" t="n"/>
      <c r="AH176" s="145" t="n"/>
      <c r="AI176" s="146" t="n"/>
      <c r="AJ176" s="146" t="n"/>
      <c r="AK176" s="147" t="n"/>
      <c r="AL176" s="145" t="n"/>
      <c r="AM176" s="146" t="n"/>
      <c r="AN176" s="146" t="n"/>
      <c r="AO176" s="146" t="n"/>
      <c r="AP176" s="147" t="n"/>
      <c r="AQ176" s="145" t="n"/>
      <c r="AR176" s="146" t="n"/>
      <c r="AS176" s="147" t="n"/>
    </row>
    <row r="177" ht="14" customHeight="1" s="70">
      <c r="A177" s="125" t="inlineStr">
        <is>
          <t>MB0824_05</t>
        </is>
      </c>
      <c r="B177" s="126" t="inlineStr">
        <is>
          <t>P050112</t>
        </is>
      </c>
      <c r="C177" s="127" t="inlineStr">
        <is>
          <t>✓ COMPLETE
2 testing instances
• 1 document(s) on file, not credited</t>
        </is>
      </c>
      <c r="D177" s="128" t="inlineStr">
        <is>
          <t>Conforms</t>
        </is>
      </c>
      <c r="E177" s="129">
        <f>IFERROR(INDEX('iCoA Register'!$B:$B,MATCH("P050112|AB|I",'iCoA Register'!$R:$R,0)),"iCoA — at issue")&amp;", (25.08.2025) [PP]"</f>
        <v/>
      </c>
      <c r="F177" s="130" t="inlineStr">
        <is>
          <t>✓</t>
        </is>
      </c>
      <c r="G177" s="131" t="inlineStr">
        <is>
          <t>not on this certificate</t>
        </is>
      </c>
      <c r="H177" s="132" t="inlineStr">
        <is>
          <t>ППК25211, (28.07.2025) [CNP] · on file, not credited</t>
        </is>
      </c>
      <c r="I177" s="133" t="inlineStr">
        <is>
          <t>•</t>
        </is>
      </c>
      <c r="J177" s="128" t="inlineStr">
        <is>
          <t>Conforms (ImB spec.)</t>
        </is>
      </c>
      <c r="K177" s="129" t="inlineStr">
        <is>
          <t>ППК25211, (28.07.2025) [CNP]</t>
        </is>
      </c>
      <c r="L177" s="130" t="inlineStr">
        <is>
          <t>✓</t>
        </is>
      </c>
      <c r="M177" s="128" t="inlineStr">
        <is>
          <t>16.82</t>
        </is>
      </c>
      <c r="N177" s="129" t="inlineStr">
        <is>
          <t>ППК25211, (28.07.2025) [CNP]</t>
        </is>
      </c>
      <c r="O177" s="130" t="inlineStr">
        <is>
          <t>✓</t>
        </is>
      </c>
      <c r="P177" s="128" t="inlineStr">
        <is>
          <t>0.06</t>
        </is>
      </c>
      <c r="Q177" s="129" t="inlineStr">
        <is>
          <t>ППК25211, (28.07.2025) [CNP]</t>
        </is>
      </c>
      <c r="R177" s="130" t="inlineStr">
        <is>
          <t>✓</t>
        </is>
      </c>
      <c r="S177" s="128" t="inlineStr">
        <is>
          <t>0.02 ᴰ</t>
        </is>
      </c>
      <c r="T177" s="129" t="inlineStr">
        <is>
          <t>ППК25211, (28.07.2025) [CNP]</t>
        </is>
      </c>
      <c r="U177" s="130" t="inlineStr">
        <is>
          <t>✓</t>
        </is>
      </c>
      <c r="V177" s="128" t="inlineStr">
        <is>
          <t>Conforms</t>
        </is>
      </c>
      <c r="W177" s="129">
        <f>IFERROR(INDEX('iCoA Register'!$B:$B,MATCH("P050112|FM|I",'iCoA Register'!$R:$R,0)),"iCoA — at issue")&amp;", (25.08.2025) [PP]"</f>
        <v/>
      </c>
      <c r="X177" s="130" t="inlineStr">
        <is>
          <t>✓</t>
        </is>
      </c>
      <c r="Y177" s="128" t="inlineStr">
        <is>
          <t>6.56</t>
        </is>
      </c>
      <c r="Z177" s="129" t="inlineStr">
        <is>
          <t>ППК25211, (28.07.2025) [CNP]</t>
        </is>
      </c>
      <c r="AA177" s="130" t="inlineStr">
        <is>
          <t>✓</t>
        </is>
      </c>
      <c r="AB177" s="128" t="inlineStr">
        <is>
          <t>3.5 x 10³</t>
        </is>
      </c>
      <c r="AC177" s="134" t="inlineStr">
        <is>
          <t>1 x 10³</t>
        </is>
      </c>
      <c r="AD177" s="134" t="inlineStr">
        <is>
          <t>&lt;10</t>
        </is>
      </c>
      <c r="AE177" s="134" t="inlineStr">
        <is>
          <t>Одговара</t>
        </is>
      </c>
      <c r="AF177" s="134" t="inlineStr">
        <is>
          <t>Одговара</t>
        </is>
      </c>
      <c r="AG177" s="130" t="inlineStr">
        <is>
          <t>✓</t>
        </is>
      </c>
      <c r="AH177" s="128" t="inlineStr">
        <is>
          <t>n.r.</t>
        </is>
      </c>
      <c r="AI177" s="134" t="inlineStr">
        <is>
          <t>2</t>
        </is>
      </c>
      <c r="AJ177" s="134" t="inlineStr">
        <is>
          <t>n.r.</t>
        </is>
      </c>
      <c r="AK177" s="130" t="inlineStr">
        <is>
          <t>✓</t>
        </is>
      </c>
      <c r="AL177" s="128" t="inlineStr">
        <is>
          <t>Н.д.</t>
        </is>
      </c>
      <c r="AM177" s="134" t="inlineStr">
        <is>
          <t>Н.д.</t>
        </is>
      </c>
      <c r="AN177" s="134" t="inlineStr">
        <is>
          <t>0.086</t>
        </is>
      </c>
      <c r="AO177" s="134" t="inlineStr">
        <is>
          <t>0.006</t>
        </is>
      </c>
      <c r="AP177" s="130" t="inlineStr">
        <is>
          <t>✓</t>
        </is>
      </c>
      <c r="AQ177" s="128" t="inlineStr">
        <is>
          <t>N.D. ᴿ</t>
        </is>
      </c>
      <c r="AR177" s="129" t="inlineStr">
        <is>
          <t>3638-2025, (28.07.2025) [IJZ]</t>
        </is>
      </c>
      <c r="AS177" s="130" t="inlineStr">
        <is>
          <t>✓</t>
        </is>
      </c>
    </row>
    <row r="178" ht="13" customHeight="1" s="70">
      <c r="A178" s="135" t="n"/>
      <c r="D178" s="136" t="n"/>
      <c r="F178" s="137" t="n"/>
      <c r="G178" s="136" t="n"/>
      <c r="I178" s="137" t="n"/>
      <c r="J178" s="136" t="n"/>
      <c r="L178" s="137" t="n"/>
      <c r="M178" s="136" t="n"/>
      <c r="O178" s="137" t="n"/>
      <c r="P178" s="136" t="n"/>
      <c r="R178" s="137" t="n"/>
      <c r="S178" s="136" t="n"/>
      <c r="U178" s="137" t="n"/>
      <c r="V178" s="136" t="n"/>
      <c r="X178" s="137" t="n"/>
      <c r="Y178" s="136" t="n"/>
      <c r="AA178" s="137" t="n"/>
      <c r="AB178" s="138" t="inlineStr">
        <is>
          <t>767-1376-25, (29.07.2025) [IJZ-MB]</t>
        </is>
      </c>
      <c r="AG178" s="137" t="n"/>
      <c r="AH178" s="138" t="inlineStr">
        <is>
          <t>3638-2025, (28.07.2025) [IJZ]</t>
        </is>
      </c>
      <c r="AK178" s="137" t="n"/>
      <c r="AL178" s="138" t="inlineStr">
        <is>
          <t>3638-2025, (28.07.2025) [IJZ]</t>
        </is>
      </c>
      <c r="AP178" s="137" t="n"/>
      <c r="AQ178" s="136" t="n"/>
      <c r="AS178" s="137" t="n"/>
    </row>
    <row r="179" ht="14" customHeight="1" s="70">
      <c r="A179" s="139" t="n"/>
      <c r="B179" s="140" t="n"/>
      <c r="D179" s="141" t="n"/>
      <c r="E179" s="140" t="n"/>
      <c r="F179" s="142" t="n"/>
      <c r="G179" s="128" t="inlineStr">
        <is>
          <t>Conforms</t>
        </is>
      </c>
      <c r="H179" s="129">
        <f>IFERROR(INDEX('iCoA Register'!$B:$B,MATCH("P050112|AB|I",'iCoA Register'!$R:$R,0)),"iCoA — at issue")&amp;", (25.08.2025) [PP]"</f>
        <v/>
      </c>
      <c r="I179" s="130" t="inlineStr">
        <is>
          <t>✓</t>
        </is>
      </c>
      <c r="J179" s="141" t="n"/>
      <c r="K179" s="140" t="n"/>
      <c r="L179" s="142" t="n"/>
      <c r="M179" s="141" t="n"/>
      <c r="N179" s="140" t="n"/>
      <c r="O179" s="142" t="n"/>
      <c r="P179" s="141" t="n"/>
      <c r="Q179" s="140" t="n"/>
      <c r="R179" s="142" t="n"/>
      <c r="S179" s="141" t="n"/>
      <c r="T179" s="140" t="n"/>
      <c r="U179" s="142" t="n"/>
      <c r="V179" s="141" t="n"/>
      <c r="W179" s="140" t="n"/>
      <c r="X179" s="142" t="n"/>
      <c r="Y179" s="141" t="n"/>
      <c r="Z179" s="140" t="n"/>
      <c r="AA179" s="142" t="n"/>
      <c r="AB179" s="141" t="n"/>
      <c r="AC179" s="140" t="n"/>
      <c r="AD179" s="140" t="n"/>
      <c r="AE179" s="140" t="n"/>
      <c r="AF179" s="140" t="n"/>
      <c r="AG179" s="142" t="n"/>
      <c r="AH179" s="141" t="n"/>
      <c r="AI179" s="140" t="n"/>
      <c r="AJ179" s="140" t="n"/>
      <c r="AK179" s="142" t="n"/>
      <c r="AL179" s="141" t="n"/>
      <c r="AM179" s="140" t="n"/>
      <c r="AN179" s="140" t="n"/>
      <c r="AO179" s="140" t="n"/>
      <c r="AP179" s="142" t="n"/>
      <c r="AQ179" s="141" t="n"/>
      <c r="AR179" s="140" t="n"/>
      <c r="AS179" s="142" t="n"/>
    </row>
    <row r="180" ht="13" customHeight="1" s="70">
      <c r="A180" s="143" t="n"/>
      <c r="B180" s="144" t="n"/>
      <c r="C180" s="144" t="n"/>
      <c r="D180" s="145" t="n"/>
      <c r="E180" s="146" t="n"/>
      <c r="F180" s="147" t="n"/>
      <c r="G180" s="145" t="n"/>
      <c r="H180" s="146" t="n"/>
      <c r="I180" s="147" t="n"/>
      <c r="J180" s="145" t="n"/>
      <c r="K180" s="146" t="n"/>
      <c r="L180" s="147" t="n"/>
      <c r="M180" s="145" t="n"/>
      <c r="N180" s="146" t="n"/>
      <c r="O180" s="147" t="n"/>
      <c r="P180" s="145" t="n"/>
      <c r="Q180" s="146" t="n"/>
      <c r="R180" s="147" t="n"/>
      <c r="S180" s="145" t="n"/>
      <c r="T180" s="146" t="n"/>
      <c r="U180" s="147" t="n"/>
      <c r="V180" s="145" t="n"/>
      <c r="W180" s="146" t="n"/>
      <c r="X180" s="147" t="n"/>
      <c r="Y180" s="145" t="n"/>
      <c r="Z180" s="146" t="n"/>
      <c r="AA180" s="147" t="n"/>
      <c r="AB180" s="145" t="n"/>
      <c r="AC180" s="146" t="n"/>
      <c r="AD180" s="146" t="n"/>
      <c r="AE180" s="146" t="n"/>
      <c r="AF180" s="146" t="n"/>
      <c r="AG180" s="147" t="n"/>
      <c r="AH180" s="145" t="n"/>
      <c r="AI180" s="146" t="n"/>
      <c r="AJ180" s="146" t="n"/>
      <c r="AK180" s="147" t="n"/>
      <c r="AL180" s="145" t="n"/>
      <c r="AM180" s="146" t="n"/>
      <c r="AN180" s="146" t="n"/>
      <c r="AO180" s="146" t="n"/>
      <c r="AP180" s="147" t="n"/>
      <c r="AQ180" s="145" t="n"/>
      <c r="AR180" s="146" t="n"/>
      <c r="AS180" s="147" t="n"/>
    </row>
    <row r="181" ht="14" customHeight="1" s="70">
      <c r="A181" s="125" t="inlineStr">
        <is>
          <t>BSS1024_01/1</t>
        </is>
      </c>
      <c r="B181" s="126" t="inlineStr">
        <is>
          <t>P050122</t>
        </is>
      </c>
      <c r="C181" s="127" t="inlineStr">
        <is>
          <t>✓ COMPLETE
2 testing instances
• 1 document(s) on file, not credited</t>
        </is>
      </c>
      <c r="D181" s="128" t="inlineStr">
        <is>
          <t>Conforms</t>
        </is>
      </c>
      <c r="E181" s="129">
        <f>IFERROR(INDEX('iCoA Register'!$B:$B,MATCH("P050122|AB|I",'iCoA Register'!$R:$R,0)),"iCoA — at issue")&amp;", (01.09.2025) [PP]"</f>
        <v/>
      </c>
      <c r="F181" s="130" t="inlineStr">
        <is>
          <t>✓</t>
        </is>
      </c>
      <c r="G181" s="131" t="inlineStr">
        <is>
          <t>not on this certificate</t>
        </is>
      </c>
      <c r="H181" s="132" t="inlineStr">
        <is>
          <t>ППК25176, (10.07.2025) [CNP] · on file, not credited</t>
        </is>
      </c>
      <c r="I181" s="133" t="inlineStr">
        <is>
          <t>•</t>
        </is>
      </c>
      <c r="J181" s="128" t="inlineStr">
        <is>
          <t>Conforms (ImB spec.)</t>
        </is>
      </c>
      <c r="K181" s="129" t="inlineStr">
        <is>
          <t>ППК25176, (10.07.2025) [CNP]</t>
        </is>
      </c>
      <c r="L181" s="130" t="inlineStr">
        <is>
          <t>✓</t>
        </is>
      </c>
      <c r="M181" s="128" t="inlineStr">
        <is>
          <t>23.42</t>
        </is>
      </c>
      <c r="N181" s="129" t="inlineStr">
        <is>
          <t>ППК25176, (10.07.2025) [CNP]</t>
        </is>
      </c>
      <c r="O181" s="130" t="inlineStr">
        <is>
          <t>✓</t>
        </is>
      </c>
      <c r="P181" s="128" t="inlineStr">
        <is>
          <t>0.06</t>
        </is>
      </c>
      <c r="Q181" s="129" t="inlineStr">
        <is>
          <t>ППК25176, (10.07.2025) [CNP]</t>
        </is>
      </c>
      <c r="R181" s="130" t="inlineStr">
        <is>
          <t>✓</t>
        </is>
      </c>
      <c r="S181" s="128" t="inlineStr">
        <is>
          <t>BLQ ᴰ</t>
        </is>
      </c>
      <c r="T181" s="129" t="inlineStr">
        <is>
          <t>ППК25176, (10.07.2025) [CNP]</t>
        </is>
      </c>
      <c r="U181" s="130" t="inlineStr">
        <is>
          <t>✓</t>
        </is>
      </c>
      <c r="V181" s="128" t="inlineStr">
        <is>
          <t>Conforms</t>
        </is>
      </c>
      <c r="W181" s="129">
        <f>IFERROR(INDEX('iCoA Register'!$B:$B,MATCH("P050122|FM|I",'iCoA Register'!$R:$R,0)),"iCoA — at issue")&amp;", (01.09.2025) [PP]"</f>
        <v/>
      </c>
      <c r="X181" s="130" t="inlineStr">
        <is>
          <t>✓</t>
        </is>
      </c>
      <c r="Y181" s="128" t="inlineStr">
        <is>
          <t>6.38</t>
        </is>
      </c>
      <c r="Z181" s="129" t="inlineStr">
        <is>
          <t>ППК25176, (10.07.2025) [CNP]</t>
        </is>
      </c>
      <c r="AA181" s="130" t="inlineStr">
        <is>
          <t>✓</t>
        </is>
      </c>
      <c r="AB181" s="128" t="inlineStr">
        <is>
          <t>&lt;10</t>
        </is>
      </c>
      <c r="AC181" s="134" t="inlineStr">
        <is>
          <t>&lt;10</t>
        </is>
      </c>
      <c r="AD181" s="134" t="inlineStr">
        <is>
          <t>&lt;10</t>
        </is>
      </c>
      <c r="AE181" s="134" t="inlineStr">
        <is>
          <t>Одговара</t>
        </is>
      </c>
      <c r="AF181" s="134" t="inlineStr">
        <is>
          <t>Одговара</t>
        </is>
      </c>
      <c r="AG181" s="130" t="inlineStr">
        <is>
          <t>✓</t>
        </is>
      </c>
      <c r="AH181" s="128" t="inlineStr">
        <is>
          <t>n.r.</t>
        </is>
      </c>
      <c r="AI181" s="134" t="inlineStr">
        <is>
          <t>&lt;2</t>
        </is>
      </c>
      <c r="AJ181" s="134" t="inlineStr">
        <is>
          <t>n.r.</t>
        </is>
      </c>
      <c r="AK181" s="130" t="inlineStr">
        <is>
          <t>✓</t>
        </is>
      </c>
      <c r="AL181" s="128" t="inlineStr">
        <is>
          <t>Н.Д.</t>
        </is>
      </c>
      <c r="AM181" s="134" t="inlineStr">
        <is>
          <t>Н.Д.</t>
        </is>
      </c>
      <c r="AN181" s="134" t="inlineStr">
        <is>
          <t>0.112</t>
        </is>
      </c>
      <c r="AO181" s="134" t="inlineStr">
        <is>
          <t>Н.Д.</t>
        </is>
      </c>
      <c r="AP181" s="130" t="inlineStr">
        <is>
          <t>✓</t>
        </is>
      </c>
      <c r="AQ181" s="128" t="inlineStr">
        <is>
          <t>≤ LOQ (all 27 compounds)</t>
        </is>
      </c>
      <c r="AR181" s="129" t="inlineStr">
        <is>
          <t>3177-2025, (26.06.2025) [IJZ]</t>
        </is>
      </c>
      <c r="AS181" s="130" t="inlineStr">
        <is>
          <t>✓</t>
        </is>
      </c>
    </row>
    <row r="182" ht="13" customHeight="1" s="70">
      <c r="A182" s="135" t="n"/>
      <c r="D182" s="136" t="n"/>
      <c r="F182" s="137" t="n"/>
      <c r="G182" s="136" t="n"/>
      <c r="I182" s="137" t="n"/>
      <c r="J182" s="136" t="n"/>
      <c r="L182" s="137" t="n"/>
      <c r="M182" s="136" t="n"/>
      <c r="O182" s="137" t="n"/>
      <c r="P182" s="136" t="n"/>
      <c r="R182" s="137" t="n"/>
      <c r="S182" s="136" t="n"/>
      <c r="U182" s="137" t="n"/>
      <c r="V182" s="136" t="n"/>
      <c r="X182" s="137" t="n"/>
      <c r="Y182" s="136" t="n"/>
      <c r="AA182" s="137" t="n"/>
      <c r="AB182" s="138" t="inlineStr">
        <is>
          <t>626-1127-25, (02.07.2025) [IJZ-MB]</t>
        </is>
      </c>
      <c r="AG182" s="137" t="n"/>
      <c r="AH182" s="138" t="inlineStr">
        <is>
          <t>3177-2025, (26.06.2025) [IJZ]</t>
        </is>
      </c>
      <c r="AK182" s="137" t="n"/>
      <c r="AL182" s="138" t="inlineStr">
        <is>
          <t>3177-2025, (26.06.2025) [IJZ]</t>
        </is>
      </c>
      <c r="AP182" s="137" t="n"/>
      <c r="AQ182" s="136" t="n"/>
      <c r="AS182" s="137" t="n"/>
    </row>
    <row r="183" ht="14" customHeight="1" s="70">
      <c r="A183" s="139" t="n"/>
      <c r="B183" s="140" t="n"/>
      <c r="D183" s="141" t="n"/>
      <c r="E183" s="140" t="n"/>
      <c r="F183" s="142" t="n"/>
      <c r="G183" s="128" t="inlineStr">
        <is>
          <t>Conforms</t>
        </is>
      </c>
      <c r="H183" s="129">
        <f>IFERROR(INDEX('iCoA Register'!$B:$B,MATCH("P050122|AB|I",'iCoA Register'!$R:$R,0)),"iCoA — at issue")&amp;", (01.09.2025) [PP]"</f>
        <v/>
      </c>
      <c r="I183" s="130" t="inlineStr">
        <is>
          <t>✓</t>
        </is>
      </c>
      <c r="J183" s="141" t="n"/>
      <c r="K183" s="140" t="n"/>
      <c r="L183" s="142" t="n"/>
      <c r="M183" s="141" t="n"/>
      <c r="N183" s="140" t="n"/>
      <c r="O183" s="142" t="n"/>
      <c r="P183" s="141" t="n"/>
      <c r="Q183" s="140" t="n"/>
      <c r="R183" s="142" t="n"/>
      <c r="S183" s="141" t="n"/>
      <c r="T183" s="140" t="n"/>
      <c r="U183" s="142" t="n"/>
      <c r="V183" s="141" t="n"/>
      <c r="W183" s="140" t="n"/>
      <c r="X183" s="142" t="n"/>
      <c r="Y183" s="141" t="n"/>
      <c r="Z183" s="140" t="n"/>
      <c r="AA183" s="142" t="n"/>
      <c r="AB183" s="128" t="inlineStr">
        <is>
          <t>10</t>
        </is>
      </c>
      <c r="AC183" s="134" t="inlineStr">
        <is>
          <t>20</t>
        </is>
      </c>
      <c r="AD183" s="134" t="inlineStr">
        <is>
          <t>&lt;10</t>
        </is>
      </c>
      <c r="AE183" s="134" t="inlineStr">
        <is>
          <t>absent</t>
        </is>
      </c>
      <c r="AF183" s="134" t="inlineStr">
        <is>
          <t>absent</t>
        </is>
      </c>
      <c r="AG183" s="130" t="inlineStr">
        <is>
          <t>✓</t>
        </is>
      </c>
      <c r="AH183" s="141" t="n"/>
      <c r="AI183" s="140" t="n"/>
      <c r="AJ183" s="140" t="n"/>
      <c r="AK183" s="142" t="n"/>
      <c r="AL183" s="141" t="n"/>
      <c r="AM183" s="140" t="n"/>
      <c r="AN183" s="140" t="n"/>
      <c r="AO183" s="140" t="n"/>
      <c r="AP183" s="142" t="n"/>
      <c r="AQ183" s="141" t="n"/>
      <c r="AR183" s="140" t="n"/>
      <c r="AS183" s="142" t="n"/>
    </row>
    <row r="184" ht="13" customHeight="1" s="70">
      <c r="A184" s="143" t="n"/>
      <c r="B184" s="144" t="n"/>
      <c r="C184" s="144" t="n"/>
      <c r="D184" s="145" t="n"/>
      <c r="E184" s="146" t="n"/>
      <c r="F184" s="147" t="n"/>
      <c r="G184" s="145" t="n"/>
      <c r="H184" s="146" t="n"/>
      <c r="I184" s="147" t="n"/>
      <c r="J184" s="145" t="n"/>
      <c r="K184" s="146" t="n"/>
      <c r="L184" s="147" t="n"/>
      <c r="M184" s="145" t="n"/>
      <c r="N184" s="146" t="n"/>
      <c r="O184" s="147" t="n"/>
      <c r="P184" s="145" t="n"/>
      <c r="Q184" s="146" t="n"/>
      <c r="R184" s="147" t="n"/>
      <c r="S184" s="145" t="n"/>
      <c r="T184" s="146" t="n"/>
      <c r="U184" s="147" t="n"/>
      <c r="V184" s="145" t="n"/>
      <c r="W184" s="146" t="n"/>
      <c r="X184" s="147" t="n"/>
      <c r="Y184" s="145" t="n"/>
      <c r="Z184" s="146" t="n"/>
      <c r="AA184" s="147" t="n"/>
      <c r="AB184" s="148" t="inlineStr">
        <is>
          <t>561-1092-26, (01.09.2026) [IJZ-MB]</t>
        </is>
      </c>
      <c r="AC184" s="146" t="n"/>
      <c r="AD184" s="146" t="n"/>
      <c r="AE184" s="146" t="n"/>
      <c r="AF184" s="146" t="n"/>
      <c r="AG184" s="147" t="n"/>
      <c r="AH184" s="145" t="n"/>
      <c r="AI184" s="146" t="n"/>
      <c r="AJ184" s="146" t="n"/>
      <c r="AK184" s="147" t="n"/>
      <c r="AL184" s="145" t="n"/>
      <c r="AM184" s="146" t="n"/>
      <c r="AN184" s="146" t="n"/>
      <c r="AO184" s="146" t="n"/>
      <c r="AP184" s="147" t="n"/>
      <c r="AQ184" s="145" t="n"/>
      <c r="AR184" s="146" t="n"/>
      <c r="AS184" s="147" t="n"/>
    </row>
    <row r="185" ht="14" customHeight="1" s="70">
      <c r="A185" s="125" t="inlineStr">
        <is>
          <t>OPM052501</t>
        </is>
      </c>
      <c r="B185" s="126" t="inlineStr">
        <is>
          <t>P050132</t>
        </is>
      </c>
      <c r="C185" s="155" t="inlineStr">
        <is>
          <t>⚠ 1 NO RESULT
(0 no cert / 1 cert w/o result)
2 testing instances
• 1 document(s) on file, not credited
✗ OUT OF SPECIFICATION: #9 TYMC</t>
        </is>
      </c>
      <c r="D185" s="128" t="inlineStr">
        <is>
          <t>Conforms</t>
        </is>
      </c>
      <c r="E185" s="129">
        <f>IFERROR(INDEX('iCoA Register'!$B:$B,MATCH("P050132|AB|I",'iCoA Register'!$R:$R,0)),"iCoA — at issue")&amp;", (09.09.2025) [PP]"</f>
        <v/>
      </c>
      <c r="F185" s="130" t="inlineStr">
        <is>
          <t>✓</t>
        </is>
      </c>
      <c r="G185" s="131" t="inlineStr">
        <is>
          <t>not ingested</t>
        </is>
      </c>
      <c r="H185" s="132" t="inlineStr">
        <is>
          <t>ППК25257, (05.09.2025) [CNP] · on file, not credited</t>
        </is>
      </c>
      <c r="I185" s="133" t="inlineStr">
        <is>
          <t>•</t>
        </is>
      </c>
      <c r="J185" s="128" t="inlineStr">
        <is>
          <t>Conforms (ImB spec.) ᴿ</t>
        </is>
      </c>
      <c r="K185" s="129" t="inlineStr">
        <is>
          <t>ППК25257, (05.09.2025) [CNP]</t>
        </is>
      </c>
      <c r="L185" s="130" t="inlineStr">
        <is>
          <t>✓</t>
        </is>
      </c>
      <c r="M185" s="128" t="inlineStr">
        <is>
          <t>14.16 ᴿ</t>
        </is>
      </c>
      <c r="N185" s="129" t="inlineStr">
        <is>
          <t>ППК25257, (05.09.2025) [CNP]</t>
        </is>
      </c>
      <c r="O185" s="130" t="inlineStr">
        <is>
          <t>✓</t>
        </is>
      </c>
      <c r="P185" s="128" t="inlineStr">
        <is>
          <t>0.04 ᴿ</t>
        </is>
      </c>
      <c r="Q185" s="129" t="inlineStr">
        <is>
          <t>ППК25257, (05.09.2025) [CNP]</t>
        </is>
      </c>
      <c r="R185" s="130" t="inlineStr">
        <is>
          <t>✓</t>
        </is>
      </c>
      <c r="S185" s="158" t="inlineStr">
        <is>
          <t>not ingested</t>
        </is>
      </c>
      <c r="T185" s="159" t="inlineStr">
        <is>
          <t>ППК25257, (05.09.2025) [CNP]</t>
        </is>
      </c>
      <c r="U185" s="160" t="inlineStr">
        <is>
          <t>✗</t>
        </is>
      </c>
      <c r="V185" s="128" t="inlineStr">
        <is>
          <t>Conforms</t>
        </is>
      </c>
      <c r="W185" s="129">
        <f>IFERROR(INDEX('iCoA Register'!$B:$B,MATCH("P050132|FM|I",'iCoA Register'!$R:$R,0)),"iCoA — at issue")&amp;", (09.09.2025) [PP]"</f>
        <v/>
      </c>
      <c r="X185" s="130" t="inlineStr">
        <is>
          <t>✓</t>
        </is>
      </c>
      <c r="Y185" s="128" t="inlineStr">
        <is>
          <t>8.28 ᴿ</t>
        </is>
      </c>
      <c r="Z185" s="129" t="inlineStr">
        <is>
          <t>ППК25257, (05.09.2025) [CNP]</t>
        </is>
      </c>
      <c r="AA185" s="130" t="inlineStr">
        <is>
          <t>✓</t>
        </is>
      </c>
      <c r="AB185" s="128" t="inlineStr">
        <is>
          <t>1.2×10⁴ ᴿ</t>
        </is>
      </c>
      <c r="AC185" s="171" t="inlineStr">
        <is>
          <t>3.3×10⁴ ᴿ</t>
        </is>
      </c>
      <c r="AD185" s="134" t="inlineStr">
        <is>
          <t>&lt;10 ᴿ</t>
        </is>
      </c>
      <c r="AE185" s="134" t="inlineStr">
        <is>
          <t>absent ᴿ</t>
        </is>
      </c>
      <c r="AF185" s="134" t="inlineStr">
        <is>
          <t>absent ᴿ</t>
        </is>
      </c>
      <c r="AG185" s="130" t="inlineStr">
        <is>
          <t>✓</t>
        </is>
      </c>
      <c r="AH185" s="128" t="inlineStr">
        <is>
          <t>n.r.</t>
        </is>
      </c>
      <c r="AI185" s="134" t="inlineStr">
        <is>
          <t>2.1 ᴿ</t>
        </is>
      </c>
      <c r="AJ185" s="134" t="inlineStr">
        <is>
          <t>n.r.</t>
        </is>
      </c>
      <c r="AK185" s="130" t="inlineStr">
        <is>
          <t>✓</t>
        </is>
      </c>
      <c r="AL185" s="128" t="inlineStr">
        <is>
          <t>N.D. ᴿ</t>
        </is>
      </c>
      <c r="AM185" s="134" t="inlineStr">
        <is>
          <t>N.D. ᴿ</t>
        </is>
      </c>
      <c r="AN185" s="134" t="inlineStr">
        <is>
          <t>N.D. ᴿ</t>
        </is>
      </c>
      <c r="AO185" s="134" t="inlineStr">
        <is>
          <t>N.D. ᴿ</t>
        </is>
      </c>
      <c r="AP185" s="130" t="inlineStr">
        <is>
          <t>✓</t>
        </is>
      </c>
      <c r="AQ185" s="128" t="inlineStr">
        <is>
          <t>N.D. ᴿ</t>
        </is>
      </c>
      <c r="AR185" s="129" t="inlineStr">
        <is>
          <t>4157-2025, (29.08.2025) [IJZ]</t>
        </is>
      </c>
      <c r="AS185" s="130" t="inlineStr">
        <is>
          <t>✓</t>
        </is>
      </c>
    </row>
    <row r="186" ht="13" customHeight="1" s="70">
      <c r="A186" s="135" t="n"/>
      <c r="D186" s="136" t="n"/>
      <c r="F186" s="137" t="n"/>
      <c r="G186" s="136" t="n"/>
      <c r="I186" s="137" t="n"/>
      <c r="J186" s="136" t="n"/>
      <c r="L186" s="137" t="n"/>
      <c r="M186" s="136" t="n"/>
      <c r="O186" s="137" t="n"/>
      <c r="P186" s="136" t="n"/>
      <c r="R186" s="137" t="n"/>
      <c r="S186" s="136" t="n"/>
      <c r="U186" s="137" t="n"/>
      <c r="V186" s="136" t="n"/>
      <c r="X186" s="137" t="n"/>
      <c r="Y186" s="136" t="n"/>
      <c r="AA186" s="137" t="n"/>
      <c r="AB186" s="138" t="inlineStr">
        <is>
          <t>904-1589-25, (02.09.2025) [IJZ-MB]</t>
        </is>
      </c>
      <c r="AG186" s="137" t="n"/>
      <c r="AH186" s="138" t="inlineStr">
        <is>
          <t>4157-2025, (29.08.2025) [IJZ]</t>
        </is>
      </c>
      <c r="AK186" s="137" t="n"/>
      <c r="AL186" s="138" t="inlineStr">
        <is>
          <t>4157-2025, (29.08.2025) [IJZ]</t>
        </is>
      </c>
      <c r="AP186" s="137" t="n"/>
      <c r="AQ186" s="136" t="n"/>
      <c r="AS186" s="137" t="n"/>
    </row>
    <row r="187" ht="14" customHeight="1" s="70">
      <c r="A187" s="139" t="n"/>
      <c r="B187" s="140" t="n"/>
      <c r="D187" s="141" t="n"/>
      <c r="E187" s="140" t="n"/>
      <c r="F187" s="142" t="n"/>
      <c r="G187" s="128" t="inlineStr">
        <is>
          <t>Conforms</t>
        </is>
      </c>
      <c r="H187" s="129">
        <f>IFERROR(INDEX('iCoA Register'!$B:$B,MATCH("P050132|AB|I",'iCoA Register'!$R:$R,0)),"iCoA — at issue")&amp;", (09.09.2025) [PP]"</f>
        <v/>
      </c>
      <c r="I187" s="130" t="inlineStr">
        <is>
          <t>✓</t>
        </is>
      </c>
      <c r="J187" s="141" t="n"/>
      <c r="K187" s="140" t="n"/>
      <c r="L187" s="142" t="n"/>
      <c r="M187" s="141" t="n"/>
      <c r="N187" s="140" t="n"/>
      <c r="O187" s="142" t="n"/>
      <c r="P187" s="141" t="n"/>
      <c r="Q187" s="140" t="n"/>
      <c r="R187" s="142" t="n"/>
      <c r="S187" s="141" t="n"/>
      <c r="T187" s="140" t="n"/>
      <c r="U187" s="142" t="n"/>
      <c r="V187" s="141" t="n"/>
      <c r="W187" s="140" t="n"/>
      <c r="X187" s="142" t="n"/>
      <c r="Y187" s="141" t="n"/>
      <c r="Z187" s="140" t="n"/>
      <c r="AA187" s="142" t="n"/>
      <c r="AB187" s="128" t="inlineStr">
        <is>
          <t>&lt;10</t>
        </is>
      </c>
      <c r="AC187" s="134" t="inlineStr">
        <is>
          <t>&lt;10</t>
        </is>
      </c>
      <c r="AD187" s="134" t="inlineStr">
        <is>
          <t>&lt;10</t>
        </is>
      </c>
      <c r="AE187" s="134" t="inlineStr">
        <is>
          <t>absent</t>
        </is>
      </c>
      <c r="AF187" s="134" t="inlineStr">
        <is>
          <t>absent</t>
        </is>
      </c>
      <c r="AG187" s="130" t="inlineStr">
        <is>
          <t>✓</t>
        </is>
      </c>
      <c r="AH187" s="141" t="n"/>
      <c r="AI187" s="140" t="n"/>
      <c r="AJ187" s="140" t="n"/>
      <c r="AK187" s="142" t="n"/>
      <c r="AL187" s="141" t="n"/>
      <c r="AM187" s="140" t="n"/>
      <c r="AN187" s="140" t="n"/>
      <c r="AO187" s="140" t="n"/>
      <c r="AP187" s="142" t="n"/>
      <c r="AQ187" s="141" t="n"/>
      <c r="AR187" s="140" t="n"/>
      <c r="AS187" s="142" t="n"/>
    </row>
    <row r="188" ht="13" customHeight="1" s="70">
      <c r="A188" s="143" t="n"/>
      <c r="B188" s="144" t="n"/>
      <c r="C188" s="144" t="n"/>
      <c r="D188" s="145" t="n"/>
      <c r="E188" s="146" t="n"/>
      <c r="F188" s="147" t="n"/>
      <c r="G188" s="145" t="n"/>
      <c r="H188" s="146" t="n"/>
      <c r="I188" s="147" t="n"/>
      <c r="J188" s="145" t="n"/>
      <c r="K188" s="146" t="n"/>
      <c r="L188" s="147" t="n"/>
      <c r="M188" s="145" t="n"/>
      <c r="N188" s="146" t="n"/>
      <c r="O188" s="147" t="n"/>
      <c r="P188" s="145" t="n"/>
      <c r="Q188" s="146" t="n"/>
      <c r="R188" s="147" t="n"/>
      <c r="S188" s="145" t="n"/>
      <c r="T188" s="146" t="n"/>
      <c r="U188" s="147" t="n"/>
      <c r="V188" s="145" t="n"/>
      <c r="W188" s="146" t="n"/>
      <c r="X188" s="147" t="n"/>
      <c r="Y188" s="145" t="n"/>
      <c r="Z188" s="146" t="n"/>
      <c r="AA188" s="147" t="n"/>
      <c r="AB188" s="148" t="inlineStr">
        <is>
          <t>560-1091-26, (01.09.2026) [IJZ-MB]</t>
        </is>
      </c>
      <c r="AC188" s="146" t="n"/>
      <c r="AD188" s="146" t="n"/>
      <c r="AE188" s="146" t="n"/>
      <c r="AF188" s="146" t="n"/>
      <c r="AG188" s="147" t="n"/>
      <c r="AH188" s="145" t="n"/>
      <c r="AI188" s="146" t="n"/>
      <c r="AJ188" s="146" t="n"/>
      <c r="AK188" s="147" t="n"/>
      <c r="AL188" s="145" t="n"/>
      <c r="AM188" s="146" t="n"/>
      <c r="AN188" s="146" t="n"/>
      <c r="AO188" s="146" t="n"/>
      <c r="AP188" s="147" t="n"/>
      <c r="AQ188" s="145" t="n"/>
      <c r="AR188" s="146" t="n"/>
      <c r="AS188" s="147" t="n"/>
    </row>
    <row r="189" ht="21" customHeight="1" s="70">
      <c r="A189" s="125" t="inlineStr">
        <is>
          <t>GP052501</t>
        </is>
      </c>
      <c r="B189" s="126" t="inlineStr">
        <is>
          <t>P050152</t>
        </is>
      </c>
      <c r="C189" s="155" t="inlineStr">
        <is>
          <t>✓ COMPLETE
2 testing instances
• 2 document(s) on file, not credited
✗ OUT OF SPECIFICATION: #9 TYMC</t>
        </is>
      </c>
      <c r="D189" s="128" t="inlineStr">
        <is>
          <t>Conforms</t>
        </is>
      </c>
      <c r="E189" s="129">
        <f>IFERROR(INDEX('iCoA Register'!$B:$B,MATCH("P050152|AB|I",'iCoA Register'!$R:$R,0)),"iCoA — at issue")&amp;", (25.09.2025) [PP]"</f>
        <v/>
      </c>
      <c r="F189" s="130" t="inlineStr">
        <is>
          <t>✓</t>
        </is>
      </c>
      <c r="G189" s="131" t="inlineStr">
        <is>
          <t>not on this certificate</t>
        </is>
      </c>
      <c r="H189" s="132" t="inlineStr">
        <is>
          <t>ППК25279, (19.09.2025) [CNP] · on file, not credited</t>
        </is>
      </c>
      <c r="I189" s="133" t="inlineStr">
        <is>
          <t>•</t>
        </is>
      </c>
      <c r="J189" s="128" t="inlineStr">
        <is>
          <t>Conforms (ImB spec.)</t>
        </is>
      </c>
      <c r="K189" s="129" t="inlineStr">
        <is>
          <t>ППК25279, (19.09.2025) [CNP]</t>
        </is>
      </c>
      <c r="L189" s="130" t="inlineStr">
        <is>
          <t>✓</t>
        </is>
      </c>
      <c r="M189" s="128" t="inlineStr">
        <is>
          <t>18.98</t>
        </is>
      </c>
      <c r="N189" s="129" t="inlineStr">
        <is>
          <t>ППК25279, (19.09.2025) [CNP]</t>
        </is>
      </c>
      <c r="O189" s="130" t="inlineStr">
        <is>
          <t>✓</t>
        </is>
      </c>
      <c r="P189" s="128" t="inlineStr">
        <is>
          <t>0.08</t>
        </is>
      </c>
      <c r="Q189" s="129" t="inlineStr">
        <is>
          <t>ППК25279, (19.09.2025) [CNP]</t>
        </is>
      </c>
      <c r="R189" s="130" t="inlineStr">
        <is>
          <t>✓</t>
        </is>
      </c>
      <c r="S189" s="128" t="inlineStr">
        <is>
          <t>0.03 ᴰ</t>
        </is>
      </c>
      <c r="T189" s="129" t="inlineStr">
        <is>
          <t>ППК25279, (19.09.2025) [CNP]</t>
        </is>
      </c>
      <c r="U189" s="130" t="inlineStr">
        <is>
          <t>✓</t>
        </is>
      </c>
      <c r="V189" s="128" t="inlineStr">
        <is>
          <t>Conforms</t>
        </is>
      </c>
      <c r="W189" s="129">
        <f>IFERROR(INDEX('iCoA Register'!$B:$B,MATCH("P050152|FM|I",'iCoA Register'!$R:$R,0)),"iCoA — at issue")&amp;", (25.09.2025) [PP]"</f>
        <v/>
      </c>
      <c r="X189" s="130" t="inlineStr">
        <is>
          <t>✓</t>
        </is>
      </c>
      <c r="Y189" s="128" t="inlineStr">
        <is>
          <t>7.30</t>
        </is>
      </c>
      <c r="Z189" s="129" t="inlineStr">
        <is>
          <t>ППК25279, (19.09.2025) [CNP]</t>
        </is>
      </c>
      <c r="AA189" s="130" t="inlineStr">
        <is>
          <t>✓</t>
        </is>
      </c>
      <c r="AB189" s="128" t="inlineStr">
        <is>
          <t>2.1×10⁴ ᴿ</t>
        </is>
      </c>
      <c r="AC189" s="171" t="inlineStr">
        <is>
          <t>3.6 x 10⁴</t>
        </is>
      </c>
      <c r="AD189" s="134" t="inlineStr">
        <is>
          <t>&lt;10² и &gt;10¹</t>
        </is>
      </c>
      <c r="AE189" s="134" t="inlineStr">
        <is>
          <t>Одговара</t>
        </is>
      </c>
      <c r="AF189" s="134" t="inlineStr">
        <is>
          <t>Одговара</t>
        </is>
      </c>
      <c r="AG189" s="130" t="inlineStr">
        <is>
          <t>✓</t>
        </is>
      </c>
      <c r="AH189" s="128" t="inlineStr">
        <is>
          <t>n.r.</t>
        </is>
      </c>
      <c r="AI189" s="134" t="inlineStr">
        <is>
          <t>&lt;2</t>
        </is>
      </c>
      <c r="AJ189" s="134" t="inlineStr">
        <is>
          <t>n.r.</t>
        </is>
      </c>
      <c r="AK189" s="130" t="inlineStr">
        <is>
          <t>✓</t>
        </is>
      </c>
      <c r="AL189" s="128" t="inlineStr">
        <is>
          <t>0.06</t>
        </is>
      </c>
      <c r="AM189" s="134" t="inlineStr">
        <is>
          <t>н.д.</t>
        </is>
      </c>
      <c r="AN189" s="134" t="inlineStr">
        <is>
          <t>н.д.</t>
        </is>
      </c>
      <c r="AO189" s="134" t="inlineStr">
        <is>
          <t>н.д.</t>
        </is>
      </c>
      <c r="AP189" s="130" t="inlineStr">
        <is>
          <t>✓</t>
        </is>
      </c>
      <c r="AQ189" s="128" t="inlineStr">
        <is>
          <t>≤ LOQ (all 29 compounds)</t>
        </is>
      </c>
      <c r="AR189" s="129" t="inlineStr">
        <is>
          <t>4348-2025, (15.09.2025) [IJZ]</t>
        </is>
      </c>
      <c r="AS189" s="130" t="inlineStr">
        <is>
          <t>✓</t>
        </is>
      </c>
    </row>
    <row r="190" ht="13" customHeight="1" s="70">
      <c r="A190" s="135" t="n"/>
      <c r="D190" s="136" t="n"/>
      <c r="F190" s="137" t="n"/>
      <c r="G190" s="136" t="n"/>
      <c r="I190" s="137" t="n"/>
      <c r="J190" s="136" t="n"/>
      <c r="L190" s="137" t="n"/>
      <c r="M190" s="136" t="n"/>
      <c r="O190" s="137" t="n"/>
      <c r="P190" s="136" t="n"/>
      <c r="R190" s="137" t="n"/>
      <c r="S190" s="136" t="n"/>
      <c r="U190" s="137" t="n"/>
      <c r="V190" s="136" t="n"/>
      <c r="X190" s="137" t="n"/>
      <c r="Y190" s="136" t="n"/>
      <c r="AA190" s="137" t="n"/>
      <c r="AB190" s="138" t="inlineStr">
        <is>
          <t>946-1684-25, (17.09.2025) [IJZ-MB]</t>
        </is>
      </c>
      <c r="AG190" s="137" t="n"/>
      <c r="AH190" s="138" t="inlineStr">
        <is>
          <t>4348-2025, (15.09.2025) [IJZ]</t>
        </is>
      </c>
      <c r="AK190" s="137" t="n"/>
      <c r="AL190" s="138" t="inlineStr">
        <is>
          <t>4348-2025, (15.09.2025) [IJZ]</t>
        </is>
      </c>
      <c r="AP190" s="137" t="n"/>
      <c r="AQ190" s="136" t="n"/>
      <c r="AS190" s="137" t="n"/>
    </row>
    <row r="191" ht="14" customHeight="1" s="70">
      <c r="A191" s="139" t="n"/>
      <c r="B191" s="140" t="n"/>
      <c r="D191" s="141" t="n"/>
      <c r="E191" s="140" t="n"/>
      <c r="F191" s="142" t="n"/>
      <c r="G191" s="128" t="inlineStr">
        <is>
          <t>Conforms</t>
        </is>
      </c>
      <c r="H191" s="129">
        <f>IFERROR(INDEX('iCoA Register'!$B:$B,MATCH("P050152|AB|I",'iCoA Register'!$R:$R,0)),"iCoA — at issue")&amp;", (25.09.2025) [PP]"</f>
        <v/>
      </c>
      <c r="I191" s="130" t="inlineStr">
        <is>
          <t>✓</t>
        </is>
      </c>
      <c r="J191" s="128" t="inlineStr">
        <is>
          <t>Conforms (ImB spec.) ᴿ</t>
        </is>
      </c>
      <c r="K191" s="129" t="inlineStr">
        <is>
          <t>197-10-K-26, (07.08.2026) [FHM-K]</t>
        </is>
      </c>
      <c r="L191" s="130" t="inlineStr">
        <is>
          <t>✓</t>
        </is>
      </c>
      <c r="M191" s="128" t="inlineStr">
        <is>
          <t>18.52</t>
        </is>
      </c>
      <c r="N191" s="129" t="inlineStr">
        <is>
          <t>197-10-K-26, (07.08.2026) [FHM-K]</t>
        </is>
      </c>
      <c r="O191" s="130" t="inlineStr">
        <is>
          <t>✓</t>
        </is>
      </c>
      <c r="P191" s="128" t="inlineStr">
        <is>
          <t>&lt; LOQ</t>
        </is>
      </c>
      <c r="Q191" s="129" t="inlineStr">
        <is>
          <t>197-10-K-26, (07.08.2026) [FHM-K]</t>
        </is>
      </c>
      <c r="R191" s="130" t="inlineStr">
        <is>
          <t>✓</t>
        </is>
      </c>
      <c r="S191" s="128" t="inlineStr">
        <is>
          <t>&lt; LOQ</t>
        </is>
      </c>
      <c r="T191" s="129" t="inlineStr">
        <is>
          <t>197-10-K-26, (07.08.2026) [FHM-K]</t>
        </is>
      </c>
      <c r="U191" s="130" t="inlineStr">
        <is>
          <t>✓</t>
        </is>
      </c>
      <c r="V191" s="141" t="n"/>
      <c r="W191" s="140" t="n"/>
      <c r="X191" s="142" t="n"/>
      <c r="Y191" s="131" t="inlineStr">
        <is>
          <t>not on this certificate</t>
        </is>
      </c>
      <c r="Z191" s="132" t="inlineStr">
        <is>
          <t>197-10-K-26, (07.08.2026) [FHM-K] · on file, not credited</t>
        </is>
      </c>
      <c r="AA191" s="133" t="inlineStr">
        <is>
          <t>•</t>
        </is>
      </c>
      <c r="AB191" s="141" t="n"/>
      <c r="AC191" s="140" t="n"/>
      <c r="AD191" s="140" t="n"/>
      <c r="AE191" s="140" t="n"/>
      <c r="AF191" s="140" t="n"/>
      <c r="AG191" s="142" t="n"/>
      <c r="AH191" s="128" t="inlineStr">
        <is>
          <t>ND</t>
        </is>
      </c>
      <c r="AI191" s="134" t="inlineStr">
        <is>
          <t>ND ᴿ</t>
        </is>
      </c>
      <c r="AJ191" s="134" t="inlineStr">
        <is>
          <t>ND</t>
        </is>
      </c>
      <c r="AK191" s="130" t="inlineStr">
        <is>
          <t>✓</t>
        </is>
      </c>
      <c r="AL191" s="141" t="n"/>
      <c r="AM191" s="140" t="n"/>
      <c r="AN191" s="140" t="n"/>
      <c r="AO191" s="140" t="n"/>
      <c r="AP191" s="142" t="n"/>
      <c r="AQ191" s="141" t="n"/>
      <c r="AR191" s="140" t="n"/>
      <c r="AS191" s="142" t="n"/>
    </row>
    <row r="192" ht="21" customHeight="1" s="70">
      <c r="A192" s="143" t="n"/>
      <c r="B192" s="144" t="n"/>
      <c r="C192" s="144" t="n"/>
      <c r="D192" s="145" t="n"/>
      <c r="E192" s="146" t="n"/>
      <c r="F192" s="147" t="n"/>
      <c r="G192" s="145" t="n"/>
      <c r="H192" s="146" t="n"/>
      <c r="I192" s="147" t="n"/>
      <c r="J192" s="145" t="n"/>
      <c r="K192" s="146" t="n"/>
      <c r="L192" s="147" t="n"/>
      <c r="M192" s="145" t="n"/>
      <c r="N192" s="146" t="n"/>
      <c r="O192" s="147" t="n"/>
      <c r="P192" s="145" t="n"/>
      <c r="Q192" s="146" t="n"/>
      <c r="R192" s="147" t="n"/>
      <c r="S192" s="145" t="n"/>
      <c r="T192" s="146" t="n"/>
      <c r="U192" s="147" t="n"/>
      <c r="V192" s="145" t="n"/>
      <c r="W192" s="146" t="n"/>
      <c r="X192" s="147" t="n"/>
      <c r="Y192" s="145" t="n"/>
      <c r="Z192" s="146" t="n"/>
      <c r="AA192" s="147" t="n"/>
      <c r="AB192" s="145" t="n"/>
      <c r="AC192" s="146" t="n"/>
      <c r="AD192" s="146" t="n"/>
      <c r="AE192" s="146" t="n"/>
      <c r="AF192" s="146" t="n"/>
      <c r="AG192" s="147" t="n"/>
      <c r="AH192" s="148" t="inlineStr">
        <is>
          <t>197-10-M-26, (10.08.2026) [FHM-M]</t>
        </is>
      </c>
      <c r="AI192" s="146" t="n"/>
      <c r="AJ192" s="146" t="n"/>
      <c r="AK192" s="147" t="n"/>
      <c r="AL192" s="145" t="n"/>
      <c r="AM192" s="146" t="n"/>
      <c r="AN192" s="146" t="n"/>
      <c r="AO192" s="146" t="n"/>
      <c r="AP192" s="147" t="n"/>
      <c r="AQ192" s="145" t="n"/>
      <c r="AR192" s="146" t="n"/>
      <c r="AS192" s="147" t="n"/>
    </row>
    <row r="193" ht="21" customHeight="1" s="70">
      <c r="A193" s="125" t="inlineStr">
        <is>
          <t>CJ052501/01</t>
        </is>
      </c>
      <c r="B193" s="126" t="inlineStr">
        <is>
          <t>P050162</t>
        </is>
      </c>
      <c r="C193" s="149" t="inlineStr">
        <is>
          <t>✓ COMPLETE
2 testing instances
• 2 document(s) on file, not credited
◐ UNDETERMINED (Ph. Eur. band): #9 TYMC</t>
        </is>
      </c>
      <c r="D193" s="128" t="inlineStr">
        <is>
          <t>Conforms</t>
        </is>
      </c>
      <c r="E193" s="129">
        <f>IFERROR(INDEX('iCoA Register'!$B:$B,MATCH("P050162|AB|I",'iCoA Register'!$R:$R,0)),"iCoA — at issue")&amp;", (30.09.2025) [PP]"</f>
        <v/>
      </c>
      <c r="F193" s="130" t="inlineStr">
        <is>
          <t>✓</t>
        </is>
      </c>
      <c r="G193" s="131" t="inlineStr">
        <is>
          <t>not on this certificate</t>
        </is>
      </c>
      <c r="H193" s="132" t="inlineStr">
        <is>
          <t>ППК25280, (17.09.2025) [CNP] · on file, not credited</t>
        </is>
      </c>
      <c r="I193" s="133" t="inlineStr">
        <is>
          <t>•</t>
        </is>
      </c>
      <c r="J193" s="128" t="inlineStr">
        <is>
          <t>Conforms (ImB spec.)</t>
        </is>
      </c>
      <c r="K193" s="129" t="inlineStr">
        <is>
          <t>ППК25280, (17.09.2025) [CNP]</t>
        </is>
      </c>
      <c r="L193" s="130" t="inlineStr">
        <is>
          <t>✓</t>
        </is>
      </c>
      <c r="M193" s="128" t="inlineStr">
        <is>
          <t>20.29</t>
        </is>
      </c>
      <c r="N193" s="129" t="inlineStr">
        <is>
          <t>ППК25280, (17.09.2025) [CNP]</t>
        </is>
      </c>
      <c r="O193" s="130" t="inlineStr">
        <is>
          <t>✓</t>
        </is>
      </c>
      <c r="P193" s="128" t="inlineStr">
        <is>
          <t>0.07</t>
        </is>
      </c>
      <c r="Q193" s="129" t="inlineStr">
        <is>
          <t>ППК25280, (17.09.2025) [CNP]</t>
        </is>
      </c>
      <c r="R193" s="130" t="inlineStr">
        <is>
          <t>✓</t>
        </is>
      </c>
      <c r="S193" s="128" t="inlineStr">
        <is>
          <t>0.02 ᴰ</t>
        </is>
      </c>
      <c r="T193" s="129" t="inlineStr">
        <is>
          <t>ППК25280, (17.09.2025) [CNP]</t>
        </is>
      </c>
      <c r="U193" s="130" t="inlineStr">
        <is>
          <t>✓</t>
        </is>
      </c>
      <c r="V193" s="128" t="inlineStr">
        <is>
          <t>Conforms</t>
        </is>
      </c>
      <c r="W193" s="129">
        <f>IFERROR(INDEX('iCoA Register'!$B:$B,MATCH("P050162|FM|I",'iCoA Register'!$R:$R,0)),"iCoA — at issue")&amp;", (30.09.2025) [PP]"</f>
        <v/>
      </c>
      <c r="X193" s="130" t="inlineStr">
        <is>
          <t>✓</t>
        </is>
      </c>
      <c r="Y193" s="128" t="inlineStr">
        <is>
          <t>7.93</t>
        </is>
      </c>
      <c r="Z193" s="129" t="inlineStr">
        <is>
          <t>ППК25280, (17.09.2025) [CNP]</t>
        </is>
      </c>
      <c r="AA193" s="130" t="inlineStr">
        <is>
          <t>✓</t>
        </is>
      </c>
      <c r="AB193" s="128" t="inlineStr">
        <is>
          <t>2.8×10⁴</t>
        </is>
      </c>
      <c r="AC193" s="166" t="inlineStr">
        <is>
          <t>1.7×10⁴</t>
        </is>
      </c>
      <c r="AD193" s="134" t="inlineStr">
        <is>
          <t>&lt;10³ and &gt;10² ᴿ</t>
        </is>
      </c>
      <c r="AE193" s="134" t="inlineStr">
        <is>
          <t>Одговара</t>
        </is>
      </c>
      <c r="AF193" s="134" t="inlineStr">
        <is>
          <t>Одговара</t>
        </is>
      </c>
      <c r="AG193" s="130" t="inlineStr">
        <is>
          <t>✓</t>
        </is>
      </c>
      <c r="AH193" s="128" t="inlineStr">
        <is>
          <t>n.r.</t>
        </is>
      </c>
      <c r="AI193" s="134" t="inlineStr">
        <is>
          <t>&lt;2</t>
        </is>
      </c>
      <c r="AJ193" s="134" t="inlineStr">
        <is>
          <t>n.r.</t>
        </is>
      </c>
      <c r="AK193" s="130" t="inlineStr">
        <is>
          <t>✓</t>
        </is>
      </c>
      <c r="AL193" s="128" t="inlineStr">
        <is>
          <t>0.085</t>
        </is>
      </c>
      <c r="AM193" s="134" t="inlineStr">
        <is>
          <t>Н.Д.</t>
        </is>
      </c>
      <c r="AN193" s="134" t="inlineStr">
        <is>
          <t>Н.Д.</t>
        </is>
      </c>
      <c r="AO193" s="134" t="inlineStr">
        <is>
          <t>Н.Д.</t>
        </is>
      </c>
      <c r="AP193" s="130" t="inlineStr">
        <is>
          <t>✓</t>
        </is>
      </c>
      <c r="AQ193" s="128" t="inlineStr">
        <is>
          <t>≤ LOQ (all 24 compounds)</t>
        </is>
      </c>
      <c r="AR193" s="129" t="inlineStr">
        <is>
          <t>4350-2025, (15.09.2025) [IJZ]</t>
        </is>
      </c>
      <c r="AS193" s="130" t="inlineStr">
        <is>
          <t>✓</t>
        </is>
      </c>
    </row>
    <row r="194" ht="13" customHeight="1" s="70">
      <c r="A194" s="135" t="n"/>
      <c r="D194" s="136" t="n"/>
      <c r="F194" s="137" t="n"/>
      <c r="G194" s="136" t="n"/>
      <c r="I194" s="137" t="n"/>
      <c r="J194" s="136" t="n"/>
      <c r="L194" s="137" t="n"/>
      <c r="M194" s="136" t="n"/>
      <c r="O194" s="137" t="n"/>
      <c r="P194" s="136" t="n"/>
      <c r="R194" s="137" t="n"/>
      <c r="S194" s="136" t="n"/>
      <c r="U194" s="137" t="n"/>
      <c r="V194" s="136" t="n"/>
      <c r="X194" s="137" t="n"/>
      <c r="Y194" s="136" t="n"/>
      <c r="AA194" s="137" t="n"/>
      <c r="AB194" s="138" t="inlineStr">
        <is>
          <t>949-1687-25, (17.09.2025) [IJZ-MB]</t>
        </is>
      </c>
      <c r="AG194" s="137" t="n"/>
      <c r="AH194" s="138" t="inlineStr">
        <is>
          <t>4350-2025, (15.09.2025) [IJZ]</t>
        </is>
      </c>
      <c r="AK194" s="137" t="n"/>
      <c r="AL194" s="138" t="inlineStr">
        <is>
          <t>4350-2025, (15.09.2025) [IJZ]</t>
        </is>
      </c>
      <c r="AP194" s="137" t="n"/>
      <c r="AQ194" s="136" t="n"/>
      <c r="AS194" s="137" t="n"/>
    </row>
    <row r="195" ht="14" customHeight="1" s="70">
      <c r="A195" s="139" t="n"/>
      <c r="B195" s="140" t="n"/>
      <c r="D195" s="141" t="n"/>
      <c r="E195" s="140" t="n"/>
      <c r="F195" s="142" t="n"/>
      <c r="G195" s="128" t="inlineStr">
        <is>
          <t>Conforms</t>
        </is>
      </c>
      <c r="H195" s="129">
        <f>IFERROR(INDEX('iCoA Register'!$B:$B,MATCH("P050162|AB|I",'iCoA Register'!$R:$R,0)),"iCoA — at issue")&amp;", (30.09.2025) [PP]"</f>
        <v/>
      </c>
      <c r="I195" s="130" t="inlineStr">
        <is>
          <t>✓</t>
        </is>
      </c>
      <c r="J195" s="128" t="inlineStr">
        <is>
          <t>Conforms (ImB spec.) ᴿ</t>
        </is>
      </c>
      <c r="K195" s="129" t="inlineStr">
        <is>
          <t>197-3-K-26, (07.08.2026) [FHM-K]</t>
        </is>
      </c>
      <c r="L195" s="130" t="inlineStr">
        <is>
          <t>✓</t>
        </is>
      </c>
      <c r="M195" s="128" t="inlineStr">
        <is>
          <t>24.05</t>
        </is>
      </c>
      <c r="N195" s="129" t="inlineStr">
        <is>
          <t>197-3-K-26, (07.08.2026) [FHM-K]</t>
        </is>
      </c>
      <c r="O195" s="130" t="inlineStr">
        <is>
          <t>✓</t>
        </is>
      </c>
      <c r="P195" s="128" t="inlineStr">
        <is>
          <t>&lt; LOQ</t>
        </is>
      </c>
      <c r="Q195" s="129" t="inlineStr">
        <is>
          <t>197-3-K-26, (07.08.2026) [FHM-K]</t>
        </is>
      </c>
      <c r="R195" s="130" t="inlineStr">
        <is>
          <t>✓</t>
        </is>
      </c>
      <c r="S195" s="128" t="inlineStr">
        <is>
          <t>&lt; LOQ</t>
        </is>
      </c>
      <c r="T195" s="129" t="inlineStr">
        <is>
          <t>197-3-K-26, (07.08.2026) [FHM-K]</t>
        </is>
      </c>
      <c r="U195" s="130" t="inlineStr">
        <is>
          <t>✓</t>
        </is>
      </c>
      <c r="V195" s="141" t="n"/>
      <c r="W195" s="140" t="n"/>
      <c r="X195" s="142" t="n"/>
      <c r="Y195" s="131" t="inlineStr">
        <is>
          <t>not on this certificate</t>
        </is>
      </c>
      <c r="Z195" s="132" t="inlineStr">
        <is>
          <t>197-3-K-26, (07.08.2026) [FHM-K] · on file, not credited</t>
        </is>
      </c>
      <c r="AA195" s="133" t="inlineStr">
        <is>
          <t>•</t>
        </is>
      </c>
      <c r="AB195" s="141" t="n"/>
      <c r="AC195" s="140" t="n"/>
      <c r="AD195" s="140" t="n"/>
      <c r="AE195" s="140" t="n"/>
      <c r="AF195" s="140" t="n"/>
      <c r="AG195" s="142" t="n"/>
      <c r="AH195" s="128" t="inlineStr">
        <is>
          <t>ND</t>
        </is>
      </c>
      <c r="AI195" s="134" t="inlineStr">
        <is>
          <t>ND ᴿ</t>
        </is>
      </c>
      <c r="AJ195" s="134" t="inlineStr">
        <is>
          <t>ND</t>
        </is>
      </c>
      <c r="AK195" s="130" t="inlineStr">
        <is>
          <t>✓</t>
        </is>
      </c>
      <c r="AL195" s="141" t="n"/>
      <c r="AM195" s="140" t="n"/>
      <c r="AN195" s="140" t="n"/>
      <c r="AO195" s="140" t="n"/>
      <c r="AP195" s="142" t="n"/>
      <c r="AQ195" s="141" t="n"/>
      <c r="AR195" s="140" t="n"/>
      <c r="AS195" s="142" t="n"/>
    </row>
    <row r="196" ht="21" customHeight="1" s="70">
      <c r="A196" s="143" t="n"/>
      <c r="B196" s="144" t="n"/>
      <c r="C196" s="144" t="n"/>
      <c r="D196" s="145" t="n"/>
      <c r="E196" s="146" t="n"/>
      <c r="F196" s="147" t="n"/>
      <c r="G196" s="145" t="n"/>
      <c r="H196" s="146" t="n"/>
      <c r="I196" s="147" t="n"/>
      <c r="J196" s="145" t="n"/>
      <c r="K196" s="146" t="n"/>
      <c r="L196" s="147" t="n"/>
      <c r="M196" s="145" t="n"/>
      <c r="N196" s="146" t="n"/>
      <c r="O196" s="147" t="n"/>
      <c r="P196" s="145" t="n"/>
      <c r="Q196" s="146" t="n"/>
      <c r="R196" s="147" t="n"/>
      <c r="S196" s="145" t="n"/>
      <c r="T196" s="146" t="n"/>
      <c r="U196" s="147" t="n"/>
      <c r="V196" s="145" t="n"/>
      <c r="W196" s="146" t="n"/>
      <c r="X196" s="147" t="n"/>
      <c r="Y196" s="145" t="n"/>
      <c r="Z196" s="146" t="n"/>
      <c r="AA196" s="147" t="n"/>
      <c r="AB196" s="145" t="n"/>
      <c r="AC196" s="146" t="n"/>
      <c r="AD196" s="146" t="n"/>
      <c r="AE196" s="146" t="n"/>
      <c r="AF196" s="146" t="n"/>
      <c r="AG196" s="147" t="n"/>
      <c r="AH196" s="148" t="inlineStr">
        <is>
          <t>197-3-M-26, (10.08.2026) [FHM-M]</t>
        </is>
      </c>
      <c r="AI196" s="146" t="n"/>
      <c r="AJ196" s="146" t="n"/>
      <c r="AK196" s="147" t="n"/>
      <c r="AL196" s="145" t="n"/>
      <c r="AM196" s="146" t="n"/>
      <c r="AN196" s="146" t="n"/>
      <c r="AO196" s="146" t="n"/>
      <c r="AP196" s="147" t="n"/>
      <c r="AQ196" s="145" t="n"/>
      <c r="AR196" s="146" t="n"/>
      <c r="AS196" s="147" t="n"/>
    </row>
    <row r="197" ht="14" customHeight="1" s="70">
      <c r="A197" s="125" t="inlineStr">
        <is>
          <t>CJ052501/02</t>
        </is>
      </c>
      <c r="B197" s="126" t="inlineStr">
        <is>
          <t>P050172</t>
        </is>
      </c>
      <c r="C197" s="127" t="inlineStr">
        <is>
          <t>✓ COMPLETE
2 testing instances
• 1 document(s) on file, not credited</t>
        </is>
      </c>
      <c r="D197" s="128" t="inlineStr">
        <is>
          <t>Conforms</t>
        </is>
      </c>
      <c r="E197" s="129">
        <f>IFERROR(INDEX('iCoA Register'!$B:$B,MATCH("P050172|AB|I",'iCoA Register'!$R:$R,0)),"iCoA — at issue")&amp;", (01.10.2025) [PP]"</f>
        <v/>
      </c>
      <c r="F197" s="130" t="inlineStr">
        <is>
          <t>✓</t>
        </is>
      </c>
      <c r="G197" s="131" t="inlineStr">
        <is>
          <t>not on this certificate</t>
        </is>
      </c>
      <c r="H197" s="132" t="inlineStr">
        <is>
          <t>ППК25281, (17.09.2025) [CNP] · on file, not credited</t>
        </is>
      </c>
      <c r="I197" s="133" t="inlineStr">
        <is>
          <t>•</t>
        </is>
      </c>
      <c r="J197" s="128" t="inlineStr">
        <is>
          <t>Conforms (ImB spec.)</t>
        </is>
      </c>
      <c r="K197" s="129" t="inlineStr">
        <is>
          <t>ППК25281, (17.09.2025) [CNP]</t>
        </is>
      </c>
      <c r="L197" s="130" t="inlineStr">
        <is>
          <t>✓</t>
        </is>
      </c>
      <c r="M197" s="128" t="inlineStr">
        <is>
          <t>14.93</t>
        </is>
      </c>
      <c r="N197" s="129" t="inlineStr">
        <is>
          <t>ППК25281, (17.09.2025) [CNP]</t>
        </is>
      </c>
      <c r="O197" s="130" t="inlineStr">
        <is>
          <t>✓</t>
        </is>
      </c>
      <c r="P197" s="128" t="inlineStr">
        <is>
          <t>0.10</t>
        </is>
      </c>
      <c r="Q197" s="129" t="inlineStr">
        <is>
          <t>ППК25281, (17.09.2025) [CNP]</t>
        </is>
      </c>
      <c r="R197" s="130" t="inlineStr">
        <is>
          <t>✓</t>
        </is>
      </c>
      <c r="S197" s="128" t="inlineStr">
        <is>
          <t>0.02 ᴰ</t>
        </is>
      </c>
      <c r="T197" s="129" t="inlineStr">
        <is>
          <t>ППК25281, (17.09.2025) [CNP]</t>
        </is>
      </c>
      <c r="U197" s="130" t="inlineStr">
        <is>
          <t>✓</t>
        </is>
      </c>
      <c r="V197" s="128" t="inlineStr">
        <is>
          <t>Conforms</t>
        </is>
      </c>
      <c r="W197" s="129">
        <f>IFERROR(INDEX('iCoA Register'!$B:$B,MATCH("P050172|FM|I",'iCoA Register'!$R:$R,0)),"iCoA — at issue")&amp;", (01.10.2025) [PP]"</f>
        <v/>
      </c>
      <c r="X197" s="130" t="inlineStr">
        <is>
          <t>✓</t>
        </is>
      </c>
      <c r="Y197" s="128" t="inlineStr">
        <is>
          <t>6.63</t>
        </is>
      </c>
      <c r="Z197" s="129" t="inlineStr">
        <is>
          <t>ППК25281, (17.09.2025) [CNP]</t>
        </is>
      </c>
      <c r="AA197" s="130" t="inlineStr">
        <is>
          <t>✓</t>
        </is>
      </c>
      <c r="AB197" s="128" t="inlineStr">
        <is>
          <t>9 x 10³</t>
        </is>
      </c>
      <c r="AC197" s="134" t="inlineStr">
        <is>
          <t>6.3 x 10³</t>
        </is>
      </c>
      <c r="AD197" s="134" t="inlineStr">
        <is>
          <t>&lt;10</t>
        </is>
      </c>
      <c r="AE197" s="134" t="inlineStr">
        <is>
          <t>Одговара</t>
        </is>
      </c>
      <c r="AF197" s="134" t="inlineStr">
        <is>
          <t>Одговара</t>
        </is>
      </c>
      <c r="AG197" s="130" t="inlineStr">
        <is>
          <t>✓</t>
        </is>
      </c>
      <c r="AH197" s="128" t="inlineStr">
        <is>
          <t>n.r.</t>
        </is>
      </c>
      <c r="AI197" s="134" t="inlineStr">
        <is>
          <t>&lt;2</t>
        </is>
      </c>
      <c r="AJ197" s="134" t="inlineStr">
        <is>
          <t>n.r.</t>
        </is>
      </c>
      <c r="AK197" s="130" t="inlineStr">
        <is>
          <t>✓</t>
        </is>
      </c>
      <c r="AL197" s="128" t="inlineStr">
        <is>
          <t>0.02</t>
        </is>
      </c>
      <c r="AM197" s="134" t="inlineStr">
        <is>
          <t>н.д.</t>
        </is>
      </c>
      <c r="AN197" s="134" t="inlineStr">
        <is>
          <t>0.042</t>
        </is>
      </c>
      <c r="AO197" s="134" t="inlineStr">
        <is>
          <t>н.д.</t>
        </is>
      </c>
      <c r="AP197" s="130" t="inlineStr">
        <is>
          <t>✓</t>
        </is>
      </c>
      <c r="AQ197" s="128" t="inlineStr">
        <is>
          <t>≤ LOQ (all 29 compounds)</t>
        </is>
      </c>
      <c r="AR197" s="129" t="inlineStr">
        <is>
          <t>4349-2025, (15.09.2025) [IJZ]</t>
        </is>
      </c>
      <c r="AS197" s="130" t="inlineStr">
        <is>
          <t>✓</t>
        </is>
      </c>
    </row>
    <row r="198" ht="13" customHeight="1" s="70">
      <c r="A198" s="135" t="n"/>
      <c r="D198" s="136" t="n"/>
      <c r="F198" s="137" t="n"/>
      <c r="G198" s="136" t="n"/>
      <c r="I198" s="137" t="n"/>
      <c r="J198" s="136" t="n"/>
      <c r="L198" s="137" t="n"/>
      <c r="M198" s="136" t="n"/>
      <c r="O198" s="137" t="n"/>
      <c r="P198" s="136" t="n"/>
      <c r="R198" s="137" t="n"/>
      <c r="S198" s="136" t="n"/>
      <c r="U198" s="137" t="n"/>
      <c r="V198" s="136" t="n"/>
      <c r="X198" s="137" t="n"/>
      <c r="Y198" s="136" t="n"/>
      <c r="AA198" s="137" t="n"/>
      <c r="AB198" s="138" t="inlineStr">
        <is>
          <t>947-1685-25, (17.09.2025) [IJZ-MB]</t>
        </is>
      </c>
      <c r="AG198" s="137" t="n"/>
      <c r="AH198" s="138" t="inlineStr">
        <is>
          <t>4349-2025, (15.09.2025) [IJZ]</t>
        </is>
      </c>
      <c r="AK198" s="137" t="n"/>
      <c r="AL198" s="138" t="inlineStr">
        <is>
          <t>4349-2025, (15.09.2025) [IJZ]</t>
        </is>
      </c>
      <c r="AP198" s="137" t="n"/>
      <c r="AQ198" s="136" t="n"/>
      <c r="AS198" s="137" t="n"/>
    </row>
    <row r="199" ht="14" customHeight="1" s="70">
      <c r="A199" s="139" t="n"/>
      <c r="B199" s="140" t="n"/>
      <c r="D199" s="141" t="n"/>
      <c r="E199" s="140" t="n"/>
      <c r="F199" s="142" t="n"/>
      <c r="G199" s="128" t="inlineStr">
        <is>
          <t>Conforms</t>
        </is>
      </c>
      <c r="H199" s="129">
        <f>IFERROR(INDEX('iCoA Register'!$B:$B,MATCH("P050172|AB|I",'iCoA Register'!$R:$R,0)),"iCoA — at issue")&amp;", (01.10.2025) [PP]"</f>
        <v/>
      </c>
      <c r="I199" s="130" t="inlineStr">
        <is>
          <t>✓</t>
        </is>
      </c>
      <c r="J199" s="141" t="n"/>
      <c r="K199" s="140" t="n"/>
      <c r="L199" s="142" t="n"/>
      <c r="M199" s="141" t="n"/>
      <c r="N199" s="140" t="n"/>
      <c r="O199" s="142" t="n"/>
      <c r="P199" s="141" t="n"/>
      <c r="Q199" s="140" t="n"/>
      <c r="R199" s="142" t="n"/>
      <c r="S199" s="141" t="n"/>
      <c r="T199" s="140" t="n"/>
      <c r="U199" s="142" t="n"/>
      <c r="V199" s="141" t="n"/>
      <c r="W199" s="140" t="n"/>
      <c r="X199" s="142" t="n"/>
      <c r="Y199" s="141" t="n"/>
      <c r="Z199" s="140" t="n"/>
      <c r="AA199" s="142" t="n"/>
      <c r="AB199" s="128" t="inlineStr">
        <is>
          <t>&lt;10</t>
        </is>
      </c>
      <c r="AC199" s="134" t="inlineStr">
        <is>
          <t>&lt;10</t>
        </is>
      </c>
      <c r="AD199" s="134" t="inlineStr">
        <is>
          <t>&lt;10</t>
        </is>
      </c>
      <c r="AE199" s="134" t="inlineStr">
        <is>
          <t>absent</t>
        </is>
      </c>
      <c r="AF199" s="134" t="inlineStr">
        <is>
          <t>absent</t>
        </is>
      </c>
      <c r="AG199" s="130" t="inlineStr">
        <is>
          <t>✓</t>
        </is>
      </c>
      <c r="AH199" s="141" t="n"/>
      <c r="AI199" s="140" t="n"/>
      <c r="AJ199" s="140" t="n"/>
      <c r="AK199" s="142" t="n"/>
      <c r="AL199" s="141" t="n"/>
      <c r="AM199" s="140" t="n"/>
      <c r="AN199" s="140" t="n"/>
      <c r="AO199" s="140" t="n"/>
      <c r="AP199" s="142" t="n"/>
      <c r="AQ199" s="141" t="n"/>
      <c r="AR199" s="140" t="n"/>
      <c r="AS199" s="142" t="n"/>
    </row>
    <row r="200" ht="13" customHeight="1" s="70">
      <c r="A200" s="143" t="n"/>
      <c r="B200" s="144" t="n"/>
      <c r="C200" s="144" t="n"/>
      <c r="D200" s="145" t="n"/>
      <c r="E200" s="146" t="n"/>
      <c r="F200" s="147" t="n"/>
      <c r="G200" s="145" t="n"/>
      <c r="H200" s="146" t="n"/>
      <c r="I200" s="147" t="n"/>
      <c r="J200" s="145" t="n"/>
      <c r="K200" s="146" t="n"/>
      <c r="L200" s="147" t="n"/>
      <c r="M200" s="145" t="n"/>
      <c r="N200" s="146" t="n"/>
      <c r="O200" s="147" t="n"/>
      <c r="P200" s="145" t="n"/>
      <c r="Q200" s="146" t="n"/>
      <c r="R200" s="147" t="n"/>
      <c r="S200" s="145" t="n"/>
      <c r="T200" s="146" t="n"/>
      <c r="U200" s="147" t="n"/>
      <c r="V200" s="145" t="n"/>
      <c r="W200" s="146" t="n"/>
      <c r="X200" s="147" t="n"/>
      <c r="Y200" s="145" t="n"/>
      <c r="Z200" s="146" t="n"/>
      <c r="AA200" s="147" t="n"/>
      <c r="AB200" s="148" t="inlineStr">
        <is>
          <t>558-1089-26, (01.09.2026) [IJZ-MB]</t>
        </is>
      </c>
      <c r="AC200" s="146" t="n"/>
      <c r="AD200" s="146" t="n"/>
      <c r="AE200" s="146" t="n"/>
      <c r="AF200" s="146" t="n"/>
      <c r="AG200" s="147" t="n"/>
      <c r="AH200" s="145" t="n"/>
      <c r="AI200" s="146" t="n"/>
      <c r="AJ200" s="146" t="n"/>
      <c r="AK200" s="147" t="n"/>
      <c r="AL200" s="145" t="n"/>
      <c r="AM200" s="146" t="n"/>
      <c r="AN200" s="146" t="n"/>
      <c r="AO200" s="146" t="n"/>
      <c r="AP200" s="147" t="n"/>
      <c r="AQ200" s="145" t="n"/>
      <c r="AR200" s="146" t="n"/>
      <c r="AS200" s="147" t="n"/>
    </row>
    <row r="201" ht="14" customHeight="1" s="70">
      <c r="A201" s="125" t="inlineStr">
        <is>
          <t>HPA052501</t>
        </is>
      </c>
      <c r="B201" s="126" t="inlineStr">
        <is>
          <t>P050182</t>
        </is>
      </c>
      <c r="C201" s="155" t="inlineStr">
        <is>
          <t>✓ COMPLETE
2 testing instances
• 1 document(s) on file, not credited
✗ OUT OF SPECIFICATION: #9 TYMC</t>
        </is>
      </c>
      <c r="D201" s="128" t="inlineStr">
        <is>
          <t>Conforms</t>
        </is>
      </c>
      <c r="E201" s="129">
        <f>IFERROR(INDEX('iCoA Register'!$B:$B,MATCH("P050182|AB|I",'iCoA Register'!$R:$R,0)),"iCoA — at issue")&amp;", (03.10.2025) [PP]"</f>
        <v/>
      </c>
      <c r="F201" s="130" t="inlineStr">
        <is>
          <t>✓</t>
        </is>
      </c>
      <c r="G201" s="131" t="inlineStr">
        <is>
          <t>not on this certificate</t>
        </is>
      </c>
      <c r="H201" s="132" t="inlineStr">
        <is>
          <t>ППК25278, (19.09.2025) [CNP] · on file, not credited</t>
        </is>
      </c>
      <c r="I201" s="133" t="inlineStr">
        <is>
          <t>•</t>
        </is>
      </c>
      <c r="J201" s="128" t="inlineStr">
        <is>
          <t>Conforms (ImB spec.)</t>
        </is>
      </c>
      <c r="K201" s="129" t="inlineStr">
        <is>
          <t>ППК25278, (19.09.2025) [CNP]</t>
        </is>
      </c>
      <c r="L201" s="130" t="inlineStr">
        <is>
          <t>✓</t>
        </is>
      </c>
      <c r="M201" s="128" t="inlineStr">
        <is>
          <t>20.39</t>
        </is>
      </c>
      <c r="N201" s="129" t="inlineStr">
        <is>
          <t>ППК25278, (19.09.2025) [CNP]</t>
        </is>
      </c>
      <c r="O201" s="130" t="inlineStr">
        <is>
          <t>✓</t>
        </is>
      </c>
      <c r="P201" s="128" t="inlineStr">
        <is>
          <t>0.09</t>
        </is>
      </c>
      <c r="Q201" s="129" t="inlineStr">
        <is>
          <t>ППК25278, (19.09.2025) [CNP]</t>
        </is>
      </c>
      <c r="R201" s="130" t="inlineStr">
        <is>
          <t>✓</t>
        </is>
      </c>
      <c r="S201" s="128" t="inlineStr">
        <is>
          <t>0.02 ᴰ</t>
        </is>
      </c>
      <c r="T201" s="129" t="inlineStr">
        <is>
          <t>ППК25278, (19.09.2025) [CNP]</t>
        </is>
      </c>
      <c r="U201" s="130" t="inlineStr">
        <is>
          <t>✓</t>
        </is>
      </c>
      <c r="V201" s="128" t="inlineStr">
        <is>
          <t>Conforms</t>
        </is>
      </c>
      <c r="W201" s="129">
        <f>IFERROR(INDEX('iCoA Register'!$B:$B,MATCH("P050182|FM|I",'iCoA Register'!$R:$R,0)),"iCoA — at issue")&amp;", (03.10.2025) [PP]"</f>
        <v/>
      </c>
      <c r="X201" s="130" t="inlineStr">
        <is>
          <t>✓</t>
        </is>
      </c>
      <c r="Y201" s="128" t="inlineStr">
        <is>
          <t>7.29</t>
        </is>
      </c>
      <c r="Z201" s="129" t="inlineStr">
        <is>
          <t>ППК25278, (19.09.2025) [CNP]</t>
        </is>
      </c>
      <c r="AA201" s="130" t="inlineStr">
        <is>
          <t>✓</t>
        </is>
      </c>
      <c r="AB201" s="128" t="inlineStr">
        <is>
          <t>2.7 x 10⁴</t>
        </is>
      </c>
      <c r="AC201" s="171" t="inlineStr">
        <is>
          <t>2.6 x 10⁴</t>
        </is>
      </c>
      <c r="AD201" s="134" t="inlineStr">
        <is>
          <t>&lt;10</t>
        </is>
      </c>
      <c r="AE201" s="134" t="inlineStr">
        <is>
          <t>Одговара</t>
        </is>
      </c>
      <c r="AF201" s="134" t="inlineStr">
        <is>
          <t>Одговара</t>
        </is>
      </c>
      <c r="AG201" s="130" t="inlineStr">
        <is>
          <t>✓</t>
        </is>
      </c>
      <c r="AH201" s="128" t="inlineStr">
        <is>
          <t>n.r.</t>
        </is>
      </c>
      <c r="AI201" s="134" t="inlineStr">
        <is>
          <t>&lt;2</t>
        </is>
      </c>
      <c r="AJ201" s="134" t="inlineStr">
        <is>
          <t>n.r.</t>
        </is>
      </c>
      <c r="AK201" s="130" t="inlineStr">
        <is>
          <t>✓</t>
        </is>
      </c>
      <c r="AL201" s="128" t="inlineStr">
        <is>
          <t>0.034</t>
        </is>
      </c>
      <c r="AM201" s="134" t="inlineStr">
        <is>
          <t>н.д.</t>
        </is>
      </c>
      <c r="AN201" s="134" t="inlineStr">
        <is>
          <t>н.д.</t>
        </is>
      </c>
      <c r="AO201" s="134" t="inlineStr">
        <is>
          <t>н.д.</t>
        </is>
      </c>
      <c r="AP201" s="130" t="inlineStr">
        <is>
          <t>✓</t>
        </is>
      </c>
      <c r="AQ201" s="128" t="inlineStr">
        <is>
          <t>≤ LOQ (all 24 compounds)</t>
        </is>
      </c>
      <c r="AR201" s="129" t="inlineStr">
        <is>
          <t>4352-2025, (15.09.2025) [IJZ]</t>
        </is>
      </c>
      <c r="AS201" s="130" t="inlineStr">
        <is>
          <t>✓</t>
        </is>
      </c>
    </row>
    <row r="202" ht="13" customHeight="1" s="70">
      <c r="A202" s="135" t="n"/>
      <c r="D202" s="136" t="n"/>
      <c r="F202" s="137" t="n"/>
      <c r="G202" s="136" t="n"/>
      <c r="I202" s="137" t="n"/>
      <c r="J202" s="136" t="n"/>
      <c r="L202" s="137" t="n"/>
      <c r="M202" s="136" t="n"/>
      <c r="O202" s="137" t="n"/>
      <c r="P202" s="136" t="n"/>
      <c r="R202" s="137" t="n"/>
      <c r="S202" s="136" t="n"/>
      <c r="U202" s="137" t="n"/>
      <c r="V202" s="136" t="n"/>
      <c r="X202" s="137" t="n"/>
      <c r="Y202" s="136" t="n"/>
      <c r="AA202" s="137" t="n"/>
      <c r="AB202" s="138" t="inlineStr">
        <is>
          <t>948-1686-25, (17.09.2025) [IJZ-MB]</t>
        </is>
      </c>
      <c r="AG202" s="137" t="n"/>
      <c r="AH202" s="138" t="inlineStr">
        <is>
          <t>4352-2025, (15.09.2025) [IJZ]</t>
        </is>
      </c>
      <c r="AK202" s="137" t="n"/>
      <c r="AL202" s="138" t="inlineStr">
        <is>
          <t>4352-2025, (15.09.2025) [IJZ]</t>
        </is>
      </c>
      <c r="AP202" s="137" t="n"/>
      <c r="AQ202" s="136" t="n"/>
      <c r="AS202" s="137" t="n"/>
    </row>
    <row r="203" ht="14" customHeight="1" s="70">
      <c r="A203" s="139" t="n"/>
      <c r="B203" s="140" t="n"/>
      <c r="D203" s="141" t="n"/>
      <c r="E203" s="140" t="n"/>
      <c r="F203" s="142" t="n"/>
      <c r="G203" s="128" t="inlineStr">
        <is>
          <t>Conforms</t>
        </is>
      </c>
      <c r="H203" s="129">
        <f>IFERROR(INDEX('iCoA Register'!$B:$B,MATCH("P050182|AB|I",'iCoA Register'!$R:$R,0)),"iCoA — at issue")&amp;", (03.10.2025) [PP]"</f>
        <v/>
      </c>
      <c r="I203" s="130" t="inlineStr">
        <is>
          <t>✓</t>
        </is>
      </c>
      <c r="J203" s="141" t="n"/>
      <c r="K203" s="140" t="n"/>
      <c r="L203" s="142" t="n"/>
      <c r="M203" s="141" t="n"/>
      <c r="N203" s="140" t="n"/>
      <c r="O203" s="142" t="n"/>
      <c r="P203" s="141" t="n"/>
      <c r="Q203" s="140" t="n"/>
      <c r="R203" s="142" t="n"/>
      <c r="S203" s="141" t="n"/>
      <c r="T203" s="140" t="n"/>
      <c r="U203" s="142" t="n"/>
      <c r="V203" s="141" t="n"/>
      <c r="W203" s="140" t="n"/>
      <c r="X203" s="142" t="n"/>
      <c r="Y203" s="141" t="n"/>
      <c r="Z203" s="140" t="n"/>
      <c r="AA203" s="142" t="n"/>
      <c r="AB203" s="141" t="n"/>
      <c r="AC203" s="140" t="n"/>
      <c r="AD203" s="140" t="n"/>
      <c r="AE203" s="140" t="n"/>
      <c r="AF203" s="140" t="n"/>
      <c r="AG203" s="142" t="n"/>
      <c r="AH203" s="141" t="n"/>
      <c r="AI203" s="140" t="n"/>
      <c r="AJ203" s="140" t="n"/>
      <c r="AK203" s="142" t="n"/>
      <c r="AL203" s="141" t="n"/>
      <c r="AM203" s="140" t="n"/>
      <c r="AN203" s="140" t="n"/>
      <c r="AO203" s="140" t="n"/>
      <c r="AP203" s="142" t="n"/>
      <c r="AQ203" s="141" t="n"/>
      <c r="AR203" s="140" t="n"/>
      <c r="AS203" s="142" t="n"/>
    </row>
    <row r="204" ht="13" customHeight="1" s="70">
      <c r="A204" s="143" t="n"/>
      <c r="B204" s="144" t="n"/>
      <c r="C204" s="144" t="n"/>
      <c r="D204" s="145" t="n"/>
      <c r="E204" s="146" t="n"/>
      <c r="F204" s="147" t="n"/>
      <c r="G204" s="145" t="n"/>
      <c r="H204" s="146" t="n"/>
      <c r="I204" s="147" t="n"/>
      <c r="J204" s="145" t="n"/>
      <c r="K204" s="146" t="n"/>
      <c r="L204" s="147" t="n"/>
      <c r="M204" s="145" t="n"/>
      <c r="N204" s="146" t="n"/>
      <c r="O204" s="147" t="n"/>
      <c r="P204" s="145" t="n"/>
      <c r="Q204" s="146" t="n"/>
      <c r="R204" s="147" t="n"/>
      <c r="S204" s="145" t="n"/>
      <c r="T204" s="146" t="n"/>
      <c r="U204" s="147" t="n"/>
      <c r="V204" s="145" t="n"/>
      <c r="W204" s="146" t="n"/>
      <c r="X204" s="147" t="n"/>
      <c r="Y204" s="145" t="n"/>
      <c r="Z204" s="146" t="n"/>
      <c r="AA204" s="147" t="n"/>
      <c r="AB204" s="145" t="n"/>
      <c r="AC204" s="146" t="n"/>
      <c r="AD204" s="146" t="n"/>
      <c r="AE204" s="146" t="n"/>
      <c r="AF204" s="146" t="n"/>
      <c r="AG204" s="147" t="n"/>
      <c r="AH204" s="145" t="n"/>
      <c r="AI204" s="146" t="n"/>
      <c r="AJ204" s="146" t="n"/>
      <c r="AK204" s="147" t="n"/>
      <c r="AL204" s="145" t="n"/>
      <c r="AM204" s="146" t="n"/>
      <c r="AN204" s="146" t="n"/>
      <c r="AO204" s="146" t="n"/>
      <c r="AP204" s="147" t="n"/>
      <c r="AQ204" s="145" t="n"/>
      <c r="AR204" s="146" t="n"/>
      <c r="AS204" s="147" t="n"/>
    </row>
    <row r="205" ht="30" customHeight="1" s="70">
      <c r="A205" s="125" t="inlineStr">
        <is>
          <t>BSS052501</t>
        </is>
      </c>
      <c r="B205" s="126" t="inlineStr">
        <is>
          <t>P050192</t>
        </is>
      </c>
      <c r="C205" s="149" t="inlineStr">
        <is>
          <t>⚠ 2 NO RESULT
(0 no cert / 2 cert w/o result)
3 testing instances</t>
        </is>
      </c>
      <c r="D205" s="128" t="inlineStr">
        <is>
          <t>Conforms</t>
        </is>
      </c>
      <c r="E205" s="129">
        <f>IFERROR(INDEX('iCoA Register'!$B:$B,MATCH("P050192|AB|I",'iCoA Register'!$R:$R,0)),"iCoA — at issue")&amp;", (10.10.2025) [PP]"</f>
        <v/>
      </c>
      <c r="F205" s="130" t="inlineStr">
        <is>
          <t>✓</t>
        </is>
      </c>
      <c r="G205" s="128" t="inlineStr">
        <is>
          <t>Conforms</t>
        </is>
      </c>
      <c r="H205" s="129">
        <f>IFERROR(INDEX('iCoA Register'!$B:$B,MATCH("P050192|AB|I",'iCoA Register'!$R:$R,0)),"iCoA — at issue")&amp;", (10.10.2025) [PP]"</f>
        <v/>
      </c>
      <c r="I205" s="130" t="inlineStr">
        <is>
          <t>✓</t>
        </is>
      </c>
      <c r="J205" s="128" t="inlineStr">
        <is>
          <t>Conforms (ImB spec.)</t>
        </is>
      </c>
      <c r="K205" s="129" t="inlineStr">
        <is>
          <t>NGP-QCG-SOP-024 F3, (28.11.2025) [NGP]</t>
        </is>
      </c>
      <c r="L205" s="130" t="inlineStr">
        <is>
          <t>✓</t>
        </is>
      </c>
      <c r="M205" s="128" t="inlineStr">
        <is>
          <t>20.39</t>
        </is>
      </c>
      <c r="N205" s="129" t="inlineStr">
        <is>
          <t>NGP-QCG-SOP-024 F3, (28.11.2025) [NGP]</t>
        </is>
      </c>
      <c r="O205" s="130" t="inlineStr">
        <is>
          <t>✓</t>
        </is>
      </c>
      <c r="P205" s="128" t="inlineStr">
        <is>
          <t>0.11</t>
        </is>
      </c>
      <c r="Q205" s="129" t="inlineStr">
        <is>
          <t>NGP-QCG-SOP-024 F3, (28.11.2025) [NGP]</t>
        </is>
      </c>
      <c r="R205" s="130" t="inlineStr">
        <is>
          <t>✓</t>
        </is>
      </c>
      <c r="S205" s="158" t="inlineStr">
        <is>
          <t>held for review</t>
        </is>
      </c>
      <c r="T205" s="159" t="inlineStr">
        <is>
          <t>NGP-QCG-SOP-024 F3, (28.11.2025) [NGP]</t>
        </is>
      </c>
      <c r="U205" s="160" t="inlineStr">
        <is>
          <t>✗</t>
        </is>
      </c>
      <c r="V205" s="128" t="inlineStr">
        <is>
          <t>Conforms</t>
        </is>
      </c>
      <c r="W205" s="129">
        <f>IFERROR(INDEX('iCoA Register'!$B:$B,MATCH("P050192|FM|I",'iCoA Register'!$R:$R,0)),"iCoA — at issue")&amp;", (10.10.2025) [PP]"</f>
        <v/>
      </c>
      <c r="X205" s="130" t="inlineStr">
        <is>
          <t>✓</t>
        </is>
      </c>
      <c r="Y205" s="158" t="inlineStr">
        <is>
          <t>not on this certificate</t>
        </is>
      </c>
      <c r="Z205" s="159" t="inlineStr">
        <is>
          <t>NGP-QCG-SOP-024 F3, (28.11.2025) [NGP]</t>
        </is>
      </c>
      <c r="AA205" s="160" t="inlineStr">
        <is>
          <t>✗</t>
        </is>
      </c>
      <c r="AB205" s="128" t="inlineStr">
        <is>
          <t>200</t>
        </is>
      </c>
      <c r="AC205" s="134" t="inlineStr">
        <is>
          <t>200</t>
        </is>
      </c>
      <c r="AD205" s="134" t="inlineStr">
        <is>
          <t>&lt;10^2 &gt;10</t>
        </is>
      </c>
      <c r="AE205" s="134" t="inlineStr">
        <is>
          <t>Одговара</t>
        </is>
      </c>
      <c r="AF205" s="134" t="inlineStr">
        <is>
          <t>Одговара</t>
        </is>
      </c>
      <c r="AG205" s="130" t="inlineStr">
        <is>
          <t>✓</t>
        </is>
      </c>
      <c r="AH205" s="158" t="inlineStr">
        <is>
          <t>not on this certificate</t>
        </is>
      </c>
      <c r="AI205" s="161" t="inlineStr"/>
      <c r="AJ205" s="161" t="inlineStr"/>
      <c r="AK205" s="160" t="inlineStr">
        <is>
          <t>✗</t>
        </is>
      </c>
      <c r="AL205" s="128" t="inlineStr">
        <is>
          <t>0.024</t>
        </is>
      </c>
      <c r="AM205" s="134" t="inlineStr">
        <is>
          <t>0.004</t>
        </is>
      </c>
      <c r="AN205" s="134" t="inlineStr">
        <is>
          <t>0.025</t>
        </is>
      </c>
      <c r="AO205" s="134" t="inlineStr">
        <is>
          <t>0.0036</t>
        </is>
      </c>
      <c r="AP205" s="130" t="inlineStr">
        <is>
          <t>✓</t>
        </is>
      </c>
      <c r="AQ205" s="128" t="inlineStr">
        <is>
          <t>&lt;LOQ</t>
        </is>
      </c>
      <c r="AR205" s="129" t="inlineStr">
        <is>
          <t>10802_2845-2 EN, (17.11.2025) [DFL]</t>
        </is>
      </c>
      <c r="AS205" s="130" t="inlineStr">
        <is>
          <t>✓</t>
        </is>
      </c>
    </row>
    <row r="206" ht="13" customHeight="1" s="70">
      <c r="A206" s="135" t="n"/>
      <c r="D206" s="136" t="n"/>
      <c r="F206" s="137" t="n"/>
      <c r="G206" s="136" t="n"/>
      <c r="I206" s="137" t="n"/>
      <c r="J206" s="136" t="n"/>
      <c r="L206" s="137" t="n"/>
      <c r="M206" s="136" t="n"/>
      <c r="O206" s="137" t="n"/>
      <c r="P206" s="136" t="n"/>
      <c r="R206" s="137" t="n"/>
      <c r="S206" s="136" t="n"/>
      <c r="U206" s="137" t="n"/>
      <c r="V206" s="136" t="n"/>
      <c r="X206" s="137" t="n"/>
      <c r="Y206" s="136" t="n"/>
      <c r="AA206" s="137" t="n"/>
      <c r="AB206" s="138" t="inlineStr">
        <is>
          <t>1157-2058-25, (24.11.2025) [IJZ-MB]</t>
        </is>
      </c>
      <c r="AG206" s="137" t="n"/>
      <c r="AH206" s="162" t="inlineStr">
        <is>
          <t>5661-2025, (01.12.2025) [IJZ]</t>
        </is>
      </c>
      <c r="AK206" s="137" t="n"/>
      <c r="AL206" s="138" t="inlineStr">
        <is>
          <t>5661-2025, (01.12.2025) [IJZ]</t>
        </is>
      </c>
      <c r="AP206" s="137" t="n"/>
      <c r="AQ206" s="136" t="n"/>
      <c r="AS206" s="137" t="n"/>
    </row>
    <row r="207" ht="14" customHeight="1" s="70">
      <c r="A207" s="139" t="n"/>
      <c r="B207" s="140" t="n"/>
      <c r="D207" s="141" t="n"/>
      <c r="E207" s="140" t="n"/>
      <c r="F207" s="142" t="n"/>
      <c r="G207" s="141" t="n"/>
      <c r="H207" s="140" t="n"/>
      <c r="I207" s="142" t="n"/>
      <c r="J207" s="141" t="n"/>
      <c r="K207" s="140" t="n"/>
      <c r="L207" s="142" t="n"/>
      <c r="M207" s="141" t="n"/>
      <c r="N207" s="140" t="n"/>
      <c r="O207" s="142" t="n"/>
      <c r="P207" s="141" t="n"/>
      <c r="Q207" s="140" t="n"/>
      <c r="R207" s="142" t="n"/>
      <c r="S207" s="141" t="n"/>
      <c r="T207" s="140" t="n"/>
      <c r="U207" s="142" t="n"/>
      <c r="V207" s="141" t="n"/>
      <c r="W207" s="140" t="n"/>
      <c r="X207" s="142" t="n"/>
      <c r="Y207" s="141" t="n"/>
      <c r="Z207" s="140" t="n"/>
      <c r="AA207" s="142" t="n"/>
      <c r="AB207" s="128" t="inlineStr">
        <is>
          <t>5.4×10²</t>
        </is>
      </c>
      <c r="AC207" s="134" t="inlineStr">
        <is>
          <t>3.7×10²</t>
        </is>
      </c>
      <c r="AD207" s="134" t="inlineStr">
        <is>
          <t>&lt;10</t>
        </is>
      </c>
      <c r="AE207" s="134" t="inlineStr">
        <is>
          <t>absent</t>
        </is>
      </c>
      <c r="AF207" s="134" t="inlineStr">
        <is>
          <t>absent</t>
        </is>
      </c>
      <c r="AG207" s="130" t="inlineStr">
        <is>
          <t>✓</t>
        </is>
      </c>
      <c r="AH207" s="128" t="inlineStr">
        <is>
          <t>ND *</t>
        </is>
      </c>
      <c r="AI207" s="134" t="inlineStr">
        <is>
          <t>n.r.</t>
        </is>
      </c>
      <c r="AJ207" s="134" t="inlineStr">
        <is>
          <t>&lt;LOQ **</t>
        </is>
      </c>
      <c r="AK207" s="130" t="inlineStr">
        <is>
          <t>✓</t>
        </is>
      </c>
      <c r="AL207" s="141" t="n"/>
      <c r="AM207" s="140" t="n"/>
      <c r="AN207" s="140" t="n"/>
      <c r="AO207" s="140" t="n"/>
      <c r="AP207" s="142" t="n"/>
      <c r="AQ207" s="128" t="inlineStr">
        <is>
          <t>&lt;LOQ</t>
        </is>
      </c>
      <c r="AR207" s="129" t="inlineStr">
        <is>
          <t>10802_2845-2 MK, (17.11.2025) [DFL]</t>
        </is>
      </c>
      <c r="AS207" s="130" t="inlineStr">
        <is>
          <t>✓</t>
        </is>
      </c>
    </row>
    <row r="208" ht="13" customHeight="1" s="70">
      <c r="A208" s="157" t="n"/>
      <c r="B208" s="146" t="n"/>
      <c r="D208" s="145" t="n"/>
      <c r="E208" s="146" t="n"/>
      <c r="F208" s="147" t="n"/>
      <c r="G208" s="145" t="n"/>
      <c r="H208" s="146" t="n"/>
      <c r="I208" s="147" t="n"/>
      <c r="J208" s="145" t="n"/>
      <c r="K208" s="146" t="n"/>
      <c r="L208" s="147" t="n"/>
      <c r="M208" s="145" t="n"/>
      <c r="N208" s="146" t="n"/>
      <c r="O208" s="147" t="n"/>
      <c r="P208" s="145" t="n"/>
      <c r="Q208" s="146" t="n"/>
      <c r="R208" s="147" t="n"/>
      <c r="S208" s="145" t="n"/>
      <c r="T208" s="146" t="n"/>
      <c r="U208" s="147" t="n"/>
      <c r="V208" s="145" t="n"/>
      <c r="W208" s="146" t="n"/>
      <c r="X208" s="147" t="n"/>
      <c r="Y208" s="145" t="n"/>
      <c r="Z208" s="146" t="n"/>
      <c r="AA208" s="147" t="n"/>
      <c r="AB208" s="148" t="inlineStr">
        <is>
          <t>548-1079-26, (31.08.2026) [IJZ-MB]</t>
        </is>
      </c>
      <c r="AC208" s="146" t="n"/>
      <c r="AD208" s="146" t="n"/>
      <c r="AE208" s="146" t="n"/>
      <c r="AF208" s="146" t="n"/>
      <c r="AG208" s="147" t="n"/>
      <c r="AH208" s="148" t="inlineStr">
        <is>
          <t>276-31-M-25, (04.12.2025) [FHM-M]</t>
        </is>
      </c>
      <c r="AI208" s="146" t="n"/>
      <c r="AJ208" s="146" t="n"/>
      <c r="AK208" s="147" t="n"/>
      <c r="AL208" s="145" t="n"/>
      <c r="AM208" s="146" t="n"/>
      <c r="AN208" s="146" t="n"/>
      <c r="AO208" s="146" t="n"/>
      <c r="AP208" s="147" t="n"/>
      <c r="AQ208" s="145" t="n"/>
      <c r="AR208" s="146" t="n"/>
      <c r="AS208" s="147" t="n"/>
    </row>
    <row r="209" ht="14" customHeight="1" s="70">
      <c r="A209" s="139" t="n"/>
      <c r="B209" s="140" t="n"/>
      <c r="D209" s="141" t="n"/>
      <c r="E209" s="140" t="n"/>
      <c r="F209" s="142" t="n"/>
      <c r="G209" s="141" t="n"/>
      <c r="H209" s="140" t="n"/>
      <c r="I209" s="142" t="n"/>
      <c r="J209" s="141" t="n"/>
      <c r="K209" s="140" t="n"/>
      <c r="L209" s="142" t="n"/>
      <c r="M209" s="141" t="n"/>
      <c r="N209" s="140" t="n"/>
      <c r="O209" s="142" t="n"/>
      <c r="P209" s="141" t="n"/>
      <c r="Q209" s="140" t="n"/>
      <c r="R209" s="142" t="n"/>
      <c r="S209" s="141" t="n"/>
      <c r="T209" s="140" t="n"/>
      <c r="U209" s="142" t="n"/>
      <c r="V209" s="141" t="n"/>
      <c r="W209" s="140" t="n"/>
      <c r="X209" s="142" t="n"/>
      <c r="Y209" s="141" t="n"/>
      <c r="Z209" s="140" t="n"/>
      <c r="AA209" s="142" t="n"/>
      <c r="AB209" s="141" t="n"/>
      <c r="AC209" s="140" t="n"/>
      <c r="AD209" s="140" t="n"/>
      <c r="AE209" s="140" t="n"/>
      <c r="AF209" s="140" t="n"/>
      <c r="AG209" s="142" t="n"/>
      <c r="AH209" s="141" t="n"/>
      <c r="AI209" s="140" t="n"/>
      <c r="AJ209" s="140" t="n"/>
      <c r="AK209" s="142" t="n"/>
      <c r="AL209" s="141" t="n"/>
      <c r="AM209" s="140" t="n"/>
      <c r="AN209" s="140" t="n"/>
      <c r="AO209" s="140" t="n"/>
      <c r="AP209" s="142" t="n"/>
      <c r="AQ209" s="158" t="inlineStr">
        <is>
          <t>not on this certificate</t>
        </is>
      </c>
      <c r="AR209" s="159" t="inlineStr">
        <is>
          <t>5661-2025, (01.12.2025) [IJZ]</t>
        </is>
      </c>
      <c r="AS209" s="160" t="inlineStr">
        <is>
          <t>✗</t>
        </is>
      </c>
    </row>
    <row r="210" ht="13" customHeight="1" s="70">
      <c r="A210" s="143" t="n"/>
      <c r="B210" s="144" t="n"/>
      <c r="C210" s="144" t="n"/>
      <c r="D210" s="145" t="n"/>
      <c r="E210" s="146" t="n"/>
      <c r="F210" s="147" t="n"/>
      <c r="G210" s="145" t="n"/>
      <c r="H210" s="146" t="n"/>
      <c r="I210" s="147" t="n"/>
      <c r="J210" s="145" t="n"/>
      <c r="K210" s="146" t="n"/>
      <c r="L210" s="147" t="n"/>
      <c r="M210" s="145" t="n"/>
      <c r="N210" s="146" t="n"/>
      <c r="O210" s="147" t="n"/>
      <c r="P210" s="145" t="n"/>
      <c r="Q210" s="146" t="n"/>
      <c r="R210" s="147" t="n"/>
      <c r="S210" s="145" t="n"/>
      <c r="T210" s="146" t="n"/>
      <c r="U210" s="147" t="n"/>
      <c r="V210" s="145" t="n"/>
      <c r="W210" s="146" t="n"/>
      <c r="X210" s="147" t="n"/>
      <c r="Y210" s="145" t="n"/>
      <c r="Z210" s="146" t="n"/>
      <c r="AA210" s="147" t="n"/>
      <c r="AB210" s="145" t="n"/>
      <c r="AC210" s="146" t="n"/>
      <c r="AD210" s="146" t="n"/>
      <c r="AE210" s="146" t="n"/>
      <c r="AF210" s="146" t="n"/>
      <c r="AG210" s="147" t="n"/>
      <c r="AH210" s="145" t="n"/>
      <c r="AI210" s="146" t="n"/>
      <c r="AJ210" s="146" t="n"/>
      <c r="AK210" s="147" t="n"/>
      <c r="AL210" s="145" t="n"/>
      <c r="AM210" s="146" t="n"/>
      <c r="AN210" s="146" t="n"/>
      <c r="AO210" s="146" t="n"/>
      <c r="AP210" s="147" t="n"/>
      <c r="AQ210" s="145" t="n"/>
      <c r="AR210" s="146" t="n"/>
      <c r="AS210" s="147" t="n"/>
    </row>
    <row r="211" ht="21" customHeight="1" s="70">
      <c r="A211" s="125" t="inlineStr">
        <is>
          <t>GP062501</t>
        </is>
      </c>
      <c r="B211" s="126" t="inlineStr">
        <is>
          <t>P050202</t>
        </is>
      </c>
      <c r="C211" s="149" t="inlineStr">
        <is>
          <t>⚠ 1 NO RESULT
(0 no cert / 0 cert w/o result)
5 testing instances
• 4 document(s) on file, not credited
· stability above A.C.: #6</t>
        </is>
      </c>
      <c r="D211" s="128" t="inlineStr">
        <is>
          <t>Conforms</t>
        </is>
      </c>
      <c r="E211" s="129">
        <f>IFERROR(INDEX('iCoA Register'!$B:$B,MATCH("P050202|AB|I",'iCoA Register'!$R:$R,0)),"iCoA — at issue")&amp;", (30.10.2025) [PP]"</f>
        <v/>
      </c>
      <c r="F211" s="130" t="inlineStr">
        <is>
          <t>✓</t>
        </is>
      </c>
      <c r="G211" s="128" t="inlineStr">
        <is>
          <t>Conforms</t>
        </is>
      </c>
      <c r="H211" s="129">
        <f>IFERROR(INDEX('iCoA Register'!$B:$B,MATCH("P050202|AB|I",'iCoA Register'!$R:$R,0)),"iCoA — at issue")&amp;", (30.10.2025) [PP]"</f>
        <v/>
      </c>
      <c r="I211" s="130" t="inlineStr">
        <is>
          <t>✓</t>
        </is>
      </c>
      <c r="J211" s="128" t="inlineStr">
        <is>
          <t>Conforms (ImB spec.)</t>
        </is>
      </c>
      <c r="K211" s="129" t="inlineStr">
        <is>
          <t>NGP-QCG-SOP-024 F3, (28.11.2025) [NGP]</t>
        </is>
      </c>
      <c r="L211" s="130" t="inlineStr">
        <is>
          <t>✓</t>
        </is>
      </c>
      <c r="M211" s="128" t="inlineStr">
        <is>
          <t>24.89</t>
        </is>
      </c>
      <c r="N211" s="129" t="inlineStr">
        <is>
          <t>NGP-QCG-SOP-024 F3, (28.11.2025) [NGP]</t>
        </is>
      </c>
      <c r="O211" s="130" t="inlineStr">
        <is>
          <t>✓</t>
        </is>
      </c>
      <c r="P211" s="128" t="inlineStr">
        <is>
          <t>0.17</t>
        </is>
      </c>
      <c r="Q211" s="129" t="inlineStr">
        <is>
          <t>NGP-QCG-SOP-024 F3, (28.11.2025) [NGP]</t>
        </is>
      </c>
      <c r="R211" s="130" t="inlineStr">
        <is>
          <t>✓</t>
        </is>
      </c>
      <c r="S211" s="158" t="inlineStr">
        <is>
          <t>held for review</t>
        </is>
      </c>
      <c r="T211" s="159" t="inlineStr">
        <is>
          <t>NGP-QCG-SOP-024 F3, (28.11.2025) [NGP]</t>
        </is>
      </c>
      <c r="U211" s="160" t="inlineStr">
        <is>
          <t>✗</t>
        </is>
      </c>
      <c r="V211" s="128" t="inlineStr">
        <is>
          <t>Conforms</t>
        </is>
      </c>
      <c r="W211" s="129">
        <f>IFERROR(INDEX('iCoA Register'!$B:$B,MATCH("P050202|FM|I",'iCoA Register'!$R:$R,0)),"iCoA — at issue")&amp;", (30.10.2025) [PP]"</f>
        <v/>
      </c>
      <c r="X211" s="130" t="inlineStr">
        <is>
          <t>✓</t>
        </is>
      </c>
      <c r="Y211" s="128" t="inlineStr">
        <is>
          <t>8.19</t>
        </is>
      </c>
      <c r="Z211" s="129" t="inlineStr">
        <is>
          <t>NGP-QCG-SOP-024 F3, (28.11.2025) [NGP]</t>
        </is>
      </c>
      <c r="AA211" s="130" t="inlineStr">
        <is>
          <t>✓</t>
        </is>
      </c>
      <c r="AB211" s="128" t="inlineStr">
        <is>
          <t>1.3×10⁴</t>
        </is>
      </c>
      <c r="AC211" s="134" t="inlineStr">
        <is>
          <t>4.2×10³</t>
        </is>
      </c>
      <c r="AD211" s="134" t="inlineStr">
        <is>
          <t>&lt;10³ and &gt;10² ᴿ</t>
        </is>
      </c>
      <c r="AE211" s="134" t="inlineStr">
        <is>
          <t>Одговара</t>
        </is>
      </c>
      <c r="AF211" s="134" t="inlineStr">
        <is>
          <t>Одговара</t>
        </is>
      </c>
      <c r="AG211" s="130" t="inlineStr">
        <is>
          <t>✓</t>
        </is>
      </c>
      <c r="AH211" s="128" t="inlineStr">
        <is>
          <t>n.r.</t>
        </is>
      </c>
      <c r="AI211" s="134" t="inlineStr">
        <is>
          <t>&lt;2</t>
        </is>
      </c>
      <c r="AJ211" s="134" t="inlineStr">
        <is>
          <t>n.r.</t>
        </is>
      </c>
      <c r="AK211" s="130" t="inlineStr">
        <is>
          <t>✓</t>
        </is>
      </c>
      <c r="AL211" s="128" t="inlineStr">
        <is>
          <t>0.077</t>
        </is>
      </c>
      <c r="AM211" s="134" t="inlineStr">
        <is>
          <t>0.014</t>
        </is>
      </c>
      <c r="AN211" s="134" t="inlineStr">
        <is>
          <t>0.024</t>
        </is>
      </c>
      <c r="AO211" s="134" t="inlineStr">
        <is>
          <t>0.011</t>
        </is>
      </c>
      <c r="AP211" s="130" t="inlineStr">
        <is>
          <t>✓</t>
        </is>
      </c>
      <c r="AQ211" s="128" t="inlineStr">
        <is>
          <t>≤ LOQ (all 28 compounds)</t>
        </is>
      </c>
      <c r="AR211" s="129" t="inlineStr">
        <is>
          <t>4762-2025, (08.10.2025) [IJZ]</t>
        </is>
      </c>
      <c r="AS211" s="130" t="inlineStr">
        <is>
          <t>✓</t>
        </is>
      </c>
    </row>
    <row r="212" ht="13" customHeight="1" s="70">
      <c r="A212" s="135" t="n"/>
      <c r="D212" s="136" t="n"/>
      <c r="F212" s="137" t="n"/>
      <c r="G212" s="136" t="n"/>
      <c r="I212" s="137" t="n"/>
      <c r="J212" s="136" t="n"/>
      <c r="L212" s="137" t="n"/>
      <c r="M212" s="136" t="n"/>
      <c r="O212" s="137" t="n"/>
      <c r="P212" s="136" t="n"/>
      <c r="R212" s="137" t="n"/>
      <c r="S212" s="136" t="n"/>
      <c r="U212" s="137" t="n"/>
      <c r="V212" s="136" t="n"/>
      <c r="X212" s="137" t="n"/>
      <c r="Y212" s="136" t="n"/>
      <c r="AA212" s="137" t="n"/>
      <c r="AB212" s="138" t="inlineStr">
        <is>
          <t>1009-1813-25, (08.10.2025) [IJZ-MB]</t>
        </is>
      </c>
      <c r="AG212" s="137" t="n"/>
      <c r="AH212" s="138" t="inlineStr">
        <is>
          <t>4762-2025, (08.10.2025) [IJZ]</t>
        </is>
      </c>
      <c r="AK212" s="137" t="n"/>
      <c r="AL212" s="138" t="inlineStr">
        <is>
          <t>4762-2025, (08.10.2025) [IJZ]</t>
        </is>
      </c>
      <c r="AP212" s="137" t="n"/>
      <c r="AQ212" s="136" t="n"/>
      <c r="AS212" s="137" t="n"/>
    </row>
    <row r="213" ht="14" customHeight="1" s="70">
      <c r="A213" s="139" t="n"/>
      <c r="B213" s="140" t="n"/>
      <c r="D213" s="141" t="n"/>
      <c r="E213" s="140" t="n"/>
      <c r="F213" s="142" t="n"/>
      <c r="G213" s="131" t="inlineStr">
        <is>
          <t>not on this certificate</t>
        </is>
      </c>
      <c r="H213" s="132" t="inlineStr">
        <is>
          <t>ППК26036, (05.03.2026) [CNP] · on file, not credited</t>
        </is>
      </c>
      <c r="I213" s="133" t="inlineStr">
        <is>
          <t>•</t>
        </is>
      </c>
      <c r="J213" s="167" t="inlineStr">
        <is>
          <t>Conforms (ImB spec.)</t>
        </is>
      </c>
      <c r="K213" s="168" t="inlineStr">
        <is>
          <t>ППК26036, (05.03.2026) [CNP]</t>
        </is>
      </c>
      <c r="L213" s="169" t="inlineStr">
        <is>
          <t>✓</t>
        </is>
      </c>
      <c r="M213" s="167" t="inlineStr">
        <is>
          <t>22.83</t>
        </is>
      </c>
      <c r="N213" s="168" t="inlineStr">
        <is>
          <t>ППК26036, (05.03.2026) [CNP]</t>
        </is>
      </c>
      <c r="O213" s="169" t="inlineStr">
        <is>
          <t>✓</t>
        </is>
      </c>
      <c r="P213" s="167" t="inlineStr">
        <is>
          <t>0.05</t>
        </is>
      </c>
      <c r="Q213" s="168" t="inlineStr">
        <is>
          <t>ППК26036, (05.03.2026) [CNP]</t>
        </is>
      </c>
      <c r="R213" s="169" t="inlineStr">
        <is>
          <t>✓</t>
        </is>
      </c>
      <c r="S213" s="167" t="inlineStr">
        <is>
          <t>0.05 % ᴰ</t>
        </is>
      </c>
      <c r="T213" s="168" t="inlineStr">
        <is>
          <t>ППК26036, (05.03.2026) [CNP]</t>
        </is>
      </c>
      <c r="U213" s="169" t="inlineStr">
        <is>
          <t>✓</t>
        </is>
      </c>
      <c r="V213" s="141" t="n"/>
      <c r="W213" s="140" t="n"/>
      <c r="X213" s="142" t="n"/>
      <c r="Y213" s="167" t="inlineStr">
        <is>
          <t>5.83</t>
        </is>
      </c>
      <c r="Z213" s="168" t="inlineStr">
        <is>
          <t>ППК26036, (05.03.2026) [CNP]</t>
        </is>
      </c>
      <c r="AA213" s="169" t="inlineStr">
        <is>
          <t>✓</t>
        </is>
      </c>
      <c r="AB213" s="128" t="inlineStr">
        <is>
          <t>600</t>
        </is>
      </c>
      <c r="AC213" s="134" t="inlineStr">
        <is>
          <t>400</t>
        </is>
      </c>
      <c r="AD213" s="134" t="inlineStr">
        <is>
          <t>&lt;10</t>
        </is>
      </c>
      <c r="AE213" s="134" t="inlineStr">
        <is>
          <t>Одговара</t>
        </is>
      </c>
      <c r="AF213" s="134" t="inlineStr">
        <is>
          <t>Одговара</t>
        </is>
      </c>
      <c r="AG213" s="130" t="inlineStr">
        <is>
          <t>✓</t>
        </is>
      </c>
      <c r="AH213" s="141" t="n"/>
      <c r="AI213" s="140" t="n"/>
      <c r="AJ213" s="140" t="n"/>
      <c r="AK213" s="142" t="n"/>
      <c r="AL213" s="141" t="n"/>
      <c r="AM213" s="140" t="n"/>
      <c r="AN213" s="140" t="n"/>
      <c r="AO213" s="140" t="n"/>
      <c r="AP213" s="142" t="n"/>
      <c r="AQ213" s="141" t="n"/>
      <c r="AR213" s="140" t="n"/>
      <c r="AS213" s="142" t="n"/>
    </row>
    <row r="214" ht="13" customHeight="1" s="70">
      <c r="A214" s="157" t="n"/>
      <c r="B214" s="146" t="n"/>
      <c r="D214" s="145" t="n"/>
      <c r="E214" s="146" t="n"/>
      <c r="F214" s="147" t="n"/>
      <c r="G214" s="145" t="n"/>
      <c r="H214" s="146" t="n"/>
      <c r="I214" s="147" t="n"/>
      <c r="J214" s="145" t="n"/>
      <c r="K214" s="146" t="n"/>
      <c r="L214" s="147" t="n"/>
      <c r="M214" s="145" t="n"/>
      <c r="N214" s="146" t="n"/>
      <c r="O214" s="147" t="n"/>
      <c r="P214" s="145" t="n"/>
      <c r="Q214" s="146" t="n"/>
      <c r="R214" s="147" t="n"/>
      <c r="S214" s="145" t="n"/>
      <c r="T214" s="146" t="n"/>
      <c r="U214" s="147" t="n"/>
      <c r="V214" s="145" t="n"/>
      <c r="W214" s="146" t="n"/>
      <c r="X214" s="147" t="n"/>
      <c r="Y214" s="145" t="n"/>
      <c r="Z214" s="146" t="n"/>
      <c r="AA214" s="147" t="n"/>
      <c r="AB214" s="148" t="inlineStr">
        <is>
          <t>1155-2056-25, (24.11.2025) [IJZ-MB]</t>
        </is>
      </c>
      <c r="AC214" s="146" t="n"/>
      <c r="AD214" s="146" t="n"/>
      <c r="AE214" s="146" t="n"/>
      <c r="AF214" s="146" t="n"/>
      <c r="AG214" s="147" t="n"/>
      <c r="AH214" s="145" t="n"/>
      <c r="AI214" s="146" t="n"/>
      <c r="AJ214" s="146" t="n"/>
      <c r="AK214" s="147" t="n"/>
      <c r="AL214" s="145" t="n"/>
      <c r="AM214" s="146" t="n"/>
      <c r="AN214" s="146" t="n"/>
      <c r="AO214" s="146" t="n"/>
      <c r="AP214" s="147" t="n"/>
      <c r="AQ214" s="145" t="n"/>
      <c r="AR214" s="146" t="n"/>
      <c r="AS214" s="147" t="n"/>
    </row>
    <row r="215" ht="14" customHeight="1" s="70">
      <c r="A215" s="139" t="n"/>
      <c r="B215" s="140" t="n"/>
      <c r="D215" s="141" t="n"/>
      <c r="E215" s="140" t="n"/>
      <c r="F215" s="142" t="n"/>
      <c r="G215" s="131" t="inlineStr">
        <is>
          <t>not on this certificate</t>
        </is>
      </c>
      <c r="H215" s="132" t="inlineStr">
        <is>
          <t>ППК26037, (05.03.2026) [CNP] · on file, not credited</t>
        </is>
      </c>
      <c r="I215" s="133" t="inlineStr">
        <is>
          <t>•</t>
        </is>
      </c>
      <c r="J215" s="167" t="inlineStr">
        <is>
          <t>Conforms (ImB spec.)</t>
        </is>
      </c>
      <c r="K215" s="168" t="inlineStr">
        <is>
          <t>ППК26037, (05.03.2026) [CNP]</t>
        </is>
      </c>
      <c r="L215" s="169" t="inlineStr">
        <is>
          <t>✓</t>
        </is>
      </c>
      <c r="M215" s="167" t="inlineStr">
        <is>
          <t>18.62</t>
        </is>
      </c>
      <c r="N215" s="168" t="inlineStr">
        <is>
          <t>ППК26037, (05.03.2026) [CNP]</t>
        </is>
      </c>
      <c r="O215" s="169" t="inlineStr">
        <is>
          <t>✓</t>
        </is>
      </c>
      <c r="P215" s="167" t="inlineStr">
        <is>
          <t>0.04</t>
        </is>
      </c>
      <c r="Q215" s="168" t="inlineStr">
        <is>
          <t>ППК26037, (05.03.2026) [CNP]</t>
        </is>
      </c>
      <c r="R215" s="169" t="inlineStr">
        <is>
          <t>✓</t>
        </is>
      </c>
      <c r="S215" s="170" t="inlineStr">
        <is>
          <t>1.09 ᴿ</t>
        </is>
      </c>
      <c r="T215" s="168" t="inlineStr">
        <is>
          <t>ППК26037, (05.03.2026) [CNP]</t>
        </is>
      </c>
      <c r="U215" s="169" t="inlineStr">
        <is>
          <t>✓</t>
        </is>
      </c>
      <c r="V215" s="141" t="n"/>
      <c r="W215" s="140" t="n"/>
      <c r="X215" s="142" t="n"/>
      <c r="Y215" s="167" t="inlineStr">
        <is>
          <t>5.38</t>
        </is>
      </c>
      <c r="Z215" s="168" t="inlineStr">
        <is>
          <t>ППК26037, (05.03.2026) [CNP]</t>
        </is>
      </c>
      <c r="AA215" s="169" t="inlineStr">
        <is>
          <t>✓</t>
        </is>
      </c>
      <c r="AB215" s="128" t="inlineStr">
        <is>
          <t>&lt;10</t>
        </is>
      </c>
      <c r="AC215" s="134" t="inlineStr">
        <is>
          <t>&lt;10</t>
        </is>
      </c>
      <c r="AD215" s="134" t="inlineStr">
        <is>
          <t>&lt;10</t>
        </is>
      </c>
      <c r="AE215" s="134" t="inlineStr">
        <is>
          <t>absent</t>
        </is>
      </c>
      <c r="AF215" s="134" t="inlineStr">
        <is>
          <t>absent</t>
        </is>
      </c>
      <c r="AG215" s="130" t="inlineStr">
        <is>
          <t>✓</t>
        </is>
      </c>
      <c r="AH215" s="141" t="n"/>
      <c r="AI215" s="140" t="n"/>
      <c r="AJ215" s="140" t="n"/>
      <c r="AK215" s="142" t="n"/>
      <c r="AL215" s="141" t="n"/>
      <c r="AM215" s="140" t="n"/>
      <c r="AN215" s="140" t="n"/>
      <c r="AO215" s="140" t="n"/>
      <c r="AP215" s="142" t="n"/>
      <c r="AQ215" s="141" t="n"/>
      <c r="AR215" s="140" t="n"/>
      <c r="AS215" s="142" t="n"/>
    </row>
    <row r="216" ht="13" customHeight="1" s="70">
      <c r="A216" s="157" t="n"/>
      <c r="B216" s="146" t="n"/>
      <c r="D216" s="145" t="n"/>
      <c r="E216" s="146" t="n"/>
      <c r="F216" s="147" t="n"/>
      <c r="G216" s="145" t="n"/>
      <c r="H216" s="146" t="n"/>
      <c r="I216" s="147" t="n"/>
      <c r="J216" s="145" t="n"/>
      <c r="K216" s="146" t="n"/>
      <c r="L216" s="147" t="n"/>
      <c r="M216" s="145" t="n"/>
      <c r="N216" s="146" t="n"/>
      <c r="O216" s="147" t="n"/>
      <c r="P216" s="145" t="n"/>
      <c r="Q216" s="146" t="n"/>
      <c r="R216" s="147" t="n"/>
      <c r="S216" s="145" t="n"/>
      <c r="T216" s="146" t="n"/>
      <c r="U216" s="147" t="n"/>
      <c r="V216" s="145" t="n"/>
      <c r="W216" s="146" t="n"/>
      <c r="X216" s="147" t="n"/>
      <c r="Y216" s="145" t="n"/>
      <c r="Z216" s="146" t="n"/>
      <c r="AA216" s="147" t="n"/>
      <c r="AB216" s="148" t="inlineStr">
        <is>
          <t>557-1088-26, (01.09.2026) [IJZ-MB]</t>
        </is>
      </c>
      <c r="AC216" s="146" t="n"/>
      <c r="AD216" s="146" t="n"/>
      <c r="AE216" s="146" t="n"/>
      <c r="AF216" s="146" t="n"/>
      <c r="AG216" s="147" t="n"/>
      <c r="AH216" s="145" t="n"/>
      <c r="AI216" s="146" t="n"/>
      <c r="AJ216" s="146" t="n"/>
      <c r="AK216" s="147" t="n"/>
      <c r="AL216" s="145" t="n"/>
      <c r="AM216" s="146" t="n"/>
      <c r="AN216" s="146" t="n"/>
      <c r="AO216" s="146" t="n"/>
      <c r="AP216" s="147" t="n"/>
      <c r="AQ216" s="145" t="n"/>
      <c r="AR216" s="146" t="n"/>
      <c r="AS216" s="147" t="n"/>
    </row>
    <row r="217" ht="14" customHeight="1" s="70">
      <c r="A217" s="139" t="n"/>
      <c r="B217" s="140" t="n"/>
      <c r="D217" s="141" t="n"/>
      <c r="E217" s="140" t="n"/>
      <c r="F217" s="142" t="n"/>
      <c r="G217" s="131" t="inlineStr">
        <is>
          <t>not on this certificate</t>
        </is>
      </c>
      <c r="H217" s="132" t="inlineStr">
        <is>
          <t>ППК26057, (11.05.2026) [CNP] · on file, not credited</t>
        </is>
      </c>
      <c r="I217" s="133" t="inlineStr">
        <is>
          <t>•</t>
        </is>
      </c>
      <c r="J217" s="167" t="inlineStr">
        <is>
          <t>Conforms (ImB spec.)</t>
        </is>
      </c>
      <c r="K217" s="168" t="inlineStr">
        <is>
          <t>ППК26057, (11.05.2026) [CNP]</t>
        </is>
      </c>
      <c r="L217" s="169" t="inlineStr">
        <is>
          <t>✓</t>
        </is>
      </c>
      <c r="M217" s="167" t="inlineStr">
        <is>
          <t>24.51</t>
        </is>
      </c>
      <c r="N217" s="168" t="inlineStr">
        <is>
          <t>ППК26057, (11.05.2026) [CNP]</t>
        </is>
      </c>
      <c r="O217" s="169" t="inlineStr">
        <is>
          <t>✓</t>
        </is>
      </c>
      <c r="P217" s="167" t="inlineStr">
        <is>
          <t>0.05</t>
        </is>
      </c>
      <c r="Q217" s="168" t="inlineStr">
        <is>
          <t>ППК26057, (11.05.2026) [CNP]</t>
        </is>
      </c>
      <c r="R217" s="169" t="inlineStr">
        <is>
          <t>✓</t>
        </is>
      </c>
      <c r="S217" s="167" t="inlineStr">
        <is>
          <t>0.04 % ᴰ</t>
        </is>
      </c>
      <c r="T217" s="168" t="inlineStr">
        <is>
          <t>ППК26057, (11.05.2026) [CNP]</t>
        </is>
      </c>
      <c r="U217" s="169" t="inlineStr">
        <is>
          <t>✓</t>
        </is>
      </c>
      <c r="V217" s="141" t="n"/>
      <c r="W217" s="140" t="n"/>
      <c r="X217" s="142" t="n"/>
      <c r="Y217" s="167" t="inlineStr">
        <is>
          <t>6.85</t>
        </is>
      </c>
      <c r="Z217" s="168" t="inlineStr">
        <is>
          <t>ППК26057, (11.05.2026) [CNP]</t>
        </is>
      </c>
      <c r="AA217" s="169" t="inlineStr">
        <is>
          <t>✓</t>
        </is>
      </c>
      <c r="AB217" s="141" t="n"/>
      <c r="AC217" s="140" t="n"/>
      <c r="AD217" s="140" t="n"/>
      <c r="AE217" s="140" t="n"/>
      <c r="AF217" s="140" t="n"/>
      <c r="AG217" s="142" t="n"/>
      <c r="AH217" s="141" t="n"/>
      <c r="AI217" s="140" t="n"/>
      <c r="AJ217" s="140" t="n"/>
      <c r="AK217" s="142" t="n"/>
      <c r="AL217" s="141" t="n"/>
      <c r="AM217" s="140" t="n"/>
      <c r="AN217" s="140" t="n"/>
      <c r="AO217" s="140" t="n"/>
      <c r="AP217" s="142" t="n"/>
      <c r="AQ217" s="141" t="n"/>
      <c r="AR217" s="140" t="n"/>
      <c r="AS217" s="142" t="n"/>
    </row>
    <row r="218" ht="13" customHeight="1" s="70">
      <c r="A218" s="157" t="n"/>
      <c r="B218" s="146" t="n"/>
      <c r="D218" s="145" t="n"/>
      <c r="E218" s="146" t="n"/>
      <c r="F218" s="147" t="n"/>
      <c r="G218" s="145" t="n"/>
      <c r="H218" s="146" t="n"/>
      <c r="I218" s="147" t="n"/>
      <c r="J218" s="145" t="n"/>
      <c r="K218" s="146" t="n"/>
      <c r="L218" s="147" t="n"/>
      <c r="M218" s="145" t="n"/>
      <c r="N218" s="146" t="n"/>
      <c r="O218" s="147" t="n"/>
      <c r="P218" s="145" t="n"/>
      <c r="Q218" s="146" t="n"/>
      <c r="R218" s="147" t="n"/>
      <c r="S218" s="145" t="n"/>
      <c r="T218" s="146" t="n"/>
      <c r="U218" s="147" t="n"/>
      <c r="V218" s="145" t="n"/>
      <c r="W218" s="146" t="n"/>
      <c r="X218" s="147" t="n"/>
      <c r="Y218" s="145" t="n"/>
      <c r="Z218" s="146" t="n"/>
      <c r="AA218" s="147" t="n"/>
      <c r="AB218" s="145" t="n"/>
      <c r="AC218" s="146" t="n"/>
      <c r="AD218" s="146" t="n"/>
      <c r="AE218" s="146" t="n"/>
      <c r="AF218" s="146" t="n"/>
      <c r="AG218" s="147" t="n"/>
      <c r="AH218" s="145" t="n"/>
      <c r="AI218" s="146" t="n"/>
      <c r="AJ218" s="146" t="n"/>
      <c r="AK218" s="147" t="n"/>
      <c r="AL218" s="145" t="n"/>
      <c r="AM218" s="146" t="n"/>
      <c r="AN218" s="146" t="n"/>
      <c r="AO218" s="146" t="n"/>
      <c r="AP218" s="147" t="n"/>
      <c r="AQ218" s="145" t="n"/>
      <c r="AR218" s="146" t="n"/>
      <c r="AS218" s="147" t="n"/>
    </row>
    <row r="219" ht="14" customHeight="1" s="70">
      <c r="A219" s="139" t="n"/>
      <c r="B219" s="140" t="n"/>
      <c r="D219" s="141" t="n"/>
      <c r="E219" s="140" t="n"/>
      <c r="F219" s="142" t="n"/>
      <c r="G219" s="131" t="inlineStr">
        <is>
          <t>not on this certificate</t>
        </is>
      </c>
      <c r="H219" s="132" t="inlineStr">
        <is>
          <t>ППК26058, (11.05.2026) [CNP] · on file, not credited</t>
        </is>
      </c>
      <c r="I219" s="133" t="inlineStr">
        <is>
          <t>•</t>
        </is>
      </c>
      <c r="J219" s="167" t="inlineStr">
        <is>
          <t>Conforms (ImB spec.)</t>
        </is>
      </c>
      <c r="K219" s="168" t="inlineStr">
        <is>
          <t>ППК26058, (11.05.2026) [CNP]</t>
        </is>
      </c>
      <c r="L219" s="169" t="inlineStr">
        <is>
          <t>✓</t>
        </is>
      </c>
      <c r="M219" s="167" t="inlineStr">
        <is>
          <t>17.05</t>
        </is>
      </c>
      <c r="N219" s="168" t="inlineStr">
        <is>
          <t>ППК26058, (11.05.2026) [CNP]</t>
        </is>
      </c>
      <c r="O219" s="169" t="inlineStr">
        <is>
          <t>✓</t>
        </is>
      </c>
      <c r="P219" s="167" t="inlineStr">
        <is>
          <t>0.03</t>
        </is>
      </c>
      <c r="Q219" s="168" t="inlineStr">
        <is>
          <t>ППК26058, (11.05.2026) [CNP]</t>
        </is>
      </c>
      <c r="R219" s="169" t="inlineStr">
        <is>
          <t>✓</t>
        </is>
      </c>
      <c r="S219" s="170" t="inlineStr">
        <is>
          <t>2.05 % ᴰ</t>
        </is>
      </c>
      <c r="T219" s="168" t="inlineStr">
        <is>
          <t>ППК26058, (11.05.2026) [CNP]</t>
        </is>
      </c>
      <c r="U219" s="169" t="inlineStr">
        <is>
          <t>✓</t>
        </is>
      </c>
      <c r="V219" s="141" t="n"/>
      <c r="W219" s="140" t="n"/>
      <c r="X219" s="142" t="n"/>
      <c r="Y219" s="167" t="inlineStr">
        <is>
          <t>6.60</t>
        </is>
      </c>
      <c r="Z219" s="168" t="inlineStr">
        <is>
          <t>ППК26058, (11.05.2026) [CNP]</t>
        </is>
      </c>
      <c r="AA219" s="169" t="inlineStr">
        <is>
          <t>✓</t>
        </is>
      </c>
      <c r="AB219" s="141" t="n"/>
      <c r="AC219" s="140" t="n"/>
      <c r="AD219" s="140" t="n"/>
      <c r="AE219" s="140" t="n"/>
      <c r="AF219" s="140" t="n"/>
      <c r="AG219" s="142" t="n"/>
      <c r="AH219" s="141" t="n"/>
      <c r="AI219" s="140" t="n"/>
      <c r="AJ219" s="140" t="n"/>
      <c r="AK219" s="142" t="n"/>
      <c r="AL219" s="141" t="n"/>
      <c r="AM219" s="140" t="n"/>
      <c r="AN219" s="140" t="n"/>
      <c r="AO219" s="140" t="n"/>
      <c r="AP219" s="142" t="n"/>
      <c r="AQ219" s="141" t="n"/>
      <c r="AR219" s="140" t="n"/>
      <c r="AS219" s="142" t="n"/>
    </row>
    <row r="220" ht="13" customHeight="1" s="70">
      <c r="A220" s="143" t="n"/>
      <c r="B220" s="144" t="n"/>
      <c r="C220" s="144" t="n"/>
      <c r="D220" s="145" t="n"/>
      <c r="E220" s="146" t="n"/>
      <c r="F220" s="147" t="n"/>
      <c r="G220" s="145" t="n"/>
      <c r="H220" s="146" t="n"/>
      <c r="I220" s="147" t="n"/>
      <c r="J220" s="145" t="n"/>
      <c r="K220" s="146" t="n"/>
      <c r="L220" s="147" t="n"/>
      <c r="M220" s="145" t="n"/>
      <c r="N220" s="146" t="n"/>
      <c r="O220" s="147" t="n"/>
      <c r="P220" s="145" t="n"/>
      <c r="Q220" s="146" t="n"/>
      <c r="R220" s="147" t="n"/>
      <c r="S220" s="145" t="n"/>
      <c r="T220" s="146" t="n"/>
      <c r="U220" s="147" t="n"/>
      <c r="V220" s="145" t="n"/>
      <c r="W220" s="146" t="n"/>
      <c r="X220" s="147" t="n"/>
      <c r="Y220" s="145" t="n"/>
      <c r="Z220" s="146" t="n"/>
      <c r="AA220" s="147" t="n"/>
      <c r="AB220" s="145" t="n"/>
      <c r="AC220" s="146" t="n"/>
      <c r="AD220" s="146" t="n"/>
      <c r="AE220" s="146" t="n"/>
      <c r="AF220" s="146" t="n"/>
      <c r="AG220" s="147" t="n"/>
      <c r="AH220" s="145" t="n"/>
      <c r="AI220" s="146" t="n"/>
      <c r="AJ220" s="146" t="n"/>
      <c r="AK220" s="147" t="n"/>
      <c r="AL220" s="145" t="n"/>
      <c r="AM220" s="146" t="n"/>
      <c r="AN220" s="146" t="n"/>
      <c r="AO220" s="146" t="n"/>
      <c r="AP220" s="147" t="n"/>
      <c r="AQ220" s="145" t="n"/>
      <c r="AR220" s="146" t="n"/>
      <c r="AS220" s="147" t="n"/>
    </row>
    <row r="221" ht="21" customHeight="1" s="70">
      <c r="A221" s="125" t="inlineStr">
        <is>
          <t>CJ062501/2</t>
        </is>
      </c>
      <c r="B221" s="126" t="inlineStr">
        <is>
          <t>P050212</t>
        </is>
      </c>
      <c r="C221" s="155" t="inlineStr">
        <is>
          <t>✓ COMPLETE
2 testing instances
• 2 document(s) on file, not credited
✗ OUT OF SPECIFICATION: #9 TYMC</t>
        </is>
      </c>
      <c r="D221" s="128" t="inlineStr">
        <is>
          <t>Conforms</t>
        </is>
      </c>
      <c r="E221" s="129">
        <f>IFERROR(INDEX('iCoA Register'!$B:$B,MATCH("P050212|AB|I",'iCoA Register'!$R:$R,0)),"iCoA — at issue")&amp;", (18.11.2025) [PP]"</f>
        <v/>
      </c>
      <c r="F221" s="130" t="inlineStr">
        <is>
          <t>✓</t>
        </is>
      </c>
      <c r="G221" s="131" t="inlineStr">
        <is>
          <t>not on this certificate</t>
        </is>
      </c>
      <c r="H221" s="132" t="inlineStr">
        <is>
          <t>ППК25322, (23.10.2025) [CNP] · on file, not credited</t>
        </is>
      </c>
      <c r="I221" s="133" t="inlineStr">
        <is>
          <t>•</t>
        </is>
      </c>
      <c r="J221" s="128" t="inlineStr">
        <is>
          <t>Conforms (ImB spec.)</t>
        </is>
      </c>
      <c r="K221" s="129" t="inlineStr">
        <is>
          <t>ППК25322, (23.10.2025) [CNP]</t>
        </is>
      </c>
      <c r="L221" s="130" t="inlineStr">
        <is>
          <t>✓</t>
        </is>
      </c>
      <c r="M221" s="128" t="inlineStr">
        <is>
          <t>16.56</t>
        </is>
      </c>
      <c r="N221" s="129" t="inlineStr">
        <is>
          <t>ППК25322, (23.10.2025) [CNP]</t>
        </is>
      </c>
      <c r="O221" s="130" t="inlineStr">
        <is>
          <t>✓</t>
        </is>
      </c>
      <c r="P221" s="128" t="inlineStr">
        <is>
          <t>0.14</t>
        </is>
      </c>
      <c r="Q221" s="129" t="inlineStr">
        <is>
          <t>ППК25322, (23.10.2025) [CNP]</t>
        </is>
      </c>
      <c r="R221" s="130" t="inlineStr">
        <is>
          <t>✓</t>
        </is>
      </c>
      <c r="S221" s="128" t="inlineStr">
        <is>
          <t>BLQ ᴰ</t>
        </is>
      </c>
      <c r="T221" s="129" t="inlineStr">
        <is>
          <t>ППК25322, (23.10.2025) [CNP]</t>
        </is>
      </c>
      <c r="U221" s="130" t="inlineStr">
        <is>
          <t>✓</t>
        </is>
      </c>
      <c r="V221" s="128" t="inlineStr">
        <is>
          <t>Conforms</t>
        </is>
      </c>
      <c r="W221" s="129">
        <f>IFERROR(INDEX('iCoA Register'!$B:$B,MATCH("P050212|FM|I",'iCoA Register'!$R:$R,0)),"iCoA — at issue")&amp;", (18.11.2025) [PP]"</f>
        <v/>
      </c>
      <c r="X221" s="130" t="inlineStr">
        <is>
          <t>✓</t>
        </is>
      </c>
      <c r="Y221" s="128" t="inlineStr">
        <is>
          <t>6.70</t>
        </is>
      </c>
      <c r="Z221" s="129" t="inlineStr">
        <is>
          <t>ППК25322, (23.10.2025) [CNP]</t>
        </is>
      </c>
      <c r="AA221" s="130" t="inlineStr">
        <is>
          <t>✓</t>
        </is>
      </c>
      <c r="AB221" s="128" t="inlineStr">
        <is>
          <t>2.2 x 10⁴</t>
        </is>
      </c>
      <c r="AC221" s="171" t="inlineStr">
        <is>
          <t>4.9 x 10⁴</t>
        </is>
      </c>
      <c r="AD221" s="134" t="inlineStr">
        <is>
          <t>&lt;10⁴ и &gt;10³</t>
        </is>
      </c>
      <c r="AE221" s="134" t="inlineStr">
        <is>
          <t>Одговара</t>
        </is>
      </c>
      <c r="AF221" s="134" t="inlineStr">
        <is>
          <t>Одговара</t>
        </is>
      </c>
      <c r="AG221" s="130" t="inlineStr">
        <is>
          <t>✓</t>
        </is>
      </c>
      <c r="AH221" s="128" t="inlineStr">
        <is>
          <t>n.r.</t>
        </is>
      </c>
      <c r="AI221" s="134" t="inlineStr">
        <is>
          <t>&lt;2</t>
        </is>
      </c>
      <c r="AJ221" s="134" t="inlineStr">
        <is>
          <t>n.r.</t>
        </is>
      </c>
      <c r="AK221" s="130" t="inlineStr">
        <is>
          <t>✓</t>
        </is>
      </c>
      <c r="AL221" s="128" t="inlineStr">
        <is>
          <t>0.026</t>
        </is>
      </c>
      <c r="AM221" s="134" t="inlineStr">
        <is>
          <t>0.002</t>
        </is>
      </c>
      <c r="AN221" s="134" t="inlineStr">
        <is>
          <t>0.011</t>
        </is>
      </c>
      <c r="AO221" s="134" t="inlineStr">
        <is>
          <t>0.012</t>
        </is>
      </c>
      <c r="AP221" s="130" t="inlineStr">
        <is>
          <t>✓</t>
        </is>
      </c>
      <c r="AQ221" s="128" t="inlineStr">
        <is>
          <t>≤ LOQ (all 28 compounds)</t>
        </is>
      </c>
      <c r="AR221" s="129" t="inlineStr">
        <is>
          <t>4908-2025, (24.10.2025) [IJZ]</t>
        </is>
      </c>
      <c r="AS221" s="130" t="inlineStr">
        <is>
          <t>✓</t>
        </is>
      </c>
    </row>
    <row r="222" ht="13" customHeight="1" s="70">
      <c r="A222" s="135" t="n"/>
      <c r="D222" s="136" t="n"/>
      <c r="F222" s="137" t="n"/>
      <c r="G222" s="136" t="n"/>
      <c r="I222" s="137" t="n"/>
      <c r="J222" s="136" t="n"/>
      <c r="L222" s="137" t="n"/>
      <c r="M222" s="136" t="n"/>
      <c r="O222" s="137" t="n"/>
      <c r="P222" s="136" t="n"/>
      <c r="R222" s="137" t="n"/>
      <c r="S222" s="136" t="n"/>
      <c r="U222" s="137" t="n"/>
      <c r="V222" s="136" t="n"/>
      <c r="X222" s="137" t="n"/>
      <c r="Y222" s="136" t="n"/>
      <c r="AA222" s="137" t="n"/>
      <c r="AB222" s="138" t="inlineStr">
        <is>
          <t>1032-1851-25, (17.10.2025) [IJZ-MB]</t>
        </is>
      </c>
      <c r="AG222" s="137" t="n"/>
      <c r="AH222" s="138" t="inlineStr">
        <is>
          <t>4908-2025, (24.10.2025) [IJZ]</t>
        </is>
      </c>
      <c r="AK222" s="137" t="n"/>
      <c r="AL222" s="138" t="inlineStr">
        <is>
          <t>4908-2025, (24.10.2025) [IJZ]</t>
        </is>
      </c>
      <c r="AP222" s="137" t="n"/>
      <c r="AQ222" s="136" t="n"/>
      <c r="AS222" s="137" t="n"/>
    </row>
    <row r="223" ht="14" customHeight="1" s="70">
      <c r="A223" s="139" t="n"/>
      <c r="B223" s="140" t="n"/>
      <c r="D223" s="141" t="n"/>
      <c r="E223" s="140" t="n"/>
      <c r="F223" s="142" t="n"/>
      <c r="G223" s="128" t="inlineStr">
        <is>
          <t>Conforms</t>
        </is>
      </c>
      <c r="H223" s="129">
        <f>IFERROR(INDEX('iCoA Register'!$B:$B,MATCH("P050212|AB|I",'iCoA Register'!$R:$R,0)),"iCoA — at issue")&amp;", (18.11.2025) [PP]"</f>
        <v/>
      </c>
      <c r="I223" s="130" t="inlineStr">
        <is>
          <t>✓</t>
        </is>
      </c>
      <c r="J223" s="128" t="inlineStr">
        <is>
          <t>Conforms (ImB spec.) ᴿ</t>
        </is>
      </c>
      <c r="K223" s="129" t="inlineStr">
        <is>
          <t>197-4-K-26, (07.08.2026) [FHM-K]</t>
        </is>
      </c>
      <c r="L223" s="130" t="inlineStr">
        <is>
          <t>✓</t>
        </is>
      </c>
      <c r="M223" s="128" t="inlineStr">
        <is>
          <t>18.91</t>
        </is>
      </c>
      <c r="N223" s="129" t="inlineStr">
        <is>
          <t>197-4-K-26, (07.08.2026) [FHM-K]</t>
        </is>
      </c>
      <c r="O223" s="130" t="inlineStr">
        <is>
          <t>✓</t>
        </is>
      </c>
      <c r="P223" s="128" t="inlineStr">
        <is>
          <t>&lt; LOQ</t>
        </is>
      </c>
      <c r="Q223" s="129" t="inlineStr">
        <is>
          <t>197-4-K-26, (07.08.2026) [FHM-K]</t>
        </is>
      </c>
      <c r="R223" s="130" t="inlineStr">
        <is>
          <t>✓</t>
        </is>
      </c>
      <c r="S223" s="128" t="inlineStr">
        <is>
          <t>&lt; LOQ</t>
        </is>
      </c>
      <c r="T223" s="129" t="inlineStr">
        <is>
          <t>197-4-K-26, (07.08.2026) [FHM-K]</t>
        </is>
      </c>
      <c r="U223" s="130" t="inlineStr">
        <is>
          <t>✓</t>
        </is>
      </c>
      <c r="V223" s="141" t="n"/>
      <c r="W223" s="140" t="n"/>
      <c r="X223" s="142" t="n"/>
      <c r="Y223" s="131" t="inlineStr">
        <is>
          <t>not on this certificate</t>
        </is>
      </c>
      <c r="Z223" s="132" t="inlineStr">
        <is>
          <t>197-4-K-26, (07.08.2026) [FHM-K] · on file, not credited</t>
        </is>
      </c>
      <c r="AA223" s="133" t="inlineStr">
        <is>
          <t>•</t>
        </is>
      </c>
      <c r="AB223" s="141" t="n"/>
      <c r="AC223" s="140" t="n"/>
      <c r="AD223" s="140" t="n"/>
      <c r="AE223" s="140" t="n"/>
      <c r="AF223" s="140" t="n"/>
      <c r="AG223" s="142" t="n"/>
      <c r="AH223" s="128" t="inlineStr">
        <is>
          <t>ND</t>
        </is>
      </c>
      <c r="AI223" s="134" t="inlineStr">
        <is>
          <t>ND ᴿ</t>
        </is>
      </c>
      <c r="AJ223" s="134" t="inlineStr">
        <is>
          <t>ND</t>
        </is>
      </c>
      <c r="AK223" s="130" t="inlineStr">
        <is>
          <t>✓</t>
        </is>
      </c>
      <c r="AL223" s="141" t="n"/>
      <c r="AM223" s="140" t="n"/>
      <c r="AN223" s="140" t="n"/>
      <c r="AO223" s="140" t="n"/>
      <c r="AP223" s="142" t="n"/>
      <c r="AQ223" s="141" t="n"/>
      <c r="AR223" s="140" t="n"/>
      <c r="AS223" s="142" t="n"/>
    </row>
    <row r="224" ht="21" customHeight="1" s="70">
      <c r="A224" s="143" t="n"/>
      <c r="B224" s="144" t="n"/>
      <c r="C224" s="144" t="n"/>
      <c r="D224" s="145" t="n"/>
      <c r="E224" s="146" t="n"/>
      <c r="F224" s="147" t="n"/>
      <c r="G224" s="145" t="n"/>
      <c r="H224" s="146" t="n"/>
      <c r="I224" s="147" t="n"/>
      <c r="J224" s="145" t="n"/>
      <c r="K224" s="146" t="n"/>
      <c r="L224" s="147" t="n"/>
      <c r="M224" s="145" t="n"/>
      <c r="N224" s="146" t="n"/>
      <c r="O224" s="147" t="n"/>
      <c r="P224" s="145" t="n"/>
      <c r="Q224" s="146" t="n"/>
      <c r="R224" s="147" t="n"/>
      <c r="S224" s="145" t="n"/>
      <c r="T224" s="146" t="n"/>
      <c r="U224" s="147" t="n"/>
      <c r="V224" s="145" t="n"/>
      <c r="W224" s="146" t="n"/>
      <c r="X224" s="147" t="n"/>
      <c r="Y224" s="145" t="n"/>
      <c r="Z224" s="146" t="n"/>
      <c r="AA224" s="147" t="n"/>
      <c r="AB224" s="145" t="n"/>
      <c r="AC224" s="146" t="n"/>
      <c r="AD224" s="146" t="n"/>
      <c r="AE224" s="146" t="n"/>
      <c r="AF224" s="146" t="n"/>
      <c r="AG224" s="147" t="n"/>
      <c r="AH224" s="148" t="inlineStr">
        <is>
          <t>197-4-M-26, (10.08.2026) [FHM-M]</t>
        </is>
      </c>
      <c r="AI224" s="146" t="n"/>
      <c r="AJ224" s="146" t="n"/>
      <c r="AK224" s="147" t="n"/>
      <c r="AL224" s="145" t="n"/>
      <c r="AM224" s="146" t="n"/>
      <c r="AN224" s="146" t="n"/>
      <c r="AO224" s="146" t="n"/>
      <c r="AP224" s="147" t="n"/>
      <c r="AQ224" s="145" t="n"/>
      <c r="AR224" s="146" t="n"/>
      <c r="AS224" s="147" t="n"/>
    </row>
    <row r="225" ht="14" customHeight="1" s="70">
      <c r="A225" s="125" t="inlineStr">
        <is>
          <t>CJ062501/1</t>
        </is>
      </c>
      <c r="B225" s="126" t="inlineStr">
        <is>
          <t>P050222</t>
        </is>
      </c>
      <c r="C225" s="127" t="inlineStr">
        <is>
          <t>✓ COMPLETE
2 testing instances
• 1 document(s) on file, not credited</t>
        </is>
      </c>
      <c r="D225" s="128" t="inlineStr">
        <is>
          <t>Conforms</t>
        </is>
      </c>
      <c r="E225" s="129">
        <f>IFERROR(INDEX('iCoA Register'!$B:$B,MATCH("P050222|AB|I",'iCoA Register'!$R:$R,0)),"iCoA — at issue")&amp;", (24.11.2025) [PP]"</f>
        <v/>
      </c>
      <c r="F225" s="130" t="inlineStr">
        <is>
          <t>✓</t>
        </is>
      </c>
      <c r="G225" s="131" t="inlineStr">
        <is>
          <t>not on this certificate</t>
        </is>
      </c>
      <c r="H225" s="132" t="inlineStr">
        <is>
          <t>ППК25321, (23.10.2025) [CNP] · on file, not credited</t>
        </is>
      </c>
      <c r="I225" s="133" t="inlineStr">
        <is>
          <t>•</t>
        </is>
      </c>
      <c r="J225" s="128" t="inlineStr">
        <is>
          <t>Conforms (ImB spec.)</t>
        </is>
      </c>
      <c r="K225" s="129" t="inlineStr">
        <is>
          <t>ППК25321, (23.10.2025) [CNP]</t>
        </is>
      </c>
      <c r="L225" s="130" t="inlineStr">
        <is>
          <t>✓</t>
        </is>
      </c>
      <c r="M225" s="128" t="inlineStr">
        <is>
          <t>21.51</t>
        </is>
      </c>
      <c r="N225" s="129" t="inlineStr">
        <is>
          <t>ППК25321, (23.10.2025) [CNP]</t>
        </is>
      </c>
      <c r="O225" s="130" t="inlineStr">
        <is>
          <t>✓</t>
        </is>
      </c>
      <c r="P225" s="128" t="inlineStr">
        <is>
          <t>0.07</t>
        </is>
      </c>
      <c r="Q225" s="129" t="inlineStr">
        <is>
          <t>ППК25321, (23.10.2025) [CNP]</t>
        </is>
      </c>
      <c r="R225" s="130" t="inlineStr">
        <is>
          <t>✓</t>
        </is>
      </c>
      <c r="S225" s="128" t="inlineStr">
        <is>
          <t>0.02 ᴰ</t>
        </is>
      </c>
      <c r="T225" s="129" t="inlineStr">
        <is>
          <t>ППК25321, (23.10.2025) [CNP]</t>
        </is>
      </c>
      <c r="U225" s="130" t="inlineStr">
        <is>
          <t>✓</t>
        </is>
      </c>
      <c r="V225" s="128" t="inlineStr">
        <is>
          <t>Conforms</t>
        </is>
      </c>
      <c r="W225" s="129">
        <f>IFERROR(INDEX('iCoA Register'!$B:$B,MATCH("P050222|FM|I",'iCoA Register'!$R:$R,0)),"iCoA — at issue")&amp;", (24.11.2025) [PP]"</f>
        <v/>
      </c>
      <c r="X225" s="130" t="inlineStr">
        <is>
          <t>✓</t>
        </is>
      </c>
      <c r="Y225" s="128" t="inlineStr">
        <is>
          <t>7.77</t>
        </is>
      </c>
      <c r="Z225" s="129" t="inlineStr">
        <is>
          <t>ППК25321, (23.10.2025) [CNP]</t>
        </is>
      </c>
      <c r="AA225" s="130" t="inlineStr">
        <is>
          <t>✓</t>
        </is>
      </c>
      <c r="AB225" s="128" t="inlineStr">
        <is>
          <t>&lt;10</t>
        </is>
      </c>
      <c r="AC225" s="134" t="inlineStr">
        <is>
          <t>20</t>
        </is>
      </c>
      <c r="AD225" s="134" t="inlineStr">
        <is>
          <t>&lt;10</t>
        </is>
      </c>
      <c r="AE225" s="134" t="inlineStr">
        <is>
          <t>Одговара</t>
        </is>
      </c>
      <c r="AF225" s="134" t="inlineStr">
        <is>
          <t>Одговара</t>
        </is>
      </c>
      <c r="AG225" s="130" t="inlineStr">
        <is>
          <t>✓</t>
        </is>
      </c>
      <c r="AH225" s="128" t="inlineStr">
        <is>
          <t>n.r.</t>
        </is>
      </c>
      <c r="AI225" s="134" t="inlineStr">
        <is>
          <t>&lt;2</t>
        </is>
      </c>
      <c r="AJ225" s="134" t="inlineStr">
        <is>
          <t>n.r.</t>
        </is>
      </c>
      <c r="AK225" s="130" t="inlineStr">
        <is>
          <t>✓</t>
        </is>
      </c>
      <c r="AL225" s="128" t="inlineStr">
        <is>
          <t>0.037</t>
        </is>
      </c>
      <c r="AM225" s="134" t="inlineStr">
        <is>
          <t>0.002</t>
        </is>
      </c>
      <c r="AN225" s="134" t="inlineStr">
        <is>
          <t>0.027</t>
        </is>
      </c>
      <c r="AO225" s="134" t="inlineStr">
        <is>
          <t>0.017</t>
        </is>
      </c>
      <c r="AP225" s="130" t="inlineStr">
        <is>
          <t>✓</t>
        </is>
      </c>
      <c r="AQ225" s="128" t="inlineStr">
        <is>
          <t>≤ LOQ (all 29 compounds)</t>
        </is>
      </c>
      <c r="AR225" s="129" t="inlineStr">
        <is>
          <t>4907-2025, (24.10.2025) [IJZ]</t>
        </is>
      </c>
      <c r="AS225" s="130" t="inlineStr">
        <is>
          <t>✓</t>
        </is>
      </c>
    </row>
    <row r="226" ht="13" customHeight="1" s="70">
      <c r="A226" s="135" t="n"/>
      <c r="D226" s="136" t="n"/>
      <c r="F226" s="137" t="n"/>
      <c r="G226" s="136" t="n"/>
      <c r="I226" s="137" t="n"/>
      <c r="J226" s="136" t="n"/>
      <c r="L226" s="137" t="n"/>
      <c r="M226" s="136" t="n"/>
      <c r="O226" s="137" t="n"/>
      <c r="P226" s="136" t="n"/>
      <c r="R226" s="137" t="n"/>
      <c r="S226" s="136" t="n"/>
      <c r="U226" s="137" t="n"/>
      <c r="V226" s="136" t="n"/>
      <c r="X226" s="137" t="n"/>
      <c r="Y226" s="136" t="n"/>
      <c r="AA226" s="137" t="n"/>
      <c r="AB226" s="138" t="inlineStr">
        <is>
          <t>1217-2168-25, (01.12.2025) [IJZ-MB]</t>
        </is>
      </c>
      <c r="AG226" s="137" t="n"/>
      <c r="AH226" s="138" t="inlineStr">
        <is>
          <t>4907-2025, (24.10.2025) [IJZ]</t>
        </is>
      </c>
      <c r="AK226" s="137" t="n"/>
      <c r="AL226" s="138" t="inlineStr">
        <is>
          <t>4907-2025, (24.10.2025) [IJZ]</t>
        </is>
      </c>
      <c r="AP226" s="137" t="n"/>
      <c r="AQ226" s="136" t="n"/>
      <c r="AS226" s="137" t="n"/>
    </row>
    <row r="227" ht="14" customHeight="1" s="70">
      <c r="A227" s="139" t="n"/>
      <c r="B227" s="140" t="n"/>
      <c r="D227" s="141" t="n"/>
      <c r="E227" s="140" t="n"/>
      <c r="F227" s="142" t="n"/>
      <c r="G227" s="128" t="inlineStr">
        <is>
          <t>Conforms</t>
        </is>
      </c>
      <c r="H227" s="129">
        <f>IFERROR(INDEX('iCoA Register'!$B:$B,MATCH("P050222|AB|I",'iCoA Register'!$R:$R,0)),"iCoA — at issue")&amp;", (24.11.2025) [PP]"</f>
        <v/>
      </c>
      <c r="I227" s="130" t="inlineStr">
        <is>
          <t>✓</t>
        </is>
      </c>
      <c r="J227" s="141" t="n"/>
      <c r="K227" s="140" t="n"/>
      <c r="L227" s="142" t="n"/>
      <c r="M227" s="141" t="n"/>
      <c r="N227" s="140" t="n"/>
      <c r="O227" s="142" t="n"/>
      <c r="P227" s="141" t="n"/>
      <c r="Q227" s="140" t="n"/>
      <c r="R227" s="142" t="n"/>
      <c r="S227" s="141" t="n"/>
      <c r="T227" s="140" t="n"/>
      <c r="U227" s="142" t="n"/>
      <c r="V227" s="141" t="n"/>
      <c r="W227" s="140" t="n"/>
      <c r="X227" s="142" t="n"/>
      <c r="Y227" s="141" t="n"/>
      <c r="Z227" s="140" t="n"/>
      <c r="AA227" s="142" t="n"/>
      <c r="AB227" s="141" t="n"/>
      <c r="AC227" s="140" t="n"/>
      <c r="AD227" s="140" t="n"/>
      <c r="AE227" s="140" t="n"/>
      <c r="AF227" s="140" t="n"/>
      <c r="AG227" s="142" t="n"/>
      <c r="AH227" s="141" t="n"/>
      <c r="AI227" s="140" t="n"/>
      <c r="AJ227" s="140" t="n"/>
      <c r="AK227" s="142" t="n"/>
      <c r="AL227" s="141" t="n"/>
      <c r="AM227" s="140" t="n"/>
      <c r="AN227" s="140" t="n"/>
      <c r="AO227" s="140" t="n"/>
      <c r="AP227" s="142" t="n"/>
      <c r="AQ227" s="141" t="n"/>
      <c r="AR227" s="140" t="n"/>
      <c r="AS227" s="142" t="n"/>
    </row>
    <row r="228" ht="13" customHeight="1" s="70">
      <c r="A228" s="143" t="n"/>
      <c r="B228" s="144" t="n"/>
      <c r="C228" s="144" t="n"/>
      <c r="D228" s="145" t="n"/>
      <c r="E228" s="146" t="n"/>
      <c r="F228" s="147" t="n"/>
      <c r="G228" s="145" t="n"/>
      <c r="H228" s="146" t="n"/>
      <c r="I228" s="147" t="n"/>
      <c r="J228" s="145" t="n"/>
      <c r="K228" s="146" t="n"/>
      <c r="L228" s="147" t="n"/>
      <c r="M228" s="145" t="n"/>
      <c r="N228" s="146" t="n"/>
      <c r="O228" s="147" t="n"/>
      <c r="P228" s="145" t="n"/>
      <c r="Q228" s="146" t="n"/>
      <c r="R228" s="147" t="n"/>
      <c r="S228" s="145" t="n"/>
      <c r="T228" s="146" t="n"/>
      <c r="U228" s="147" t="n"/>
      <c r="V228" s="145" t="n"/>
      <c r="W228" s="146" t="n"/>
      <c r="X228" s="147" t="n"/>
      <c r="Y228" s="145" t="n"/>
      <c r="Z228" s="146" t="n"/>
      <c r="AA228" s="147" t="n"/>
      <c r="AB228" s="145" t="n"/>
      <c r="AC228" s="146" t="n"/>
      <c r="AD228" s="146" t="n"/>
      <c r="AE228" s="146" t="n"/>
      <c r="AF228" s="146" t="n"/>
      <c r="AG228" s="147" t="n"/>
      <c r="AH228" s="145" t="n"/>
      <c r="AI228" s="146" t="n"/>
      <c r="AJ228" s="146" t="n"/>
      <c r="AK228" s="147" t="n"/>
      <c r="AL228" s="145" t="n"/>
      <c r="AM228" s="146" t="n"/>
      <c r="AN228" s="146" t="n"/>
      <c r="AO228" s="146" t="n"/>
      <c r="AP228" s="147" t="n"/>
      <c r="AQ228" s="145" t="n"/>
      <c r="AR228" s="146" t="n"/>
      <c r="AS228" s="147" t="n"/>
    </row>
    <row r="229" ht="14" customHeight="1" s="70">
      <c r="A229" s="125" t="inlineStr">
        <is>
          <t>CJ072501</t>
        </is>
      </c>
      <c r="B229" s="126" t="inlineStr">
        <is>
          <t>P050252</t>
        </is>
      </c>
      <c r="C229" s="127" t="inlineStr">
        <is>
          <t>✓ COMPLETE
2 testing instances
• 1 document(s) on file, not credited</t>
        </is>
      </c>
      <c r="D229" s="128" t="inlineStr">
        <is>
          <t>Conforms</t>
        </is>
      </c>
      <c r="E229" s="129">
        <f>IFERROR(INDEX('iCoA Register'!$B:$B,MATCH("P050252|AB|I",'iCoA Register'!$R:$R,0)),"iCoA — at issue")&amp;", (27.11.2025) [PP]"</f>
        <v/>
      </c>
      <c r="F229" s="130" t="inlineStr">
        <is>
          <t>✓</t>
        </is>
      </c>
      <c r="G229" s="128" t="inlineStr">
        <is>
          <t>Conforms</t>
        </is>
      </c>
      <c r="H229" s="129">
        <f>IFERROR(INDEX('iCoA Register'!$B:$B,MATCH("P050252|AB|I",'iCoA Register'!$R:$R,0)),"iCoA — at issue")&amp;", (27.11.2025) [PP]"</f>
        <v/>
      </c>
      <c r="I229" s="130" t="inlineStr">
        <is>
          <t>✓</t>
        </is>
      </c>
      <c r="J229" s="128" t="inlineStr">
        <is>
          <t>Conforms (ImB spec.)</t>
        </is>
      </c>
      <c r="K229" s="129" t="inlineStr">
        <is>
          <t>ППК25367, (28.11.2025) [CNP]</t>
        </is>
      </c>
      <c r="L229" s="130" t="inlineStr">
        <is>
          <t>✓</t>
        </is>
      </c>
      <c r="M229" s="128" t="inlineStr">
        <is>
          <t>23.70</t>
        </is>
      </c>
      <c r="N229" s="129" t="inlineStr">
        <is>
          <t>ППК25367, (28.11.2025) [CNP]</t>
        </is>
      </c>
      <c r="O229" s="130" t="inlineStr">
        <is>
          <t>✓</t>
        </is>
      </c>
      <c r="P229" s="128" t="inlineStr">
        <is>
          <t>0.09</t>
        </is>
      </c>
      <c r="Q229" s="129" t="inlineStr">
        <is>
          <t>ППК25367, (28.11.2025) [CNP]</t>
        </is>
      </c>
      <c r="R229" s="130" t="inlineStr">
        <is>
          <t>✓</t>
        </is>
      </c>
      <c r="S229" s="128" t="inlineStr">
        <is>
          <t>BLQ ᴰ</t>
        </is>
      </c>
      <c r="T229" s="129" t="inlineStr">
        <is>
          <t>ППК25367, (28.11.2025) [CNP]</t>
        </is>
      </c>
      <c r="U229" s="130" t="inlineStr">
        <is>
          <t>✓</t>
        </is>
      </c>
      <c r="V229" s="128" t="inlineStr">
        <is>
          <t>Conforms</t>
        </is>
      </c>
      <c r="W229" s="129">
        <f>IFERROR(INDEX('iCoA Register'!$B:$B,MATCH("P050252|FM|I",'iCoA Register'!$R:$R,0)),"iCoA — at issue")&amp;", (27.11.2025) [PP]"</f>
        <v/>
      </c>
      <c r="X229" s="130" t="inlineStr">
        <is>
          <t>✓</t>
        </is>
      </c>
      <c r="Y229" s="128" t="inlineStr">
        <is>
          <t>8.22</t>
        </is>
      </c>
      <c r="Z229" s="129" t="inlineStr">
        <is>
          <t>ППК25367, (28.11.2025) [CNP]</t>
        </is>
      </c>
      <c r="AA229" s="130" t="inlineStr">
        <is>
          <t>✓</t>
        </is>
      </c>
      <c r="AB229" s="128" t="inlineStr">
        <is>
          <t>4.5×10³</t>
        </is>
      </c>
      <c r="AC229" s="134" t="inlineStr">
        <is>
          <t>3.5×10³</t>
        </is>
      </c>
      <c r="AD229" s="134" t="inlineStr">
        <is>
          <t>&lt;10</t>
        </is>
      </c>
      <c r="AE229" s="134" t="inlineStr">
        <is>
          <t>Одговара</t>
        </is>
      </c>
      <c r="AF229" s="134" t="inlineStr">
        <is>
          <t>Одговара</t>
        </is>
      </c>
      <c r="AG229" s="130" t="inlineStr">
        <is>
          <t>✓</t>
        </is>
      </c>
      <c r="AH229" s="128" t="inlineStr">
        <is>
          <t>n.r.</t>
        </is>
      </c>
      <c r="AI229" s="134" t="inlineStr">
        <is>
          <t>&lt;2</t>
        </is>
      </c>
      <c r="AJ229" s="134" t="inlineStr">
        <is>
          <t>n.r.</t>
        </is>
      </c>
      <c r="AK229" s="130" t="inlineStr">
        <is>
          <t>✓</t>
        </is>
      </c>
      <c r="AL229" s="128" t="inlineStr">
        <is>
          <t>0.013</t>
        </is>
      </c>
      <c r="AM229" s="134" t="inlineStr">
        <is>
          <t>0.004</t>
        </is>
      </c>
      <c r="AN229" s="134" t="inlineStr">
        <is>
          <t>0.011</t>
        </is>
      </c>
      <c r="AO229" s="134" t="inlineStr">
        <is>
          <t>0.002</t>
        </is>
      </c>
      <c r="AP229" s="130" t="inlineStr">
        <is>
          <t>✓</t>
        </is>
      </c>
      <c r="AQ229" s="128" t="inlineStr">
        <is>
          <t>Н.д.</t>
        </is>
      </c>
      <c r="AR229" s="129" t="inlineStr">
        <is>
          <t>5697-2025, (02.12.2025) [IJZ]</t>
        </is>
      </c>
      <c r="AS229" s="130" t="inlineStr">
        <is>
          <t>✓</t>
        </is>
      </c>
    </row>
    <row r="230" ht="13" customHeight="1" s="70">
      <c r="A230" s="135" t="n"/>
      <c r="D230" s="136" t="n"/>
      <c r="F230" s="137" t="n"/>
      <c r="G230" s="136" t="n"/>
      <c r="I230" s="137" t="n"/>
      <c r="J230" s="136" t="n"/>
      <c r="L230" s="137" t="n"/>
      <c r="M230" s="136" t="n"/>
      <c r="O230" s="137" t="n"/>
      <c r="P230" s="136" t="n"/>
      <c r="R230" s="137" t="n"/>
      <c r="S230" s="136" t="n"/>
      <c r="U230" s="137" t="n"/>
      <c r="V230" s="136" t="n"/>
      <c r="X230" s="137" t="n"/>
      <c r="Y230" s="136" t="n"/>
      <c r="AA230" s="137" t="n"/>
      <c r="AB230" s="138" t="inlineStr">
        <is>
          <t>1218-2169-25, (01.12.2025) [IJZ-MB]</t>
        </is>
      </c>
      <c r="AG230" s="137" t="n"/>
      <c r="AH230" s="138" t="inlineStr">
        <is>
          <t>5697-2025, (02.12.2025) [IJZ]</t>
        </is>
      </c>
      <c r="AK230" s="137" t="n"/>
      <c r="AL230" s="138" t="inlineStr">
        <is>
          <t>5697-2025, (02.12.2025) [IJZ]</t>
        </is>
      </c>
      <c r="AP230" s="137" t="n"/>
      <c r="AQ230" s="136" t="n"/>
      <c r="AS230" s="137" t="n"/>
    </row>
    <row r="231" ht="14" customHeight="1" s="70">
      <c r="A231" s="139" t="n"/>
      <c r="B231" s="140" t="n"/>
      <c r="D231" s="141" t="n"/>
      <c r="E231" s="140" t="n"/>
      <c r="F231" s="142" t="n"/>
      <c r="G231" s="131" t="inlineStr">
        <is>
          <t>not on this certificate</t>
        </is>
      </c>
      <c r="H231" s="132" t="inlineStr">
        <is>
          <t>ППК25367, (28.11.2025) [CNP] · on file, not credited</t>
        </is>
      </c>
      <c r="I231" s="133" t="inlineStr">
        <is>
          <t>•</t>
        </is>
      </c>
      <c r="J231" s="141" t="n"/>
      <c r="K231" s="140" t="n"/>
      <c r="L231" s="142" t="n"/>
      <c r="M231" s="141" t="n"/>
      <c r="N231" s="140" t="n"/>
      <c r="O231" s="142" t="n"/>
      <c r="P231" s="141" t="n"/>
      <c r="Q231" s="140" t="n"/>
      <c r="R231" s="142" t="n"/>
      <c r="S231" s="141" t="n"/>
      <c r="T231" s="140" t="n"/>
      <c r="U231" s="142" t="n"/>
      <c r="V231" s="141" t="n"/>
      <c r="W231" s="140" t="n"/>
      <c r="X231" s="142" t="n"/>
      <c r="Y231" s="141" t="n"/>
      <c r="Z231" s="140" t="n"/>
      <c r="AA231" s="142" t="n"/>
      <c r="AB231" s="128" t="inlineStr">
        <is>
          <t>&lt;10</t>
        </is>
      </c>
      <c r="AC231" s="134" t="inlineStr">
        <is>
          <t>&lt;10</t>
        </is>
      </c>
      <c r="AD231" s="134" t="inlineStr">
        <is>
          <t>&lt;10</t>
        </is>
      </c>
      <c r="AE231" s="134" t="inlineStr">
        <is>
          <t>absent</t>
        </is>
      </c>
      <c r="AF231" s="134" t="inlineStr">
        <is>
          <t>absent</t>
        </is>
      </c>
      <c r="AG231" s="130" t="inlineStr">
        <is>
          <t>✓</t>
        </is>
      </c>
      <c r="AH231" s="141" t="n"/>
      <c r="AI231" s="140" t="n"/>
      <c r="AJ231" s="140" t="n"/>
      <c r="AK231" s="142" t="n"/>
      <c r="AL231" s="141" t="n"/>
      <c r="AM231" s="140" t="n"/>
      <c r="AN231" s="140" t="n"/>
      <c r="AO231" s="140" t="n"/>
      <c r="AP231" s="142" t="n"/>
      <c r="AQ231" s="141" t="n"/>
      <c r="AR231" s="140" t="n"/>
      <c r="AS231" s="142" t="n"/>
    </row>
    <row r="232" ht="13" customHeight="1" s="70">
      <c r="A232" s="143" t="n"/>
      <c r="B232" s="144" t="n"/>
      <c r="C232" s="144" t="n"/>
      <c r="D232" s="145" t="n"/>
      <c r="E232" s="146" t="n"/>
      <c r="F232" s="147" t="n"/>
      <c r="G232" s="145" t="n"/>
      <c r="H232" s="146" t="n"/>
      <c r="I232" s="147" t="n"/>
      <c r="J232" s="145" t="n"/>
      <c r="K232" s="146" t="n"/>
      <c r="L232" s="147" t="n"/>
      <c r="M232" s="145" t="n"/>
      <c r="N232" s="146" t="n"/>
      <c r="O232" s="147" t="n"/>
      <c r="P232" s="145" t="n"/>
      <c r="Q232" s="146" t="n"/>
      <c r="R232" s="147" t="n"/>
      <c r="S232" s="145" t="n"/>
      <c r="T232" s="146" t="n"/>
      <c r="U232" s="147" t="n"/>
      <c r="V232" s="145" t="n"/>
      <c r="W232" s="146" t="n"/>
      <c r="X232" s="147" t="n"/>
      <c r="Y232" s="145" t="n"/>
      <c r="Z232" s="146" t="n"/>
      <c r="AA232" s="147" t="n"/>
      <c r="AB232" s="148" t="inlineStr">
        <is>
          <t>556-1087-26, (01.09.2026) [IJZ-MB]</t>
        </is>
      </c>
      <c r="AC232" s="146" t="n"/>
      <c r="AD232" s="146" t="n"/>
      <c r="AE232" s="146" t="n"/>
      <c r="AF232" s="146" t="n"/>
      <c r="AG232" s="147" t="n"/>
      <c r="AH232" s="145" t="n"/>
      <c r="AI232" s="146" t="n"/>
      <c r="AJ232" s="146" t="n"/>
      <c r="AK232" s="147" t="n"/>
      <c r="AL232" s="145" t="n"/>
      <c r="AM232" s="146" t="n"/>
      <c r="AN232" s="146" t="n"/>
      <c r="AO232" s="146" t="n"/>
      <c r="AP232" s="147" t="n"/>
      <c r="AQ232" s="145" t="n"/>
      <c r="AR232" s="146" t="n"/>
      <c r="AS232" s="147" t="n"/>
    </row>
    <row r="233" ht="14" customHeight="1" s="70">
      <c r="A233" s="125" t="inlineStr">
        <is>
          <t>WC072501</t>
        </is>
      </c>
      <c r="B233" s="126" t="inlineStr">
        <is>
          <t>P050262</t>
        </is>
      </c>
      <c r="C233" s="127" t="inlineStr">
        <is>
          <t>✓ COMPLETE
2 testing instances
• 1 document(s) on file, not credited</t>
        </is>
      </c>
      <c r="D233" s="128" t="inlineStr">
        <is>
          <t>Conforms</t>
        </is>
      </c>
      <c r="E233" s="129">
        <f>IFERROR(INDEX('iCoA Register'!$B:$B,MATCH("P050262|AB|I",'iCoA Register'!$R:$R,0)),"iCoA — at issue")&amp;", (01.12.2025) [PP]"</f>
        <v/>
      </c>
      <c r="F233" s="130" t="inlineStr">
        <is>
          <t>✓</t>
        </is>
      </c>
      <c r="G233" s="131" t="inlineStr">
        <is>
          <t>not on this certificate</t>
        </is>
      </c>
      <c r="H233" s="132" t="inlineStr">
        <is>
          <t>ППК25369, (28.11.2025) [CNP] · on file, not credited</t>
        </is>
      </c>
      <c r="I233" s="133" t="inlineStr">
        <is>
          <t>•</t>
        </is>
      </c>
      <c r="J233" s="128" t="inlineStr">
        <is>
          <t>Conforms (ImB spec.)</t>
        </is>
      </c>
      <c r="K233" s="129" t="inlineStr">
        <is>
          <t>ППК25369, (28.11.2025) [CNP]</t>
        </is>
      </c>
      <c r="L233" s="130" t="inlineStr">
        <is>
          <t>✓</t>
        </is>
      </c>
      <c r="M233" s="128" t="inlineStr">
        <is>
          <t>22.11</t>
        </is>
      </c>
      <c r="N233" s="129" t="inlineStr">
        <is>
          <t>ППК25369, (28.11.2025) [CNP]</t>
        </is>
      </c>
      <c r="O233" s="130" t="inlineStr">
        <is>
          <t>✓</t>
        </is>
      </c>
      <c r="P233" s="128" t="inlineStr">
        <is>
          <t>0.06</t>
        </is>
      </c>
      <c r="Q233" s="129" t="inlineStr">
        <is>
          <t>ППК25369, (28.11.2025) [CNP]</t>
        </is>
      </c>
      <c r="R233" s="130" t="inlineStr">
        <is>
          <t>✓</t>
        </is>
      </c>
      <c r="S233" s="128" t="inlineStr">
        <is>
          <t>0.01 ᴰ</t>
        </is>
      </c>
      <c r="T233" s="129" t="inlineStr">
        <is>
          <t>ППК25369, (28.11.2025) [CNP]</t>
        </is>
      </c>
      <c r="U233" s="130" t="inlineStr">
        <is>
          <t>✓</t>
        </is>
      </c>
      <c r="V233" s="128" t="inlineStr">
        <is>
          <t>Conforms</t>
        </is>
      </c>
      <c r="W233" s="129">
        <f>IFERROR(INDEX('iCoA Register'!$B:$B,MATCH("P050262|FM|I",'iCoA Register'!$R:$R,0)),"iCoA — at issue")&amp;", (01.12.2025) [PP]"</f>
        <v/>
      </c>
      <c r="X233" s="130" t="inlineStr">
        <is>
          <t>✓</t>
        </is>
      </c>
      <c r="Y233" s="128" t="inlineStr">
        <is>
          <t>8.94</t>
        </is>
      </c>
      <c r="Z233" s="129" t="inlineStr">
        <is>
          <t>ППК25369, (28.11.2025) [CNP]</t>
        </is>
      </c>
      <c r="AA233" s="130" t="inlineStr">
        <is>
          <t>✓</t>
        </is>
      </c>
      <c r="AB233" s="128" t="inlineStr">
        <is>
          <t>100</t>
        </is>
      </c>
      <c r="AC233" s="134" t="inlineStr">
        <is>
          <t>90</t>
        </is>
      </c>
      <c r="AD233" s="134" t="inlineStr">
        <is>
          <t>&lt;10</t>
        </is>
      </c>
      <c r="AE233" s="134" t="inlineStr">
        <is>
          <t>Одговара</t>
        </is>
      </c>
      <c r="AF233" s="134" t="inlineStr">
        <is>
          <t>Одговара</t>
        </is>
      </c>
      <c r="AG233" s="130" t="inlineStr">
        <is>
          <t>✓</t>
        </is>
      </c>
      <c r="AH233" s="128" t="inlineStr">
        <is>
          <t>n.r.</t>
        </is>
      </c>
      <c r="AI233" s="134" t="inlineStr">
        <is>
          <t>&lt;2</t>
        </is>
      </c>
      <c r="AJ233" s="134" t="inlineStr">
        <is>
          <t>n.r.</t>
        </is>
      </c>
      <c r="AK233" s="130" t="inlineStr">
        <is>
          <t>✓</t>
        </is>
      </c>
      <c r="AL233" s="128" t="inlineStr">
        <is>
          <t>0.023</t>
        </is>
      </c>
      <c r="AM233" s="134" t="inlineStr">
        <is>
          <t>0.005</t>
        </is>
      </c>
      <c r="AN233" s="134" t="inlineStr">
        <is>
          <t>0.006</t>
        </is>
      </c>
      <c r="AO233" s="134" t="inlineStr">
        <is>
          <t>0.01</t>
        </is>
      </c>
      <c r="AP233" s="130" t="inlineStr">
        <is>
          <t>✓</t>
        </is>
      </c>
      <c r="AQ233" s="128" t="inlineStr">
        <is>
          <t>≤ LOQ (all 29 compounds)</t>
        </is>
      </c>
      <c r="AR233" s="129" t="inlineStr">
        <is>
          <t>5699-2025, (02.12.2025) [IJZ]</t>
        </is>
      </c>
      <c r="AS233" s="130" t="inlineStr">
        <is>
          <t>✓</t>
        </is>
      </c>
    </row>
    <row r="234" ht="13" customHeight="1" s="70">
      <c r="A234" s="135" t="n"/>
      <c r="D234" s="136" t="n"/>
      <c r="F234" s="137" t="n"/>
      <c r="G234" s="136" t="n"/>
      <c r="I234" s="137" t="n"/>
      <c r="J234" s="136" t="n"/>
      <c r="L234" s="137" t="n"/>
      <c r="M234" s="136" t="n"/>
      <c r="O234" s="137" t="n"/>
      <c r="P234" s="136" t="n"/>
      <c r="R234" s="137" t="n"/>
      <c r="S234" s="136" t="n"/>
      <c r="U234" s="137" t="n"/>
      <c r="V234" s="136" t="n"/>
      <c r="X234" s="137" t="n"/>
      <c r="Y234" s="136" t="n"/>
      <c r="AA234" s="137" t="n"/>
      <c r="AB234" s="138" t="inlineStr">
        <is>
          <t>1221-2172-25, (01.12.2025) [IJZ-MB]</t>
        </is>
      </c>
      <c r="AG234" s="137" t="n"/>
      <c r="AH234" s="138" t="inlineStr">
        <is>
          <t>5699-2025, (02.12.2025) [IJZ]</t>
        </is>
      </c>
      <c r="AK234" s="137" t="n"/>
      <c r="AL234" s="138" t="inlineStr">
        <is>
          <t>5699-2025, (02.12.2025) [IJZ]</t>
        </is>
      </c>
      <c r="AP234" s="137" t="n"/>
      <c r="AQ234" s="136" t="n"/>
      <c r="AS234" s="137" t="n"/>
    </row>
    <row r="235" ht="14" customHeight="1" s="70">
      <c r="A235" s="139" t="n"/>
      <c r="B235" s="140" t="n"/>
      <c r="D235" s="141" t="n"/>
      <c r="E235" s="140" t="n"/>
      <c r="F235" s="142" t="n"/>
      <c r="G235" s="128" t="inlineStr">
        <is>
          <t>Conforms</t>
        </is>
      </c>
      <c r="H235" s="129">
        <f>IFERROR(INDEX('iCoA Register'!$B:$B,MATCH("P050262|AB|I",'iCoA Register'!$R:$R,0)),"iCoA — at issue")&amp;", (01.12.2025) [PP]"</f>
        <v/>
      </c>
      <c r="I235" s="130" t="inlineStr">
        <is>
          <t>✓</t>
        </is>
      </c>
      <c r="J235" s="141" t="n"/>
      <c r="K235" s="140" t="n"/>
      <c r="L235" s="142" t="n"/>
      <c r="M235" s="141" t="n"/>
      <c r="N235" s="140" t="n"/>
      <c r="O235" s="142" t="n"/>
      <c r="P235" s="141" t="n"/>
      <c r="Q235" s="140" t="n"/>
      <c r="R235" s="142" t="n"/>
      <c r="S235" s="141" t="n"/>
      <c r="T235" s="140" t="n"/>
      <c r="U235" s="142" t="n"/>
      <c r="V235" s="141" t="n"/>
      <c r="W235" s="140" t="n"/>
      <c r="X235" s="142" t="n"/>
      <c r="Y235" s="141" t="n"/>
      <c r="Z235" s="140" t="n"/>
      <c r="AA235" s="142" t="n"/>
      <c r="AB235" s="128" t="inlineStr">
        <is>
          <t>&lt;10</t>
        </is>
      </c>
      <c r="AC235" s="134" t="inlineStr">
        <is>
          <t>&lt;10</t>
        </is>
      </c>
      <c r="AD235" s="134" t="inlineStr">
        <is>
          <t>&lt;10</t>
        </is>
      </c>
      <c r="AE235" s="134" t="inlineStr">
        <is>
          <t>absent</t>
        </is>
      </c>
      <c r="AF235" s="134" t="inlineStr">
        <is>
          <t>absent</t>
        </is>
      </c>
      <c r="AG235" s="130" t="inlineStr">
        <is>
          <t>✓</t>
        </is>
      </c>
      <c r="AH235" s="141" t="n"/>
      <c r="AI235" s="140" t="n"/>
      <c r="AJ235" s="140" t="n"/>
      <c r="AK235" s="142" t="n"/>
      <c r="AL235" s="141" t="n"/>
      <c r="AM235" s="140" t="n"/>
      <c r="AN235" s="140" t="n"/>
      <c r="AO235" s="140" t="n"/>
      <c r="AP235" s="142" t="n"/>
      <c r="AQ235" s="141" t="n"/>
      <c r="AR235" s="140" t="n"/>
      <c r="AS235" s="142" t="n"/>
    </row>
    <row r="236" ht="13" customHeight="1" s="70">
      <c r="A236" s="143" t="n"/>
      <c r="B236" s="144" t="n"/>
      <c r="C236" s="144" t="n"/>
      <c r="D236" s="145" t="n"/>
      <c r="E236" s="146" t="n"/>
      <c r="F236" s="147" t="n"/>
      <c r="G236" s="145" t="n"/>
      <c r="H236" s="146" t="n"/>
      <c r="I236" s="147" t="n"/>
      <c r="J236" s="145" t="n"/>
      <c r="K236" s="146" t="n"/>
      <c r="L236" s="147" t="n"/>
      <c r="M236" s="145" t="n"/>
      <c r="N236" s="146" t="n"/>
      <c r="O236" s="147" t="n"/>
      <c r="P236" s="145" t="n"/>
      <c r="Q236" s="146" t="n"/>
      <c r="R236" s="147" t="n"/>
      <c r="S236" s="145" t="n"/>
      <c r="T236" s="146" t="n"/>
      <c r="U236" s="147" t="n"/>
      <c r="V236" s="145" t="n"/>
      <c r="W236" s="146" t="n"/>
      <c r="X236" s="147" t="n"/>
      <c r="Y236" s="145" t="n"/>
      <c r="Z236" s="146" t="n"/>
      <c r="AA236" s="147" t="n"/>
      <c r="AB236" s="148" t="inlineStr">
        <is>
          <t>555-1086-26, (01.09.2026) [IJZ-MB]</t>
        </is>
      </c>
      <c r="AC236" s="146" t="n"/>
      <c r="AD236" s="146" t="n"/>
      <c r="AE236" s="146" t="n"/>
      <c r="AF236" s="146" t="n"/>
      <c r="AG236" s="147" t="n"/>
      <c r="AH236" s="145" t="n"/>
      <c r="AI236" s="146" t="n"/>
      <c r="AJ236" s="146" t="n"/>
      <c r="AK236" s="147" t="n"/>
      <c r="AL236" s="145" t="n"/>
      <c r="AM236" s="146" t="n"/>
      <c r="AN236" s="146" t="n"/>
      <c r="AO236" s="146" t="n"/>
      <c r="AP236" s="147" t="n"/>
      <c r="AQ236" s="145" t="n"/>
      <c r="AR236" s="146" t="n"/>
      <c r="AS236" s="147" t="n"/>
    </row>
    <row r="237" ht="14" customHeight="1" s="70">
      <c r="A237" s="125" t="inlineStr">
        <is>
          <t>PM072501</t>
        </is>
      </c>
      <c r="B237" s="126" t="inlineStr">
        <is>
          <t>P050272</t>
        </is>
      </c>
      <c r="C237" s="149" t="inlineStr">
        <is>
          <t>⚠ 1 NO RESULT
(0 no cert / 1 cert w/o result)
2 testing instances
• 1 document(s) on file, not credited</t>
        </is>
      </c>
      <c r="D237" s="128" t="inlineStr">
        <is>
          <t>Conforms</t>
        </is>
      </c>
      <c r="E237" s="129">
        <f>IFERROR(INDEX('iCoA Register'!$B:$B,MATCH("P050272|AB|I",'iCoA Register'!$R:$R,0)),"iCoA — at issue")&amp;", (02.12.2025) [PP]"</f>
        <v/>
      </c>
      <c r="F237" s="130" t="inlineStr">
        <is>
          <t>✓</t>
        </is>
      </c>
      <c r="G237" s="131" t="inlineStr">
        <is>
          <t>not ingested</t>
        </is>
      </c>
      <c r="H237" s="132" t="inlineStr">
        <is>
          <t>ППК25368, (28.11.2025) [CNP] · on file, not credited</t>
        </is>
      </c>
      <c r="I237" s="133" t="inlineStr">
        <is>
          <t>•</t>
        </is>
      </c>
      <c r="J237" s="128" t="inlineStr">
        <is>
          <t>Conforms (ImB spec.) ᴿ</t>
        </is>
      </c>
      <c r="K237" s="129" t="inlineStr">
        <is>
          <t>ППК25368, (28.11.2025) [CNP]</t>
        </is>
      </c>
      <c r="L237" s="130" t="inlineStr">
        <is>
          <t>✓</t>
        </is>
      </c>
      <c r="M237" s="128" t="inlineStr">
        <is>
          <t>10.01 ᴿ</t>
        </is>
      </c>
      <c r="N237" s="129" t="inlineStr">
        <is>
          <t>ППК25368, (28.11.2025) [CNP]</t>
        </is>
      </c>
      <c r="O237" s="130" t="inlineStr">
        <is>
          <t>✓</t>
        </is>
      </c>
      <c r="P237" s="128" t="inlineStr">
        <is>
          <t>0.04 ᴿ</t>
        </is>
      </c>
      <c r="Q237" s="129" t="inlineStr">
        <is>
          <t>ППК25368, (28.11.2025) [CNP]</t>
        </is>
      </c>
      <c r="R237" s="130" t="inlineStr">
        <is>
          <t>✓</t>
        </is>
      </c>
      <c r="S237" s="158" t="inlineStr">
        <is>
          <t>not ingested</t>
        </is>
      </c>
      <c r="T237" s="159" t="inlineStr">
        <is>
          <t>ППК25368, (28.11.2025) [CNP]</t>
        </is>
      </c>
      <c r="U237" s="160" t="inlineStr">
        <is>
          <t>✗</t>
        </is>
      </c>
      <c r="V237" s="128" t="inlineStr">
        <is>
          <t>Conforms</t>
        </is>
      </c>
      <c r="W237" s="129">
        <f>IFERROR(INDEX('iCoA Register'!$B:$B,MATCH("P050272|FM|I",'iCoA Register'!$R:$R,0)),"iCoA — at issue")&amp;", (02.12.2025) [PP]"</f>
        <v/>
      </c>
      <c r="X237" s="130" t="inlineStr">
        <is>
          <t>✓</t>
        </is>
      </c>
      <c r="Y237" s="128" t="inlineStr">
        <is>
          <t>9.52 ᴿ</t>
        </is>
      </c>
      <c r="Z237" s="129" t="inlineStr">
        <is>
          <t>ППК25368, (28.11.2025) [CNP]</t>
        </is>
      </c>
      <c r="AA237" s="130" t="inlineStr">
        <is>
          <t>✓</t>
        </is>
      </c>
      <c r="AB237" s="128" t="inlineStr">
        <is>
          <t>110 ᴿ</t>
        </is>
      </c>
      <c r="AC237" s="134" t="inlineStr">
        <is>
          <t>200 ᴿ</t>
        </is>
      </c>
      <c r="AD237" s="134" t="inlineStr">
        <is>
          <t>&lt;10 ᴿ</t>
        </is>
      </c>
      <c r="AE237" s="134" t="inlineStr">
        <is>
          <t>absent ᴿ</t>
        </is>
      </c>
      <c r="AF237" s="134" t="inlineStr">
        <is>
          <t>absent ᴿ</t>
        </is>
      </c>
      <c r="AG237" s="130" t="inlineStr">
        <is>
          <t>✓</t>
        </is>
      </c>
      <c r="AH237" s="128" t="inlineStr">
        <is>
          <t>n.r.</t>
        </is>
      </c>
      <c r="AI237" s="134" t="inlineStr">
        <is>
          <t>&lt;2 ᴿ</t>
        </is>
      </c>
      <c r="AJ237" s="134" t="inlineStr">
        <is>
          <t>n.r.</t>
        </is>
      </c>
      <c r="AK237" s="130" t="inlineStr">
        <is>
          <t>✓</t>
        </is>
      </c>
      <c r="AL237" s="128" t="inlineStr">
        <is>
          <t>0.021 ᴿ</t>
        </is>
      </c>
      <c r="AM237" s="134" t="inlineStr">
        <is>
          <t>0.001 ᴿ</t>
        </is>
      </c>
      <c r="AN237" s="134" t="inlineStr">
        <is>
          <t>0.012 ᴿ</t>
        </is>
      </c>
      <c r="AO237" s="134" t="inlineStr">
        <is>
          <t>0.003 ᴿ</t>
        </is>
      </c>
      <c r="AP237" s="130" t="inlineStr">
        <is>
          <t>✓</t>
        </is>
      </c>
      <c r="AQ237" s="128" t="inlineStr">
        <is>
          <t>N.D. ᴿ</t>
        </is>
      </c>
      <c r="AR237" s="129" t="inlineStr">
        <is>
          <t>5698-2025, (02.12.2025) [IJZ]</t>
        </is>
      </c>
      <c r="AS237" s="130" t="inlineStr">
        <is>
          <t>✓</t>
        </is>
      </c>
    </row>
    <row r="238" ht="13" customHeight="1" s="70">
      <c r="A238" s="135" t="n"/>
      <c r="D238" s="136" t="n"/>
      <c r="F238" s="137" t="n"/>
      <c r="G238" s="136" t="n"/>
      <c r="I238" s="137" t="n"/>
      <c r="J238" s="136" t="n"/>
      <c r="L238" s="137" t="n"/>
      <c r="M238" s="136" t="n"/>
      <c r="O238" s="137" t="n"/>
      <c r="P238" s="136" t="n"/>
      <c r="R238" s="137" t="n"/>
      <c r="S238" s="136" t="n"/>
      <c r="U238" s="137" t="n"/>
      <c r="V238" s="136" t="n"/>
      <c r="X238" s="137" t="n"/>
      <c r="Y238" s="136" t="n"/>
      <c r="AA238" s="137" t="n"/>
      <c r="AB238" s="138" t="inlineStr">
        <is>
          <t>1220-2171-25, (01.12.2025) [IJZ-MB]</t>
        </is>
      </c>
      <c r="AG238" s="137" t="n"/>
      <c r="AH238" s="138" t="inlineStr">
        <is>
          <t>5698-2025, (02.12.2025) [IJZ]</t>
        </is>
      </c>
      <c r="AK238" s="137" t="n"/>
      <c r="AL238" s="138" t="inlineStr">
        <is>
          <t>5698-2025, (02.12.2025) [IJZ]</t>
        </is>
      </c>
      <c r="AP238" s="137" t="n"/>
      <c r="AQ238" s="136" t="n"/>
      <c r="AS238" s="137" t="n"/>
    </row>
    <row r="239" ht="14" customHeight="1" s="70">
      <c r="A239" s="139" t="n"/>
      <c r="B239" s="140" t="n"/>
      <c r="D239" s="141" t="n"/>
      <c r="E239" s="140" t="n"/>
      <c r="F239" s="142" t="n"/>
      <c r="G239" s="128" t="inlineStr">
        <is>
          <t>Conforms</t>
        </is>
      </c>
      <c r="H239" s="129">
        <f>IFERROR(INDEX('iCoA Register'!$B:$B,MATCH("P050272|AB|I",'iCoA Register'!$R:$R,0)),"iCoA — at issue")&amp;", (02.12.2025) [PP]"</f>
        <v/>
      </c>
      <c r="I239" s="130" t="inlineStr">
        <is>
          <t>✓</t>
        </is>
      </c>
      <c r="J239" s="141" t="n"/>
      <c r="K239" s="140" t="n"/>
      <c r="L239" s="142" t="n"/>
      <c r="M239" s="141" t="n"/>
      <c r="N239" s="140" t="n"/>
      <c r="O239" s="142" t="n"/>
      <c r="P239" s="141" t="n"/>
      <c r="Q239" s="140" t="n"/>
      <c r="R239" s="142" t="n"/>
      <c r="S239" s="141" t="n"/>
      <c r="T239" s="140" t="n"/>
      <c r="U239" s="142" t="n"/>
      <c r="V239" s="141" t="n"/>
      <c r="W239" s="140" t="n"/>
      <c r="X239" s="142" t="n"/>
      <c r="Y239" s="141" t="n"/>
      <c r="Z239" s="140" t="n"/>
      <c r="AA239" s="142" t="n"/>
      <c r="AB239" s="128" t="inlineStr">
        <is>
          <t>&lt;10</t>
        </is>
      </c>
      <c r="AC239" s="134" t="inlineStr">
        <is>
          <t>&lt;10</t>
        </is>
      </c>
      <c r="AD239" s="134" t="inlineStr">
        <is>
          <t>&lt;10</t>
        </is>
      </c>
      <c r="AE239" s="134" t="inlineStr">
        <is>
          <t>absent</t>
        </is>
      </c>
      <c r="AF239" s="134" t="inlineStr">
        <is>
          <t>absent</t>
        </is>
      </c>
      <c r="AG239" s="130" t="inlineStr">
        <is>
          <t>✓</t>
        </is>
      </c>
      <c r="AH239" s="141" t="n"/>
      <c r="AI239" s="140" t="n"/>
      <c r="AJ239" s="140" t="n"/>
      <c r="AK239" s="142" t="n"/>
      <c r="AL239" s="141" t="n"/>
      <c r="AM239" s="140" t="n"/>
      <c r="AN239" s="140" t="n"/>
      <c r="AO239" s="140" t="n"/>
      <c r="AP239" s="142" t="n"/>
      <c r="AQ239" s="141" t="n"/>
      <c r="AR239" s="140" t="n"/>
      <c r="AS239" s="142" t="n"/>
    </row>
    <row r="240" ht="13" customHeight="1" s="70">
      <c r="A240" s="143" t="n"/>
      <c r="B240" s="144" t="n"/>
      <c r="C240" s="144" t="n"/>
      <c r="D240" s="145" t="n"/>
      <c r="E240" s="146" t="n"/>
      <c r="F240" s="147" t="n"/>
      <c r="G240" s="145" t="n"/>
      <c r="H240" s="146" t="n"/>
      <c r="I240" s="147" t="n"/>
      <c r="J240" s="145" t="n"/>
      <c r="K240" s="146" t="n"/>
      <c r="L240" s="147" t="n"/>
      <c r="M240" s="145" t="n"/>
      <c r="N240" s="146" t="n"/>
      <c r="O240" s="147" t="n"/>
      <c r="P240" s="145" t="n"/>
      <c r="Q240" s="146" t="n"/>
      <c r="R240" s="147" t="n"/>
      <c r="S240" s="145" t="n"/>
      <c r="T240" s="146" t="n"/>
      <c r="U240" s="147" t="n"/>
      <c r="V240" s="145" t="n"/>
      <c r="W240" s="146" t="n"/>
      <c r="X240" s="147" t="n"/>
      <c r="Y240" s="145" t="n"/>
      <c r="Z240" s="146" t="n"/>
      <c r="AA240" s="147" t="n"/>
      <c r="AB240" s="148" t="inlineStr">
        <is>
          <t>554-1085-26, (01.09.2026) [IJZ-MB]</t>
        </is>
      </c>
      <c r="AC240" s="146" t="n"/>
      <c r="AD240" s="146" t="n"/>
      <c r="AE240" s="146" t="n"/>
      <c r="AF240" s="146" t="n"/>
      <c r="AG240" s="147" t="n"/>
      <c r="AH240" s="145" t="n"/>
      <c r="AI240" s="146" t="n"/>
      <c r="AJ240" s="146" t="n"/>
      <c r="AK240" s="147" t="n"/>
      <c r="AL240" s="145" t="n"/>
      <c r="AM240" s="146" t="n"/>
      <c r="AN240" s="146" t="n"/>
      <c r="AO240" s="146" t="n"/>
      <c r="AP240" s="147" t="n"/>
      <c r="AQ240" s="145" t="n"/>
      <c r="AR240" s="146" t="n"/>
      <c r="AS240" s="147" t="n"/>
    </row>
    <row r="241" ht="14" customHeight="1" s="70">
      <c r="A241" s="125" t="inlineStr">
        <is>
          <t>CLE072501</t>
        </is>
      </c>
      <c r="B241" s="126" t="inlineStr">
        <is>
          <t>P050282</t>
        </is>
      </c>
      <c r="C241" s="127" t="inlineStr">
        <is>
          <t>✓ COMPLETE
2 testing instances
• 1 document(s) on file, not credited</t>
        </is>
      </c>
      <c r="D241" s="128" t="inlineStr">
        <is>
          <t>Conforms</t>
        </is>
      </c>
      <c r="E241" s="129">
        <f>IFERROR(INDEX('iCoA Register'!$B:$B,MATCH("P050282|AB|I",'iCoA Register'!$R:$R,0)),"iCoA — at issue")&amp;", (03.12.2025) [PP]"</f>
        <v/>
      </c>
      <c r="F241" s="130" t="inlineStr">
        <is>
          <t>✓</t>
        </is>
      </c>
      <c r="G241" s="131" t="inlineStr">
        <is>
          <t>not on this certificate</t>
        </is>
      </c>
      <c r="H241" s="132" t="inlineStr">
        <is>
          <t>ППК25370, (28.11.2025) [CNP] · on file, not credited</t>
        </is>
      </c>
      <c r="I241" s="133" t="inlineStr">
        <is>
          <t>•</t>
        </is>
      </c>
      <c r="J241" s="128" t="inlineStr">
        <is>
          <t>Conforms (ImB spec.)</t>
        </is>
      </c>
      <c r="K241" s="129" t="inlineStr">
        <is>
          <t>ППК25370, (28.11.2025) [CNP]</t>
        </is>
      </c>
      <c r="L241" s="130" t="inlineStr">
        <is>
          <t>✓</t>
        </is>
      </c>
      <c r="M241" s="128" t="inlineStr">
        <is>
          <t>8.02</t>
        </is>
      </c>
      <c r="N241" s="129" t="inlineStr">
        <is>
          <t>ППК25370, (28.11.2025) [CNP]</t>
        </is>
      </c>
      <c r="O241" s="130" t="inlineStr">
        <is>
          <t>✓</t>
        </is>
      </c>
      <c r="P241" s="128" t="inlineStr">
        <is>
          <t>0.04</t>
        </is>
      </c>
      <c r="Q241" s="129" t="inlineStr">
        <is>
          <t>ППК25370, (28.11.2025) [CNP]</t>
        </is>
      </c>
      <c r="R241" s="130" t="inlineStr">
        <is>
          <t>✓</t>
        </is>
      </c>
      <c r="S241" s="128" t="inlineStr">
        <is>
          <t>BLQ ᴰ</t>
        </is>
      </c>
      <c r="T241" s="129" t="inlineStr">
        <is>
          <t>ППК25370, (28.11.2025) [CNP]</t>
        </is>
      </c>
      <c r="U241" s="130" t="inlineStr">
        <is>
          <t>✓</t>
        </is>
      </c>
      <c r="V241" s="128" t="inlineStr">
        <is>
          <t>Conforms</t>
        </is>
      </c>
      <c r="W241" s="129">
        <f>IFERROR(INDEX('iCoA Register'!$B:$B,MATCH("P050282|FM|I",'iCoA Register'!$R:$R,0)),"iCoA — at issue")&amp;", (03.12.2025) [PP]"</f>
        <v/>
      </c>
      <c r="X241" s="130" t="inlineStr">
        <is>
          <t>✓</t>
        </is>
      </c>
      <c r="Y241" s="128" t="inlineStr">
        <is>
          <t>9.68</t>
        </is>
      </c>
      <c r="Z241" s="129" t="inlineStr">
        <is>
          <t>ППК25370, (28.11.2025) [CNP]</t>
        </is>
      </c>
      <c r="AA241" s="130" t="inlineStr">
        <is>
          <t>✓</t>
        </is>
      </c>
      <c r="AB241" s="128" t="inlineStr">
        <is>
          <t>&lt;10</t>
        </is>
      </c>
      <c r="AC241" s="134" t="inlineStr">
        <is>
          <t>&lt;10</t>
        </is>
      </c>
      <c r="AD241" s="134" t="inlineStr">
        <is>
          <t>&lt;10</t>
        </is>
      </c>
      <c r="AE241" s="134" t="inlineStr">
        <is>
          <t>Одговара</t>
        </is>
      </c>
      <c r="AF241" s="134" t="inlineStr">
        <is>
          <t>Одговара</t>
        </is>
      </c>
      <c r="AG241" s="130" t="inlineStr">
        <is>
          <t>✓</t>
        </is>
      </c>
      <c r="AH241" s="128" t="inlineStr">
        <is>
          <t>n.r.</t>
        </is>
      </c>
      <c r="AI241" s="134" t="inlineStr">
        <is>
          <t>2.2</t>
        </is>
      </c>
      <c r="AJ241" s="134" t="inlineStr">
        <is>
          <t>n.r.</t>
        </is>
      </c>
      <c r="AK241" s="130" t="inlineStr">
        <is>
          <t>✓</t>
        </is>
      </c>
      <c r="AL241" s="128" t="inlineStr">
        <is>
          <t>0.032</t>
        </is>
      </c>
      <c r="AM241" s="134" t="inlineStr">
        <is>
          <t>0.002</t>
        </is>
      </c>
      <c r="AN241" s="134" t="inlineStr">
        <is>
          <t>0.013</t>
        </is>
      </c>
      <c r="AO241" s="134" t="inlineStr">
        <is>
          <t>0.021</t>
        </is>
      </c>
      <c r="AP241" s="130" t="inlineStr">
        <is>
          <t>✓</t>
        </is>
      </c>
      <c r="AQ241" s="128" t="inlineStr">
        <is>
          <t>≤ LOQ (all 27 compounds)</t>
        </is>
      </c>
      <c r="AR241" s="129" t="inlineStr">
        <is>
          <t>5700-2025, (02.12.2025) [IJZ]</t>
        </is>
      </c>
      <c r="AS241" s="130" t="inlineStr">
        <is>
          <t>✓</t>
        </is>
      </c>
    </row>
    <row r="242" ht="13" customHeight="1" s="70">
      <c r="A242" s="135" t="n"/>
      <c r="D242" s="136" t="n"/>
      <c r="F242" s="137" t="n"/>
      <c r="G242" s="136" t="n"/>
      <c r="I242" s="137" t="n"/>
      <c r="J242" s="136" t="n"/>
      <c r="L242" s="137" t="n"/>
      <c r="M242" s="136" t="n"/>
      <c r="O242" s="137" t="n"/>
      <c r="P242" s="136" t="n"/>
      <c r="R242" s="137" t="n"/>
      <c r="S242" s="136" t="n"/>
      <c r="U242" s="137" t="n"/>
      <c r="V242" s="136" t="n"/>
      <c r="X242" s="137" t="n"/>
      <c r="Y242" s="136" t="n"/>
      <c r="AA242" s="137" t="n"/>
      <c r="AB242" s="138" t="inlineStr">
        <is>
          <t>1219-2170-25, (01.12.2025) [IJZ-MB]</t>
        </is>
      </c>
      <c r="AG242" s="137" t="n"/>
      <c r="AH242" s="138" t="inlineStr">
        <is>
          <t>5700-2025, (02.12.2025) [IJZ]</t>
        </is>
      </c>
      <c r="AK242" s="137" t="n"/>
      <c r="AL242" s="138" t="inlineStr">
        <is>
          <t>5700-2025, (02.12.2025) [IJZ]</t>
        </is>
      </c>
      <c r="AP242" s="137" t="n"/>
      <c r="AQ242" s="136" t="n"/>
      <c r="AS242" s="137" t="n"/>
    </row>
    <row r="243" ht="14" customHeight="1" s="70">
      <c r="A243" s="139" t="n"/>
      <c r="B243" s="140" t="n"/>
      <c r="D243" s="141" t="n"/>
      <c r="E243" s="140" t="n"/>
      <c r="F243" s="142" t="n"/>
      <c r="G243" s="128" t="inlineStr">
        <is>
          <t>Conforms</t>
        </is>
      </c>
      <c r="H243" s="129">
        <f>IFERROR(INDEX('iCoA Register'!$B:$B,MATCH("P050282|AB|I",'iCoA Register'!$R:$R,0)),"iCoA — at issue")&amp;", (03.12.2025) [PP]"</f>
        <v/>
      </c>
      <c r="I243" s="130" t="inlineStr">
        <is>
          <t>✓</t>
        </is>
      </c>
      <c r="J243" s="141" t="n"/>
      <c r="K243" s="140" t="n"/>
      <c r="L243" s="142" t="n"/>
      <c r="M243" s="141" t="n"/>
      <c r="N243" s="140" t="n"/>
      <c r="O243" s="142" t="n"/>
      <c r="P243" s="141" t="n"/>
      <c r="Q243" s="140" t="n"/>
      <c r="R243" s="142" t="n"/>
      <c r="S243" s="141" t="n"/>
      <c r="T243" s="140" t="n"/>
      <c r="U243" s="142" t="n"/>
      <c r="V243" s="141" t="n"/>
      <c r="W243" s="140" t="n"/>
      <c r="X243" s="142" t="n"/>
      <c r="Y243" s="141" t="n"/>
      <c r="Z243" s="140" t="n"/>
      <c r="AA243" s="142" t="n"/>
      <c r="AB243" s="141" t="n"/>
      <c r="AC243" s="140" t="n"/>
      <c r="AD243" s="140" t="n"/>
      <c r="AE243" s="140" t="n"/>
      <c r="AF243" s="140" t="n"/>
      <c r="AG243" s="142" t="n"/>
      <c r="AH243" s="141" t="n"/>
      <c r="AI243" s="140" t="n"/>
      <c r="AJ243" s="140" t="n"/>
      <c r="AK243" s="142" t="n"/>
      <c r="AL243" s="141" t="n"/>
      <c r="AM243" s="140" t="n"/>
      <c r="AN243" s="140" t="n"/>
      <c r="AO243" s="140" t="n"/>
      <c r="AP243" s="142" t="n"/>
      <c r="AQ243" s="141" t="n"/>
      <c r="AR243" s="140" t="n"/>
      <c r="AS243" s="142" t="n"/>
    </row>
    <row r="244" ht="13" customHeight="1" s="70">
      <c r="A244" s="143" t="n"/>
      <c r="B244" s="144" t="n"/>
      <c r="C244" s="144" t="n"/>
      <c r="D244" s="145" t="n"/>
      <c r="E244" s="146" t="n"/>
      <c r="F244" s="147" t="n"/>
      <c r="G244" s="145" t="n"/>
      <c r="H244" s="146" t="n"/>
      <c r="I244" s="147" t="n"/>
      <c r="J244" s="145" t="n"/>
      <c r="K244" s="146" t="n"/>
      <c r="L244" s="147" t="n"/>
      <c r="M244" s="145" t="n"/>
      <c r="N244" s="146" t="n"/>
      <c r="O244" s="147" t="n"/>
      <c r="P244" s="145" t="n"/>
      <c r="Q244" s="146" t="n"/>
      <c r="R244" s="147" t="n"/>
      <c r="S244" s="145" t="n"/>
      <c r="T244" s="146" t="n"/>
      <c r="U244" s="147" t="n"/>
      <c r="V244" s="145" t="n"/>
      <c r="W244" s="146" t="n"/>
      <c r="X244" s="147" t="n"/>
      <c r="Y244" s="145" t="n"/>
      <c r="Z244" s="146" t="n"/>
      <c r="AA244" s="147" t="n"/>
      <c r="AB244" s="145" t="n"/>
      <c r="AC244" s="146" t="n"/>
      <c r="AD244" s="146" t="n"/>
      <c r="AE244" s="146" t="n"/>
      <c r="AF244" s="146" t="n"/>
      <c r="AG244" s="147" t="n"/>
      <c r="AH244" s="145" t="n"/>
      <c r="AI244" s="146" t="n"/>
      <c r="AJ244" s="146" t="n"/>
      <c r="AK244" s="147" t="n"/>
      <c r="AL244" s="145" t="n"/>
      <c r="AM244" s="146" t="n"/>
      <c r="AN244" s="146" t="n"/>
      <c r="AO244" s="146" t="n"/>
      <c r="AP244" s="147" t="n"/>
      <c r="AQ244" s="145" t="n"/>
      <c r="AR244" s="146" t="n"/>
      <c r="AS244" s="147" t="n"/>
    </row>
    <row r="245" ht="14" customHeight="1" s="70">
      <c r="A245" s="125" t="inlineStr">
        <is>
          <t>GP072501/1</t>
        </is>
      </c>
      <c r="B245" s="126" t="inlineStr">
        <is>
          <t>P050292</t>
        </is>
      </c>
      <c r="C245" s="127" t="inlineStr">
        <is>
          <t>✓ COMPLETE
2 testing instances
• 1 document(s) on file, not credited</t>
        </is>
      </c>
      <c r="D245" s="128" t="inlineStr">
        <is>
          <t>Conforms</t>
        </is>
      </c>
      <c r="E245" s="129">
        <f>IFERROR(INDEX('iCoA Register'!$B:$B,MATCH("P050292|AB|I",'iCoA Register'!$R:$R,0)),"iCoA — at issue")&amp;", (15.12.2025) [PP]"</f>
        <v/>
      </c>
      <c r="F245" s="130" t="inlineStr">
        <is>
          <t>✓</t>
        </is>
      </c>
      <c r="G245" s="131" t="inlineStr">
        <is>
          <t>not on this certificate</t>
        </is>
      </c>
      <c r="H245" s="132" t="inlineStr">
        <is>
          <t>ППК25378, (12.12.2025) [CNP] · on file, not credited</t>
        </is>
      </c>
      <c r="I245" s="133" t="inlineStr">
        <is>
          <t>•</t>
        </is>
      </c>
      <c r="J245" s="128" t="inlineStr">
        <is>
          <t>Conforms (ImB spec.)</t>
        </is>
      </c>
      <c r="K245" s="129" t="inlineStr">
        <is>
          <t>ППК25378, (12.12.2025) [CNP]</t>
        </is>
      </c>
      <c r="L245" s="130" t="inlineStr">
        <is>
          <t>✓</t>
        </is>
      </c>
      <c r="M245" s="128" t="inlineStr">
        <is>
          <t>21.36</t>
        </is>
      </c>
      <c r="N245" s="129" t="inlineStr">
        <is>
          <t>ППК25378, (12.12.2025) [CNP]</t>
        </is>
      </c>
      <c r="O245" s="130" t="inlineStr">
        <is>
          <t>✓</t>
        </is>
      </c>
      <c r="P245" s="128" t="inlineStr">
        <is>
          <t>0.11</t>
        </is>
      </c>
      <c r="Q245" s="129" t="inlineStr">
        <is>
          <t>ППК25378, (12.12.2025) [CNP]</t>
        </is>
      </c>
      <c r="R245" s="130" t="inlineStr">
        <is>
          <t>✓</t>
        </is>
      </c>
      <c r="S245" s="128" t="inlineStr">
        <is>
          <t>0.02 % ᴰ</t>
        </is>
      </c>
      <c r="T245" s="129" t="inlineStr">
        <is>
          <t>ППК25378, (12.12.2025) [CNP]</t>
        </is>
      </c>
      <c r="U245" s="130" t="inlineStr">
        <is>
          <t>✓</t>
        </is>
      </c>
      <c r="V245" s="128" t="inlineStr">
        <is>
          <t>Conforms</t>
        </is>
      </c>
      <c r="W245" s="129">
        <f>IFERROR(INDEX('iCoA Register'!$B:$B,MATCH("P050292|FM|I",'iCoA Register'!$R:$R,0)),"iCoA — at issue")&amp;", (15.12.2025) [PP]"</f>
        <v/>
      </c>
      <c r="X245" s="130" t="inlineStr">
        <is>
          <t>✓</t>
        </is>
      </c>
      <c r="Y245" s="128" t="inlineStr">
        <is>
          <t>6.62</t>
        </is>
      </c>
      <c r="Z245" s="129" t="inlineStr">
        <is>
          <t>ППК25378, (12.12.2025) [CNP]</t>
        </is>
      </c>
      <c r="AA245" s="130" t="inlineStr">
        <is>
          <t>✓</t>
        </is>
      </c>
      <c r="AB245" s="128" t="inlineStr">
        <is>
          <t>6 x 10³</t>
        </is>
      </c>
      <c r="AC245" s="134" t="inlineStr">
        <is>
          <t>6.5 x 10³</t>
        </is>
      </c>
      <c r="AD245" s="134" t="inlineStr">
        <is>
          <t>&lt;10</t>
        </is>
      </c>
      <c r="AE245" s="134" t="inlineStr">
        <is>
          <t>Одговара</t>
        </is>
      </c>
      <c r="AF245" s="134" t="inlineStr">
        <is>
          <t>Одговара</t>
        </is>
      </c>
      <c r="AG245" s="130" t="inlineStr">
        <is>
          <t>✓</t>
        </is>
      </c>
      <c r="AH245" s="128" t="inlineStr">
        <is>
          <t>n.r.</t>
        </is>
      </c>
      <c r="AI245" s="134" t="inlineStr">
        <is>
          <t>&lt;2</t>
        </is>
      </c>
      <c r="AJ245" s="134" t="inlineStr">
        <is>
          <t>n.r.</t>
        </is>
      </c>
      <c r="AK245" s="130" t="inlineStr">
        <is>
          <t>✓</t>
        </is>
      </c>
      <c r="AL245" s="128" t="inlineStr">
        <is>
          <t>0.028</t>
        </is>
      </c>
      <c r="AM245" s="134" t="inlineStr">
        <is>
          <t>0.003</t>
        </is>
      </c>
      <c r="AN245" s="134" t="inlineStr">
        <is>
          <t>0.03</t>
        </is>
      </c>
      <c r="AO245" s="134" t="inlineStr">
        <is>
          <t>0.025</t>
        </is>
      </c>
      <c r="AP245" s="130" t="inlineStr">
        <is>
          <t>✓</t>
        </is>
      </c>
      <c r="AQ245" s="128" t="inlineStr">
        <is>
          <t>≤ LOQ (all 28 compounds)</t>
        </is>
      </c>
      <c r="AR245" s="129" t="inlineStr">
        <is>
          <t>5886-2025, (12.12.2025) [IJZ]</t>
        </is>
      </c>
      <c r="AS245" s="130" t="inlineStr">
        <is>
          <t>✓</t>
        </is>
      </c>
    </row>
    <row r="246" ht="13" customHeight="1" s="70">
      <c r="A246" s="135" t="n"/>
      <c r="D246" s="136" t="n"/>
      <c r="F246" s="137" t="n"/>
      <c r="G246" s="136" t="n"/>
      <c r="I246" s="137" t="n"/>
      <c r="J246" s="136" t="n"/>
      <c r="L246" s="137" t="n"/>
      <c r="M246" s="136" t="n"/>
      <c r="O246" s="137" t="n"/>
      <c r="P246" s="136" t="n"/>
      <c r="R246" s="137" t="n"/>
      <c r="S246" s="136" t="n"/>
      <c r="U246" s="137" t="n"/>
      <c r="V246" s="136" t="n"/>
      <c r="X246" s="137" t="n"/>
      <c r="Y246" s="136" t="n"/>
      <c r="AA246" s="137" t="n"/>
      <c r="AB246" s="138" t="inlineStr">
        <is>
          <t>1228-2194-25, (05.12.2025) [IJZ-MB]</t>
        </is>
      </c>
      <c r="AG246" s="137" t="n"/>
      <c r="AH246" s="138" t="inlineStr">
        <is>
          <t>5886-2025, (12.12.2025) [IJZ]</t>
        </is>
      </c>
      <c r="AK246" s="137" t="n"/>
      <c r="AL246" s="138" t="inlineStr">
        <is>
          <t>5886-2025, (12.12.2025) [IJZ]</t>
        </is>
      </c>
      <c r="AP246" s="137" t="n"/>
      <c r="AQ246" s="136" t="n"/>
      <c r="AS246" s="137" t="n"/>
    </row>
    <row r="247" ht="14" customHeight="1" s="70">
      <c r="A247" s="139" t="n"/>
      <c r="B247" s="140" t="n"/>
      <c r="D247" s="141" t="n"/>
      <c r="E247" s="140" t="n"/>
      <c r="F247" s="142" t="n"/>
      <c r="G247" s="128" t="inlineStr">
        <is>
          <t>Conforms</t>
        </is>
      </c>
      <c r="H247" s="129">
        <f>IFERROR(INDEX('iCoA Register'!$B:$B,MATCH("P050292|AB|I",'iCoA Register'!$R:$R,0)),"iCoA — at issue")&amp;", (15.12.2025) [PP]"</f>
        <v/>
      </c>
      <c r="I247" s="130" t="inlineStr">
        <is>
          <t>✓</t>
        </is>
      </c>
      <c r="J247" s="141" t="n"/>
      <c r="K247" s="140" t="n"/>
      <c r="L247" s="142" t="n"/>
      <c r="M247" s="141" t="n"/>
      <c r="N247" s="140" t="n"/>
      <c r="O247" s="142" t="n"/>
      <c r="P247" s="141" t="n"/>
      <c r="Q247" s="140" t="n"/>
      <c r="R247" s="142" t="n"/>
      <c r="S247" s="141" t="n"/>
      <c r="T247" s="140" t="n"/>
      <c r="U247" s="142" t="n"/>
      <c r="V247" s="141" t="n"/>
      <c r="W247" s="140" t="n"/>
      <c r="X247" s="142" t="n"/>
      <c r="Y247" s="141" t="n"/>
      <c r="Z247" s="140" t="n"/>
      <c r="AA247" s="142" t="n"/>
      <c r="AB247" s="128" t="inlineStr">
        <is>
          <t>&lt;10</t>
        </is>
      </c>
      <c r="AC247" s="134" t="inlineStr">
        <is>
          <t>&lt;10</t>
        </is>
      </c>
      <c r="AD247" s="134" t="inlineStr">
        <is>
          <t>&lt;10</t>
        </is>
      </c>
      <c r="AE247" s="134" t="inlineStr">
        <is>
          <t>absent</t>
        </is>
      </c>
      <c r="AF247" s="134" t="inlineStr">
        <is>
          <t>absent</t>
        </is>
      </c>
      <c r="AG247" s="130" t="inlineStr">
        <is>
          <t>✓</t>
        </is>
      </c>
      <c r="AH247" s="141" t="n"/>
      <c r="AI247" s="140" t="n"/>
      <c r="AJ247" s="140" t="n"/>
      <c r="AK247" s="142" t="n"/>
      <c r="AL247" s="141" t="n"/>
      <c r="AM247" s="140" t="n"/>
      <c r="AN247" s="140" t="n"/>
      <c r="AO247" s="140" t="n"/>
      <c r="AP247" s="142" t="n"/>
      <c r="AQ247" s="141" t="n"/>
      <c r="AR247" s="140" t="n"/>
      <c r="AS247" s="142" t="n"/>
    </row>
    <row r="248" ht="13" customHeight="1" s="70">
      <c r="A248" s="143" t="n"/>
      <c r="B248" s="144" t="n"/>
      <c r="C248" s="144" t="n"/>
      <c r="D248" s="145" t="n"/>
      <c r="E248" s="146" t="n"/>
      <c r="F248" s="147" t="n"/>
      <c r="G248" s="145" t="n"/>
      <c r="H248" s="146" t="n"/>
      <c r="I248" s="147" t="n"/>
      <c r="J248" s="145" t="n"/>
      <c r="K248" s="146" t="n"/>
      <c r="L248" s="147" t="n"/>
      <c r="M248" s="145" t="n"/>
      <c r="N248" s="146" t="n"/>
      <c r="O248" s="147" t="n"/>
      <c r="P248" s="145" t="n"/>
      <c r="Q248" s="146" t="n"/>
      <c r="R248" s="147" t="n"/>
      <c r="S248" s="145" t="n"/>
      <c r="T248" s="146" t="n"/>
      <c r="U248" s="147" t="n"/>
      <c r="V248" s="145" t="n"/>
      <c r="W248" s="146" t="n"/>
      <c r="X248" s="147" t="n"/>
      <c r="Y248" s="145" t="n"/>
      <c r="Z248" s="146" t="n"/>
      <c r="AA248" s="147" t="n"/>
      <c r="AB248" s="148" t="inlineStr">
        <is>
          <t>553-1084-26, (01.09.2026) [IJZ-MB]</t>
        </is>
      </c>
      <c r="AC248" s="146" t="n"/>
      <c r="AD248" s="146" t="n"/>
      <c r="AE248" s="146" t="n"/>
      <c r="AF248" s="146" t="n"/>
      <c r="AG248" s="147" t="n"/>
      <c r="AH248" s="145" t="n"/>
      <c r="AI248" s="146" t="n"/>
      <c r="AJ248" s="146" t="n"/>
      <c r="AK248" s="147" t="n"/>
      <c r="AL248" s="145" t="n"/>
      <c r="AM248" s="146" t="n"/>
      <c r="AN248" s="146" t="n"/>
      <c r="AO248" s="146" t="n"/>
      <c r="AP248" s="147" t="n"/>
      <c r="AQ248" s="145" t="n"/>
      <c r="AR248" s="146" t="n"/>
      <c r="AS248" s="147" t="n"/>
    </row>
    <row r="249" ht="14" customHeight="1" s="70">
      <c r="A249" s="125" t="inlineStr">
        <is>
          <t>GP072501/2</t>
        </is>
      </c>
      <c r="B249" s="126" t="inlineStr">
        <is>
          <t>P050302</t>
        </is>
      </c>
      <c r="C249" s="127" t="inlineStr">
        <is>
          <t>✓ COMPLETE
2 testing instances
• 1 document(s) on file, not credited</t>
        </is>
      </c>
      <c r="D249" s="128" t="inlineStr">
        <is>
          <t>Conforms</t>
        </is>
      </c>
      <c r="E249" s="129">
        <f>IFERROR(INDEX('iCoA Register'!$B:$B,MATCH("P050302|AB|I",'iCoA Register'!$R:$R,0)),"iCoA — at issue")&amp;", (22.12.2025) [PP]"</f>
        <v/>
      </c>
      <c r="F249" s="130" t="inlineStr">
        <is>
          <t>✓</t>
        </is>
      </c>
      <c r="G249" s="131" t="inlineStr">
        <is>
          <t>not on this certificate</t>
        </is>
      </c>
      <c r="H249" s="132" t="inlineStr">
        <is>
          <t>ППК25379, (12.12.2025) [CNP] · on file, not credited</t>
        </is>
      </c>
      <c r="I249" s="133" t="inlineStr">
        <is>
          <t>•</t>
        </is>
      </c>
      <c r="J249" s="128" t="inlineStr">
        <is>
          <t>Conforms (ImB spec.)</t>
        </is>
      </c>
      <c r="K249" s="129" t="inlineStr">
        <is>
          <t>ППК25379, (12.12.2025) [CNP]</t>
        </is>
      </c>
      <c r="L249" s="130" t="inlineStr">
        <is>
          <t>✓</t>
        </is>
      </c>
      <c r="M249" s="128" t="inlineStr">
        <is>
          <t>19.81</t>
        </is>
      </c>
      <c r="N249" s="129" t="inlineStr">
        <is>
          <t>ППК25379, (12.12.2025) [CNP]</t>
        </is>
      </c>
      <c r="O249" s="130" t="inlineStr">
        <is>
          <t>✓</t>
        </is>
      </c>
      <c r="P249" s="128" t="inlineStr">
        <is>
          <t>0.10</t>
        </is>
      </c>
      <c r="Q249" s="129" t="inlineStr">
        <is>
          <t>ППК25379, (12.12.2025) [CNP]</t>
        </is>
      </c>
      <c r="R249" s="130" t="inlineStr">
        <is>
          <t>✓</t>
        </is>
      </c>
      <c r="S249" s="128" t="inlineStr">
        <is>
          <t>0.03 % ᴰ</t>
        </is>
      </c>
      <c r="T249" s="129" t="inlineStr">
        <is>
          <t>ППК25379, (12.12.2025) [CNP]</t>
        </is>
      </c>
      <c r="U249" s="130" t="inlineStr">
        <is>
          <t>✓</t>
        </is>
      </c>
      <c r="V249" s="128" t="inlineStr">
        <is>
          <t>Conforms</t>
        </is>
      </c>
      <c r="W249" s="129">
        <f>IFERROR(INDEX('iCoA Register'!$B:$B,MATCH("P050302|FM|I",'iCoA Register'!$R:$R,0)),"iCoA — at issue")&amp;", (22.12.2025) [PP]"</f>
        <v/>
      </c>
      <c r="X249" s="130" t="inlineStr">
        <is>
          <t>✓</t>
        </is>
      </c>
      <c r="Y249" s="128" t="inlineStr">
        <is>
          <t>7.41</t>
        </is>
      </c>
      <c r="Z249" s="129" t="inlineStr">
        <is>
          <t>ППК25379, (12.12.2025) [CNP]</t>
        </is>
      </c>
      <c r="AA249" s="130" t="inlineStr">
        <is>
          <t>✓</t>
        </is>
      </c>
      <c r="AB249" s="128" t="inlineStr">
        <is>
          <t>2×10²</t>
        </is>
      </c>
      <c r="AC249" s="134" t="inlineStr">
        <is>
          <t>3×10²</t>
        </is>
      </c>
      <c r="AD249" s="134" t="inlineStr">
        <is>
          <t>&lt;10</t>
        </is>
      </c>
      <c r="AE249" s="134" t="inlineStr">
        <is>
          <t>Одговара</t>
        </is>
      </c>
      <c r="AF249" s="134" t="inlineStr">
        <is>
          <t>Одговара</t>
        </is>
      </c>
      <c r="AG249" s="130" t="inlineStr">
        <is>
          <t>✓</t>
        </is>
      </c>
      <c r="AH249" s="128" t="inlineStr">
        <is>
          <t>n.r.</t>
        </is>
      </c>
      <c r="AI249" s="134" t="inlineStr">
        <is>
          <t>&lt;2</t>
        </is>
      </c>
      <c r="AJ249" s="134" t="inlineStr">
        <is>
          <t>n.r.</t>
        </is>
      </c>
      <c r="AK249" s="130" t="inlineStr">
        <is>
          <t>✓</t>
        </is>
      </c>
      <c r="AL249" s="128" t="inlineStr">
        <is>
          <t>0.017</t>
        </is>
      </c>
      <c r="AM249" s="134" t="inlineStr">
        <is>
          <t>0.0028</t>
        </is>
      </c>
      <c r="AN249" s="134" t="inlineStr">
        <is>
          <t>0.02</t>
        </is>
      </c>
      <c r="AO249" s="134" t="inlineStr">
        <is>
          <t>0.019</t>
        </is>
      </c>
      <c r="AP249" s="130" t="inlineStr">
        <is>
          <t>✓</t>
        </is>
      </c>
      <c r="AQ249" s="128" t="inlineStr">
        <is>
          <t>≤ LOQ (all 29 compounds)</t>
        </is>
      </c>
      <c r="AR249" s="129" t="inlineStr">
        <is>
          <t>5887-2025, (12.12.2025) [IJZ]</t>
        </is>
      </c>
      <c r="AS249" s="130" t="inlineStr">
        <is>
          <t>✓</t>
        </is>
      </c>
    </row>
    <row r="250" ht="13" customHeight="1" s="70">
      <c r="A250" s="135" t="n"/>
      <c r="D250" s="136" t="n"/>
      <c r="F250" s="137" t="n"/>
      <c r="G250" s="136" t="n"/>
      <c r="I250" s="137" t="n"/>
      <c r="J250" s="136" t="n"/>
      <c r="L250" s="137" t="n"/>
      <c r="M250" s="136" t="n"/>
      <c r="O250" s="137" t="n"/>
      <c r="P250" s="136" t="n"/>
      <c r="R250" s="137" t="n"/>
      <c r="S250" s="136" t="n"/>
      <c r="U250" s="137" t="n"/>
      <c r="V250" s="136" t="n"/>
      <c r="X250" s="137" t="n"/>
      <c r="Y250" s="136" t="n"/>
      <c r="AA250" s="137" t="n"/>
      <c r="AB250" s="138" t="inlineStr">
        <is>
          <t>1229-2195-25, (05.12.2025) [IJZ-MB]</t>
        </is>
      </c>
      <c r="AG250" s="137" t="n"/>
      <c r="AH250" s="138" t="inlineStr">
        <is>
          <t>5887-2025, (12.12.2025) [IJZ]</t>
        </is>
      </c>
      <c r="AK250" s="137" t="n"/>
      <c r="AL250" s="138" t="inlineStr">
        <is>
          <t>5887-2025, (12.12.2025) [IJZ]</t>
        </is>
      </c>
      <c r="AP250" s="137" t="n"/>
      <c r="AQ250" s="136" t="n"/>
      <c r="AS250" s="137" t="n"/>
    </row>
    <row r="251" ht="14" customHeight="1" s="70">
      <c r="A251" s="139" t="n"/>
      <c r="B251" s="140" t="n"/>
      <c r="D251" s="141" t="n"/>
      <c r="E251" s="140" t="n"/>
      <c r="F251" s="142" t="n"/>
      <c r="G251" s="128" t="inlineStr">
        <is>
          <t>Conforms</t>
        </is>
      </c>
      <c r="H251" s="129">
        <f>IFERROR(INDEX('iCoA Register'!$B:$B,MATCH("P050302|AB|I",'iCoA Register'!$R:$R,0)),"iCoA — at issue")&amp;", (22.12.2025) [PP]"</f>
        <v/>
      </c>
      <c r="I251" s="130" t="inlineStr">
        <is>
          <t>✓</t>
        </is>
      </c>
      <c r="J251" s="141" t="n"/>
      <c r="K251" s="140" t="n"/>
      <c r="L251" s="142" t="n"/>
      <c r="M251" s="141" t="n"/>
      <c r="N251" s="140" t="n"/>
      <c r="O251" s="142" t="n"/>
      <c r="P251" s="141" t="n"/>
      <c r="Q251" s="140" t="n"/>
      <c r="R251" s="142" t="n"/>
      <c r="S251" s="141" t="n"/>
      <c r="T251" s="140" t="n"/>
      <c r="U251" s="142" t="n"/>
      <c r="V251" s="141" t="n"/>
      <c r="W251" s="140" t="n"/>
      <c r="X251" s="142" t="n"/>
      <c r="Y251" s="141" t="n"/>
      <c r="Z251" s="140" t="n"/>
      <c r="AA251" s="142" t="n"/>
      <c r="AB251" s="141" t="n"/>
      <c r="AC251" s="140" t="n"/>
      <c r="AD251" s="140" t="n"/>
      <c r="AE251" s="140" t="n"/>
      <c r="AF251" s="140" t="n"/>
      <c r="AG251" s="142" t="n"/>
      <c r="AH251" s="141" t="n"/>
      <c r="AI251" s="140" t="n"/>
      <c r="AJ251" s="140" t="n"/>
      <c r="AK251" s="142" t="n"/>
      <c r="AL251" s="141" t="n"/>
      <c r="AM251" s="140" t="n"/>
      <c r="AN251" s="140" t="n"/>
      <c r="AO251" s="140" t="n"/>
      <c r="AP251" s="142" t="n"/>
      <c r="AQ251" s="141" t="n"/>
      <c r="AR251" s="140" t="n"/>
      <c r="AS251" s="142" t="n"/>
    </row>
    <row r="252" ht="13" customHeight="1" s="70">
      <c r="A252" s="143" t="n"/>
      <c r="B252" s="144" t="n"/>
      <c r="C252" s="144" t="n"/>
      <c r="D252" s="145" t="n"/>
      <c r="E252" s="146" t="n"/>
      <c r="F252" s="147" t="n"/>
      <c r="G252" s="145" t="n"/>
      <c r="H252" s="146" t="n"/>
      <c r="I252" s="147" t="n"/>
      <c r="J252" s="145" t="n"/>
      <c r="K252" s="146" t="n"/>
      <c r="L252" s="147" t="n"/>
      <c r="M252" s="145" t="n"/>
      <c r="N252" s="146" t="n"/>
      <c r="O252" s="147" t="n"/>
      <c r="P252" s="145" t="n"/>
      <c r="Q252" s="146" t="n"/>
      <c r="R252" s="147" t="n"/>
      <c r="S252" s="145" t="n"/>
      <c r="T252" s="146" t="n"/>
      <c r="U252" s="147" t="n"/>
      <c r="V252" s="145" t="n"/>
      <c r="W252" s="146" t="n"/>
      <c r="X252" s="147" t="n"/>
      <c r="Y252" s="145" t="n"/>
      <c r="Z252" s="146" t="n"/>
      <c r="AA252" s="147" t="n"/>
      <c r="AB252" s="145" t="n"/>
      <c r="AC252" s="146" t="n"/>
      <c r="AD252" s="146" t="n"/>
      <c r="AE252" s="146" t="n"/>
      <c r="AF252" s="146" t="n"/>
      <c r="AG252" s="147" t="n"/>
      <c r="AH252" s="145" t="n"/>
      <c r="AI252" s="146" t="n"/>
      <c r="AJ252" s="146" t="n"/>
      <c r="AK252" s="147" t="n"/>
      <c r="AL252" s="145" t="n"/>
      <c r="AM252" s="146" t="n"/>
      <c r="AN252" s="146" t="n"/>
      <c r="AO252" s="146" t="n"/>
      <c r="AP252" s="147" t="n"/>
      <c r="AQ252" s="145" t="n"/>
      <c r="AR252" s="146" t="n"/>
      <c r="AS252" s="147" t="n"/>
    </row>
    <row r="253" ht="21" customHeight="1" s="70">
      <c r="A253" s="125" t="inlineStr">
        <is>
          <t>GP082501/1</t>
        </is>
      </c>
      <c r="B253" s="126" t="inlineStr">
        <is>
          <t>P050312</t>
        </is>
      </c>
      <c r="C253" s="127" t="inlineStr">
        <is>
          <t>✓ COMPLETE
2 testing instances
• 1 document(s) on file, not credited</t>
        </is>
      </c>
      <c r="D253" s="128" t="inlineStr">
        <is>
          <t>Conforms</t>
        </is>
      </c>
      <c r="E253" s="129">
        <f>IFERROR(INDEX('iCoA Register'!$B:$B,MATCH("P050312|AB|I",'iCoA Register'!$R:$R,0)),"iCoA — at issue")&amp;", (23.12.2025) [PP]"</f>
        <v/>
      </c>
      <c r="F253" s="130" t="inlineStr">
        <is>
          <t>✓</t>
        </is>
      </c>
      <c r="G253" s="131" t="inlineStr">
        <is>
          <t>not on this certificate</t>
        </is>
      </c>
      <c r="H253" s="132" t="inlineStr">
        <is>
          <t>ППК25380, (12.12.2025) [CNP] · on file, not credited</t>
        </is>
      </c>
      <c r="I253" s="133" t="inlineStr">
        <is>
          <t>•</t>
        </is>
      </c>
      <c r="J253" s="128" t="inlineStr">
        <is>
          <t>Conforms (ImB spec.)</t>
        </is>
      </c>
      <c r="K253" s="129" t="inlineStr">
        <is>
          <t>ППК25380, (12.12.2025) [CNP]</t>
        </is>
      </c>
      <c r="L253" s="130" t="inlineStr">
        <is>
          <t>✓</t>
        </is>
      </c>
      <c r="M253" s="128" t="inlineStr">
        <is>
          <t>21.29</t>
        </is>
      </c>
      <c r="N253" s="129" t="inlineStr">
        <is>
          <t>ППК25380, (12.12.2025) [CNP]</t>
        </is>
      </c>
      <c r="O253" s="130" t="inlineStr">
        <is>
          <t>✓</t>
        </is>
      </c>
      <c r="P253" s="128" t="inlineStr">
        <is>
          <t>0.08</t>
        </is>
      </c>
      <c r="Q253" s="129" t="inlineStr">
        <is>
          <t>ППК25380, (12.12.2025) [CNP]</t>
        </is>
      </c>
      <c r="R253" s="130" t="inlineStr">
        <is>
          <t>✓</t>
        </is>
      </c>
      <c r="S253" s="128" t="inlineStr">
        <is>
          <t>0.03 % ᴰ</t>
        </is>
      </c>
      <c r="T253" s="129" t="inlineStr">
        <is>
          <t>ППК25380, (12.12.2025) [CNP]</t>
        </is>
      </c>
      <c r="U253" s="130" t="inlineStr">
        <is>
          <t>✓</t>
        </is>
      </c>
      <c r="V253" s="128" t="inlineStr">
        <is>
          <t>Conforms</t>
        </is>
      </c>
      <c r="W253" s="129">
        <f>IFERROR(INDEX('iCoA Register'!$B:$B,MATCH("P050312|FM|I",'iCoA Register'!$R:$R,0)),"iCoA — at issue")&amp;", (23.12.2025) [PP]"</f>
        <v/>
      </c>
      <c r="X253" s="130" t="inlineStr">
        <is>
          <t>✓</t>
        </is>
      </c>
      <c r="Y253" s="128" t="inlineStr">
        <is>
          <t>6.29</t>
        </is>
      </c>
      <c r="Z253" s="129" t="inlineStr">
        <is>
          <t>ППК25380, (12.12.2025) [CNP]</t>
        </is>
      </c>
      <c r="AA253" s="130" t="inlineStr">
        <is>
          <t>✓</t>
        </is>
      </c>
      <c r="AB253" s="128" t="inlineStr">
        <is>
          <t>4.3 x 10²</t>
        </is>
      </c>
      <c r="AC253" s="134" t="inlineStr">
        <is>
          <t>1 x 10³</t>
        </is>
      </c>
      <c r="AD253" s="134" t="inlineStr">
        <is>
          <t>&lt;10³ and &gt;10² ᴿ</t>
        </is>
      </c>
      <c r="AE253" s="134" t="inlineStr">
        <is>
          <t>Одговара</t>
        </is>
      </c>
      <c r="AF253" s="134" t="inlineStr">
        <is>
          <t>Одговара</t>
        </is>
      </c>
      <c r="AG253" s="130" t="inlineStr">
        <is>
          <t>✓</t>
        </is>
      </c>
      <c r="AH253" s="128" t="inlineStr">
        <is>
          <t>n.r.</t>
        </is>
      </c>
      <c r="AI253" s="134" t="inlineStr">
        <is>
          <t>&lt;2</t>
        </is>
      </c>
      <c r="AJ253" s="134" t="inlineStr">
        <is>
          <t>n.r.</t>
        </is>
      </c>
      <c r="AK253" s="130" t="inlineStr">
        <is>
          <t>✓</t>
        </is>
      </c>
      <c r="AL253" s="128" t="inlineStr">
        <is>
          <t>0.014</t>
        </is>
      </c>
      <c r="AM253" s="134" t="inlineStr">
        <is>
          <t>0.003</t>
        </is>
      </c>
      <c r="AN253" s="134" t="inlineStr">
        <is>
          <t>0.02</t>
        </is>
      </c>
      <c r="AO253" s="134" t="inlineStr">
        <is>
          <t>0.017</t>
        </is>
      </c>
      <c r="AP253" s="130" t="inlineStr">
        <is>
          <t>✓</t>
        </is>
      </c>
      <c r="AQ253" s="128" t="inlineStr">
        <is>
          <t>≤ LOQ (all 28 compounds)</t>
        </is>
      </c>
      <c r="AR253" s="129" t="inlineStr">
        <is>
          <t>5888-2025, (12.12.2025) [IJZ]</t>
        </is>
      </c>
      <c r="AS253" s="130" t="inlineStr">
        <is>
          <t>✓</t>
        </is>
      </c>
    </row>
    <row r="254" ht="13" customHeight="1" s="70">
      <c r="A254" s="135" t="n"/>
      <c r="D254" s="136" t="n"/>
      <c r="F254" s="137" t="n"/>
      <c r="G254" s="136" t="n"/>
      <c r="I254" s="137" t="n"/>
      <c r="J254" s="136" t="n"/>
      <c r="L254" s="137" t="n"/>
      <c r="M254" s="136" t="n"/>
      <c r="O254" s="137" t="n"/>
      <c r="P254" s="136" t="n"/>
      <c r="R254" s="137" t="n"/>
      <c r="S254" s="136" t="n"/>
      <c r="U254" s="137" t="n"/>
      <c r="V254" s="136" t="n"/>
      <c r="X254" s="137" t="n"/>
      <c r="Y254" s="136" t="n"/>
      <c r="AA254" s="137" t="n"/>
      <c r="AB254" s="138" t="inlineStr">
        <is>
          <t>1226-2192-25, (05.12.2025) [IJZ-MB]</t>
        </is>
      </c>
      <c r="AG254" s="137" t="n"/>
      <c r="AH254" s="138" t="inlineStr">
        <is>
          <t>5888-2025, (12.12.2025) [IJZ]</t>
        </is>
      </c>
      <c r="AK254" s="137" t="n"/>
      <c r="AL254" s="138" t="inlineStr">
        <is>
          <t>5888-2025, (12.12.2025) [IJZ]</t>
        </is>
      </c>
      <c r="AP254" s="137" t="n"/>
      <c r="AQ254" s="136" t="n"/>
      <c r="AS254" s="137" t="n"/>
    </row>
    <row r="255" ht="14" customHeight="1" s="70">
      <c r="A255" s="139" t="n"/>
      <c r="B255" s="140" t="n"/>
      <c r="D255" s="141" t="n"/>
      <c r="E255" s="140" t="n"/>
      <c r="F255" s="142" t="n"/>
      <c r="G255" s="128" t="inlineStr">
        <is>
          <t>Conforms</t>
        </is>
      </c>
      <c r="H255" s="129">
        <f>IFERROR(INDEX('iCoA Register'!$B:$B,MATCH("P050312|AB|I",'iCoA Register'!$R:$R,0)),"iCoA — at issue")&amp;", (23.12.2025) [PP]"</f>
        <v/>
      </c>
      <c r="I255" s="130" t="inlineStr">
        <is>
          <t>✓</t>
        </is>
      </c>
      <c r="J255" s="141" t="n"/>
      <c r="K255" s="140" t="n"/>
      <c r="L255" s="142" t="n"/>
      <c r="M255" s="141" t="n"/>
      <c r="N255" s="140" t="n"/>
      <c r="O255" s="142" t="n"/>
      <c r="P255" s="141" t="n"/>
      <c r="Q255" s="140" t="n"/>
      <c r="R255" s="142" t="n"/>
      <c r="S255" s="141" t="n"/>
      <c r="T255" s="140" t="n"/>
      <c r="U255" s="142" t="n"/>
      <c r="V255" s="141" t="n"/>
      <c r="W255" s="140" t="n"/>
      <c r="X255" s="142" t="n"/>
      <c r="Y255" s="141" t="n"/>
      <c r="Z255" s="140" t="n"/>
      <c r="AA255" s="142" t="n"/>
      <c r="AB255" s="141" t="n"/>
      <c r="AC255" s="140" t="n"/>
      <c r="AD255" s="140" t="n"/>
      <c r="AE255" s="140" t="n"/>
      <c r="AF255" s="140" t="n"/>
      <c r="AG255" s="142" t="n"/>
      <c r="AH255" s="141" t="n"/>
      <c r="AI255" s="140" t="n"/>
      <c r="AJ255" s="140" t="n"/>
      <c r="AK255" s="142" t="n"/>
      <c r="AL255" s="141" t="n"/>
      <c r="AM255" s="140" t="n"/>
      <c r="AN255" s="140" t="n"/>
      <c r="AO255" s="140" t="n"/>
      <c r="AP255" s="142" t="n"/>
      <c r="AQ255" s="141" t="n"/>
      <c r="AR255" s="140" t="n"/>
      <c r="AS255" s="142" t="n"/>
    </row>
    <row r="256" ht="13" customHeight="1" s="70">
      <c r="A256" s="143" t="n"/>
      <c r="B256" s="144" t="n"/>
      <c r="C256" s="144" t="n"/>
      <c r="D256" s="145" t="n"/>
      <c r="E256" s="146" t="n"/>
      <c r="F256" s="147" t="n"/>
      <c r="G256" s="145" t="n"/>
      <c r="H256" s="146" t="n"/>
      <c r="I256" s="147" t="n"/>
      <c r="J256" s="145" t="n"/>
      <c r="K256" s="146" t="n"/>
      <c r="L256" s="147" t="n"/>
      <c r="M256" s="145" t="n"/>
      <c r="N256" s="146" t="n"/>
      <c r="O256" s="147" t="n"/>
      <c r="P256" s="145" t="n"/>
      <c r="Q256" s="146" t="n"/>
      <c r="R256" s="147" t="n"/>
      <c r="S256" s="145" t="n"/>
      <c r="T256" s="146" t="n"/>
      <c r="U256" s="147" t="n"/>
      <c r="V256" s="145" t="n"/>
      <c r="W256" s="146" t="n"/>
      <c r="X256" s="147" t="n"/>
      <c r="Y256" s="145" t="n"/>
      <c r="Z256" s="146" t="n"/>
      <c r="AA256" s="147" t="n"/>
      <c r="AB256" s="145" t="n"/>
      <c r="AC256" s="146" t="n"/>
      <c r="AD256" s="146" t="n"/>
      <c r="AE256" s="146" t="n"/>
      <c r="AF256" s="146" t="n"/>
      <c r="AG256" s="147" t="n"/>
      <c r="AH256" s="145" t="n"/>
      <c r="AI256" s="146" t="n"/>
      <c r="AJ256" s="146" t="n"/>
      <c r="AK256" s="147" t="n"/>
      <c r="AL256" s="145" t="n"/>
      <c r="AM256" s="146" t="n"/>
      <c r="AN256" s="146" t="n"/>
      <c r="AO256" s="146" t="n"/>
      <c r="AP256" s="147" t="n"/>
      <c r="AQ256" s="145" t="n"/>
      <c r="AR256" s="146" t="n"/>
      <c r="AS256" s="147" t="n"/>
    </row>
    <row r="257" ht="21" customHeight="1" s="70">
      <c r="A257" s="125" t="inlineStr">
        <is>
          <t>GP082501/2</t>
        </is>
      </c>
      <c r="B257" s="126" t="inlineStr">
        <is>
          <t>P050322</t>
        </is>
      </c>
      <c r="C257" s="127" t="inlineStr">
        <is>
          <t>✓ COMPLETE
2 testing instances
• 2 document(s) on file, not credited</t>
        </is>
      </c>
      <c r="D257" s="128" t="inlineStr">
        <is>
          <t>Conforms</t>
        </is>
      </c>
      <c r="E257" s="129">
        <f>IFERROR(INDEX('iCoA Register'!$B:$B,MATCH("P050322|AB|I",'iCoA Register'!$R:$R,0)),"iCoA — at issue")&amp;", (26.12.2025) [PP]"</f>
        <v/>
      </c>
      <c r="F257" s="130" t="inlineStr">
        <is>
          <t>✓</t>
        </is>
      </c>
      <c r="G257" s="131" t="inlineStr">
        <is>
          <t>not on this certificate</t>
        </is>
      </c>
      <c r="H257" s="132" t="inlineStr">
        <is>
          <t>ППК25381, (12.12.2025) [CNP] · on file, not credited</t>
        </is>
      </c>
      <c r="I257" s="133" t="inlineStr">
        <is>
          <t>•</t>
        </is>
      </c>
      <c r="J257" s="128" t="inlineStr">
        <is>
          <t>Conforms (ImB spec.)</t>
        </is>
      </c>
      <c r="K257" s="129" t="inlineStr">
        <is>
          <t>ППК25381, (12.12.2025) [CNP]</t>
        </is>
      </c>
      <c r="L257" s="130" t="inlineStr">
        <is>
          <t>✓</t>
        </is>
      </c>
      <c r="M257" s="128" t="inlineStr">
        <is>
          <t>14.83</t>
        </is>
      </c>
      <c r="N257" s="129" t="inlineStr">
        <is>
          <t>ППК25381, (12.12.2025) [CNP]</t>
        </is>
      </c>
      <c r="O257" s="130" t="inlineStr">
        <is>
          <t>✓</t>
        </is>
      </c>
      <c r="P257" s="128" t="inlineStr">
        <is>
          <t>0.11</t>
        </is>
      </c>
      <c r="Q257" s="129" t="inlineStr">
        <is>
          <t>ППК25381, (12.12.2025) [CNP]</t>
        </is>
      </c>
      <c r="R257" s="130" t="inlineStr">
        <is>
          <t>✓</t>
        </is>
      </c>
      <c r="S257" s="128" t="inlineStr">
        <is>
          <t>0.02 % ᴰ</t>
        </is>
      </c>
      <c r="T257" s="129" t="inlineStr">
        <is>
          <t>ППК25381, (12.12.2025) [CNP]</t>
        </is>
      </c>
      <c r="U257" s="130" t="inlineStr">
        <is>
          <t>✓</t>
        </is>
      </c>
      <c r="V257" s="128" t="inlineStr">
        <is>
          <t>Conforms</t>
        </is>
      </c>
      <c r="W257" s="129">
        <f>IFERROR(INDEX('iCoA Register'!$B:$B,MATCH("P050322|FM|I",'iCoA Register'!$R:$R,0)),"iCoA — at issue")&amp;", (26.12.2025) [PP]"</f>
        <v/>
      </c>
      <c r="X257" s="130" t="inlineStr">
        <is>
          <t>✓</t>
        </is>
      </c>
      <c r="Y257" s="128" t="inlineStr">
        <is>
          <t>6.88</t>
        </is>
      </c>
      <c r="Z257" s="129" t="inlineStr">
        <is>
          <t>ППК25381, (12.12.2025) [CNP]</t>
        </is>
      </c>
      <c r="AA257" s="130" t="inlineStr">
        <is>
          <t>✓</t>
        </is>
      </c>
      <c r="AB257" s="128" t="inlineStr">
        <is>
          <t>3.2 x 10³</t>
        </is>
      </c>
      <c r="AC257" s="134" t="inlineStr">
        <is>
          <t>5.8 x 10³</t>
        </is>
      </c>
      <c r="AD257" s="134" t="inlineStr">
        <is>
          <t>&lt;10^4 и &gt;10^3</t>
        </is>
      </c>
      <c r="AE257" s="134" t="inlineStr">
        <is>
          <t>Одговара</t>
        </is>
      </c>
      <c r="AF257" s="134" t="inlineStr">
        <is>
          <t>Одговара</t>
        </is>
      </c>
      <c r="AG257" s="130" t="inlineStr">
        <is>
          <t>✓</t>
        </is>
      </c>
      <c r="AH257" s="128" t="inlineStr">
        <is>
          <t>n.r.</t>
        </is>
      </c>
      <c r="AI257" s="134" t="inlineStr">
        <is>
          <t>&lt;2</t>
        </is>
      </c>
      <c r="AJ257" s="134" t="inlineStr">
        <is>
          <t>n.r.</t>
        </is>
      </c>
      <c r="AK257" s="130" t="inlineStr">
        <is>
          <t>✓</t>
        </is>
      </c>
      <c r="AL257" s="128" t="inlineStr">
        <is>
          <t>0.013</t>
        </is>
      </c>
      <c r="AM257" s="134" t="inlineStr">
        <is>
          <t>0.003</t>
        </is>
      </c>
      <c r="AN257" s="134" t="inlineStr">
        <is>
          <t>0.02</t>
        </is>
      </c>
      <c r="AO257" s="134" t="inlineStr">
        <is>
          <t>0.016</t>
        </is>
      </c>
      <c r="AP257" s="130" t="inlineStr">
        <is>
          <t>✓</t>
        </is>
      </c>
      <c r="AQ257" s="128" t="inlineStr">
        <is>
          <t>≤ LOQ (all 29 compounds)</t>
        </is>
      </c>
      <c r="AR257" s="129" t="inlineStr">
        <is>
          <t>5889-2025, (12.12.2025) [IJZ]</t>
        </is>
      </c>
      <c r="AS257" s="130" t="inlineStr">
        <is>
          <t>✓</t>
        </is>
      </c>
    </row>
    <row r="258" ht="13" customHeight="1" s="70">
      <c r="A258" s="135" t="n"/>
      <c r="D258" s="136" t="n"/>
      <c r="F258" s="137" t="n"/>
      <c r="G258" s="136" t="n"/>
      <c r="I258" s="137" t="n"/>
      <c r="J258" s="136" t="n"/>
      <c r="L258" s="137" t="n"/>
      <c r="M258" s="136" t="n"/>
      <c r="O258" s="137" t="n"/>
      <c r="P258" s="136" t="n"/>
      <c r="R258" s="137" t="n"/>
      <c r="S258" s="136" t="n"/>
      <c r="U258" s="137" t="n"/>
      <c r="V258" s="136" t="n"/>
      <c r="X258" s="137" t="n"/>
      <c r="Y258" s="136" t="n"/>
      <c r="AA258" s="137" t="n"/>
      <c r="AB258" s="138" t="inlineStr">
        <is>
          <t>1227-2193-25, (05.12.2025) [IJZ-MB]</t>
        </is>
      </c>
      <c r="AG258" s="137" t="n"/>
      <c r="AH258" s="138" t="inlineStr">
        <is>
          <t>5889-2025, (12.12.2025) [IJZ]</t>
        </is>
      </c>
      <c r="AK258" s="137" t="n"/>
      <c r="AL258" s="138" t="inlineStr">
        <is>
          <t>5889-2025, (12.12.2025) [IJZ]</t>
        </is>
      </c>
      <c r="AP258" s="137" t="n"/>
      <c r="AQ258" s="136" t="n"/>
      <c r="AS258" s="137" t="n"/>
    </row>
    <row r="259" ht="14" customHeight="1" s="70">
      <c r="A259" s="139" t="n"/>
      <c r="B259" s="140" t="n"/>
      <c r="D259" s="141" t="n"/>
      <c r="E259" s="140" t="n"/>
      <c r="F259" s="142" t="n"/>
      <c r="G259" s="128" t="inlineStr">
        <is>
          <t>Conforms</t>
        </is>
      </c>
      <c r="H259" s="129">
        <f>IFERROR(INDEX('iCoA Register'!$B:$B,MATCH("P050322|AB|I",'iCoA Register'!$R:$R,0)),"iCoA — at issue")&amp;", (26.12.2025) [PP]"</f>
        <v/>
      </c>
      <c r="I259" s="130" t="inlineStr">
        <is>
          <t>✓</t>
        </is>
      </c>
      <c r="J259" s="128" t="inlineStr">
        <is>
          <t>Conforms (ImB spec.) ᴿ</t>
        </is>
      </c>
      <c r="K259" s="129" t="inlineStr">
        <is>
          <t>197-12-K-26, (07.08.2026) [FHM-K]</t>
        </is>
      </c>
      <c r="L259" s="130" t="inlineStr">
        <is>
          <t>✓</t>
        </is>
      </c>
      <c r="M259" s="128" t="inlineStr">
        <is>
          <t>15.70</t>
        </is>
      </c>
      <c r="N259" s="129" t="inlineStr">
        <is>
          <t>197-12-K-26, (07.08.2026) [FHM-K]</t>
        </is>
      </c>
      <c r="O259" s="130" t="inlineStr">
        <is>
          <t>✓</t>
        </is>
      </c>
      <c r="P259" s="128" t="inlineStr">
        <is>
          <t>&lt; LOQ</t>
        </is>
      </c>
      <c r="Q259" s="129" t="inlineStr">
        <is>
          <t>197-12-K-26, (07.08.2026) [FHM-K]</t>
        </is>
      </c>
      <c r="R259" s="130" t="inlineStr">
        <is>
          <t>✓</t>
        </is>
      </c>
      <c r="S259" s="128" t="inlineStr">
        <is>
          <t>&lt; LOQ</t>
        </is>
      </c>
      <c r="T259" s="129" t="inlineStr">
        <is>
          <t>197-12-K-26, (07.08.2026) [FHM-K]</t>
        </is>
      </c>
      <c r="U259" s="130" t="inlineStr">
        <is>
          <t>✓</t>
        </is>
      </c>
      <c r="V259" s="141" t="n"/>
      <c r="W259" s="140" t="n"/>
      <c r="X259" s="142" t="n"/>
      <c r="Y259" s="131" t="inlineStr">
        <is>
          <t>not on this certificate</t>
        </is>
      </c>
      <c r="Z259" s="132" t="inlineStr">
        <is>
          <t>197-12-K-26, (07.08.2026) [FHM-K] · on file, not credited</t>
        </is>
      </c>
      <c r="AA259" s="133" t="inlineStr">
        <is>
          <t>•</t>
        </is>
      </c>
      <c r="AB259" s="141" t="n"/>
      <c r="AC259" s="140" t="n"/>
      <c r="AD259" s="140" t="n"/>
      <c r="AE259" s="140" t="n"/>
      <c r="AF259" s="140" t="n"/>
      <c r="AG259" s="142" t="n"/>
      <c r="AH259" s="128" t="inlineStr">
        <is>
          <t>ND</t>
        </is>
      </c>
      <c r="AI259" s="134" t="inlineStr">
        <is>
          <t>ND ᴿ</t>
        </is>
      </c>
      <c r="AJ259" s="134" t="inlineStr">
        <is>
          <t>ND</t>
        </is>
      </c>
      <c r="AK259" s="130" t="inlineStr">
        <is>
          <t>✓</t>
        </is>
      </c>
      <c r="AL259" s="141" t="n"/>
      <c r="AM259" s="140" t="n"/>
      <c r="AN259" s="140" t="n"/>
      <c r="AO259" s="140" t="n"/>
      <c r="AP259" s="142" t="n"/>
      <c r="AQ259" s="141" t="n"/>
      <c r="AR259" s="140" t="n"/>
      <c r="AS259" s="142" t="n"/>
    </row>
    <row r="260" ht="21" customHeight="1" s="70">
      <c r="A260" s="143" t="n"/>
      <c r="B260" s="144" t="n"/>
      <c r="C260" s="144" t="n"/>
      <c r="D260" s="145" t="n"/>
      <c r="E260" s="146" t="n"/>
      <c r="F260" s="147" t="n"/>
      <c r="G260" s="145" t="n"/>
      <c r="H260" s="146" t="n"/>
      <c r="I260" s="147" t="n"/>
      <c r="J260" s="145" t="n"/>
      <c r="K260" s="146" t="n"/>
      <c r="L260" s="147" t="n"/>
      <c r="M260" s="145" t="n"/>
      <c r="N260" s="146" t="n"/>
      <c r="O260" s="147" t="n"/>
      <c r="P260" s="145" t="n"/>
      <c r="Q260" s="146" t="n"/>
      <c r="R260" s="147" t="n"/>
      <c r="S260" s="145" t="n"/>
      <c r="T260" s="146" t="n"/>
      <c r="U260" s="147" t="n"/>
      <c r="V260" s="145" t="n"/>
      <c r="W260" s="146" t="n"/>
      <c r="X260" s="147" t="n"/>
      <c r="Y260" s="145" t="n"/>
      <c r="Z260" s="146" t="n"/>
      <c r="AA260" s="147" t="n"/>
      <c r="AB260" s="145" t="n"/>
      <c r="AC260" s="146" t="n"/>
      <c r="AD260" s="146" t="n"/>
      <c r="AE260" s="146" t="n"/>
      <c r="AF260" s="146" t="n"/>
      <c r="AG260" s="147" t="n"/>
      <c r="AH260" s="148" t="inlineStr">
        <is>
          <t>197-12-M-26, (10.08.2026) [FHM-M]</t>
        </is>
      </c>
      <c r="AI260" s="146" t="n"/>
      <c r="AJ260" s="146" t="n"/>
      <c r="AK260" s="147" t="n"/>
      <c r="AL260" s="145" t="n"/>
      <c r="AM260" s="146" t="n"/>
      <c r="AN260" s="146" t="n"/>
      <c r="AO260" s="146" t="n"/>
      <c r="AP260" s="147" t="n"/>
      <c r="AQ260" s="145" t="n"/>
      <c r="AR260" s="146" t="n"/>
      <c r="AS260" s="147" t="n"/>
    </row>
    <row r="261" ht="14" customHeight="1" s="70">
      <c r="A261" s="125" t="inlineStr">
        <is>
          <t>WC082501</t>
        </is>
      </c>
      <c r="B261" s="126" t="inlineStr">
        <is>
          <t>P060012</t>
        </is>
      </c>
      <c r="C261" s="127" t="inlineStr">
        <is>
          <t>✓ COMPLETE
2 testing instances
• 1 document(s) on file, not credited</t>
        </is>
      </c>
      <c r="D261" s="128" t="inlineStr">
        <is>
          <t>Conforms</t>
        </is>
      </c>
      <c r="E261" s="129">
        <f>IFERROR(INDEX('iCoA Register'!$B:$B,MATCH("P060012|AB|I",'iCoA Register'!$R:$R,0)),"iCoA — at issue")&amp;", (13.01.2026) [PP]"</f>
        <v/>
      </c>
      <c r="F261" s="130" t="inlineStr">
        <is>
          <t>✓</t>
        </is>
      </c>
      <c r="G261" s="128" t="inlineStr">
        <is>
          <t>Conforms</t>
        </is>
      </c>
      <c r="H261" s="129">
        <f>IFERROR(INDEX('iCoA Register'!$B:$B,MATCH("P060012|AB|I",'iCoA Register'!$R:$R,0)),"iCoA — at issue")&amp;", (13.01.2026) [PP]"</f>
        <v/>
      </c>
      <c r="I261" s="130" t="inlineStr">
        <is>
          <t>✓</t>
        </is>
      </c>
      <c r="J261" s="128" t="inlineStr">
        <is>
          <t>Conforms (ImB spec.)</t>
        </is>
      </c>
      <c r="K261" s="129" t="inlineStr">
        <is>
          <t>ППК26001, (21.01.2026) [CNP]</t>
        </is>
      </c>
      <c r="L261" s="130" t="inlineStr">
        <is>
          <t>✓</t>
        </is>
      </c>
      <c r="M261" s="128" t="inlineStr">
        <is>
          <t>21.67</t>
        </is>
      </c>
      <c r="N261" s="129" t="inlineStr">
        <is>
          <t>ППК26001, (21.01.2026) [CNP]</t>
        </is>
      </c>
      <c r="O261" s="130" t="inlineStr">
        <is>
          <t>✓</t>
        </is>
      </c>
      <c r="P261" s="128" t="inlineStr">
        <is>
          <t>0.08</t>
        </is>
      </c>
      <c r="Q261" s="129" t="inlineStr">
        <is>
          <t>ППК26001, (21.01.2026) [CNP]</t>
        </is>
      </c>
      <c r="R261" s="130" t="inlineStr">
        <is>
          <t>✓</t>
        </is>
      </c>
      <c r="S261" s="128" t="inlineStr">
        <is>
          <t>0.02 % ᴰ</t>
        </is>
      </c>
      <c r="T261" s="129" t="inlineStr">
        <is>
          <t>ППК26001, (21.01.2026) [CNP]</t>
        </is>
      </c>
      <c r="U261" s="130" t="inlineStr">
        <is>
          <t>✓</t>
        </is>
      </c>
      <c r="V261" s="128" t="inlineStr">
        <is>
          <t>Conforms</t>
        </is>
      </c>
      <c r="W261" s="129">
        <f>IFERROR(INDEX('iCoA Register'!$B:$B,MATCH("P060012|FM|I",'iCoA Register'!$R:$R,0)),"iCoA — at issue")&amp;", (13.01.2026) [PP]"</f>
        <v/>
      </c>
      <c r="X261" s="130" t="inlineStr">
        <is>
          <t>✓</t>
        </is>
      </c>
      <c r="Y261" s="128" t="inlineStr">
        <is>
          <t>7.50</t>
        </is>
      </c>
      <c r="Z261" s="129" t="inlineStr">
        <is>
          <t>ППК26001, (21.01.2026) [CNP]</t>
        </is>
      </c>
      <c r="AA261" s="130" t="inlineStr">
        <is>
          <t>✓</t>
        </is>
      </c>
      <c r="AB261" s="128" t="inlineStr">
        <is>
          <t>10</t>
        </is>
      </c>
      <c r="AC261" s="134" t="inlineStr">
        <is>
          <t>30</t>
        </is>
      </c>
      <c r="AD261" s="134" t="inlineStr">
        <is>
          <t>&lt;10</t>
        </is>
      </c>
      <c r="AE261" s="134" t="inlineStr">
        <is>
          <t>Одговара</t>
        </is>
      </c>
      <c r="AF261" s="134" t="inlineStr">
        <is>
          <t>Одговара</t>
        </is>
      </c>
      <c r="AG261" s="130" t="inlineStr">
        <is>
          <t>✓</t>
        </is>
      </c>
      <c r="AH261" s="128" t="inlineStr">
        <is>
          <t>n.r.</t>
        </is>
      </c>
      <c r="AI261" s="134" t="inlineStr">
        <is>
          <t>&lt;2</t>
        </is>
      </c>
      <c r="AJ261" s="134" t="inlineStr">
        <is>
          <t>n.r.</t>
        </is>
      </c>
      <c r="AK261" s="130" t="inlineStr">
        <is>
          <t>✓</t>
        </is>
      </c>
      <c r="AL261" s="128" t="inlineStr">
        <is>
          <t>н.д.</t>
        </is>
      </c>
      <c r="AM261" s="134" t="inlineStr">
        <is>
          <t>н.д.</t>
        </is>
      </c>
      <c r="AN261" s="134" t="inlineStr">
        <is>
          <t>н.д.</t>
        </is>
      </c>
      <c r="AO261" s="134" t="inlineStr">
        <is>
          <t>н.д.</t>
        </is>
      </c>
      <c r="AP261" s="130" t="inlineStr">
        <is>
          <t>✓</t>
        </is>
      </c>
      <c r="AQ261" s="128" t="inlineStr">
        <is>
          <t>≤ LOQ (all 29 compounds)</t>
        </is>
      </c>
      <c r="AR261" s="129" t="inlineStr">
        <is>
          <t>80-2026, (02.02.2026) [IJZ]</t>
        </is>
      </c>
      <c r="AS261" s="130" t="inlineStr">
        <is>
          <t>✓</t>
        </is>
      </c>
    </row>
    <row r="262" ht="13" customHeight="1" s="70">
      <c r="A262" s="135" t="n"/>
      <c r="D262" s="136" t="n"/>
      <c r="F262" s="137" t="n"/>
      <c r="G262" s="136" t="n"/>
      <c r="I262" s="137" t="n"/>
      <c r="J262" s="136" t="n"/>
      <c r="L262" s="137" t="n"/>
      <c r="M262" s="136" t="n"/>
      <c r="O262" s="137" t="n"/>
      <c r="P262" s="136" t="n"/>
      <c r="R262" s="137" t="n"/>
      <c r="S262" s="136" t="n"/>
      <c r="U262" s="137" t="n"/>
      <c r="V262" s="136" t="n"/>
      <c r="X262" s="137" t="n"/>
      <c r="Y262" s="136" t="n"/>
      <c r="AA262" s="137" t="n"/>
      <c r="AB262" s="138" t="inlineStr">
        <is>
          <t>3-0006-26, (20.01.2026) [IJZ-MB]</t>
        </is>
      </c>
      <c r="AG262" s="137" t="n"/>
      <c r="AH262" s="138" t="inlineStr">
        <is>
          <t>80-2026, (02.02.2026) [IJZ]</t>
        </is>
      </c>
      <c r="AK262" s="137" t="n"/>
      <c r="AL262" s="138" t="inlineStr">
        <is>
          <t>80-2026, (02.02.2026) [IJZ]</t>
        </is>
      </c>
      <c r="AP262" s="137" t="n"/>
      <c r="AQ262" s="136" t="n"/>
      <c r="AS262" s="137" t="n"/>
    </row>
    <row r="263" ht="14" customHeight="1" s="70">
      <c r="A263" s="139" t="n"/>
      <c r="B263" s="140" t="n"/>
      <c r="D263" s="141" t="n"/>
      <c r="E263" s="140" t="n"/>
      <c r="F263" s="142" t="n"/>
      <c r="G263" s="131" t="inlineStr">
        <is>
          <t>not on this certificate</t>
        </is>
      </c>
      <c r="H263" s="132" t="inlineStr">
        <is>
          <t>ППК26001, (21.01.2026) [CNP] · on file, not credited</t>
        </is>
      </c>
      <c r="I263" s="133" t="inlineStr">
        <is>
          <t>•</t>
        </is>
      </c>
      <c r="J263" s="141" t="n"/>
      <c r="K263" s="140" t="n"/>
      <c r="L263" s="142" t="n"/>
      <c r="M263" s="141" t="n"/>
      <c r="N263" s="140" t="n"/>
      <c r="O263" s="142" t="n"/>
      <c r="P263" s="141" t="n"/>
      <c r="Q263" s="140" t="n"/>
      <c r="R263" s="142" t="n"/>
      <c r="S263" s="141" t="n"/>
      <c r="T263" s="140" t="n"/>
      <c r="U263" s="142" t="n"/>
      <c r="V263" s="141" t="n"/>
      <c r="W263" s="140" t="n"/>
      <c r="X263" s="142" t="n"/>
      <c r="Y263" s="141" t="n"/>
      <c r="Z263" s="140" t="n"/>
      <c r="AA263" s="142" t="n"/>
      <c r="AB263" s="141" t="n"/>
      <c r="AC263" s="140" t="n"/>
      <c r="AD263" s="140" t="n"/>
      <c r="AE263" s="140" t="n"/>
      <c r="AF263" s="140" t="n"/>
      <c r="AG263" s="142" t="n"/>
      <c r="AH263" s="141" t="n"/>
      <c r="AI263" s="140" t="n"/>
      <c r="AJ263" s="140" t="n"/>
      <c r="AK263" s="142" t="n"/>
      <c r="AL263" s="141" t="n"/>
      <c r="AM263" s="140" t="n"/>
      <c r="AN263" s="140" t="n"/>
      <c r="AO263" s="140" t="n"/>
      <c r="AP263" s="142" t="n"/>
      <c r="AQ263" s="141" t="n"/>
      <c r="AR263" s="140" t="n"/>
      <c r="AS263" s="142" t="n"/>
    </row>
    <row r="264" ht="13" customHeight="1" s="70">
      <c r="A264" s="143" t="n"/>
      <c r="B264" s="144" t="n"/>
      <c r="C264" s="144" t="n"/>
      <c r="D264" s="145" t="n"/>
      <c r="E264" s="146" t="n"/>
      <c r="F264" s="147" t="n"/>
      <c r="G264" s="145" t="n"/>
      <c r="H264" s="146" t="n"/>
      <c r="I264" s="147" t="n"/>
      <c r="J264" s="145" t="n"/>
      <c r="K264" s="146" t="n"/>
      <c r="L264" s="147" t="n"/>
      <c r="M264" s="145" t="n"/>
      <c r="N264" s="146" t="n"/>
      <c r="O264" s="147" t="n"/>
      <c r="P264" s="145" t="n"/>
      <c r="Q264" s="146" t="n"/>
      <c r="R264" s="147" t="n"/>
      <c r="S264" s="145" t="n"/>
      <c r="T264" s="146" t="n"/>
      <c r="U264" s="147" t="n"/>
      <c r="V264" s="145" t="n"/>
      <c r="W264" s="146" t="n"/>
      <c r="X264" s="147" t="n"/>
      <c r="Y264" s="145" t="n"/>
      <c r="Z264" s="146" t="n"/>
      <c r="AA264" s="147" t="n"/>
      <c r="AB264" s="145" t="n"/>
      <c r="AC264" s="146" t="n"/>
      <c r="AD264" s="146" t="n"/>
      <c r="AE264" s="146" t="n"/>
      <c r="AF264" s="146" t="n"/>
      <c r="AG264" s="147" t="n"/>
      <c r="AH264" s="145" t="n"/>
      <c r="AI264" s="146" t="n"/>
      <c r="AJ264" s="146" t="n"/>
      <c r="AK264" s="147" t="n"/>
      <c r="AL264" s="145" t="n"/>
      <c r="AM264" s="146" t="n"/>
      <c r="AN264" s="146" t="n"/>
      <c r="AO264" s="146" t="n"/>
      <c r="AP264" s="147" t="n"/>
      <c r="AQ264" s="145" t="n"/>
      <c r="AR264" s="146" t="n"/>
      <c r="AS264" s="147" t="n"/>
    </row>
    <row r="265" ht="14" customHeight="1" s="70">
      <c r="A265" s="125" t="inlineStr">
        <is>
          <t>CJ082501/1</t>
        </is>
      </c>
      <c r="B265" s="126" t="inlineStr">
        <is>
          <t>P060022</t>
        </is>
      </c>
      <c r="C265" s="127" t="inlineStr">
        <is>
          <t>✓ COMPLETE
2 testing instances
• 1 document(s) on file, not credited</t>
        </is>
      </c>
      <c r="D265" s="128" t="inlineStr">
        <is>
          <t>Conforms</t>
        </is>
      </c>
      <c r="E265" s="129">
        <f>IFERROR(INDEX('iCoA Register'!$B:$B,MATCH("P060022|AB|I",'iCoA Register'!$R:$R,0)),"iCoA — at issue")&amp;", (16.01.2026) [PP]"</f>
        <v/>
      </c>
      <c r="F265" s="130" t="inlineStr">
        <is>
          <t>✓</t>
        </is>
      </c>
      <c r="G265" s="128" t="inlineStr">
        <is>
          <t>Conforms</t>
        </is>
      </c>
      <c r="H265" s="129">
        <f>IFERROR(INDEX('iCoA Register'!$B:$B,MATCH("P060022|AB|I",'iCoA Register'!$R:$R,0)),"iCoA — at issue")&amp;", (16.01.2026) [PP]"</f>
        <v/>
      </c>
      <c r="I265" s="130" t="inlineStr">
        <is>
          <t>✓</t>
        </is>
      </c>
      <c r="J265" s="128" t="inlineStr">
        <is>
          <t>Conforms (ImB spec.)</t>
        </is>
      </c>
      <c r="K265" s="129" t="inlineStr">
        <is>
          <t>ППК26002, (21.01.2026) [CNP]</t>
        </is>
      </c>
      <c r="L265" s="130" t="inlineStr">
        <is>
          <t>✓</t>
        </is>
      </c>
      <c r="M265" s="128" t="inlineStr">
        <is>
          <t>24.96</t>
        </is>
      </c>
      <c r="N265" s="129" t="inlineStr">
        <is>
          <t>ППК26002, (21.01.2026) [CNP]</t>
        </is>
      </c>
      <c r="O265" s="130" t="inlineStr">
        <is>
          <t>✓</t>
        </is>
      </c>
      <c r="P265" s="128" t="inlineStr">
        <is>
          <t>0.09</t>
        </is>
      </c>
      <c r="Q265" s="129" t="inlineStr">
        <is>
          <t>ППК26002, (21.01.2026) [CNP]</t>
        </is>
      </c>
      <c r="R265" s="130" t="inlineStr">
        <is>
          <t>✓</t>
        </is>
      </c>
      <c r="S265" s="128" t="inlineStr">
        <is>
          <t>0.02 % ᴰ</t>
        </is>
      </c>
      <c r="T265" s="129" t="inlineStr">
        <is>
          <t>ППК26002, (21.01.2026) [CNP]</t>
        </is>
      </c>
      <c r="U265" s="130" t="inlineStr">
        <is>
          <t>✓</t>
        </is>
      </c>
      <c r="V265" s="128" t="inlineStr">
        <is>
          <t>Conforms</t>
        </is>
      </c>
      <c r="W265" s="129">
        <f>IFERROR(INDEX('iCoA Register'!$B:$B,MATCH("P060022|FM|I",'iCoA Register'!$R:$R,0)),"iCoA — at issue")&amp;", (16.01.2026) [PP]"</f>
        <v/>
      </c>
      <c r="X265" s="130" t="inlineStr">
        <is>
          <t>✓</t>
        </is>
      </c>
      <c r="Y265" s="128" t="inlineStr">
        <is>
          <t>7.21</t>
        </is>
      </c>
      <c r="Z265" s="129" t="inlineStr">
        <is>
          <t>ППК26002, (21.01.2026) [CNP]</t>
        </is>
      </c>
      <c r="AA265" s="130" t="inlineStr">
        <is>
          <t>✓</t>
        </is>
      </c>
      <c r="AB265" s="128" t="inlineStr">
        <is>
          <t>1.5×10²</t>
        </is>
      </c>
      <c r="AC265" s="134" t="inlineStr">
        <is>
          <t>1.3×10²</t>
        </is>
      </c>
      <c r="AD265" s="134" t="inlineStr">
        <is>
          <t>&lt;10</t>
        </is>
      </c>
      <c r="AE265" s="134" t="inlineStr">
        <is>
          <t>Одговара</t>
        </is>
      </c>
      <c r="AF265" s="134" t="inlineStr">
        <is>
          <t>Одговара</t>
        </is>
      </c>
      <c r="AG265" s="130" t="inlineStr">
        <is>
          <t>✓</t>
        </is>
      </c>
      <c r="AH265" s="128" t="inlineStr">
        <is>
          <t>n.r.</t>
        </is>
      </c>
      <c r="AI265" s="134" t="inlineStr">
        <is>
          <t>&lt;2</t>
        </is>
      </c>
      <c r="AJ265" s="134" t="inlineStr">
        <is>
          <t>n.r.</t>
        </is>
      </c>
      <c r="AK265" s="130" t="inlineStr">
        <is>
          <t>✓</t>
        </is>
      </c>
      <c r="AL265" s="128" t="inlineStr">
        <is>
          <t>0.075</t>
        </is>
      </c>
      <c r="AM265" s="134" t="inlineStr">
        <is>
          <t>н.д.</t>
        </is>
      </c>
      <c r="AN265" s="134" t="inlineStr">
        <is>
          <t>н.д.</t>
        </is>
      </c>
      <c r="AO265" s="134" t="inlineStr">
        <is>
          <t>н.д.</t>
        </is>
      </c>
      <c r="AP265" s="130" t="inlineStr">
        <is>
          <t>✓</t>
        </is>
      </c>
      <c r="AQ265" s="128" t="inlineStr">
        <is>
          <t>≤ LOQ (all 26 compounds)</t>
        </is>
      </c>
      <c r="AR265" s="129" t="inlineStr">
        <is>
          <t>81-2026, (02.02.2026) [IJZ]</t>
        </is>
      </c>
      <c r="AS265" s="130" t="inlineStr">
        <is>
          <t>✓</t>
        </is>
      </c>
    </row>
    <row r="266" ht="13" customHeight="1" s="70">
      <c r="A266" s="135" t="n"/>
      <c r="D266" s="136" t="n"/>
      <c r="F266" s="137" t="n"/>
      <c r="G266" s="136" t="n"/>
      <c r="I266" s="137" t="n"/>
      <c r="J266" s="136" t="n"/>
      <c r="L266" s="137" t="n"/>
      <c r="M266" s="136" t="n"/>
      <c r="O266" s="137" t="n"/>
      <c r="P266" s="136" t="n"/>
      <c r="R266" s="137" t="n"/>
      <c r="S266" s="136" t="n"/>
      <c r="U266" s="137" t="n"/>
      <c r="V266" s="136" t="n"/>
      <c r="X266" s="137" t="n"/>
      <c r="Y266" s="136" t="n"/>
      <c r="AA266" s="137" t="n"/>
      <c r="AB266" s="138" t="inlineStr">
        <is>
          <t>8-0011-26, (20.01.2026) [IJZ-MB]</t>
        </is>
      </c>
      <c r="AG266" s="137" t="n"/>
      <c r="AH266" s="138" t="inlineStr">
        <is>
          <t>81-2026, (02.02.2026) [IJZ]</t>
        </is>
      </c>
      <c r="AK266" s="137" t="n"/>
      <c r="AL266" s="138" t="inlineStr">
        <is>
          <t>81-2026, (02.02.2026) [IJZ]</t>
        </is>
      </c>
      <c r="AP266" s="137" t="n"/>
      <c r="AQ266" s="136" t="n"/>
      <c r="AS266" s="137" t="n"/>
    </row>
    <row r="267" ht="14" customHeight="1" s="70">
      <c r="A267" s="139" t="n"/>
      <c r="B267" s="140" t="n"/>
      <c r="D267" s="141" t="n"/>
      <c r="E267" s="140" t="n"/>
      <c r="F267" s="142" t="n"/>
      <c r="G267" s="131" t="inlineStr">
        <is>
          <t>not on this certificate</t>
        </is>
      </c>
      <c r="H267" s="132" t="inlineStr">
        <is>
          <t>ППК26002, (21.01.2026) [CNP] · on file, not credited</t>
        </is>
      </c>
      <c r="I267" s="133" t="inlineStr">
        <is>
          <t>•</t>
        </is>
      </c>
      <c r="J267" s="141" t="n"/>
      <c r="K267" s="140" t="n"/>
      <c r="L267" s="142" t="n"/>
      <c r="M267" s="141" t="n"/>
      <c r="N267" s="140" t="n"/>
      <c r="O267" s="142" t="n"/>
      <c r="P267" s="141" t="n"/>
      <c r="Q267" s="140" t="n"/>
      <c r="R267" s="142" t="n"/>
      <c r="S267" s="141" t="n"/>
      <c r="T267" s="140" t="n"/>
      <c r="U267" s="142" t="n"/>
      <c r="V267" s="141" t="n"/>
      <c r="W267" s="140" t="n"/>
      <c r="X267" s="142" t="n"/>
      <c r="Y267" s="141" t="n"/>
      <c r="Z267" s="140" t="n"/>
      <c r="AA267" s="142" t="n"/>
      <c r="AB267" s="141" t="n"/>
      <c r="AC267" s="140" t="n"/>
      <c r="AD267" s="140" t="n"/>
      <c r="AE267" s="140" t="n"/>
      <c r="AF267" s="140" t="n"/>
      <c r="AG267" s="142" t="n"/>
      <c r="AH267" s="141" t="n"/>
      <c r="AI267" s="140" t="n"/>
      <c r="AJ267" s="140" t="n"/>
      <c r="AK267" s="142" t="n"/>
      <c r="AL267" s="141" t="n"/>
      <c r="AM267" s="140" t="n"/>
      <c r="AN267" s="140" t="n"/>
      <c r="AO267" s="140" t="n"/>
      <c r="AP267" s="142" t="n"/>
      <c r="AQ267" s="141" t="n"/>
      <c r="AR267" s="140" t="n"/>
      <c r="AS267" s="142" t="n"/>
    </row>
    <row r="268" ht="13" customHeight="1" s="70">
      <c r="A268" s="143" t="n"/>
      <c r="B268" s="144" t="n"/>
      <c r="C268" s="144" t="n"/>
      <c r="D268" s="145" t="n"/>
      <c r="E268" s="146" t="n"/>
      <c r="F268" s="147" t="n"/>
      <c r="G268" s="145" t="n"/>
      <c r="H268" s="146" t="n"/>
      <c r="I268" s="147" t="n"/>
      <c r="J268" s="145" t="n"/>
      <c r="K268" s="146" t="n"/>
      <c r="L268" s="147" t="n"/>
      <c r="M268" s="145" t="n"/>
      <c r="N268" s="146" t="n"/>
      <c r="O268" s="147" t="n"/>
      <c r="P268" s="145" t="n"/>
      <c r="Q268" s="146" t="n"/>
      <c r="R268" s="147" t="n"/>
      <c r="S268" s="145" t="n"/>
      <c r="T268" s="146" t="n"/>
      <c r="U268" s="147" t="n"/>
      <c r="V268" s="145" t="n"/>
      <c r="W268" s="146" t="n"/>
      <c r="X268" s="147" t="n"/>
      <c r="Y268" s="145" t="n"/>
      <c r="Z268" s="146" t="n"/>
      <c r="AA268" s="147" t="n"/>
      <c r="AB268" s="145" t="n"/>
      <c r="AC268" s="146" t="n"/>
      <c r="AD268" s="146" t="n"/>
      <c r="AE268" s="146" t="n"/>
      <c r="AF268" s="146" t="n"/>
      <c r="AG268" s="147" t="n"/>
      <c r="AH268" s="145" t="n"/>
      <c r="AI268" s="146" t="n"/>
      <c r="AJ268" s="146" t="n"/>
      <c r="AK268" s="147" t="n"/>
      <c r="AL268" s="145" t="n"/>
      <c r="AM268" s="146" t="n"/>
      <c r="AN268" s="146" t="n"/>
      <c r="AO268" s="146" t="n"/>
      <c r="AP268" s="147" t="n"/>
      <c r="AQ268" s="145" t="n"/>
      <c r="AR268" s="146" t="n"/>
      <c r="AS268" s="147" t="n"/>
    </row>
    <row r="269" ht="14" customHeight="1" s="70">
      <c r="A269" s="125" t="inlineStr">
        <is>
          <t>CJ082501/2</t>
        </is>
      </c>
      <c r="B269" s="126" t="inlineStr">
        <is>
          <t>P060032</t>
        </is>
      </c>
      <c r="C269" s="127" t="inlineStr">
        <is>
          <t>✓ COMPLETE
2 testing instances
• 2 document(s) on file, not credited</t>
        </is>
      </c>
      <c r="D269" s="128" t="inlineStr">
        <is>
          <t>Conforms</t>
        </is>
      </c>
      <c r="E269" s="129">
        <f>IFERROR(INDEX('iCoA Register'!$B:$B,MATCH("P060032|AB|I",'iCoA Register'!$R:$R,0)),"iCoA — at issue")&amp;", (29.01.2026) [PP]"</f>
        <v/>
      </c>
      <c r="F269" s="130" t="inlineStr">
        <is>
          <t>✓</t>
        </is>
      </c>
      <c r="G269" s="131" t="inlineStr">
        <is>
          <t>not on this certificate</t>
        </is>
      </c>
      <c r="H269" s="132" t="inlineStr">
        <is>
          <t>ППК26003, (21.01.2026) [CNP] · on file, not credited</t>
        </is>
      </c>
      <c r="I269" s="133" t="inlineStr">
        <is>
          <t>•</t>
        </is>
      </c>
      <c r="J269" s="128" t="inlineStr">
        <is>
          <t>Conforms (ImB spec.)</t>
        </is>
      </c>
      <c r="K269" s="129" t="inlineStr">
        <is>
          <t>ППК26003, (21.01.2026) [CNP]</t>
        </is>
      </c>
      <c r="L269" s="130" t="inlineStr">
        <is>
          <t>✓</t>
        </is>
      </c>
      <c r="M269" s="128" t="inlineStr">
        <is>
          <t>20.84</t>
        </is>
      </c>
      <c r="N269" s="129" t="inlineStr">
        <is>
          <t>ППК26003, (21.01.2026) [CNP]</t>
        </is>
      </c>
      <c r="O269" s="130" t="inlineStr">
        <is>
          <t>✓</t>
        </is>
      </c>
      <c r="P269" s="128" t="inlineStr">
        <is>
          <t>0.08</t>
        </is>
      </c>
      <c r="Q269" s="129" t="inlineStr">
        <is>
          <t>ППК26003, (21.01.2026) [CNP]</t>
        </is>
      </c>
      <c r="R269" s="130" t="inlineStr">
        <is>
          <t>✓</t>
        </is>
      </c>
      <c r="S269" s="128" t="inlineStr">
        <is>
          <t>ND ᴰ</t>
        </is>
      </c>
      <c r="T269" s="129" t="inlineStr">
        <is>
          <t>ППК26003, (21.01.2026) [CNP]</t>
        </is>
      </c>
      <c r="U269" s="130" t="inlineStr">
        <is>
          <t>✓</t>
        </is>
      </c>
      <c r="V269" s="128" t="inlineStr">
        <is>
          <t>Conforms</t>
        </is>
      </c>
      <c r="W269" s="129">
        <f>IFERROR(INDEX('iCoA Register'!$B:$B,MATCH("P060032|FM|I",'iCoA Register'!$R:$R,0)),"iCoA — at issue")&amp;", (29.01.2026) [PP]"</f>
        <v/>
      </c>
      <c r="X269" s="130" t="inlineStr">
        <is>
          <t>✓</t>
        </is>
      </c>
      <c r="Y269" s="128" t="inlineStr">
        <is>
          <t>7.37</t>
        </is>
      </c>
      <c r="Z269" s="129" t="inlineStr">
        <is>
          <t>ППК26003, (21.01.2026) [CNP]</t>
        </is>
      </c>
      <c r="AA269" s="130" t="inlineStr">
        <is>
          <t>✓</t>
        </is>
      </c>
      <c r="AB269" s="128" t="inlineStr">
        <is>
          <t>9.5×10²</t>
        </is>
      </c>
      <c r="AC269" s="134" t="inlineStr">
        <is>
          <t>1.2×10³</t>
        </is>
      </c>
      <c r="AD269" s="134" t="inlineStr">
        <is>
          <t>&lt;10</t>
        </is>
      </c>
      <c r="AE269" s="134" t="inlineStr">
        <is>
          <t>Одговара</t>
        </is>
      </c>
      <c r="AF269" s="134" t="inlineStr">
        <is>
          <t>Одговара</t>
        </is>
      </c>
      <c r="AG269" s="130" t="inlineStr">
        <is>
          <t>✓</t>
        </is>
      </c>
      <c r="AH269" s="128" t="inlineStr">
        <is>
          <t>n.r.</t>
        </is>
      </c>
      <c r="AI269" s="134" t="inlineStr">
        <is>
          <t>&lt;2</t>
        </is>
      </c>
      <c r="AJ269" s="134" t="inlineStr">
        <is>
          <t>n.r.</t>
        </is>
      </c>
      <c r="AK269" s="130" t="inlineStr">
        <is>
          <t>✓</t>
        </is>
      </c>
      <c r="AL269" s="128" t="inlineStr">
        <is>
          <t>0.073</t>
        </is>
      </c>
      <c r="AM269" s="134" t="inlineStr">
        <is>
          <t>н.д.</t>
        </is>
      </c>
      <c r="AN269" s="134" t="inlineStr">
        <is>
          <t>н.д.</t>
        </is>
      </c>
      <c r="AO269" s="134" t="inlineStr">
        <is>
          <t>н.д.</t>
        </is>
      </c>
      <c r="AP269" s="130" t="inlineStr">
        <is>
          <t>✓</t>
        </is>
      </c>
      <c r="AQ269" s="128" t="inlineStr">
        <is>
          <t>≤ LOQ (all 29 compounds)</t>
        </is>
      </c>
      <c r="AR269" s="129" t="inlineStr">
        <is>
          <t>82-2026, (02.02.2026) [IJZ]</t>
        </is>
      </c>
      <c r="AS269" s="130" t="inlineStr">
        <is>
          <t>✓</t>
        </is>
      </c>
    </row>
    <row r="270" ht="13" customHeight="1" s="70">
      <c r="A270" s="135" t="n"/>
      <c r="D270" s="136" t="n"/>
      <c r="F270" s="137" t="n"/>
      <c r="G270" s="136" t="n"/>
      <c r="I270" s="137" t="n"/>
      <c r="J270" s="136" t="n"/>
      <c r="L270" s="137" t="n"/>
      <c r="M270" s="136" t="n"/>
      <c r="O270" s="137" t="n"/>
      <c r="P270" s="136" t="n"/>
      <c r="R270" s="137" t="n"/>
      <c r="S270" s="136" t="n"/>
      <c r="U270" s="137" t="n"/>
      <c r="V270" s="136" t="n"/>
      <c r="X270" s="137" t="n"/>
      <c r="Y270" s="136" t="n"/>
      <c r="AA270" s="137" t="n"/>
      <c r="AB270" s="138" t="inlineStr">
        <is>
          <t>4-0007-26, (20.01.2026) [IJZ-MB]</t>
        </is>
      </c>
      <c r="AG270" s="137" t="n"/>
      <c r="AH270" s="138" t="inlineStr">
        <is>
          <t>82-2026, (02.02.2026) [IJZ]</t>
        </is>
      </c>
      <c r="AK270" s="137" t="n"/>
      <c r="AL270" s="138" t="inlineStr">
        <is>
          <t>82-2026, (02.02.2026) [IJZ]</t>
        </is>
      </c>
      <c r="AP270" s="137" t="n"/>
      <c r="AQ270" s="136" t="n"/>
      <c r="AS270" s="137" t="n"/>
    </row>
    <row r="271" ht="14" customHeight="1" s="70">
      <c r="A271" s="139" t="n"/>
      <c r="B271" s="140" t="n"/>
      <c r="D271" s="141" t="n"/>
      <c r="E271" s="140" t="n"/>
      <c r="F271" s="142" t="n"/>
      <c r="G271" s="128" t="inlineStr">
        <is>
          <t>Conforms</t>
        </is>
      </c>
      <c r="H271" s="129">
        <f>IFERROR(INDEX('iCoA Register'!$B:$B,MATCH("P060032|AB|I",'iCoA Register'!$R:$R,0)),"iCoA — at issue")&amp;", (29.01.2026) [PP]"</f>
        <v/>
      </c>
      <c r="I271" s="130" t="inlineStr">
        <is>
          <t>✓</t>
        </is>
      </c>
      <c r="J271" s="128" t="inlineStr">
        <is>
          <t>Conforms (ImB spec.) ᴿ</t>
        </is>
      </c>
      <c r="K271" s="129" t="inlineStr">
        <is>
          <t>197-5-K-26, (07.08.2026) [FHM-K]</t>
        </is>
      </c>
      <c r="L271" s="130" t="inlineStr">
        <is>
          <t>✓</t>
        </is>
      </c>
      <c r="M271" s="128" t="inlineStr">
        <is>
          <t>18.29</t>
        </is>
      </c>
      <c r="N271" s="129" t="inlineStr">
        <is>
          <t>197-5-K-26, (07.08.2026) [FHM-K]</t>
        </is>
      </c>
      <c r="O271" s="130" t="inlineStr">
        <is>
          <t>✓</t>
        </is>
      </c>
      <c r="P271" s="128" t="inlineStr">
        <is>
          <t>&lt; LOQ</t>
        </is>
      </c>
      <c r="Q271" s="129" t="inlineStr">
        <is>
          <t>197-5-K-26, (07.08.2026) [FHM-K]</t>
        </is>
      </c>
      <c r="R271" s="130" t="inlineStr">
        <is>
          <t>✓</t>
        </is>
      </c>
      <c r="S271" s="128" t="inlineStr">
        <is>
          <t>&lt; LOQ</t>
        </is>
      </c>
      <c r="T271" s="129" t="inlineStr">
        <is>
          <t>197-5-K-26, (07.08.2026) [FHM-K]</t>
        </is>
      </c>
      <c r="U271" s="130" t="inlineStr">
        <is>
          <t>✓</t>
        </is>
      </c>
      <c r="V271" s="141" t="n"/>
      <c r="W271" s="140" t="n"/>
      <c r="X271" s="142" t="n"/>
      <c r="Y271" s="131" t="inlineStr">
        <is>
          <t>not on this certificate</t>
        </is>
      </c>
      <c r="Z271" s="132" t="inlineStr">
        <is>
          <t>197-5-K-26, (07.08.2026) [FHM-K] · on file, not credited</t>
        </is>
      </c>
      <c r="AA271" s="133" t="inlineStr">
        <is>
          <t>•</t>
        </is>
      </c>
      <c r="AB271" s="141" t="n"/>
      <c r="AC271" s="140" t="n"/>
      <c r="AD271" s="140" t="n"/>
      <c r="AE271" s="140" t="n"/>
      <c r="AF271" s="140" t="n"/>
      <c r="AG271" s="142" t="n"/>
      <c r="AH271" s="128" t="inlineStr">
        <is>
          <t>ND</t>
        </is>
      </c>
      <c r="AI271" s="134" t="inlineStr">
        <is>
          <t>ND ᴿ</t>
        </is>
      </c>
      <c r="AJ271" s="134" t="inlineStr">
        <is>
          <t>ND</t>
        </is>
      </c>
      <c r="AK271" s="130" t="inlineStr">
        <is>
          <t>✓</t>
        </is>
      </c>
      <c r="AL271" s="141" t="n"/>
      <c r="AM271" s="140" t="n"/>
      <c r="AN271" s="140" t="n"/>
      <c r="AO271" s="140" t="n"/>
      <c r="AP271" s="142" t="n"/>
      <c r="AQ271" s="141" t="n"/>
      <c r="AR271" s="140" t="n"/>
      <c r="AS271" s="142" t="n"/>
    </row>
    <row r="272" ht="21" customHeight="1" s="70">
      <c r="A272" s="143" t="n"/>
      <c r="B272" s="144" t="n"/>
      <c r="C272" s="144" t="n"/>
      <c r="D272" s="145" t="n"/>
      <c r="E272" s="146" t="n"/>
      <c r="F272" s="147" t="n"/>
      <c r="G272" s="145" t="n"/>
      <c r="H272" s="146" t="n"/>
      <c r="I272" s="147" t="n"/>
      <c r="J272" s="145" t="n"/>
      <c r="K272" s="146" t="n"/>
      <c r="L272" s="147" t="n"/>
      <c r="M272" s="145" t="n"/>
      <c r="N272" s="146" t="n"/>
      <c r="O272" s="147" t="n"/>
      <c r="P272" s="145" t="n"/>
      <c r="Q272" s="146" t="n"/>
      <c r="R272" s="147" t="n"/>
      <c r="S272" s="145" t="n"/>
      <c r="T272" s="146" t="n"/>
      <c r="U272" s="147" t="n"/>
      <c r="V272" s="145" t="n"/>
      <c r="W272" s="146" t="n"/>
      <c r="X272" s="147" t="n"/>
      <c r="Y272" s="145" t="n"/>
      <c r="Z272" s="146" t="n"/>
      <c r="AA272" s="147" t="n"/>
      <c r="AB272" s="145" t="n"/>
      <c r="AC272" s="146" t="n"/>
      <c r="AD272" s="146" t="n"/>
      <c r="AE272" s="146" t="n"/>
      <c r="AF272" s="146" t="n"/>
      <c r="AG272" s="147" t="n"/>
      <c r="AH272" s="148" t="inlineStr">
        <is>
          <t>197-5-M-26, (10.08.2026) [FHM-M]</t>
        </is>
      </c>
      <c r="AI272" s="146" t="n"/>
      <c r="AJ272" s="146" t="n"/>
      <c r="AK272" s="147" t="n"/>
      <c r="AL272" s="145" t="n"/>
      <c r="AM272" s="146" t="n"/>
      <c r="AN272" s="146" t="n"/>
      <c r="AO272" s="146" t="n"/>
      <c r="AP272" s="147" t="n"/>
      <c r="AQ272" s="145" t="n"/>
      <c r="AR272" s="146" t="n"/>
      <c r="AS272" s="147" t="n"/>
    </row>
    <row r="273" ht="21" customHeight="1" s="70">
      <c r="A273" s="125" t="inlineStr">
        <is>
          <t>OPM092501</t>
        </is>
      </c>
      <c r="B273" s="126" t="inlineStr">
        <is>
          <t>P060042</t>
        </is>
      </c>
      <c r="C273" s="127" t="inlineStr">
        <is>
          <t>✓ COMPLETE
2 testing instances
• 1 document(s) on file, not credited</t>
        </is>
      </c>
      <c r="D273" s="128" t="inlineStr">
        <is>
          <t>Conforms</t>
        </is>
      </c>
      <c r="E273" s="129">
        <f>IFERROR(INDEX('iCoA Register'!$B:$B,MATCH("P060042|AB|I",'iCoA Register'!$R:$R,0)),"iCoA — at issue")&amp;", (29.01.2026) [PP]"</f>
        <v/>
      </c>
      <c r="F273" s="130" t="inlineStr">
        <is>
          <t>✓</t>
        </is>
      </c>
      <c r="G273" s="131" t="inlineStr">
        <is>
          <t>not on this certificate</t>
        </is>
      </c>
      <c r="H273" s="132" t="inlineStr">
        <is>
          <t>ППК26008, (21.01.2026) [CNP] · on file, not credited</t>
        </is>
      </c>
      <c r="I273" s="133" t="inlineStr">
        <is>
          <t>•</t>
        </is>
      </c>
      <c r="J273" s="128" t="inlineStr">
        <is>
          <t>Conforms (ImB spec.)</t>
        </is>
      </c>
      <c r="K273" s="129" t="inlineStr">
        <is>
          <t>ППК26008, (21.01.2026) [CNP]</t>
        </is>
      </c>
      <c r="L273" s="130" t="inlineStr">
        <is>
          <t>✓</t>
        </is>
      </c>
      <c r="M273" s="128" t="inlineStr">
        <is>
          <t>9.43</t>
        </is>
      </c>
      <c r="N273" s="129" t="inlineStr">
        <is>
          <t>ППК26008, (21.01.2026) [CNP]</t>
        </is>
      </c>
      <c r="O273" s="130" t="inlineStr">
        <is>
          <t>✓</t>
        </is>
      </c>
      <c r="P273" s="128" t="inlineStr">
        <is>
          <t>0.04</t>
        </is>
      </c>
      <c r="Q273" s="129" t="inlineStr">
        <is>
          <t>ППК26008, (21.01.2026) [CNP]</t>
        </is>
      </c>
      <c r="R273" s="130" t="inlineStr">
        <is>
          <t>✓</t>
        </is>
      </c>
      <c r="S273" s="128" t="inlineStr">
        <is>
          <t>ND ᴰ</t>
        </is>
      </c>
      <c r="T273" s="129" t="inlineStr">
        <is>
          <t>ППК26008, (21.01.2026) [CNP]</t>
        </is>
      </c>
      <c r="U273" s="130" t="inlineStr">
        <is>
          <t>✓</t>
        </is>
      </c>
      <c r="V273" s="128" t="inlineStr">
        <is>
          <t>Conforms</t>
        </is>
      </c>
      <c r="W273" s="129">
        <f>IFERROR(INDEX('iCoA Register'!$B:$B,MATCH("P060042|FM|I",'iCoA Register'!$R:$R,0)),"iCoA — at issue")&amp;", (29.01.2026) [PP]"</f>
        <v/>
      </c>
      <c r="X273" s="130" t="inlineStr">
        <is>
          <t>✓</t>
        </is>
      </c>
      <c r="Y273" s="128" t="inlineStr">
        <is>
          <t>7.85</t>
        </is>
      </c>
      <c r="Z273" s="129" t="inlineStr">
        <is>
          <t>ППК26008, (21.01.2026) [CNP]</t>
        </is>
      </c>
      <c r="AA273" s="130" t="inlineStr">
        <is>
          <t>✓</t>
        </is>
      </c>
      <c r="AB273" s="128" t="inlineStr">
        <is>
          <t>10</t>
        </is>
      </c>
      <c r="AC273" s="134" t="inlineStr">
        <is>
          <t>10</t>
        </is>
      </c>
      <c r="AD273" s="134" t="inlineStr">
        <is>
          <t>&lt;10^2 и &gt;10</t>
        </is>
      </c>
      <c r="AE273" s="134" t="inlineStr">
        <is>
          <t>Одговара</t>
        </is>
      </c>
      <c r="AF273" s="134" t="inlineStr">
        <is>
          <t>Одговара</t>
        </is>
      </c>
      <c r="AG273" s="130" t="inlineStr">
        <is>
          <t>✓</t>
        </is>
      </c>
      <c r="AH273" s="128" t="inlineStr">
        <is>
          <t>n.r.</t>
        </is>
      </c>
      <c r="AI273" s="134" t="inlineStr">
        <is>
          <t>2.2</t>
        </is>
      </c>
      <c r="AJ273" s="134" t="inlineStr">
        <is>
          <t>n.r.</t>
        </is>
      </c>
      <c r="AK273" s="130" t="inlineStr">
        <is>
          <t>✓</t>
        </is>
      </c>
      <c r="AL273" s="128" t="inlineStr">
        <is>
          <t>0.022</t>
        </is>
      </c>
      <c r="AM273" s="134" t="inlineStr">
        <is>
          <t>н.д.</t>
        </is>
      </c>
      <c r="AN273" s="134" t="inlineStr">
        <is>
          <t>н.д.</t>
        </is>
      </c>
      <c r="AO273" s="134" t="inlineStr">
        <is>
          <t>н.д.</t>
        </is>
      </c>
      <c r="AP273" s="130" t="inlineStr">
        <is>
          <t>✓</t>
        </is>
      </c>
      <c r="AQ273" s="128" t="inlineStr">
        <is>
          <t>≤ LOQ (all 29 compounds)</t>
        </is>
      </c>
      <c r="AR273" s="129" t="inlineStr">
        <is>
          <t>87-2026, (03.02.2026) [IJZ]</t>
        </is>
      </c>
      <c r="AS273" s="130" t="inlineStr">
        <is>
          <t>✓</t>
        </is>
      </c>
    </row>
    <row r="274" ht="13" customHeight="1" s="70">
      <c r="A274" s="135" t="n"/>
      <c r="D274" s="136" t="n"/>
      <c r="F274" s="137" t="n"/>
      <c r="G274" s="136" t="n"/>
      <c r="I274" s="137" t="n"/>
      <c r="J274" s="136" t="n"/>
      <c r="L274" s="137" t="n"/>
      <c r="M274" s="136" t="n"/>
      <c r="O274" s="137" t="n"/>
      <c r="P274" s="136" t="n"/>
      <c r="R274" s="137" t="n"/>
      <c r="S274" s="136" t="n"/>
      <c r="U274" s="137" t="n"/>
      <c r="V274" s="136" t="n"/>
      <c r="X274" s="137" t="n"/>
      <c r="Y274" s="136" t="n"/>
      <c r="AA274" s="137" t="n"/>
      <c r="AB274" s="138" t="inlineStr">
        <is>
          <t>2-0005-26, (20.01.2026) [IJZ-MB]</t>
        </is>
      </c>
      <c r="AG274" s="137" t="n"/>
      <c r="AH274" s="138" t="inlineStr">
        <is>
          <t>87-2026, (03.02.2026) [IJZ]</t>
        </is>
      </c>
      <c r="AK274" s="137" t="n"/>
      <c r="AL274" s="138" t="inlineStr">
        <is>
          <t>87-2026, (03.02.2026) [IJZ]</t>
        </is>
      </c>
      <c r="AP274" s="137" t="n"/>
      <c r="AQ274" s="136" t="n"/>
      <c r="AS274" s="137" t="n"/>
    </row>
    <row r="275" ht="14" customHeight="1" s="70">
      <c r="A275" s="139" t="n"/>
      <c r="B275" s="140" t="n"/>
      <c r="D275" s="141" t="n"/>
      <c r="E275" s="140" t="n"/>
      <c r="F275" s="142" t="n"/>
      <c r="G275" s="128" t="inlineStr">
        <is>
          <t>Conforms</t>
        </is>
      </c>
      <c r="H275" s="129">
        <f>IFERROR(INDEX('iCoA Register'!$B:$B,MATCH("P060042|AB|I",'iCoA Register'!$R:$R,0)),"iCoA — at issue")&amp;", (29.01.2026) [PP]"</f>
        <v/>
      </c>
      <c r="I275" s="130" t="inlineStr">
        <is>
          <t>✓</t>
        </is>
      </c>
      <c r="J275" s="141" t="n"/>
      <c r="K275" s="140" t="n"/>
      <c r="L275" s="142" t="n"/>
      <c r="M275" s="141" t="n"/>
      <c r="N275" s="140" t="n"/>
      <c r="O275" s="142" t="n"/>
      <c r="P275" s="141" t="n"/>
      <c r="Q275" s="140" t="n"/>
      <c r="R275" s="142" t="n"/>
      <c r="S275" s="141" t="n"/>
      <c r="T275" s="140" t="n"/>
      <c r="U275" s="142" t="n"/>
      <c r="V275" s="141" t="n"/>
      <c r="W275" s="140" t="n"/>
      <c r="X275" s="142" t="n"/>
      <c r="Y275" s="141" t="n"/>
      <c r="Z275" s="140" t="n"/>
      <c r="AA275" s="142" t="n"/>
      <c r="AB275" s="141" t="n"/>
      <c r="AC275" s="140" t="n"/>
      <c r="AD275" s="140" t="n"/>
      <c r="AE275" s="140" t="n"/>
      <c r="AF275" s="140" t="n"/>
      <c r="AG275" s="142" t="n"/>
      <c r="AH275" s="141" t="n"/>
      <c r="AI275" s="140" t="n"/>
      <c r="AJ275" s="140" t="n"/>
      <c r="AK275" s="142" t="n"/>
      <c r="AL275" s="141" t="n"/>
      <c r="AM275" s="140" t="n"/>
      <c r="AN275" s="140" t="n"/>
      <c r="AO275" s="140" t="n"/>
      <c r="AP275" s="142" t="n"/>
      <c r="AQ275" s="141" t="n"/>
      <c r="AR275" s="140" t="n"/>
      <c r="AS275" s="142" t="n"/>
    </row>
    <row r="276" ht="13" customHeight="1" s="70">
      <c r="A276" s="143" t="n"/>
      <c r="B276" s="144" t="n"/>
      <c r="C276" s="144" t="n"/>
      <c r="D276" s="145" t="n"/>
      <c r="E276" s="146" t="n"/>
      <c r="F276" s="147" t="n"/>
      <c r="G276" s="145" t="n"/>
      <c r="H276" s="146" t="n"/>
      <c r="I276" s="147" t="n"/>
      <c r="J276" s="145" t="n"/>
      <c r="K276" s="146" t="n"/>
      <c r="L276" s="147" t="n"/>
      <c r="M276" s="145" t="n"/>
      <c r="N276" s="146" t="n"/>
      <c r="O276" s="147" t="n"/>
      <c r="P276" s="145" t="n"/>
      <c r="Q276" s="146" t="n"/>
      <c r="R276" s="147" t="n"/>
      <c r="S276" s="145" t="n"/>
      <c r="T276" s="146" t="n"/>
      <c r="U276" s="147" t="n"/>
      <c r="V276" s="145" t="n"/>
      <c r="W276" s="146" t="n"/>
      <c r="X276" s="147" t="n"/>
      <c r="Y276" s="145" t="n"/>
      <c r="Z276" s="146" t="n"/>
      <c r="AA276" s="147" t="n"/>
      <c r="AB276" s="145" t="n"/>
      <c r="AC276" s="146" t="n"/>
      <c r="AD276" s="146" t="n"/>
      <c r="AE276" s="146" t="n"/>
      <c r="AF276" s="146" t="n"/>
      <c r="AG276" s="147" t="n"/>
      <c r="AH276" s="145" t="n"/>
      <c r="AI276" s="146" t="n"/>
      <c r="AJ276" s="146" t="n"/>
      <c r="AK276" s="147" t="n"/>
      <c r="AL276" s="145" t="n"/>
      <c r="AM276" s="146" t="n"/>
      <c r="AN276" s="146" t="n"/>
      <c r="AO276" s="146" t="n"/>
      <c r="AP276" s="147" t="n"/>
      <c r="AQ276" s="145" t="n"/>
      <c r="AR276" s="146" t="n"/>
      <c r="AS276" s="147" t="n"/>
    </row>
    <row r="277" ht="14" customHeight="1" s="70">
      <c r="A277" s="125" t="inlineStr">
        <is>
          <t>AB092501</t>
        </is>
      </c>
      <c r="B277" s="126" t="inlineStr">
        <is>
          <t>P060052</t>
        </is>
      </c>
      <c r="C277" s="127" t="inlineStr">
        <is>
          <t>✓ COMPLETE
2 testing instances
• 1 document(s) on file, not credited</t>
        </is>
      </c>
      <c r="D277" s="128" t="inlineStr">
        <is>
          <t>Conforms</t>
        </is>
      </c>
      <c r="E277" s="129">
        <f>IFERROR(INDEX('iCoA Register'!$B:$B,MATCH("P060052|AB|I",'iCoA Register'!$R:$R,0)),"iCoA — at issue")&amp;", (30.01.2026) [PP]"</f>
        <v/>
      </c>
      <c r="F277" s="130" t="inlineStr">
        <is>
          <t>✓</t>
        </is>
      </c>
      <c r="G277" s="131" t="inlineStr">
        <is>
          <t>not on this certificate</t>
        </is>
      </c>
      <c r="H277" s="132" t="inlineStr">
        <is>
          <t>ППК26005, (21.01.2026) [CNP] · on file, not credited</t>
        </is>
      </c>
      <c r="I277" s="133" t="inlineStr">
        <is>
          <t>•</t>
        </is>
      </c>
      <c r="J277" s="128" t="inlineStr">
        <is>
          <t>Conforms (ImB spec.)</t>
        </is>
      </c>
      <c r="K277" s="129" t="inlineStr">
        <is>
          <t>ППК26005, (21.01.2026) [CNP]</t>
        </is>
      </c>
      <c r="L277" s="130" t="inlineStr">
        <is>
          <t>✓</t>
        </is>
      </c>
      <c r="M277" s="128" t="inlineStr">
        <is>
          <t>16.93</t>
        </is>
      </c>
      <c r="N277" s="129" t="inlineStr">
        <is>
          <t>ППК26005, (21.01.2026) [CNP]</t>
        </is>
      </c>
      <c r="O277" s="130" t="inlineStr">
        <is>
          <t>✓</t>
        </is>
      </c>
      <c r="P277" s="128" t="inlineStr">
        <is>
          <t>0.07</t>
        </is>
      </c>
      <c r="Q277" s="129" t="inlineStr">
        <is>
          <t>ППК26005, (21.01.2026) [CNP]</t>
        </is>
      </c>
      <c r="R277" s="130" t="inlineStr">
        <is>
          <t>✓</t>
        </is>
      </c>
      <c r="S277" s="128" t="inlineStr">
        <is>
          <t>ND ᴰ</t>
        </is>
      </c>
      <c r="T277" s="129" t="inlineStr">
        <is>
          <t>ППК26005, (21.01.2026) [CNP]</t>
        </is>
      </c>
      <c r="U277" s="130" t="inlineStr">
        <is>
          <t>✓</t>
        </is>
      </c>
      <c r="V277" s="128" t="inlineStr">
        <is>
          <t>Conforms</t>
        </is>
      </c>
      <c r="W277" s="129">
        <f>IFERROR(INDEX('iCoA Register'!$B:$B,MATCH("P060052|FM|I",'iCoA Register'!$R:$R,0)),"iCoA — at issue")&amp;", (30.01.2026) [PP]"</f>
        <v/>
      </c>
      <c r="X277" s="130" t="inlineStr">
        <is>
          <t>✓</t>
        </is>
      </c>
      <c r="Y277" s="128" t="inlineStr">
        <is>
          <t>6.77</t>
        </is>
      </c>
      <c r="Z277" s="129" t="inlineStr">
        <is>
          <t>ППК26005, (21.01.2026) [CNP]</t>
        </is>
      </c>
      <c r="AA277" s="130" t="inlineStr">
        <is>
          <t>✓</t>
        </is>
      </c>
      <c r="AB277" s="128" t="inlineStr">
        <is>
          <t>&lt;10</t>
        </is>
      </c>
      <c r="AC277" s="134" t="inlineStr">
        <is>
          <t>&lt;10</t>
        </is>
      </c>
      <c r="AD277" s="134" t="inlineStr">
        <is>
          <t>&lt;10</t>
        </is>
      </c>
      <c r="AE277" s="134" t="inlineStr">
        <is>
          <t>Одговара</t>
        </is>
      </c>
      <c r="AF277" s="134" t="inlineStr">
        <is>
          <t>Одговара</t>
        </is>
      </c>
      <c r="AG277" s="130" t="inlineStr">
        <is>
          <t>✓</t>
        </is>
      </c>
      <c r="AH277" s="128" t="inlineStr">
        <is>
          <t>n.r.</t>
        </is>
      </c>
      <c r="AI277" s="134" t="inlineStr">
        <is>
          <t>&lt;2</t>
        </is>
      </c>
      <c r="AJ277" s="134" t="inlineStr">
        <is>
          <t>n.r.</t>
        </is>
      </c>
      <c r="AK277" s="130" t="inlineStr">
        <is>
          <t>✓</t>
        </is>
      </c>
      <c r="AL277" s="128" t="inlineStr">
        <is>
          <t>0.05</t>
        </is>
      </c>
      <c r="AM277" s="134" t="inlineStr">
        <is>
          <t>н.д.</t>
        </is>
      </c>
      <c r="AN277" s="134" t="inlineStr">
        <is>
          <t>н.д.</t>
        </is>
      </c>
      <c r="AO277" s="134" t="inlineStr">
        <is>
          <t>0.003</t>
        </is>
      </c>
      <c r="AP277" s="130" t="inlineStr">
        <is>
          <t>✓</t>
        </is>
      </c>
      <c r="AQ277" s="128" t="inlineStr">
        <is>
          <t>≤ LOQ (all 29 compounds)</t>
        </is>
      </c>
      <c r="AR277" s="129" t="inlineStr">
        <is>
          <t>84-2026, (02.02.2026) [IJZ]</t>
        </is>
      </c>
      <c r="AS277" s="130" t="inlineStr">
        <is>
          <t>✓</t>
        </is>
      </c>
    </row>
    <row r="278" ht="13" customHeight="1" s="70">
      <c r="A278" s="135" t="n"/>
      <c r="D278" s="136" t="n"/>
      <c r="F278" s="137" t="n"/>
      <c r="G278" s="136" t="n"/>
      <c r="I278" s="137" t="n"/>
      <c r="J278" s="136" t="n"/>
      <c r="L278" s="137" t="n"/>
      <c r="M278" s="136" t="n"/>
      <c r="O278" s="137" t="n"/>
      <c r="P278" s="136" t="n"/>
      <c r="R278" s="137" t="n"/>
      <c r="S278" s="136" t="n"/>
      <c r="U278" s="137" t="n"/>
      <c r="V278" s="136" t="n"/>
      <c r="X278" s="137" t="n"/>
      <c r="Y278" s="136" t="n"/>
      <c r="AA278" s="137" t="n"/>
      <c r="AB278" s="138" t="inlineStr">
        <is>
          <t>7-0010-26, (20.01.2026) [IJZ-MB]</t>
        </is>
      </c>
      <c r="AG278" s="137" t="n"/>
      <c r="AH278" s="138" t="inlineStr">
        <is>
          <t>84-2026, (02.02.2026) [IJZ]</t>
        </is>
      </c>
      <c r="AK278" s="137" t="n"/>
      <c r="AL278" s="138" t="inlineStr">
        <is>
          <t>84-2026, (02.02.2026) [IJZ]</t>
        </is>
      </c>
      <c r="AP278" s="137" t="n"/>
      <c r="AQ278" s="136" t="n"/>
      <c r="AS278" s="137" t="n"/>
    </row>
    <row r="279" ht="14" customHeight="1" s="70">
      <c r="A279" s="139" t="n"/>
      <c r="B279" s="140" t="n"/>
      <c r="D279" s="141" t="n"/>
      <c r="E279" s="140" t="n"/>
      <c r="F279" s="142" t="n"/>
      <c r="G279" s="128" t="inlineStr">
        <is>
          <t>Conforms</t>
        </is>
      </c>
      <c r="H279" s="129">
        <f>IFERROR(INDEX('iCoA Register'!$B:$B,MATCH("P060052|AB|I",'iCoA Register'!$R:$R,0)),"iCoA — at issue")&amp;", (30.01.2026) [PP]"</f>
        <v/>
      </c>
      <c r="I279" s="130" t="inlineStr">
        <is>
          <t>✓</t>
        </is>
      </c>
      <c r="J279" s="141" t="n"/>
      <c r="K279" s="140" t="n"/>
      <c r="L279" s="142" t="n"/>
      <c r="M279" s="141" t="n"/>
      <c r="N279" s="140" t="n"/>
      <c r="O279" s="142" t="n"/>
      <c r="P279" s="141" t="n"/>
      <c r="Q279" s="140" t="n"/>
      <c r="R279" s="142" t="n"/>
      <c r="S279" s="141" t="n"/>
      <c r="T279" s="140" t="n"/>
      <c r="U279" s="142" t="n"/>
      <c r="V279" s="141" t="n"/>
      <c r="W279" s="140" t="n"/>
      <c r="X279" s="142" t="n"/>
      <c r="Y279" s="141" t="n"/>
      <c r="Z279" s="140" t="n"/>
      <c r="AA279" s="142" t="n"/>
      <c r="AB279" s="128" t="inlineStr">
        <is>
          <t>&lt;10</t>
        </is>
      </c>
      <c r="AC279" s="134" t="inlineStr">
        <is>
          <t>&lt;10</t>
        </is>
      </c>
      <c r="AD279" s="134" t="inlineStr">
        <is>
          <t>&lt;10</t>
        </is>
      </c>
      <c r="AE279" s="134" t="inlineStr">
        <is>
          <t>absent</t>
        </is>
      </c>
      <c r="AF279" s="134" t="inlineStr">
        <is>
          <t>absent</t>
        </is>
      </c>
      <c r="AG279" s="130" t="inlineStr">
        <is>
          <t>✓</t>
        </is>
      </c>
      <c r="AH279" s="141" t="n"/>
      <c r="AI279" s="140" t="n"/>
      <c r="AJ279" s="140" t="n"/>
      <c r="AK279" s="142" t="n"/>
      <c r="AL279" s="141" t="n"/>
      <c r="AM279" s="140" t="n"/>
      <c r="AN279" s="140" t="n"/>
      <c r="AO279" s="140" t="n"/>
      <c r="AP279" s="142" t="n"/>
      <c r="AQ279" s="141" t="n"/>
      <c r="AR279" s="140" t="n"/>
      <c r="AS279" s="142" t="n"/>
    </row>
    <row r="280" ht="13" customHeight="1" s="70">
      <c r="A280" s="143" t="n"/>
      <c r="B280" s="144" t="n"/>
      <c r="C280" s="144" t="n"/>
      <c r="D280" s="145" t="n"/>
      <c r="E280" s="146" t="n"/>
      <c r="F280" s="147" t="n"/>
      <c r="G280" s="145" t="n"/>
      <c r="H280" s="146" t="n"/>
      <c r="I280" s="147" t="n"/>
      <c r="J280" s="145" t="n"/>
      <c r="K280" s="146" t="n"/>
      <c r="L280" s="147" t="n"/>
      <c r="M280" s="145" t="n"/>
      <c r="N280" s="146" t="n"/>
      <c r="O280" s="147" t="n"/>
      <c r="P280" s="145" t="n"/>
      <c r="Q280" s="146" t="n"/>
      <c r="R280" s="147" t="n"/>
      <c r="S280" s="145" t="n"/>
      <c r="T280" s="146" t="n"/>
      <c r="U280" s="147" t="n"/>
      <c r="V280" s="145" t="n"/>
      <c r="W280" s="146" t="n"/>
      <c r="X280" s="147" t="n"/>
      <c r="Y280" s="145" t="n"/>
      <c r="Z280" s="146" t="n"/>
      <c r="AA280" s="147" t="n"/>
      <c r="AB280" s="148" t="inlineStr">
        <is>
          <t>552-1083-26, (01.09.2026) [IJZ-MB]</t>
        </is>
      </c>
      <c r="AC280" s="146" t="n"/>
      <c r="AD280" s="146" t="n"/>
      <c r="AE280" s="146" t="n"/>
      <c r="AF280" s="146" t="n"/>
      <c r="AG280" s="147" t="n"/>
      <c r="AH280" s="145" t="n"/>
      <c r="AI280" s="146" t="n"/>
      <c r="AJ280" s="146" t="n"/>
      <c r="AK280" s="147" t="n"/>
      <c r="AL280" s="145" t="n"/>
      <c r="AM280" s="146" t="n"/>
      <c r="AN280" s="146" t="n"/>
      <c r="AO280" s="146" t="n"/>
      <c r="AP280" s="147" t="n"/>
      <c r="AQ280" s="145" t="n"/>
      <c r="AR280" s="146" t="n"/>
      <c r="AS280" s="147" t="n"/>
    </row>
    <row r="281" ht="14" customHeight="1" s="70">
      <c r="A281" s="125" t="inlineStr">
        <is>
          <t>PM092501</t>
        </is>
      </c>
      <c r="B281" s="126" t="inlineStr">
        <is>
          <t>P060062</t>
        </is>
      </c>
      <c r="C281" s="127" t="inlineStr">
        <is>
          <t>✓ COMPLETE
2 testing instances
• 2 document(s) on file, not credited</t>
        </is>
      </c>
      <c r="D281" s="128" t="inlineStr">
        <is>
          <t>Conforms</t>
        </is>
      </c>
      <c r="E281" s="129">
        <f>IFERROR(INDEX('iCoA Register'!$B:$B,MATCH("P060062|AB|I",'iCoA Register'!$R:$R,0)),"iCoA — at issue")&amp;", (30.01.2026) [PP]"</f>
        <v/>
      </c>
      <c r="F281" s="130" t="inlineStr">
        <is>
          <t>✓</t>
        </is>
      </c>
      <c r="G281" s="131" t="inlineStr">
        <is>
          <t>not on this certificate</t>
        </is>
      </c>
      <c r="H281" s="132" t="inlineStr">
        <is>
          <t>ППК26004, (21.01.2026) [CNP] · on file, not credited</t>
        </is>
      </c>
      <c r="I281" s="133" t="inlineStr">
        <is>
          <t>•</t>
        </is>
      </c>
      <c r="J281" s="128" t="inlineStr">
        <is>
          <t>Conforms (ImB spec.) ᴿ</t>
        </is>
      </c>
      <c r="K281" s="129" t="inlineStr">
        <is>
          <t>ППК26004, (21.01.2026) [CNP]</t>
        </is>
      </c>
      <c r="L281" s="130" t="inlineStr">
        <is>
          <t>✓</t>
        </is>
      </c>
      <c r="M281" s="128" t="inlineStr">
        <is>
          <t>14.06 ᴿ</t>
        </is>
      </c>
      <c r="N281" s="129" t="inlineStr">
        <is>
          <t>ППК26004, (21.01.2026) [CNP]</t>
        </is>
      </c>
      <c r="O281" s="130" t="inlineStr">
        <is>
          <t>✓</t>
        </is>
      </c>
      <c r="P281" s="128" t="inlineStr">
        <is>
          <t>0.05</t>
        </is>
      </c>
      <c r="Q281" s="129" t="inlineStr">
        <is>
          <t>ППК26004, (21.01.2026) [CNP]</t>
        </is>
      </c>
      <c r="R281" s="130" t="inlineStr">
        <is>
          <t>✓</t>
        </is>
      </c>
      <c r="S281" s="128" t="inlineStr">
        <is>
          <t>BLQ ᴰ</t>
        </is>
      </c>
      <c r="T281" s="129" t="inlineStr">
        <is>
          <t>ППК26004, (21.01.2026) [CNP]</t>
        </is>
      </c>
      <c r="U281" s="130" t="inlineStr">
        <is>
          <t>✓</t>
        </is>
      </c>
      <c r="V281" s="128" t="inlineStr">
        <is>
          <t>Conforms</t>
        </is>
      </c>
      <c r="W281" s="129">
        <f>IFERROR(INDEX('iCoA Register'!$B:$B,MATCH("P060062|FM|I",'iCoA Register'!$R:$R,0)),"iCoA — at issue")&amp;", (30.01.2026) [PP]"</f>
        <v/>
      </c>
      <c r="X281" s="130" t="inlineStr">
        <is>
          <t>✓</t>
        </is>
      </c>
      <c r="Y281" s="128" t="inlineStr">
        <is>
          <t>7.97</t>
        </is>
      </c>
      <c r="Z281" s="129" t="inlineStr">
        <is>
          <t>ППК26004, (21.01.2026) [CNP]</t>
        </is>
      </c>
      <c r="AA281" s="130" t="inlineStr">
        <is>
          <t>✓</t>
        </is>
      </c>
      <c r="AB281" s="128" t="inlineStr">
        <is>
          <t>2×10³</t>
        </is>
      </c>
      <c r="AC281" s="134" t="inlineStr">
        <is>
          <t>2.2×10³</t>
        </is>
      </c>
      <c r="AD281" s="134" t="inlineStr">
        <is>
          <t>&lt;10</t>
        </is>
      </c>
      <c r="AE281" s="134" t="inlineStr">
        <is>
          <t>Одговара</t>
        </is>
      </c>
      <c r="AF281" s="134" t="inlineStr">
        <is>
          <t>Одговара</t>
        </is>
      </c>
      <c r="AG281" s="130" t="inlineStr">
        <is>
          <t>✓</t>
        </is>
      </c>
      <c r="AH281" s="128" t="inlineStr">
        <is>
          <t>n.r.</t>
        </is>
      </c>
      <c r="AI281" s="134" t="inlineStr">
        <is>
          <t>&lt;2</t>
        </is>
      </c>
      <c r="AJ281" s="134" t="inlineStr">
        <is>
          <t>n.r.</t>
        </is>
      </c>
      <c r="AK281" s="130" t="inlineStr">
        <is>
          <t>✓</t>
        </is>
      </c>
      <c r="AL281" s="128" t="inlineStr">
        <is>
          <t>0.03</t>
        </is>
      </c>
      <c r="AM281" s="134" t="inlineStr">
        <is>
          <t>Н.д.</t>
        </is>
      </c>
      <c r="AN281" s="134" t="inlineStr">
        <is>
          <t>Н.д.</t>
        </is>
      </c>
      <c r="AO281" s="134" t="inlineStr">
        <is>
          <t>Н.д.</t>
        </is>
      </c>
      <c r="AP281" s="130" t="inlineStr">
        <is>
          <t>✓</t>
        </is>
      </c>
      <c r="AQ281" s="128" t="inlineStr">
        <is>
          <t>≤ LOQ (all 28 compounds)</t>
        </is>
      </c>
      <c r="AR281" s="129" t="inlineStr">
        <is>
          <t>83-2026, (02.02.2026) [IJZ]</t>
        </is>
      </c>
      <c r="AS281" s="130" t="inlineStr">
        <is>
          <t>✓</t>
        </is>
      </c>
    </row>
    <row r="282" ht="13" customHeight="1" s="70">
      <c r="A282" s="135" t="n"/>
      <c r="D282" s="136" t="n"/>
      <c r="F282" s="137" t="n"/>
      <c r="G282" s="136" t="n"/>
      <c r="I282" s="137" t="n"/>
      <c r="J282" s="136" t="n"/>
      <c r="L282" s="137" t="n"/>
      <c r="M282" s="136" t="n"/>
      <c r="O282" s="137" t="n"/>
      <c r="P282" s="136" t="n"/>
      <c r="R282" s="137" t="n"/>
      <c r="S282" s="136" t="n"/>
      <c r="U282" s="137" t="n"/>
      <c r="V282" s="136" t="n"/>
      <c r="X282" s="137" t="n"/>
      <c r="Y282" s="136" t="n"/>
      <c r="AA282" s="137" t="n"/>
      <c r="AB282" s="138" t="inlineStr">
        <is>
          <t>6-0009-26, (20.01.2026) [IJZ-MB]</t>
        </is>
      </c>
      <c r="AG282" s="137" t="n"/>
      <c r="AH282" s="138" t="inlineStr">
        <is>
          <t>83-2026, (02.02.2026) [IJZ]</t>
        </is>
      </c>
      <c r="AK282" s="137" t="n"/>
      <c r="AL282" s="138" t="inlineStr">
        <is>
          <t>83-2026, (02.02.2026) [IJZ]</t>
        </is>
      </c>
      <c r="AP282" s="137" t="n"/>
      <c r="AQ282" s="136" t="n"/>
      <c r="AS282" s="137" t="n"/>
    </row>
    <row r="283" ht="14" customHeight="1" s="70">
      <c r="A283" s="139" t="n"/>
      <c r="B283" s="140" t="n"/>
      <c r="D283" s="141" t="n"/>
      <c r="E283" s="140" t="n"/>
      <c r="F283" s="142" t="n"/>
      <c r="G283" s="128" t="inlineStr">
        <is>
          <t>Conforms</t>
        </is>
      </c>
      <c r="H283" s="129">
        <f>IFERROR(INDEX('iCoA Register'!$B:$B,MATCH("P060062|AB|I",'iCoA Register'!$R:$R,0)),"iCoA — at issue")&amp;", (30.01.2026) [PP]"</f>
        <v/>
      </c>
      <c r="I283" s="130" t="inlineStr">
        <is>
          <t>✓</t>
        </is>
      </c>
      <c r="J283" s="128" t="inlineStr">
        <is>
          <t>Conforms (ImB spec.)</t>
        </is>
      </c>
      <c r="K283" s="129" t="inlineStr">
        <is>
          <t>197-20-K-26, (07.08.2026) [FHM-K]</t>
        </is>
      </c>
      <c r="L283" s="130" t="inlineStr">
        <is>
          <t>✓</t>
        </is>
      </c>
      <c r="M283" s="128" t="inlineStr">
        <is>
          <t>12.25</t>
        </is>
      </c>
      <c r="N283" s="129" t="inlineStr">
        <is>
          <t>197-20-K-26, (07.08.2026) [FHM-K]</t>
        </is>
      </c>
      <c r="O283" s="130" t="inlineStr">
        <is>
          <t>✓</t>
        </is>
      </c>
      <c r="P283" s="128" t="inlineStr">
        <is>
          <t>&lt;LOQ</t>
        </is>
      </c>
      <c r="Q283" s="129" t="inlineStr">
        <is>
          <t>197-20-K-26, (07.08.2026) [FHM-K]</t>
        </is>
      </c>
      <c r="R283" s="130" t="inlineStr">
        <is>
          <t>✓</t>
        </is>
      </c>
      <c r="S283" s="128" t="inlineStr">
        <is>
          <t>&lt;LOQ</t>
        </is>
      </c>
      <c r="T283" s="129" t="inlineStr">
        <is>
          <t>197-20-K-26, (07.08.2026) [FHM-K]</t>
        </is>
      </c>
      <c r="U283" s="130" t="inlineStr">
        <is>
          <t>✓</t>
        </is>
      </c>
      <c r="V283" s="141" t="n"/>
      <c r="W283" s="140" t="n"/>
      <c r="X283" s="142" t="n"/>
      <c r="Y283" s="131" t="inlineStr">
        <is>
          <t>not on this certificate</t>
        </is>
      </c>
      <c r="Z283" s="132" t="inlineStr">
        <is>
          <t>197-20-K-26, (07.08.2026) [FHM-K] · on file, not credited</t>
        </is>
      </c>
      <c r="AA283" s="133" t="inlineStr">
        <is>
          <t>•</t>
        </is>
      </c>
      <c r="AB283" s="141" t="n"/>
      <c r="AC283" s="140" t="n"/>
      <c r="AD283" s="140" t="n"/>
      <c r="AE283" s="140" t="n"/>
      <c r="AF283" s="140" t="n"/>
      <c r="AG283" s="142" t="n"/>
      <c r="AH283" s="128" t="inlineStr">
        <is>
          <t>ND</t>
        </is>
      </c>
      <c r="AI283" s="134" t="inlineStr">
        <is>
          <t>ND ᴿ</t>
        </is>
      </c>
      <c r="AJ283" s="134" t="inlineStr">
        <is>
          <t>ND</t>
        </is>
      </c>
      <c r="AK283" s="130" t="inlineStr">
        <is>
          <t>✓</t>
        </is>
      </c>
      <c r="AL283" s="141" t="n"/>
      <c r="AM283" s="140" t="n"/>
      <c r="AN283" s="140" t="n"/>
      <c r="AO283" s="140" t="n"/>
      <c r="AP283" s="142" t="n"/>
      <c r="AQ283" s="141" t="n"/>
      <c r="AR283" s="140" t="n"/>
      <c r="AS283" s="142" t="n"/>
    </row>
    <row r="284" ht="21" customHeight="1" s="70">
      <c r="A284" s="143" t="n"/>
      <c r="B284" s="144" t="n"/>
      <c r="C284" s="144" t="n"/>
      <c r="D284" s="145" t="n"/>
      <c r="E284" s="146" t="n"/>
      <c r="F284" s="147" t="n"/>
      <c r="G284" s="145" t="n"/>
      <c r="H284" s="146" t="n"/>
      <c r="I284" s="147" t="n"/>
      <c r="J284" s="145" t="n"/>
      <c r="K284" s="146" t="n"/>
      <c r="L284" s="147" t="n"/>
      <c r="M284" s="145" t="n"/>
      <c r="N284" s="146" t="n"/>
      <c r="O284" s="147" t="n"/>
      <c r="P284" s="145" t="n"/>
      <c r="Q284" s="146" t="n"/>
      <c r="R284" s="147" t="n"/>
      <c r="S284" s="145" t="n"/>
      <c r="T284" s="146" t="n"/>
      <c r="U284" s="147" t="n"/>
      <c r="V284" s="145" t="n"/>
      <c r="W284" s="146" t="n"/>
      <c r="X284" s="147" t="n"/>
      <c r="Y284" s="145" t="n"/>
      <c r="Z284" s="146" t="n"/>
      <c r="AA284" s="147" t="n"/>
      <c r="AB284" s="145" t="n"/>
      <c r="AC284" s="146" t="n"/>
      <c r="AD284" s="146" t="n"/>
      <c r="AE284" s="146" t="n"/>
      <c r="AF284" s="146" t="n"/>
      <c r="AG284" s="147" t="n"/>
      <c r="AH284" s="148" t="inlineStr">
        <is>
          <t>197-20-M-26, (10.08.2026) [FHM-M]</t>
        </is>
      </c>
      <c r="AI284" s="146" t="n"/>
      <c r="AJ284" s="146" t="n"/>
      <c r="AK284" s="147" t="n"/>
      <c r="AL284" s="145" t="n"/>
      <c r="AM284" s="146" t="n"/>
      <c r="AN284" s="146" t="n"/>
      <c r="AO284" s="146" t="n"/>
      <c r="AP284" s="147" t="n"/>
      <c r="AQ284" s="145" t="n"/>
      <c r="AR284" s="146" t="n"/>
      <c r="AS284" s="147" t="n"/>
    </row>
    <row r="285" ht="14" customHeight="1" s="70">
      <c r="A285" s="125" t="inlineStr">
        <is>
          <t>CJ092501</t>
        </is>
      </c>
      <c r="B285" s="126" t="inlineStr">
        <is>
          <t>P060072</t>
        </is>
      </c>
      <c r="C285" s="127" t="inlineStr">
        <is>
          <t>✓ COMPLETE
2 testing instances
• 1 document(s) on file, not credited</t>
        </is>
      </c>
      <c r="D285" s="128" t="inlineStr">
        <is>
          <t>Conforms</t>
        </is>
      </c>
      <c r="E285" s="129">
        <f>IFERROR(INDEX('iCoA Register'!$B:$B,MATCH("P060072|AB|I",'iCoA Register'!$R:$R,0)),"iCoA — at issue")&amp;", (02.02.2026) [PP]"</f>
        <v/>
      </c>
      <c r="F285" s="130" t="inlineStr">
        <is>
          <t>✓</t>
        </is>
      </c>
      <c r="G285" s="131" t="inlineStr">
        <is>
          <t>not on this certificate</t>
        </is>
      </c>
      <c r="H285" s="132" t="inlineStr">
        <is>
          <t>ППК26007, (21.01.2026) [CNP] · on file, not credited</t>
        </is>
      </c>
      <c r="I285" s="133" t="inlineStr">
        <is>
          <t>•</t>
        </is>
      </c>
      <c r="J285" s="128" t="inlineStr">
        <is>
          <t>Conforms (ImB spec.)</t>
        </is>
      </c>
      <c r="K285" s="129" t="inlineStr">
        <is>
          <t>ППК26007, (21.01.2026) [CNP]</t>
        </is>
      </c>
      <c r="L285" s="130" t="inlineStr">
        <is>
          <t>✓</t>
        </is>
      </c>
      <c r="M285" s="128" t="inlineStr">
        <is>
          <t>22.30</t>
        </is>
      </c>
      <c r="N285" s="129" t="inlineStr">
        <is>
          <t>ППК26007, (21.01.2026) [CNP]</t>
        </is>
      </c>
      <c r="O285" s="130" t="inlineStr">
        <is>
          <t>✓</t>
        </is>
      </c>
      <c r="P285" s="128" t="inlineStr">
        <is>
          <t>0.10</t>
        </is>
      </c>
      <c r="Q285" s="129" t="inlineStr">
        <is>
          <t>ППК26007, (21.01.2026) [CNP]</t>
        </is>
      </c>
      <c r="R285" s="130" t="inlineStr">
        <is>
          <t>✓</t>
        </is>
      </c>
      <c r="S285" s="128" t="inlineStr">
        <is>
          <t>ND ᴰ</t>
        </is>
      </c>
      <c r="T285" s="129" t="inlineStr">
        <is>
          <t>ППК26007, (21.01.2026) [CNP]</t>
        </is>
      </c>
      <c r="U285" s="130" t="inlineStr">
        <is>
          <t>✓</t>
        </is>
      </c>
      <c r="V285" s="128" t="inlineStr">
        <is>
          <t>Conforms</t>
        </is>
      </c>
      <c r="W285" s="129">
        <f>IFERROR(INDEX('iCoA Register'!$B:$B,MATCH("P060072|FM|I",'iCoA Register'!$R:$R,0)),"iCoA — at issue")&amp;", (02.02.2026) [PP]"</f>
        <v/>
      </c>
      <c r="X285" s="130" t="inlineStr">
        <is>
          <t>✓</t>
        </is>
      </c>
      <c r="Y285" s="128" t="inlineStr">
        <is>
          <t>7.64</t>
        </is>
      </c>
      <c r="Z285" s="129" t="inlineStr">
        <is>
          <t>ППК26007, (21.01.2026) [CNP]</t>
        </is>
      </c>
      <c r="AA285" s="130" t="inlineStr">
        <is>
          <t>✓</t>
        </is>
      </c>
      <c r="AB285" s="128" t="inlineStr">
        <is>
          <t>&lt;10</t>
        </is>
      </c>
      <c r="AC285" s="134" t="inlineStr">
        <is>
          <t>&lt;10</t>
        </is>
      </c>
      <c r="AD285" s="134" t="inlineStr">
        <is>
          <t>&lt;10</t>
        </is>
      </c>
      <c r="AE285" s="134" t="inlineStr">
        <is>
          <t>Одговара</t>
        </is>
      </c>
      <c r="AF285" s="134" t="inlineStr">
        <is>
          <t>Одговара</t>
        </is>
      </c>
      <c r="AG285" s="130" t="inlineStr">
        <is>
          <t>✓</t>
        </is>
      </c>
      <c r="AH285" s="128" t="inlineStr">
        <is>
          <t>n.r.</t>
        </is>
      </c>
      <c r="AI285" s="134" t="inlineStr">
        <is>
          <t>&lt;2</t>
        </is>
      </c>
      <c r="AJ285" s="134" t="inlineStr">
        <is>
          <t>n.r.</t>
        </is>
      </c>
      <c r="AK285" s="130" t="inlineStr">
        <is>
          <t>✓</t>
        </is>
      </c>
      <c r="AL285" s="128" t="inlineStr">
        <is>
          <t>0.04</t>
        </is>
      </c>
      <c r="AM285" s="134" t="inlineStr">
        <is>
          <t>н.д.</t>
        </is>
      </c>
      <c r="AN285" s="134" t="inlineStr">
        <is>
          <t>н.д.</t>
        </is>
      </c>
      <c r="AO285" s="134" t="inlineStr">
        <is>
          <t>0.004</t>
        </is>
      </c>
      <c r="AP285" s="130" t="inlineStr">
        <is>
          <t>✓</t>
        </is>
      </c>
      <c r="AQ285" s="128" t="inlineStr">
        <is>
          <t>≤ LOQ (all 29 compounds)</t>
        </is>
      </c>
      <c r="AR285" s="129" t="inlineStr">
        <is>
          <t>86-2026, (02.02.2026) [IJZ]</t>
        </is>
      </c>
      <c r="AS285" s="130" t="inlineStr">
        <is>
          <t>✓</t>
        </is>
      </c>
    </row>
    <row r="286" ht="13" customHeight="1" s="70">
      <c r="A286" s="135" t="n"/>
      <c r="D286" s="136" t="n"/>
      <c r="F286" s="137" t="n"/>
      <c r="G286" s="136" t="n"/>
      <c r="I286" s="137" t="n"/>
      <c r="J286" s="136" t="n"/>
      <c r="L286" s="137" t="n"/>
      <c r="M286" s="136" t="n"/>
      <c r="O286" s="137" t="n"/>
      <c r="P286" s="136" t="n"/>
      <c r="R286" s="137" t="n"/>
      <c r="S286" s="136" t="n"/>
      <c r="U286" s="137" t="n"/>
      <c r="V286" s="136" t="n"/>
      <c r="X286" s="137" t="n"/>
      <c r="Y286" s="136" t="n"/>
      <c r="AA286" s="137" t="n"/>
      <c r="AB286" s="138" t="inlineStr">
        <is>
          <t>10-0013-26, (20.01.2026) [IJZ-MB]</t>
        </is>
      </c>
      <c r="AG286" s="137" t="n"/>
      <c r="AH286" s="138" t="inlineStr">
        <is>
          <t>86-2026, (02.02.2026) [IJZ]</t>
        </is>
      </c>
      <c r="AK286" s="137" t="n"/>
      <c r="AL286" s="138" t="inlineStr">
        <is>
          <t>86-2026, (02.02.2026) [IJZ]</t>
        </is>
      </c>
      <c r="AP286" s="137" t="n"/>
      <c r="AQ286" s="136" t="n"/>
      <c r="AS286" s="137" t="n"/>
    </row>
    <row r="287" ht="14" customHeight="1" s="70">
      <c r="A287" s="139" t="n"/>
      <c r="B287" s="140" t="n"/>
      <c r="D287" s="141" t="n"/>
      <c r="E287" s="140" t="n"/>
      <c r="F287" s="142" t="n"/>
      <c r="G287" s="128" t="inlineStr">
        <is>
          <t>Conforms</t>
        </is>
      </c>
      <c r="H287" s="129">
        <f>IFERROR(INDEX('iCoA Register'!$B:$B,MATCH("P060072|AB|I",'iCoA Register'!$R:$R,0)),"iCoA — at issue")&amp;", (02.02.2026) [PP]"</f>
        <v/>
      </c>
      <c r="I287" s="130" t="inlineStr">
        <is>
          <t>✓</t>
        </is>
      </c>
      <c r="J287" s="141" t="n"/>
      <c r="K287" s="140" t="n"/>
      <c r="L287" s="142" t="n"/>
      <c r="M287" s="141" t="n"/>
      <c r="N287" s="140" t="n"/>
      <c r="O287" s="142" t="n"/>
      <c r="P287" s="141" t="n"/>
      <c r="Q287" s="140" t="n"/>
      <c r="R287" s="142" t="n"/>
      <c r="S287" s="141" t="n"/>
      <c r="T287" s="140" t="n"/>
      <c r="U287" s="142" t="n"/>
      <c r="V287" s="141" t="n"/>
      <c r="W287" s="140" t="n"/>
      <c r="X287" s="142" t="n"/>
      <c r="Y287" s="141" t="n"/>
      <c r="Z287" s="140" t="n"/>
      <c r="AA287" s="142" t="n"/>
      <c r="AB287" s="141" t="n"/>
      <c r="AC287" s="140" t="n"/>
      <c r="AD287" s="140" t="n"/>
      <c r="AE287" s="140" t="n"/>
      <c r="AF287" s="140" t="n"/>
      <c r="AG287" s="142" t="n"/>
      <c r="AH287" s="141" t="n"/>
      <c r="AI287" s="140" t="n"/>
      <c r="AJ287" s="140" t="n"/>
      <c r="AK287" s="142" t="n"/>
      <c r="AL287" s="141" t="n"/>
      <c r="AM287" s="140" t="n"/>
      <c r="AN287" s="140" t="n"/>
      <c r="AO287" s="140" t="n"/>
      <c r="AP287" s="142" t="n"/>
      <c r="AQ287" s="141" t="n"/>
      <c r="AR287" s="140" t="n"/>
      <c r="AS287" s="142" t="n"/>
    </row>
    <row r="288" ht="13" customHeight="1" s="70">
      <c r="A288" s="143" t="n"/>
      <c r="B288" s="144" t="n"/>
      <c r="C288" s="144" t="n"/>
      <c r="D288" s="145" t="n"/>
      <c r="E288" s="146" t="n"/>
      <c r="F288" s="147" t="n"/>
      <c r="G288" s="145" t="n"/>
      <c r="H288" s="146" t="n"/>
      <c r="I288" s="147" t="n"/>
      <c r="J288" s="145" t="n"/>
      <c r="K288" s="146" t="n"/>
      <c r="L288" s="147" t="n"/>
      <c r="M288" s="145" t="n"/>
      <c r="N288" s="146" t="n"/>
      <c r="O288" s="147" t="n"/>
      <c r="P288" s="145" t="n"/>
      <c r="Q288" s="146" t="n"/>
      <c r="R288" s="147" t="n"/>
      <c r="S288" s="145" t="n"/>
      <c r="T288" s="146" t="n"/>
      <c r="U288" s="147" t="n"/>
      <c r="V288" s="145" t="n"/>
      <c r="W288" s="146" t="n"/>
      <c r="X288" s="147" t="n"/>
      <c r="Y288" s="145" t="n"/>
      <c r="Z288" s="146" t="n"/>
      <c r="AA288" s="147" t="n"/>
      <c r="AB288" s="145" t="n"/>
      <c r="AC288" s="146" t="n"/>
      <c r="AD288" s="146" t="n"/>
      <c r="AE288" s="146" t="n"/>
      <c r="AF288" s="146" t="n"/>
      <c r="AG288" s="147" t="n"/>
      <c r="AH288" s="145" t="n"/>
      <c r="AI288" s="146" t="n"/>
      <c r="AJ288" s="146" t="n"/>
      <c r="AK288" s="147" t="n"/>
      <c r="AL288" s="145" t="n"/>
      <c r="AM288" s="146" t="n"/>
      <c r="AN288" s="146" t="n"/>
      <c r="AO288" s="146" t="n"/>
      <c r="AP288" s="147" t="n"/>
      <c r="AQ288" s="145" t="n"/>
      <c r="AR288" s="146" t="n"/>
      <c r="AS288" s="147" t="n"/>
    </row>
    <row r="289" ht="14" customHeight="1" s="70">
      <c r="A289" s="125" t="inlineStr">
        <is>
          <t>SJ0925021</t>
        </is>
      </c>
      <c r="B289" s="126" t="inlineStr">
        <is>
          <t>P060082</t>
        </is>
      </c>
      <c r="C289" s="127" t="inlineStr">
        <is>
          <t>✓ COMPLETE
2 testing instances
• 1 document(s) on file, not credited</t>
        </is>
      </c>
      <c r="D289" s="128" t="inlineStr">
        <is>
          <t>Conforms</t>
        </is>
      </c>
      <c r="E289" s="129">
        <f>IFERROR(INDEX('iCoA Register'!$B:$B,MATCH("P060082|AB|I",'iCoA Register'!$R:$R,0)),"iCoA — at issue")&amp;", (02.02.2026) [PP]"</f>
        <v/>
      </c>
      <c r="F289" s="130" t="inlineStr">
        <is>
          <t>✓</t>
        </is>
      </c>
      <c r="G289" s="131" t="inlineStr">
        <is>
          <t>not on this certificate</t>
        </is>
      </c>
      <c r="H289" s="132" t="inlineStr">
        <is>
          <t>ППК26006, (21.01.2026) [CNP] · on file, not credited</t>
        </is>
      </c>
      <c r="I289" s="133" t="inlineStr">
        <is>
          <t>•</t>
        </is>
      </c>
      <c r="J289" s="128" t="inlineStr">
        <is>
          <t>Conforms (ImB spec.)</t>
        </is>
      </c>
      <c r="K289" s="129" t="inlineStr">
        <is>
          <t>ППК26006, (21.01.2026) [CNP]</t>
        </is>
      </c>
      <c r="L289" s="130" t="inlineStr">
        <is>
          <t>✓</t>
        </is>
      </c>
      <c r="M289" s="128" t="inlineStr">
        <is>
          <t>10.96</t>
        </is>
      </c>
      <c r="N289" s="129" t="inlineStr">
        <is>
          <t>ППК26006, (21.01.2026) [CNP]</t>
        </is>
      </c>
      <c r="O289" s="130" t="inlineStr">
        <is>
          <t>✓</t>
        </is>
      </c>
      <c r="P289" s="128" t="inlineStr">
        <is>
          <t>0.07</t>
        </is>
      </c>
      <c r="Q289" s="129" t="inlineStr">
        <is>
          <t>ППК26006, (21.01.2026) [CNP]</t>
        </is>
      </c>
      <c r="R289" s="130" t="inlineStr">
        <is>
          <t>✓</t>
        </is>
      </c>
      <c r="S289" s="128" t="inlineStr">
        <is>
          <t>BLQ ᴰ</t>
        </is>
      </c>
      <c r="T289" s="129" t="inlineStr">
        <is>
          <t>ППК26006, (21.01.2026) [CNP]</t>
        </is>
      </c>
      <c r="U289" s="130" t="inlineStr">
        <is>
          <t>✓</t>
        </is>
      </c>
      <c r="V289" s="128" t="inlineStr">
        <is>
          <t>Conforms</t>
        </is>
      </c>
      <c r="W289" s="129">
        <f>IFERROR(INDEX('iCoA Register'!$B:$B,MATCH("P060082|FM|I",'iCoA Register'!$R:$R,0)),"iCoA — at issue")&amp;", (02.02.2026) [PP]"</f>
        <v/>
      </c>
      <c r="X289" s="130" t="inlineStr">
        <is>
          <t>✓</t>
        </is>
      </c>
      <c r="Y289" s="128" t="inlineStr">
        <is>
          <t>8.68</t>
        </is>
      </c>
      <c r="Z289" s="129" t="inlineStr">
        <is>
          <t>ППК26006, (21.01.2026) [CNP]</t>
        </is>
      </c>
      <c r="AA289" s="130" t="inlineStr">
        <is>
          <t>✓</t>
        </is>
      </c>
      <c r="AB289" s="128" t="inlineStr">
        <is>
          <t>&lt;10</t>
        </is>
      </c>
      <c r="AC289" s="134" t="inlineStr">
        <is>
          <t>&lt;10</t>
        </is>
      </c>
      <c r="AD289" s="134" t="inlineStr">
        <is>
          <t>10</t>
        </is>
      </c>
      <c r="AE289" s="134" t="inlineStr">
        <is>
          <t>Одговара</t>
        </is>
      </c>
      <c r="AF289" s="134" t="inlineStr">
        <is>
          <t>Одговара</t>
        </is>
      </c>
      <c r="AG289" s="130" t="inlineStr">
        <is>
          <t>✓</t>
        </is>
      </c>
      <c r="AH289" s="128" t="inlineStr">
        <is>
          <t>n.r.</t>
        </is>
      </c>
      <c r="AI289" s="134" t="inlineStr">
        <is>
          <t>2</t>
        </is>
      </c>
      <c r="AJ289" s="134" t="inlineStr">
        <is>
          <t>n.r.</t>
        </is>
      </c>
      <c r="AK289" s="130" t="inlineStr">
        <is>
          <t>✓</t>
        </is>
      </c>
      <c r="AL289" s="128" t="inlineStr">
        <is>
          <t>0.08</t>
        </is>
      </c>
      <c r="AM289" s="134" t="inlineStr">
        <is>
          <t>н.д.</t>
        </is>
      </c>
      <c r="AN289" s="134" t="inlineStr">
        <is>
          <t>н.д.</t>
        </is>
      </c>
      <c r="AO289" s="134" t="inlineStr">
        <is>
          <t>0.003</t>
        </is>
      </c>
      <c r="AP289" s="130" t="inlineStr">
        <is>
          <t>✓</t>
        </is>
      </c>
      <c r="AQ289" s="128" t="inlineStr">
        <is>
          <t>≤ LOQ (all 29 compounds)</t>
        </is>
      </c>
      <c r="AR289" s="129" t="inlineStr">
        <is>
          <t>85-2026, (02.02.2026) [IJZ]</t>
        </is>
      </c>
      <c r="AS289" s="130" t="inlineStr">
        <is>
          <t>✓</t>
        </is>
      </c>
    </row>
    <row r="290" ht="13" customHeight="1" s="70">
      <c r="A290" s="135" t="n"/>
      <c r="D290" s="136" t="n"/>
      <c r="F290" s="137" t="n"/>
      <c r="G290" s="136" t="n"/>
      <c r="I290" s="137" t="n"/>
      <c r="J290" s="136" t="n"/>
      <c r="L290" s="137" t="n"/>
      <c r="M290" s="136" t="n"/>
      <c r="O290" s="137" t="n"/>
      <c r="P290" s="136" t="n"/>
      <c r="R290" s="137" t="n"/>
      <c r="S290" s="136" t="n"/>
      <c r="U290" s="137" t="n"/>
      <c r="V290" s="136" t="n"/>
      <c r="X290" s="137" t="n"/>
      <c r="Y290" s="136" t="n"/>
      <c r="AA290" s="137" t="n"/>
      <c r="AB290" s="138" t="inlineStr">
        <is>
          <t>9-0012-26, (20.01.2026) [IJZ-MB]</t>
        </is>
      </c>
      <c r="AG290" s="137" t="n"/>
      <c r="AH290" s="138" t="inlineStr">
        <is>
          <t>85-2026, (02.02.2026) [IJZ]</t>
        </is>
      </c>
      <c r="AK290" s="137" t="n"/>
      <c r="AL290" s="138" t="inlineStr">
        <is>
          <t>85-2026, (02.02.2026) [IJZ]</t>
        </is>
      </c>
      <c r="AP290" s="137" t="n"/>
      <c r="AQ290" s="136" t="n"/>
      <c r="AS290" s="137" t="n"/>
    </row>
    <row r="291" ht="14" customHeight="1" s="70">
      <c r="A291" s="139" t="n"/>
      <c r="B291" s="140" t="n"/>
      <c r="D291" s="141" t="n"/>
      <c r="E291" s="140" t="n"/>
      <c r="F291" s="142" t="n"/>
      <c r="G291" s="128" t="inlineStr">
        <is>
          <t>Conforms</t>
        </is>
      </c>
      <c r="H291" s="129">
        <f>IFERROR(INDEX('iCoA Register'!$B:$B,MATCH("P060082|AB|I",'iCoA Register'!$R:$R,0)),"iCoA — at issue")&amp;", (02.02.2026) [PP]"</f>
        <v/>
      </c>
      <c r="I291" s="130" t="inlineStr">
        <is>
          <t>✓</t>
        </is>
      </c>
      <c r="J291" s="141" t="n"/>
      <c r="K291" s="140" t="n"/>
      <c r="L291" s="142" t="n"/>
      <c r="M291" s="141" t="n"/>
      <c r="N291" s="140" t="n"/>
      <c r="O291" s="142" t="n"/>
      <c r="P291" s="141" t="n"/>
      <c r="Q291" s="140" t="n"/>
      <c r="R291" s="142" t="n"/>
      <c r="S291" s="141" t="n"/>
      <c r="T291" s="140" t="n"/>
      <c r="U291" s="142" t="n"/>
      <c r="V291" s="141" t="n"/>
      <c r="W291" s="140" t="n"/>
      <c r="X291" s="142" t="n"/>
      <c r="Y291" s="141" t="n"/>
      <c r="Z291" s="140" t="n"/>
      <c r="AA291" s="142" t="n"/>
      <c r="AB291" s="141" t="n"/>
      <c r="AC291" s="140" t="n"/>
      <c r="AD291" s="140" t="n"/>
      <c r="AE291" s="140" t="n"/>
      <c r="AF291" s="140" t="n"/>
      <c r="AG291" s="142" t="n"/>
      <c r="AH291" s="141" t="n"/>
      <c r="AI291" s="140" t="n"/>
      <c r="AJ291" s="140" t="n"/>
      <c r="AK291" s="142" t="n"/>
      <c r="AL291" s="141" t="n"/>
      <c r="AM291" s="140" t="n"/>
      <c r="AN291" s="140" t="n"/>
      <c r="AO291" s="140" t="n"/>
      <c r="AP291" s="142" t="n"/>
      <c r="AQ291" s="141" t="n"/>
      <c r="AR291" s="140" t="n"/>
      <c r="AS291" s="142" t="n"/>
    </row>
    <row r="292" ht="13" customHeight="1" s="70">
      <c r="A292" s="143" t="n"/>
      <c r="B292" s="144" t="n"/>
      <c r="C292" s="144" t="n"/>
      <c r="D292" s="145" t="n"/>
      <c r="E292" s="146" t="n"/>
      <c r="F292" s="147" t="n"/>
      <c r="G292" s="145" t="n"/>
      <c r="H292" s="146" t="n"/>
      <c r="I292" s="147" t="n"/>
      <c r="J292" s="145" t="n"/>
      <c r="K292" s="146" t="n"/>
      <c r="L292" s="147" t="n"/>
      <c r="M292" s="145" t="n"/>
      <c r="N292" s="146" t="n"/>
      <c r="O292" s="147" t="n"/>
      <c r="P292" s="145" t="n"/>
      <c r="Q292" s="146" t="n"/>
      <c r="R292" s="147" t="n"/>
      <c r="S292" s="145" t="n"/>
      <c r="T292" s="146" t="n"/>
      <c r="U292" s="147" t="n"/>
      <c r="V292" s="145" t="n"/>
      <c r="W292" s="146" t="n"/>
      <c r="X292" s="147" t="n"/>
      <c r="Y292" s="145" t="n"/>
      <c r="Z292" s="146" t="n"/>
      <c r="AA292" s="147" t="n"/>
      <c r="AB292" s="145" t="n"/>
      <c r="AC292" s="146" t="n"/>
      <c r="AD292" s="146" t="n"/>
      <c r="AE292" s="146" t="n"/>
      <c r="AF292" s="146" t="n"/>
      <c r="AG292" s="147" t="n"/>
      <c r="AH292" s="145" t="n"/>
      <c r="AI292" s="146" t="n"/>
      <c r="AJ292" s="146" t="n"/>
      <c r="AK292" s="147" t="n"/>
      <c r="AL292" s="145" t="n"/>
      <c r="AM292" s="146" t="n"/>
      <c r="AN292" s="146" t="n"/>
      <c r="AO292" s="146" t="n"/>
      <c r="AP292" s="147" t="n"/>
      <c r="AQ292" s="145" t="n"/>
      <c r="AR292" s="146" t="n"/>
      <c r="AS292" s="147" t="n"/>
    </row>
    <row r="293" ht="14" customHeight="1" s="70">
      <c r="A293" s="125" t="inlineStr">
        <is>
          <t>GP092501</t>
        </is>
      </c>
      <c r="B293" s="126" t="inlineStr">
        <is>
          <t>P060092</t>
        </is>
      </c>
      <c r="C293" s="127" t="inlineStr">
        <is>
          <t>✓ COMPLETE
2 testing instances
• 1 document(s) on file, not credited</t>
        </is>
      </c>
      <c r="D293" s="128" t="inlineStr">
        <is>
          <t>Conforms</t>
        </is>
      </c>
      <c r="E293" s="129">
        <f>IFERROR(INDEX('iCoA Register'!$B:$B,MATCH("P060092|AB|I",'iCoA Register'!$R:$R,0)),"iCoA — at issue")&amp;", (03.02.2026) [PP]"</f>
        <v/>
      </c>
      <c r="F293" s="130" t="inlineStr">
        <is>
          <t>✓</t>
        </is>
      </c>
      <c r="G293" s="131" t="inlineStr">
        <is>
          <t>not on this certificate</t>
        </is>
      </c>
      <c r="H293" s="132" t="inlineStr">
        <is>
          <t>ППК26009, (21.01.2026) [CNP] · on file, not credited</t>
        </is>
      </c>
      <c r="I293" s="133" t="inlineStr">
        <is>
          <t>•</t>
        </is>
      </c>
      <c r="J293" s="128" t="inlineStr">
        <is>
          <t>Conforms (ImB spec.)</t>
        </is>
      </c>
      <c r="K293" s="129" t="inlineStr">
        <is>
          <t>ППК26009, (21.01.2026) [CNP]</t>
        </is>
      </c>
      <c r="L293" s="130" t="inlineStr">
        <is>
          <t>✓</t>
        </is>
      </c>
      <c r="M293" s="128" t="inlineStr">
        <is>
          <t>25.73</t>
        </is>
      </c>
      <c r="N293" s="129" t="inlineStr">
        <is>
          <t>ППК26009, (21.01.2026) [CNP]</t>
        </is>
      </c>
      <c r="O293" s="130" t="inlineStr">
        <is>
          <t>✓</t>
        </is>
      </c>
      <c r="P293" s="128" t="inlineStr">
        <is>
          <t>0.11</t>
        </is>
      </c>
      <c r="Q293" s="129" t="inlineStr">
        <is>
          <t>ППК26009, (21.01.2026) [CNP]</t>
        </is>
      </c>
      <c r="R293" s="130" t="inlineStr">
        <is>
          <t>✓</t>
        </is>
      </c>
      <c r="S293" s="128" t="inlineStr">
        <is>
          <t>0.02 % ᴰ</t>
        </is>
      </c>
      <c r="T293" s="129" t="inlineStr">
        <is>
          <t>ППК26009, (21.01.2026) [CNP]</t>
        </is>
      </c>
      <c r="U293" s="130" t="inlineStr">
        <is>
          <t>✓</t>
        </is>
      </c>
      <c r="V293" s="128" t="inlineStr">
        <is>
          <t>Conforms</t>
        </is>
      </c>
      <c r="W293" s="129">
        <f>IFERROR(INDEX('iCoA Register'!$B:$B,MATCH("P060092|FM|I",'iCoA Register'!$R:$R,0)),"iCoA — at issue")&amp;", (03.02.2026) [PP]"</f>
        <v/>
      </c>
      <c r="X293" s="130" t="inlineStr">
        <is>
          <t>✓</t>
        </is>
      </c>
      <c r="Y293" s="128" t="inlineStr">
        <is>
          <t>6.91</t>
        </is>
      </c>
      <c r="Z293" s="129" t="inlineStr">
        <is>
          <t>ППК26009, (21.01.2026) [CNP]</t>
        </is>
      </c>
      <c r="AA293" s="130" t="inlineStr">
        <is>
          <t>✓</t>
        </is>
      </c>
      <c r="AB293" s="128" t="inlineStr">
        <is>
          <t>&lt;1 x 10²</t>
        </is>
      </c>
      <c r="AC293" s="134" t="inlineStr">
        <is>
          <t>&lt;10</t>
        </is>
      </c>
      <c r="AD293" s="134" t="inlineStr">
        <is>
          <t>&lt;10² и &gt;10</t>
        </is>
      </c>
      <c r="AE293" s="134" t="inlineStr">
        <is>
          <t>Одговара</t>
        </is>
      </c>
      <c r="AF293" s="134" t="inlineStr">
        <is>
          <t>Одговара</t>
        </is>
      </c>
      <c r="AG293" s="130" t="inlineStr">
        <is>
          <t>✓</t>
        </is>
      </c>
      <c r="AH293" s="128" t="inlineStr">
        <is>
          <t>n.r.</t>
        </is>
      </c>
      <c r="AI293" s="134" t="inlineStr">
        <is>
          <t>&lt;2</t>
        </is>
      </c>
      <c r="AJ293" s="134" t="inlineStr">
        <is>
          <t>n.r.</t>
        </is>
      </c>
      <c r="AK293" s="130" t="inlineStr">
        <is>
          <t>✓</t>
        </is>
      </c>
      <c r="AL293" s="128" t="inlineStr">
        <is>
          <t>0.022</t>
        </is>
      </c>
      <c r="AM293" s="134" t="inlineStr">
        <is>
          <t>Н.д.</t>
        </is>
      </c>
      <c r="AN293" s="134" t="inlineStr">
        <is>
          <t>Н.д.</t>
        </is>
      </c>
      <c r="AO293" s="134" t="inlineStr">
        <is>
          <t>0.007</t>
        </is>
      </c>
      <c r="AP293" s="130" t="inlineStr">
        <is>
          <t>✓</t>
        </is>
      </c>
      <c r="AQ293" s="128" t="inlineStr">
        <is>
          <t>≤ LOQ (all 29 compounds)</t>
        </is>
      </c>
      <c r="AR293" s="129" t="inlineStr">
        <is>
          <t>88-2026, (03.02.2026) [IJZ]</t>
        </is>
      </c>
      <c r="AS293" s="130" t="inlineStr">
        <is>
          <t>✓</t>
        </is>
      </c>
    </row>
    <row r="294" ht="13" customHeight="1" s="70">
      <c r="A294" s="135" t="n"/>
      <c r="D294" s="136" t="n"/>
      <c r="F294" s="137" t="n"/>
      <c r="G294" s="136" t="n"/>
      <c r="I294" s="137" t="n"/>
      <c r="J294" s="136" t="n"/>
      <c r="L294" s="137" t="n"/>
      <c r="M294" s="136" t="n"/>
      <c r="O294" s="137" t="n"/>
      <c r="P294" s="136" t="n"/>
      <c r="R294" s="137" t="n"/>
      <c r="S294" s="136" t="n"/>
      <c r="U294" s="137" t="n"/>
      <c r="V294" s="136" t="n"/>
      <c r="X294" s="137" t="n"/>
      <c r="Y294" s="136" t="n"/>
      <c r="AA294" s="137" t="n"/>
      <c r="AB294" s="138" t="inlineStr">
        <is>
          <t>5-0008-26, (20.01.2026) [IJZ-MB]</t>
        </is>
      </c>
      <c r="AG294" s="137" t="n"/>
      <c r="AH294" s="138" t="inlineStr">
        <is>
          <t>88-2026, (03.02.2026) [IJZ]</t>
        </is>
      </c>
      <c r="AK294" s="137" t="n"/>
      <c r="AL294" s="138" t="inlineStr">
        <is>
          <t>88-2026, (03.02.2026) [IJZ]</t>
        </is>
      </c>
      <c r="AP294" s="137" t="n"/>
      <c r="AQ294" s="136" t="n"/>
      <c r="AS294" s="137" t="n"/>
    </row>
    <row r="295" ht="14" customHeight="1" s="70">
      <c r="A295" s="139" t="n"/>
      <c r="B295" s="140" t="n"/>
      <c r="D295" s="141" t="n"/>
      <c r="E295" s="140" t="n"/>
      <c r="F295" s="142" t="n"/>
      <c r="G295" s="128" t="inlineStr">
        <is>
          <t>Conforms</t>
        </is>
      </c>
      <c r="H295" s="129">
        <f>IFERROR(INDEX('iCoA Register'!$B:$B,MATCH("P060092|AB|I",'iCoA Register'!$R:$R,0)),"iCoA — at issue")&amp;", (03.02.2026) [PP]"</f>
        <v/>
      </c>
      <c r="I295" s="130" t="inlineStr">
        <is>
          <t>✓</t>
        </is>
      </c>
      <c r="J295" s="141" t="n"/>
      <c r="K295" s="140" t="n"/>
      <c r="L295" s="142" t="n"/>
      <c r="M295" s="141" t="n"/>
      <c r="N295" s="140" t="n"/>
      <c r="O295" s="142" t="n"/>
      <c r="P295" s="141" t="n"/>
      <c r="Q295" s="140" t="n"/>
      <c r="R295" s="142" t="n"/>
      <c r="S295" s="141" t="n"/>
      <c r="T295" s="140" t="n"/>
      <c r="U295" s="142" t="n"/>
      <c r="V295" s="141" t="n"/>
      <c r="W295" s="140" t="n"/>
      <c r="X295" s="142" t="n"/>
      <c r="Y295" s="141" t="n"/>
      <c r="Z295" s="140" t="n"/>
      <c r="AA295" s="142" t="n"/>
      <c r="AB295" s="141" t="n"/>
      <c r="AC295" s="140" t="n"/>
      <c r="AD295" s="140" t="n"/>
      <c r="AE295" s="140" t="n"/>
      <c r="AF295" s="140" t="n"/>
      <c r="AG295" s="142" t="n"/>
      <c r="AH295" s="141" t="n"/>
      <c r="AI295" s="140" t="n"/>
      <c r="AJ295" s="140" t="n"/>
      <c r="AK295" s="142" t="n"/>
      <c r="AL295" s="141" t="n"/>
      <c r="AM295" s="140" t="n"/>
      <c r="AN295" s="140" t="n"/>
      <c r="AO295" s="140" t="n"/>
      <c r="AP295" s="142" t="n"/>
      <c r="AQ295" s="141" t="n"/>
      <c r="AR295" s="140" t="n"/>
      <c r="AS295" s="142" t="n"/>
    </row>
    <row r="296" ht="13" customHeight="1" s="70">
      <c r="A296" s="143" t="n"/>
      <c r="B296" s="144" t="n"/>
      <c r="C296" s="144" t="n"/>
      <c r="D296" s="145" t="n"/>
      <c r="E296" s="146" t="n"/>
      <c r="F296" s="147" t="n"/>
      <c r="G296" s="145" t="n"/>
      <c r="H296" s="146" t="n"/>
      <c r="I296" s="147" t="n"/>
      <c r="J296" s="145" t="n"/>
      <c r="K296" s="146" t="n"/>
      <c r="L296" s="147" t="n"/>
      <c r="M296" s="145" t="n"/>
      <c r="N296" s="146" t="n"/>
      <c r="O296" s="147" t="n"/>
      <c r="P296" s="145" t="n"/>
      <c r="Q296" s="146" t="n"/>
      <c r="R296" s="147" t="n"/>
      <c r="S296" s="145" t="n"/>
      <c r="T296" s="146" t="n"/>
      <c r="U296" s="147" t="n"/>
      <c r="V296" s="145" t="n"/>
      <c r="W296" s="146" t="n"/>
      <c r="X296" s="147" t="n"/>
      <c r="Y296" s="145" t="n"/>
      <c r="Z296" s="146" t="n"/>
      <c r="AA296" s="147" t="n"/>
      <c r="AB296" s="145" t="n"/>
      <c r="AC296" s="146" t="n"/>
      <c r="AD296" s="146" t="n"/>
      <c r="AE296" s="146" t="n"/>
      <c r="AF296" s="146" t="n"/>
      <c r="AG296" s="147" t="n"/>
      <c r="AH296" s="145" t="n"/>
      <c r="AI296" s="146" t="n"/>
      <c r="AJ296" s="146" t="n"/>
      <c r="AK296" s="147" t="n"/>
      <c r="AL296" s="145" t="n"/>
      <c r="AM296" s="146" t="n"/>
      <c r="AN296" s="146" t="n"/>
      <c r="AO296" s="146" t="n"/>
      <c r="AP296" s="147" t="n"/>
      <c r="AQ296" s="145" t="n"/>
      <c r="AR296" s="146" t="n"/>
      <c r="AS296" s="147" t="n"/>
    </row>
    <row r="297" ht="21" customHeight="1" s="70">
      <c r="A297" s="125" t="inlineStr">
        <is>
          <t>CC012601/1</t>
        </is>
      </c>
      <c r="B297" s="126" t="inlineStr">
        <is>
          <t>P060332</t>
        </is>
      </c>
      <c r="C297" s="155" t="inlineStr">
        <is>
          <t>✗ 4 NO RESULT
(4 no cert / 0 cert w/o result)
• 1 document(s) on file, not credited</t>
        </is>
      </c>
      <c r="D297" s="128" t="inlineStr">
        <is>
          <t>Conforms</t>
        </is>
      </c>
      <c r="E297" s="129">
        <f>IFERROR(INDEX('iCoA Register'!$B:$B,MATCH("P060332|AB|I",'iCoA Register'!$R:$R,0)),"iCoA — at issue")&amp;", (22.05.2026) [PP]"</f>
        <v/>
      </c>
      <c r="F297" s="130" t="inlineStr">
        <is>
          <t>✓</t>
        </is>
      </c>
      <c r="G297" s="128" t="inlineStr">
        <is>
          <t>Conforms</t>
        </is>
      </c>
      <c r="H297" s="129">
        <f>IFERROR(INDEX('iCoA Register'!$B:$B,MATCH("P060332|AB|I",'iCoA Register'!$R:$R,0)),"iCoA — at issue")&amp;", (22.05.2026) [PP]"</f>
        <v/>
      </c>
      <c r="I297" s="130" t="inlineStr">
        <is>
          <t>✓</t>
        </is>
      </c>
      <c r="J297" s="128" t="inlineStr">
        <is>
          <t>Conforms (ImB spec.) ᴿ</t>
        </is>
      </c>
      <c r="K297" s="129" t="inlineStr">
        <is>
          <t>197-6-K-26, (07.08.2026) [FHM-K]</t>
        </is>
      </c>
      <c r="L297" s="130" t="inlineStr">
        <is>
          <t>✓</t>
        </is>
      </c>
      <c r="M297" s="128" t="inlineStr">
        <is>
          <t>17.67</t>
        </is>
      </c>
      <c r="N297" s="129" t="inlineStr">
        <is>
          <t>197-6-K-26, (07.08.2026) [FHM-K]</t>
        </is>
      </c>
      <c r="O297" s="130" t="inlineStr">
        <is>
          <t>✓</t>
        </is>
      </c>
      <c r="P297" s="128" t="inlineStr">
        <is>
          <t>&lt; LOQ</t>
        </is>
      </c>
      <c r="Q297" s="129" t="inlineStr">
        <is>
          <t>197-6-K-26, (07.08.2026) [FHM-K]</t>
        </is>
      </c>
      <c r="R297" s="130" t="inlineStr">
        <is>
          <t>✓</t>
        </is>
      </c>
      <c r="S297" s="128" t="inlineStr">
        <is>
          <t>&lt; LOQ</t>
        </is>
      </c>
      <c r="T297" s="129" t="inlineStr">
        <is>
          <t>197-6-K-26, (07.08.2026) [FHM-K]</t>
        </is>
      </c>
      <c r="U297" s="130" t="inlineStr">
        <is>
          <t>✓</t>
        </is>
      </c>
      <c r="V297" s="128" t="inlineStr">
        <is>
          <t>Conforms</t>
        </is>
      </c>
      <c r="W297" s="129">
        <f>IFERROR(INDEX('iCoA Register'!$B:$B,MATCH("P060332|FM|I",'iCoA Register'!$R:$R,0)),"iCoA — at issue")&amp;", (22.05.2026) [PP]"</f>
        <v/>
      </c>
      <c r="X297" s="130" t="inlineStr">
        <is>
          <t>✓</t>
        </is>
      </c>
      <c r="Y297" s="131" t="inlineStr">
        <is>
          <t>not on this certificate</t>
        </is>
      </c>
      <c r="Z297" s="132" t="inlineStr">
        <is>
          <t>197-6-K-26, (07.08.2026) [FHM-K] · on file, not credited</t>
        </is>
      </c>
      <c r="AA297" s="133" t="inlineStr">
        <is>
          <t>•</t>
        </is>
      </c>
      <c r="AB297" s="150" t="inlineStr">
        <is>
          <t>— MISSING —</t>
        </is>
      </c>
      <c r="AC297" s="151" t="inlineStr">
        <is>
          <t>— MISSING —</t>
        </is>
      </c>
      <c r="AD297" s="151" t="inlineStr">
        <is>
          <t>— MISSING —</t>
        </is>
      </c>
      <c r="AE297" s="151" t="inlineStr">
        <is>
          <t>— MISSING —</t>
        </is>
      </c>
      <c r="AF297" s="151" t="inlineStr">
        <is>
          <t>— MISSING —</t>
        </is>
      </c>
      <c r="AG297" s="152" t="inlineStr">
        <is>
          <t>✗</t>
        </is>
      </c>
      <c r="AH297" s="128" t="inlineStr">
        <is>
          <t>ND</t>
        </is>
      </c>
      <c r="AI297" s="134" t="inlineStr">
        <is>
          <t>ND ᴿ</t>
        </is>
      </c>
      <c r="AJ297" s="134" t="inlineStr">
        <is>
          <t>ND</t>
        </is>
      </c>
      <c r="AK297" s="130" t="inlineStr">
        <is>
          <t>✓</t>
        </is>
      </c>
      <c r="AL297" s="150" t="inlineStr">
        <is>
          <t>— MISSING —</t>
        </is>
      </c>
      <c r="AM297" s="151" t="inlineStr">
        <is>
          <t>— MISSING —</t>
        </is>
      </c>
      <c r="AN297" s="151" t="inlineStr">
        <is>
          <t>— MISSING —</t>
        </is>
      </c>
      <c r="AO297" s="151" t="inlineStr">
        <is>
          <t>— MISSING —</t>
        </is>
      </c>
      <c r="AP297" s="152" t="inlineStr">
        <is>
          <t>✗</t>
        </is>
      </c>
      <c r="AQ297" s="150" t="inlineStr">
        <is>
          <t>— MISSING —</t>
        </is>
      </c>
      <c r="AR297" s="153" t="inlineStr">
        <is>
          <t>— no certificate —</t>
        </is>
      </c>
      <c r="AS297" s="152" t="inlineStr">
        <is>
          <t>✗</t>
        </is>
      </c>
    </row>
    <row r="298" ht="21" customHeight="1" s="70">
      <c r="A298" s="143" t="n"/>
      <c r="B298" s="144" t="n"/>
      <c r="C298" s="144" t="n"/>
      <c r="D298" s="145" t="n"/>
      <c r="E298" s="146" t="n"/>
      <c r="F298" s="147" t="n"/>
      <c r="G298" s="145" t="n"/>
      <c r="H298" s="146" t="n"/>
      <c r="I298" s="147" t="n"/>
      <c r="J298" s="145" t="n"/>
      <c r="K298" s="146" t="n"/>
      <c r="L298" s="147" t="n"/>
      <c r="M298" s="145" t="n"/>
      <c r="N298" s="146" t="n"/>
      <c r="O298" s="147" t="n"/>
      <c r="P298" s="145" t="n"/>
      <c r="Q298" s="146" t="n"/>
      <c r="R298" s="147" t="n"/>
      <c r="S298" s="145" t="n"/>
      <c r="T298" s="146" t="n"/>
      <c r="U298" s="147" t="n"/>
      <c r="V298" s="145" t="n"/>
      <c r="W298" s="146" t="n"/>
      <c r="X298" s="147" t="n"/>
      <c r="Y298" s="145" t="n"/>
      <c r="Z298" s="146" t="n"/>
      <c r="AA298" s="147" t="n"/>
      <c r="AB298" s="154" t="inlineStr">
        <is>
          <t>— no certificate —</t>
        </is>
      </c>
      <c r="AC298" s="146" t="n"/>
      <c r="AD298" s="146" t="n"/>
      <c r="AE298" s="146" t="n"/>
      <c r="AF298" s="146" t="n"/>
      <c r="AG298" s="147" t="n"/>
      <c r="AH298" s="148" t="inlineStr">
        <is>
          <t>197-6-M-26, (10.08.2026) [FHM-M]</t>
        </is>
      </c>
      <c r="AI298" s="146" t="n"/>
      <c r="AJ298" s="146" t="n"/>
      <c r="AK298" s="147" t="n"/>
      <c r="AL298" s="154" t="inlineStr">
        <is>
          <t>— no certificate —</t>
        </is>
      </c>
      <c r="AM298" s="146" t="n"/>
      <c r="AN298" s="146" t="n"/>
      <c r="AO298" s="146" t="n"/>
      <c r="AP298" s="147" t="n"/>
      <c r="AQ298" s="145" t="n"/>
      <c r="AR298" s="146" t="n"/>
      <c r="AS298" s="147" t="n"/>
    </row>
    <row r="299" ht="21" customHeight="1" s="70">
      <c r="A299" s="125" t="inlineStr">
        <is>
          <t>FB012602*</t>
        </is>
      </c>
      <c r="B299" s="126" t="inlineStr">
        <is>
          <t>P060352</t>
        </is>
      </c>
      <c r="C299" s="155" t="inlineStr">
        <is>
          <t>✗ 4 NO RESULT
(4 no cert / 0 cert w/o result)
• 1 document(s) on file, not credited</t>
        </is>
      </c>
      <c r="D299" s="128" t="inlineStr">
        <is>
          <t>Conforms</t>
        </is>
      </c>
      <c r="E299" s="129">
        <f>IFERROR(INDEX('iCoA Register'!$B:$B,MATCH("P060352|AB|I",'iCoA Register'!$R:$R,0)),"iCoA — at issue")&amp;", (23.05.2026) [PP]"</f>
        <v/>
      </c>
      <c r="F299" s="130" t="inlineStr">
        <is>
          <t>✓</t>
        </is>
      </c>
      <c r="G299" s="128" t="inlineStr">
        <is>
          <t>Conforms</t>
        </is>
      </c>
      <c r="H299" s="129">
        <f>IFERROR(INDEX('iCoA Register'!$B:$B,MATCH("P060352|AB|I",'iCoA Register'!$R:$R,0)),"iCoA — at issue")&amp;", (23.05.2026) [PP]"</f>
        <v/>
      </c>
      <c r="I299" s="130" t="inlineStr">
        <is>
          <t>✓</t>
        </is>
      </c>
      <c r="J299" s="128" t="inlineStr">
        <is>
          <t>Conforms (ImB spec.) ᴿ</t>
        </is>
      </c>
      <c r="K299" s="129" t="inlineStr">
        <is>
          <t>197-7-K-26, (07.08.2026) [FHM-K]</t>
        </is>
      </c>
      <c r="L299" s="130" t="inlineStr">
        <is>
          <t>✓</t>
        </is>
      </c>
      <c r="M299" s="128" t="inlineStr">
        <is>
          <t>18.86</t>
        </is>
      </c>
      <c r="N299" s="129" t="inlineStr">
        <is>
          <t>197-7-K-26, (07.08.2026) [FHM-K]</t>
        </is>
      </c>
      <c r="O299" s="130" t="inlineStr">
        <is>
          <t>✓</t>
        </is>
      </c>
      <c r="P299" s="128" t="inlineStr">
        <is>
          <t>0.22</t>
        </is>
      </c>
      <c r="Q299" s="129" t="inlineStr">
        <is>
          <t>197-7-K-26, (07.08.2026) [FHM-K]</t>
        </is>
      </c>
      <c r="R299" s="130" t="inlineStr">
        <is>
          <t>✓</t>
        </is>
      </c>
      <c r="S299" s="128" t="inlineStr">
        <is>
          <t>&lt; LOQ</t>
        </is>
      </c>
      <c r="T299" s="129" t="inlineStr">
        <is>
          <t>197-7-K-26, (07.08.2026) [FHM-K]</t>
        </is>
      </c>
      <c r="U299" s="130" t="inlineStr">
        <is>
          <t>✓</t>
        </is>
      </c>
      <c r="V299" s="128" t="inlineStr">
        <is>
          <t>Conforms</t>
        </is>
      </c>
      <c r="W299" s="129">
        <f>IFERROR(INDEX('iCoA Register'!$B:$B,MATCH("P060352|FM|I",'iCoA Register'!$R:$R,0)),"iCoA — at issue")&amp;", (23.05.2026) [PP]"</f>
        <v/>
      </c>
      <c r="X299" s="130" t="inlineStr">
        <is>
          <t>✓</t>
        </is>
      </c>
      <c r="Y299" s="131" t="inlineStr">
        <is>
          <t>not on this certificate</t>
        </is>
      </c>
      <c r="Z299" s="132" t="inlineStr">
        <is>
          <t>197-7-K-26, (07.08.2026) [FHM-K] · on file, not credited</t>
        </is>
      </c>
      <c r="AA299" s="133" t="inlineStr">
        <is>
          <t>•</t>
        </is>
      </c>
      <c r="AB299" s="150" t="inlineStr">
        <is>
          <t>— MISSING —</t>
        </is>
      </c>
      <c r="AC299" s="151" t="inlineStr">
        <is>
          <t>— MISSING —</t>
        </is>
      </c>
      <c r="AD299" s="151" t="inlineStr">
        <is>
          <t>— MISSING —</t>
        </is>
      </c>
      <c r="AE299" s="151" t="inlineStr">
        <is>
          <t>— MISSING —</t>
        </is>
      </c>
      <c r="AF299" s="151" t="inlineStr">
        <is>
          <t>— MISSING —</t>
        </is>
      </c>
      <c r="AG299" s="152" t="inlineStr">
        <is>
          <t>✗</t>
        </is>
      </c>
      <c r="AH299" s="128" t="inlineStr">
        <is>
          <t>ND</t>
        </is>
      </c>
      <c r="AI299" s="134" t="inlineStr">
        <is>
          <t>ND ᴿ</t>
        </is>
      </c>
      <c r="AJ299" s="134" t="inlineStr">
        <is>
          <t>ND</t>
        </is>
      </c>
      <c r="AK299" s="130" t="inlineStr">
        <is>
          <t>✓</t>
        </is>
      </c>
      <c r="AL299" s="150" t="inlineStr">
        <is>
          <t>— MISSING —</t>
        </is>
      </c>
      <c r="AM299" s="151" t="inlineStr">
        <is>
          <t>— MISSING —</t>
        </is>
      </c>
      <c r="AN299" s="151" t="inlineStr">
        <is>
          <t>— MISSING —</t>
        </is>
      </c>
      <c r="AO299" s="151" t="inlineStr">
        <is>
          <t>— MISSING —</t>
        </is>
      </c>
      <c r="AP299" s="152" t="inlineStr">
        <is>
          <t>✗</t>
        </is>
      </c>
      <c r="AQ299" s="150" t="inlineStr">
        <is>
          <t>— MISSING —</t>
        </is>
      </c>
      <c r="AR299" s="153" t="inlineStr">
        <is>
          <t>— no certificate —</t>
        </is>
      </c>
      <c r="AS299" s="152" t="inlineStr">
        <is>
          <t>✗</t>
        </is>
      </c>
    </row>
    <row r="300" ht="21" customHeight="1" s="70">
      <c r="A300" s="143" t="n"/>
      <c r="B300" s="144" t="n"/>
      <c r="C300" s="144" t="n"/>
      <c r="D300" s="145" t="n"/>
      <c r="E300" s="146" t="n"/>
      <c r="F300" s="147" t="n"/>
      <c r="G300" s="145" t="n"/>
      <c r="H300" s="146" t="n"/>
      <c r="I300" s="147" t="n"/>
      <c r="J300" s="145" t="n"/>
      <c r="K300" s="146" t="n"/>
      <c r="L300" s="147" t="n"/>
      <c r="M300" s="145" t="n"/>
      <c r="N300" s="146" t="n"/>
      <c r="O300" s="147" t="n"/>
      <c r="P300" s="145" t="n"/>
      <c r="Q300" s="146" t="n"/>
      <c r="R300" s="147" t="n"/>
      <c r="S300" s="145" t="n"/>
      <c r="T300" s="146" t="n"/>
      <c r="U300" s="147" t="n"/>
      <c r="V300" s="145" t="n"/>
      <c r="W300" s="146" t="n"/>
      <c r="X300" s="147" t="n"/>
      <c r="Y300" s="145" t="n"/>
      <c r="Z300" s="146" t="n"/>
      <c r="AA300" s="147" t="n"/>
      <c r="AB300" s="154" t="inlineStr">
        <is>
          <t>— no certificate —</t>
        </is>
      </c>
      <c r="AC300" s="146" t="n"/>
      <c r="AD300" s="146" t="n"/>
      <c r="AE300" s="146" t="n"/>
      <c r="AF300" s="146" t="n"/>
      <c r="AG300" s="147" t="n"/>
      <c r="AH300" s="148" t="inlineStr">
        <is>
          <t>197-7-M-26, (10.08.2026) [FHM-M]</t>
        </is>
      </c>
      <c r="AI300" s="146" t="n"/>
      <c r="AJ300" s="146" t="n"/>
      <c r="AK300" s="147" t="n"/>
      <c r="AL300" s="154" t="inlineStr">
        <is>
          <t>— no certificate —</t>
        </is>
      </c>
      <c r="AM300" s="146" t="n"/>
      <c r="AN300" s="146" t="n"/>
      <c r="AO300" s="146" t="n"/>
      <c r="AP300" s="147" t="n"/>
      <c r="AQ300" s="145" t="n"/>
      <c r="AR300" s="146" t="n"/>
      <c r="AS300" s="147" t="n"/>
    </row>
    <row r="301" ht="21" customHeight="1" s="70">
      <c r="A301" s="125" t="inlineStr">
        <is>
          <t>SCR012603</t>
        </is>
      </c>
      <c r="B301" s="126" t="inlineStr">
        <is>
          <t>P060382</t>
        </is>
      </c>
      <c r="C301" s="155" t="inlineStr">
        <is>
          <t>✗ 4 NO RESULT
(4 no cert / 0 cert w/o result)
• 1 document(s) on file, not credited</t>
        </is>
      </c>
      <c r="D301" s="128" t="inlineStr">
        <is>
          <t>Conforms</t>
        </is>
      </c>
      <c r="E301" s="129">
        <f>IFERROR(INDEX('iCoA Register'!$B:$B,MATCH("P060382|AB|I",'iCoA Register'!$R:$R,0)),"iCoA — at issue")&amp;", (25.05.2026) [PP]"</f>
        <v/>
      </c>
      <c r="F301" s="130" t="inlineStr">
        <is>
          <t>✓</t>
        </is>
      </c>
      <c r="G301" s="128" t="inlineStr">
        <is>
          <t>Conforms</t>
        </is>
      </c>
      <c r="H301" s="129">
        <f>IFERROR(INDEX('iCoA Register'!$B:$B,MATCH("P060382|AB|I",'iCoA Register'!$R:$R,0)),"iCoA — at issue")&amp;", (25.05.2026) [PP]"</f>
        <v/>
      </c>
      <c r="I301" s="130" t="inlineStr">
        <is>
          <t>✓</t>
        </is>
      </c>
      <c r="J301" s="128" t="inlineStr">
        <is>
          <t>Conforms (ImB spec.) ᴿ</t>
        </is>
      </c>
      <c r="K301" s="129" t="inlineStr">
        <is>
          <t>197-21-K-26, (07.08.2026) [FHM-K]</t>
        </is>
      </c>
      <c r="L301" s="130" t="inlineStr">
        <is>
          <t>✓</t>
        </is>
      </c>
      <c r="M301" s="128" t="inlineStr">
        <is>
          <t>17.84</t>
        </is>
      </c>
      <c r="N301" s="129" t="inlineStr">
        <is>
          <t>197-21-K-26, (07.08.2026) [FHM-K]</t>
        </is>
      </c>
      <c r="O301" s="130" t="inlineStr">
        <is>
          <t>✓</t>
        </is>
      </c>
      <c r="P301" s="128" t="inlineStr">
        <is>
          <t>&lt;LOQ</t>
        </is>
      </c>
      <c r="Q301" s="129" t="inlineStr">
        <is>
          <t>197-21-K-26, (07.08.2026) [FHM-K]</t>
        </is>
      </c>
      <c r="R301" s="130" t="inlineStr">
        <is>
          <t>✓</t>
        </is>
      </c>
      <c r="S301" s="128" t="inlineStr">
        <is>
          <t>&lt;LOQ</t>
        </is>
      </c>
      <c r="T301" s="129" t="inlineStr">
        <is>
          <t>197-21-K-26, (07.08.2026) [FHM-K]</t>
        </is>
      </c>
      <c r="U301" s="130" t="inlineStr">
        <is>
          <t>✓</t>
        </is>
      </c>
      <c r="V301" s="128" t="inlineStr">
        <is>
          <t>Conforms</t>
        </is>
      </c>
      <c r="W301" s="129">
        <f>IFERROR(INDEX('iCoA Register'!$B:$B,MATCH("P060382|FM|I",'iCoA Register'!$R:$R,0)),"iCoA — at issue")&amp;", (25.05.2026) [PP]"</f>
        <v/>
      </c>
      <c r="X301" s="130" t="inlineStr">
        <is>
          <t>✓</t>
        </is>
      </c>
      <c r="Y301" s="131" t="inlineStr">
        <is>
          <t>not on this certificate</t>
        </is>
      </c>
      <c r="Z301" s="132" t="inlineStr">
        <is>
          <t>197-21-K-26, (07.08.2026) [FHM-K] · on file, not credited</t>
        </is>
      </c>
      <c r="AA301" s="133" t="inlineStr">
        <is>
          <t>•</t>
        </is>
      </c>
      <c r="AB301" s="150" t="inlineStr">
        <is>
          <t>— MISSING —</t>
        </is>
      </c>
      <c r="AC301" s="151" t="inlineStr">
        <is>
          <t>— MISSING —</t>
        </is>
      </c>
      <c r="AD301" s="151" t="inlineStr">
        <is>
          <t>— MISSING —</t>
        </is>
      </c>
      <c r="AE301" s="151" t="inlineStr">
        <is>
          <t>— MISSING —</t>
        </is>
      </c>
      <c r="AF301" s="151" t="inlineStr">
        <is>
          <t>— MISSING —</t>
        </is>
      </c>
      <c r="AG301" s="152" t="inlineStr">
        <is>
          <t>✗</t>
        </is>
      </c>
      <c r="AH301" s="128" t="inlineStr">
        <is>
          <t>ND</t>
        </is>
      </c>
      <c r="AI301" s="134" t="inlineStr">
        <is>
          <t>ND ᴿ</t>
        </is>
      </c>
      <c r="AJ301" s="134" t="inlineStr">
        <is>
          <t>ND</t>
        </is>
      </c>
      <c r="AK301" s="130" t="inlineStr">
        <is>
          <t>✓</t>
        </is>
      </c>
      <c r="AL301" s="150" t="inlineStr">
        <is>
          <t>— MISSING —</t>
        </is>
      </c>
      <c r="AM301" s="151" t="inlineStr">
        <is>
          <t>— MISSING —</t>
        </is>
      </c>
      <c r="AN301" s="151" t="inlineStr">
        <is>
          <t>— MISSING —</t>
        </is>
      </c>
      <c r="AO301" s="151" t="inlineStr">
        <is>
          <t>— MISSING —</t>
        </is>
      </c>
      <c r="AP301" s="152" t="inlineStr">
        <is>
          <t>✗</t>
        </is>
      </c>
      <c r="AQ301" s="150" t="inlineStr">
        <is>
          <t>— MISSING —</t>
        </is>
      </c>
      <c r="AR301" s="153" t="inlineStr">
        <is>
          <t>— no certificate —</t>
        </is>
      </c>
      <c r="AS301" s="152" t="inlineStr">
        <is>
          <t>✗</t>
        </is>
      </c>
    </row>
    <row r="302" ht="21" customHeight="1" s="70">
      <c r="A302" s="143" t="n"/>
      <c r="B302" s="144" t="n"/>
      <c r="C302" s="144" t="n"/>
      <c r="D302" s="145" t="n"/>
      <c r="E302" s="146" t="n"/>
      <c r="F302" s="147" t="n"/>
      <c r="G302" s="145" t="n"/>
      <c r="H302" s="146" t="n"/>
      <c r="I302" s="147" t="n"/>
      <c r="J302" s="145" t="n"/>
      <c r="K302" s="146" t="n"/>
      <c r="L302" s="147" t="n"/>
      <c r="M302" s="145" t="n"/>
      <c r="N302" s="146" t="n"/>
      <c r="O302" s="147" t="n"/>
      <c r="P302" s="145" t="n"/>
      <c r="Q302" s="146" t="n"/>
      <c r="R302" s="147" t="n"/>
      <c r="S302" s="145" t="n"/>
      <c r="T302" s="146" t="n"/>
      <c r="U302" s="147" t="n"/>
      <c r="V302" s="145" t="n"/>
      <c r="W302" s="146" t="n"/>
      <c r="X302" s="147" t="n"/>
      <c r="Y302" s="145" t="n"/>
      <c r="Z302" s="146" t="n"/>
      <c r="AA302" s="147" t="n"/>
      <c r="AB302" s="154" t="inlineStr">
        <is>
          <t>— no certificate —</t>
        </is>
      </c>
      <c r="AC302" s="146" t="n"/>
      <c r="AD302" s="146" t="n"/>
      <c r="AE302" s="146" t="n"/>
      <c r="AF302" s="146" t="n"/>
      <c r="AG302" s="147" t="n"/>
      <c r="AH302" s="148" t="inlineStr">
        <is>
          <t>197-21-M-26, (10.08.2026) [FHM-M]</t>
        </is>
      </c>
      <c r="AI302" s="146" t="n"/>
      <c r="AJ302" s="146" t="n"/>
      <c r="AK302" s="147" t="n"/>
      <c r="AL302" s="154" t="inlineStr">
        <is>
          <t>— no certificate —</t>
        </is>
      </c>
      <c r="AM302" s="146" t="n"/>
      <c r="AN302" s="146" t="n"/>
      <c r="AO302" s="146" t="n"/>
      <c r="AP302" s="147" t="n"/>
      <c r="AQ302" s="145" t="n"/>
      <c r="AR302" s="146" t="n"/>
      <c r="AS302" s="147" t="n"/>
    </row>
    <row r="303" ht="21" customHeight="1" s="70">
      <c r="A303" s="125" t="inlineStr">
        <is>
          <t>— not recorded —</t>
        </is>
      </c>
      <c r="B303" s="126" t="inlineStr">
        <is>
          <t>P160012</t>
        </is>
      </c>
      <c r="C303" s="155" t="inlineStr">
        <is>
          <t>✗ 4 NO RESULT
(4 no cert / 0 cert w/o result)</t>
        </is>
      </c>
      <c r="D303" s="128" t="inlineStr">
        <is>
          <t>Одговара</t>
        </is>
      </c>
      <c r="E303" s="129" t="inlineStr">
        <is>
          <t>ППК26117, (06.07.2026) [CNP]</t>
        </is>
      </c>
      <c r="F303" s="130" t="inlineStr">
        <is>
          <t>✓</t>
        </is>
      </c>
      <c r="G303" s="128" t="inlineStr">
        <is>
          <t>Одговара</t>
        </is>
      </c>
      <c r="H303" s="129" t="inlineStr">
        <is>
          <t>ППК26117, (06.07.2026) [CNP]</t>
        </is>
      </c>
      <c r="I303" s="130" t="inlineStr">
        <is>
          <t>✓</t>
        </is>
      </c>
      <c r="J303" s="128" t="inlineStr">
        <is>
          <t>Conforms (ImB spec.)</t>
        </is>
      </c>
      <c r="K303" s="129" t="inlineStr">
        <is>
          <t>ППК26117, (06.07.2026) [CNP]</t>
        </is>
      </c>
      <c r="L303" s="130" t="inlineStr">
        <is>
          <t>✓</t>
        </is>
      </c>
      <c r="M303" s="128" t="inlineStr">
        <is>
          <t>26.32</t>
        </is>
      </c>
      <c r="N303" s="129" t="inlineStr">
        <is>
          <t>ППК26117, (06.07.2026) [CNP]</t>
        </is>
      </c>
      <c r="O303" s="130" t="inlineStr">
        <is>
          <t>✓</t>
        </is>
      </c>
      <c r="P303" s="128" t="inlineStr">
        <is>
          <t>0.15</t>
        </is>
      </c>
      <c r="Q303" s="129" t="inlineStr">
        <is>
          <t>ППК26117, (06.07.2026) [CNP]</t>
        </is>
      </c>
      <c r="R303" s="130" t="inlineStr">
        <is>
          <t>✓</t>
        </is>
      </c>
      <c r="S303" s="128" t="inlineStr">
        <is>
          <t>0.09</t>
        </is>
      </c>
      <c r="T303" s="129" t="inlineStr">
        <is>
          <t>ППК26117, (06.07.2026) [CNP]</t>
        </is>
      </c>
      <c r="U303" s="130" t="inlineStr">
        <is>
          <t>✓</t>
        </is>
      </c>
      <c r="V303" s="128" t="inlineStr">
        <is>
          <t>0.42% (Одговара)</t>
        </is>
      </c>
      <c r="W303" s="129" t="inlineStr">
        <is>
          <t>ППК26117, (06.07.2026) [CNP]</t>
        </is>
      </c>
      <c r="X303" s="130" t="inlineStr">
        <is>
          <t>✓</t>
        </is>
      </c>
      <c r="Y303" s="128" t="inlineStr">
        <is>
          <t>6.31</t>
        </is>
      </c>
      <c r="Z303" s="129" t="inlineStr">
        <is>
          <t>ППК26117, (06.07.2026) [CNP]</t>
        </is>
      </c>
      <c r="AA303" s="130" t="inlineStr">
        <is>
          <t>✓</t>
        </is>
      </c>
      <c r="AB303" s="150" t="inlineStr">
        <is>
          <t>— MISSING —</t>
        </is>
      </c>
      <c r="AC303" s="151" t="inlineStr">
        <is>
          <t>— MISSING —</t>
        </is>
      </c>
      <c r="AD303" s="151" t="inlineStr">
        <is>
          <t>— MISSING —</t>
        </is>
      </c>
      <c r="AE303" s="151" t="inlineStr">
        <is>
          <t>— MISSING —</t>
        </is>
      </c>
      <c r="AF303" s="151" t="inlineStr">
        <is>
          <t>— MISSING —</t>
        </is>
      </c>
      <c r="AG303" s="152" t="inlineStr">
        <is>
          <t>✗</t>
        </is>
      </c>
      <c r="AH303" s="150" t="inlineStr">
        <is>
          <t>— MISSING —</t>
        </is>
      </c>
      <c r="AI303" s="151" t="inlineStr">
        <is>
          <t>— MISSING —</t>
        </is>
      </c>
      <c r="AJ303" s="151" t="inlineStr">
        <is>
          <t>— MISSING —</t>
        </is>
      </c>
      <c r="AK303" s="152" t="inlineStr">
        <is>
          <t>✗</t>
        </is>
      </c>
      <c r="AL303" s="150" t="inlineStr">
        <is>
          <t>— MISSING —</t>
        </is>
      </c>
      <c r="AM303" s="151" t="inlineStr">
        <is>
          <t>— MISSING —</t>
        </is>
      </c>
      <c r="AN303" s="151" t="inlineStr">
        <is>
          <t>— MISSING —</t>
        </is>
      </c>
      <c r="AO303" s="151" t="inlineStr">
        <is>
          <t>— MISSING —</t>
        </is>
      </c>
      <c r="AP303" s="152" t="inlineStr">
        <is>
          <t>✗</t>
        </is>
      </c>
      <c r="AQ303" s="150" t="inlineStr">
        <is>
          <t>— MISSING —</t>
        </is>
      </c>
      <c r="AR303" s="153" t="inlineStr">
        <is>
          <t>— no certificate —</t>
        </is>
      </c>
      <c r="AS303" s="152" t="inlineStr">
        <is>
          <t>✗</t>
        </is>
      </c>
    </row>
    <row r="304" ht="13" customHeight="1" s="70">
      <c r="A304" s="143" t="n"/>
      <c r="B304" s="144" t="n"/>
      <c r="C304" s="144" t="n"/>
      <c r="D304" s="145" t="n"/>
      <c r="E304" s="146" t="n"/>
      <c r="F304" s="147" t="n"/>
      <c r="G304" s="145" t="n"/>
      <c r="H304" s="146" t="n"/>
      <c r="I304" s="147" t="n"/>
      <c r="J304" s="145" t="n"/>
      <c r="K304" s="146" t="n"/>
      <c r="L304" s="147" t="n"/>
      <c r="M304" s="145" t="n"/>
      <c r="N304" s="146" t="n"/>
      <c r="O304" s="147" t="n"/>
      <c r="P304" s="145" t="n"/>
      <c r="Q304" s="146" t="n"/>
      <c r="R304" s="147" t="n"/>
      <c r="S304" s="145" t="n"/>
      <c r="T304" s="146" t="n"/>
      <c r="U304" s="147" t="n"/>
      <c r="V304" s="145" t="n"/>
      <c r="W304" s="146" t="n"/>
      <c r="X304" s="147" t="n"/>
      <c r="Y304" s="145" t="n"/>
      <c r="Z304" s="146" t="n"/>
      <c r="AA304" s="147" t="n"/>
      <c r="AB304" s="154" t="inlineStr">
        <is>
          <t>— no certificate —</t>
        </is>
      </c>
      <c r="AC304" s="146" t="n"/>
      <c r="AD304" s="146" t="n"/>
      <c r="AE304" s="146" t="n"/>
      <c r="AF304" s="146" t="n"/>
      <c r="AG304" s="147" t="n"/>
      <c r="AH304" s="154" t="inlineStr">
        <is>
          <t>— no certificate —</t>
        </is>
      </c>
      <c r="AI304" s="146" t="n"/>
      <c r="AJ304" s="146" t="n"/>
      <c r="AK304" s="147" t="n"/>
      <c r="AL304" s="154" t="inlineStr">
        <is>
          <t>— no certificate —</t>
        </is>
      </c>
      <c r="AM304" s="146" t="n"/>
      <c r="AN304" s="146" t="n"/>
      <c r="AO304" s="146" t="n"/>
      <c r="AP304" s="147" t="n"/>
      <c r="AQ304" s="145" t="n"/>
      <c r="AR304" s="146" t="n"/>
      <c r="AS304" s="147" t="n"/>
    </row>
    <row r="305" ht="21" customHeight="1" s="70">
      <c r="A305" s="125" t="inlineStr">
        <is>
          <t>— not recorded —</t>
        </is>
      </c>
      <c r="B305" s="126" t="inlineStr">
        <is>
          <t>P160022</t>
        </is>
      </c>
      <c r="C305" s="155" t="inlineStr">
        <is>
          <t>✗ 4 NO RESULT
(4 no cert / 0 cert w/o result)</t>
        </is>
      </c>
      <c r="D305" s="128" t="inlineStr">
        <is>
          <t>Одговара</t>
        </is>
      </c>
      <c r="E305" s="129" t="inlineStr">
        <is>
          <t>ППК26118, (06.07.2026) [CNP]</t>
        </is>
      </c>
      <c r="F305" s="130" t="inlineStr">
        <is>
          <t>✓</t>
        </is>
      </c>
      <c r="G305" s="128" t="inlineStr">
        <is>
          <t>Одговара</t>
        </is>
      </c>
      <c r="H305" s="129" t="inlineStr">
        <is>
          <t>ППК26118, (06.07.2026) [CNP]</t>
        </is>
      </c>
      <c r="I305" s="130" t="inlineStr">
        <is>
          <t>✓</t>
        </is>
      </c>
      <c r="J305" s="128" t="inlineStr">
        <is>
          <t>Conforms (ImB spec.)</t>
        </is>
      </c>
      <c r="K305" s="129" t="inlineStr">
        <is>
          <t>ППК26118, (06.07.2026) [CNP]</t>
        </is>
      </c>
      <c r="L305" s="130" t="inlineStr">
        <is>
          <t>✓</t>
        </is>
      </c>
      <c r="M305" s="128" t="inlineStr">
        <is>
          <t>25.72</t>
        </is>
      </c>
      <c r="N305" s="129" t="inlineStr">
        <is>
          <t>ППК26118, (06.07.2026) [CNP]</t>
        </is>
      </c>
      <c r="O305" s="130" t="inlineStr">
        <is>
          <t>✓</t>
        </is>
      </c>
      <c r="P305" s="128" t="inlineStr">
        <is>
          <t>0.15</t>
        </is>
      </c>
      <c r="Q305" s="129" t="inlineStr">
        <is>
          <t>ППК26118, (06.07.2026) [CNP]</t>
        </is>
      </c>
      <c r="R305" s="130" t="inlineStr">
        <is>
          <t>✓</t>
        </is>
      </c>
      <c r="S305" s="128" t="inlineStr">
        <is>
          <t>0.10</t>
        </is>
      </c>
      <c r="T305" s="129" t="inlineStr">
        <is>
          <t>ППК26118, (06.07.2026) [CNP]</t>
        </is>
      </c>
      <c r="U305" s="130" t="inlineStr">
        <is>
          <t>✓</t>
        </is>
      </c>
      <c r="V305" s="128" t="inlineStr">
        <is>
          <t>/ (Одговара)</t>
        </is>
      </c>
      <c r="W305" s="129" t="inlineStr">
        <is>
          <t>ППК26118, (06.07.2026) [CNP]</t>
        </is>
      </c>
      <c r="X305" s="130" t="inlineStr">
        <is>
          <t>✓</t>
        </is>
      </c>
      <c r="Y305" s="128" t="inlineStr">
        <is>
          <t>6.67</t>
        </is>
      </c>
      <c r="Z305" s="129" t="inlineStr">
        <is>
          <t>ППК26118, (06.07.2026) [CNP]</t>
        </is>
      </c>
      <c r="AA305" s="130" t="inlineStr">
        <is>
          <t>✓</t>
        </is>
      </c>
      <c r="AB305" s="150" t="inlineStr">
        <is>
          <t>— MISSING —</t>
        </is>
      </c>
      <c r="AC305" s="151" t="inlineStr">
        <is>
          <t>— MISSING —</t>
        </is>
      </c>
      <c r="AD305" s="151" t="inlineStr">
        <is>
          <t>— MISSING —</t>
        </is>
      </c>
      <c r="AE305" s="151" t="inlineStr">
        <is>
          <t>— MISSING —</t>
        </is>
      </c>
      <c r="AF305" s="151" t="inlineStr">
        <is>
          <t>— MISSING —</t>
        </is>
      </c>
      <c r="AG305" s="152" t="inlineStr">
        <is>
          <t>✗</t>
        </is>
      </c>
      <c r="AH305" s="150" t="inlineStr">
        <is>
          <t>— MISSING —</t>
        </is>
      </c>
      <c r="AI305" s="151" t="inlineStr">
        <is>
          <t>— MISSING —</t>
        </is>
      </c>
      <c r="AJ305" s="151" t="inlineStr">
        <is>
          <t>— MISSING —</t>
        </is>
      </c>
      <c r="AK305" s="152" t="inlineStr">
        <is>
          <t>✗</t>
        </is>
      </c>
      <c r="AL305" s="150" t="inlineStr">
        <is>
          <t>— MISSING —</t>
        </is>
      </c>
      <c r="AM305" s="151" t="inlineStr">
        <is>
          <t>— MISSING —</t>
        </is>
      </c>
      <c r="AN305" s="151" t="inlineStr">
        <is>
          <t>— MISSING —</t>
        </is>
      </c>
      <c r="AO305" s="151" t="inlineStr">
        <is>
          <t>— MISSING —</t>
        </is>
      </c>
      <c r="AP305" s="152" t="inlineStr">
        <is>
          <t>✗</t>
        </is>
      </c>
      <c r="AQ305" s="150" t="inlineStr">
        <is>
          <t>— MISSING —</t>
        </is>
      </c>
      <c r="AR305" s="153" t="inlineStr">
        <is>
          <t>— no certificate —</t>
        </is>
      </c>
      <c r="AS305" s="152" t="inlineStr">
        <is>
          <t>✗</t>
        </is>
      </c>
    </row>
    <row r="306" ht="13" customHeight="1" s="70">
      <c r="A306" s="143" t="n"/>
      <c r="B306" s="144" t="n"/>
      <c r="C306" s="144" t="n"/>
      <c r="D306" s="145" t="n"/>
      <c r="E306" s="146" t="n"/>
      <c r="F306" s="147" t="n"/>
      <c r="G306" s="145" t="n"/>
      <c r="H306" s="146" t="n"/>
      <c r="I306" s="147" t="n"/>
      <c r="J306" s="145" t="n"/>
      <c r="K306" s="146" t="n"/>
      <c r="L306" s="147" t="n"/>
      <c r="M306" s="145" t="n"/>
      <c r="N306" s="146" t="n"/>
      <c r="O306" s="147" t="n"/>
      <c r="P306" s="145" t="n"/>
      <c r="Q306" s="146" t="n"/>
      <c r="R306" s="147" t="n"/>
      <c r="S306" s="145" t="n"/>
      <c r="T306" s="146" t="n"/>
      <c r="U306" s="147" t="n"/>
      <c r="V306" s="145" t="n"/>
      <c r="W306" s="146" t="n"/>
      <c r="X306" s="147" t="n"/>
      <c r="Y306" s="145" t="n"/>
      <c r="Z306" s="146" t="n"/>
      <c r="AA306" s="147" t="n"/>
      <c r="AB306" s="154" t="inlineStr">
        <is>
          <t>— no certificate —</t>
        </is>
      </c>
      <c r="AC306" s="146" t="n"/>
      <c r="AD306" s="146" t="n"/>
      <c r="AE306" s="146" t="n"/>
      <c r="AF306" s="146" t="n"/>
      <c r="AG306" s="147" t="n"/>
      <c r="AH306" s="154" t="inlineStr">
        <is>
          <t>— no certificate —</t>
        </is>
      </c>
      <c r="AI306" s="146" t="n"/>
      <c r="AJ306" s="146" t="n"/>
      <c r="AK306" s="147" t="n"/>
      <c r="AL306" s="154" t="inlineStr">
        <is>
          <t>— no certificate —</t>
        </is>
      </c>
      <c r="AM306" s="146" t="n"/>
      <c r="AN306" s="146" t="n"/>
      <c r="AO306" s="146" t="n"/>
      <c r="AP306" s="147" t="n"/>
      <c r="AQ306" s="145" t="n"/>
      <c r="AR306" s="146" t="n"/>
      <c r="AS306" s="147" t="n"/>
    </row>
    <row r="307" ht="21" customHeight="1" s="70">
      <c r="A307" s="125" t="inlineStr">
        <is>
          <t>— not recorded —</t>
        </is>
      </c>
      <c r="B307" s="126" t="inlineStr">
        <is>
          <t>P160032</t>
        </is>
      </c>
      <c r="C307" s="155" t="inlineStr">
        <is>
          <t>✗ 4 NO RESULT
(4 no cert / 0 cert w/o result)</t>
        </is>
      </c>
      <c r="D307" s="128" t="inlineStr">
        <is>
          <t>Одговара</t>
        </is>
      </c>
      <c r="E307" s="129" t="inlineStr">
        <is>
          <t>ППК26119, (06.07.2026) [CNP]</t>
        </is>
      </c>
      <c r="F307" s="130" t="inlineStr">
        <is>
          <t>✓</t>
        </is>
      </c>
      <c r="G307" s="128" t="inlineStr">
        <is>
          <t>Одговара</t>
        </is>
      </c>
      <c r="H307" s="129" t="inlineStr">
        <is>
          <t>ППК26119, (06.07.2026) [CNP]</t>
        </is>
      </c>
      <c r="I307" s="130" t="inlineStr">
        <is>
          <t>✓</t>
        </is>
      </c>
      <c r="J307" s="128" t="inlineStr">
        <is>
          <t>Conforms (ImB spec.)</t>
        </is>
      </c>
      <c r="K307" s="129" t="inlineStr">
        <is>
          <t>ППК26119, (06.07.2026) [CNP]</t>
        </is>
      </c>
      <c r="L307" s="130" t="inlineStr">
        <is>
          <t>✓</t>
        </is>
      </c>
      <c r="M307" s="128" t="inlineStr">
        <is>
          <t>24.78</t>
        </is>
      </c>
      <c r="N307" s="129" t="inlineStr">
        <is>
          <t>ППК26119, (06.07.2026) [CNP]</t>
        </is>
      </c>
      <c r="O307" s="130" t="inlineStr">
        <is>
          <t>✓</t>
        </is>
      </c>
      <c r="P307" s="128" t="inlineStr">
        <is>
          <t>0.06</t>
        </is>
      </c>
      <c r="Q307" s="129" t="inlineStr">
        <is>
          <t>ППК26119, (06.07.2026) [CNP]</t>
        </is>
      </c>
      <c r="R307" s="130" t="inlineStr">
        <is>
          <t>✓</t>
        </is>
      </c>
      <c r="S307" s="128" t="inlineStr">
        <is>
          <t>0.08</t>
        </is>
      </c>
      <c r="T307" s="129" t="inlineStr">
        <is>
          <t>ППК26119, (06.07.2026) [CNP]</t>
        </is>
      </c>
      <c r="U307" s="130" t="inlineStr">
        <is>
          <t>✓</t>
        </is>
      </c>
      <c r="V307" s="128" t="inlineStr">
        <is>
          <t>/ (Одговара)</t>
        </is>
      </c>
      <c r="W307" s="129" t="inlineStr">
        <is>
          <t>ППК26119, (06.07.2026) [CNP]</t>
        </is>
      </c>
      <c r="X307" s="130" t="inlineStr">
        <is>
          <t>✓</t>
        </is>
      </c>
      <c r="Y307" s="128" t="inlineStr">
        <is>
          <t>6.78</t>
        </is>
      </c>
      <c r="Z307" s="129" t="inlineStr">
        <is>
          <t>ППК26119, (06.07.2026) [CNP]</t>
        </is>
      </c>
      <c r="AA307" s="130" t="inlineStr">
        <is>
          <t>✓</t>
        </is>
      </c>
      <c r="AB307" s="150" t="inlineStr">
        <is>
          <t>— MISSING —</t>
        </is>
      </c>
      <c r="AC307" s="151" t="inlineStr">
        <is>
          <t>— MISSING —</t>
        </is>
      </c>
      <c r="AD307" s="151" t="inlineStr">
        <is>
          <t>— MISSING —</t>
        </is>
      </c>
      <c r="AE307" s="151" t="inlineStr">
        <is>
          <t>— MISSING —</t>
        </is>
      </c>
      <c r="AF307" s="151" t="inlineStr">
        <is>
          <t>— MISSING —</t>
        </is>
      </c>
      <c r="AG307" s="152" t="inlineStr">
        <is>
          <t>✗</t>
        </is>
      </c>
      <c r="AH307" s="150" t="inlineStr">
        <is>
          <t>— MISSING —</t>
        </is>
      </c>
      <c r="AI307" s="151" t="inlineStr">
        <is>
          <t>— MISSING —</t>
        </is>
      </c>
      <c r="AJ307" s="151" t="inlineStr">
        <is>
          <t>— MISSING —</t>
        </is>
      </c>
      <c r="AK307" s="152" t="inlineStr">
        <is>
          <t>✗</t>
        </is>
      </c>
      <c r="AL307" s="150" t="inlineStr">
        <is>
          <t>— MISSING —</t>
        </is>
      </c>
      <c r="AM307" s="151" t="inlineStr">
        <is>
          <t>— MISSING —</t>
        </is>
      </c>
      <c r="AN307" s="151" t="inlineStr">
        <is>
          <t>— MISSING —</t>
        </is>
      </c>
      <c r="AO307" s="151" t="inlineStr">
        <is>
          <t>— MISSING —</t>
        </is>
      </c>
      <c r="AP307" s="152" t="inlineStr">
        <is>
          <t>✗</t>
        </is>
      </c>
      <c r="AQ307" s="150" t="inlineStr">
        <is>
          <t>— MISSING —</t>
        </is>
      </c>
      <c r="AR307" s="153" t="inlineStr">
        <is>
          <t>— no certificate —</t>
        </is>
      </c>
      <c r="AS307" s="152" t="inlineStr">
        <is>
          <t>✗</t>
        </is>
      </c>
    </row>
    <row r="308" ht="13" customHeight="1" s="70">
      <c r="A308" s="143" t="n"/>
      <c r="B308" s="144" t="n"/>
      <c r="C308" s="144" t="n"/>
      <c r="D308" s="145" t="n"/>
      <c r="E308" s="146" t="n"/>
      <c r="F308" s="147" t="n"/>
      <c r="G308" s="145" t="n"/>
      <c r="H308" s="146" t="n"/>
      <c r="I308" s="147" t="n"/>
      <c r="J308" s="145" t="n"/>
      <c r="K308" s="146" t="n"/>
      <c r="L308" s="147" t="n"/>
      <c r="M308" s="145" t="n"/>
      <c r="N308" s="146" t="n"/>
      <c r="O308" s="147" t="n"/>
      <c r="P308" s="145" t="n"/>
      <c r="Q308" s="146" t="n"/>
      <c r="R308" s="147" t="n"/>
      <c r="S308" s="145" t="n"/>
      <c r="T308" s="146" t="n"/>
      <c r="U308" s="147" t="n"/>
      <c r="V308" s="145" t="n"/>
      <c r="W308" s="146" t="n"/>
      <c r="X308" s="147" t="n"/>
      <c r="Y308" s="145" t="n"/>
      <c r="Z308" s="146" t="n"/>
      <c r="AA308" s="147" t="n"/>
      <c r="AB308" s="154" t="inlineStr">
        <is>
          <t>— no certificate —</t>
        </is>
      </c>
      <c r="AC308" s="146" t="n"/>
      <c r="AD308" s="146" t="n"/>
      <c r="AE308" s="146" t="n"/>
      <c r="AF308" s="146" t="n"/>
      <c r="AG308" s="147" t="n"/>
      <c r="AH308" s="154" t="inlineStr">
        <is>
          <t>— no certificate —</t>
        </is>
      </c>
      <c r="AI308" s="146" t="n"/>
      <c r="AJ308" s="146" t="n"/>
      <c r="AK308" s="147" t="n"/>
      <c r="AL308" s="154" t="inlineStr">
        <is>
          <t>— no certificate —</t>
        </is>
      </c>
      <c r="AM308" s="146" t="n"/>
      <c r="AN308" s="146" t="n"/>
      <c r="AO308" s="146" t="n"/>
      <c r="AP308" s="147" t="n"/>
      <c r="AQ308" s="145" t="n"/>
      <c r="AR308" s="146" t="n"/>
      <c r="AS308" s="147" t="n"/>
    </row>
    <row r="309" ht="21" customHeight="1" s="70">
      <c r="A309" s="125" t="inlineStr">
        <is>
          <t>PM112501</t>
        </is>
      </c>
      <c r="B309" s="126" t="inlineStr">
        <is>
          <t>P060232</t>
        </is>
      </c>
      <c r="C309" s="155" t="inlineStr">
        <is>
          <t>✗ 4 NO RESULT
(4 no cert / 0 cert w/o result)
2 testing instances
• 1 document(s) on file, not credited</t>
        </is>
      </c>
      <c r="D309" s="128" t="inlineStr">
        <is>
          <t>Conforms</t>
        </is>
      </c>
      <c r="E309" s="129">
        <f>IFERROR(INDEX('iCoA Register'!$B:$B,MATCH("P060232|AB|I",'iCoA Register'!$R:$R,0)),"iCoA — at issue")&amp;", (27.04.2026) [PP]"</f>
        <v/>
      </c>
      <c r="F309" s="130" t="inlineStr">
        <is>
          <t>✓</t>
        </is>
      </c>
      <c r="G309" s="131" t="inlineStr">
        <is>
          <t>not on this certificate</t>
        </is>
      </c>
      <c r="H309" s="132" t="inlineStr">
        <is>
          <t>ППК26030, (05.03.2026) [CNP] · on file, not credited</t>
        </is>
      </c>
      <c r="I309" s="133" t="inlineStr">
        <is>
          <t>•</t>
        </is>
      </c>
      <c r="J309" s="128" t="inlineStr">
        <is>
          <t>Conforms (ImB spec.)</t>
        </is>
      </c>
      <c r="K309" s="129" t="inlineStr">
        <is>
          <t>ППК26030, (05.03.2026) [CNP]</t>
        </is>
      </c>
      <c r="L309" s="130" t="inlineStr">
        <is>
          <t>✓</t>
        </is>
      </c>
      <c r="M309" s="128" t="inlineStr">
        <is>
          <t>13.33</t>
        </is>
      </c>
      <c r="N309" s="129" t="inlineStr">
        <is>
          <t>ППК26030, (05.03.2026) [CNP]</t>
        </is>
      </c>
      <c r="O309" s="130" t="inlineStr">
        <is>
          <t>✓</t>
        </is>
      </c>
      <c r="P309" s="128" t="inlineStr">
        <is>
          <t>0.03</t>
        </is>
      </c>
      <c r="Q309" s="129" t="inlineStr">
        <is>
          <t>ППК26030, (05.03.2026) [CNP]</t>
        </is>
      </c>
      <c r="R309" s="130" t="inlineStr">
        <is>
          <t>✓</t>
        </is>
      </c>
      <c r="S309" s="128" t="inlineStr">
        <is>
          <t>0.01 % ᴰ</t>
        </is>
      </c>
      <c r="T309" s="129" t="inlineStr">
        <is>
          <t>ППК26030, (05.03.2026) [CNP]</t>
        </is>
      </c>
      <c r="U309" s="130" t="inlineStr">
        <is>
          <t>✓</t>
        </is>
      </c>
      <c r="V309" s="128" t="inlineStr">
        <is>
          <t>Conforms</t>
        </is>
      </c>
      <c r="W309" s="129">
        <f>IFERROR(INDEX('iCoA Register'!$B:$B,MATCH("P060232|FM|I",'iCoA Register'!$R:$R,0)),"iCoA — at issue")&amp;", (27.04.2026) [PP]"</f>
        <v/>
      </c>
      <c r="X309" s="130" t="inlineStr">
        <is>
          <t>✓</t>
        </is>
      </c>
      <c r="Y309" s="128" t="inlineStr">
        <is>
          <t>8.61</t>
        </is>
      </c>
      <c r="Z309" s="129" t="inlineStr">
        <is>
          <t>ППК26030, (05.03.2026) [CNP]</t>
        </is>
      </c>
      <c r="AA309" s="130" t="inlineStr">
        <is>
          <t>✓</t>
        </is>
      </c>
      <c r="AB309" s="150" t="inlineStr">
        <is>
          <t>— MISSING —</t>
        </is>
      </c>
      <c r="AC309" s="151" t="inlineStr">
        <is>
          <t>— MISSING —</t>
        </is>
      </c>
      <c r="AD309" s="151" t="inlineStr">
        <is>
          <t>— MISSING —</t>
        </is>
      </c>
      <c r="AE309" s="151" t="inlineStr">
        <is>
          <t>— MISSING —</t>
        </is>
      </c>
      <c r="AF309" s="151" t="inlineStr">
        <is>
          <t>— MISSING —</t>
        </is>
      </c>
      <c r="AG309" s="152" t="inlineStr">
        <is>
          <t>✗</t>
        </is>
      </c>
      <c r="AH309" s="150" t="inlineStr">
        <is>
          <t>— MISSING —</t>
        </is>
      </c>
      <c r="AI309" s="151" t="inlineStr">
        <is>
          <t>— MISSING —</t>
        </is>
      </c>
      <c r="AJ309" s="151" t="inlineStr">
        <is>
          <t>— MISSING —</t>
        </is>
      </c>
      <c r="AK309" s="152" t="inlineStr">
        <is>
          <t>✗</t>
        </is>
      </c>
      <c r="AL309" s="150" t="inlineStr">
        <is>
          <t>— MISSING —</t>
        </is>
      </c>
      <c r="AM309" s="151" t="inlineStr">
        <is>
          <t>— MISSING —</t>
        </is>
      </c>
      <c r="AN309" s="151" t="inlineStr">
        <is>
          <t>— MISSING —</t>
        </is>
      </c>
      <c r="AO309" s="151" t="inlineStr">
        <is>
          <t>— MISSING —</t>
        </is>
      </c>
      <c r="AP309" s="152" t="inlineStr">
        <is>
          <t>✗</t>
        </is>
      </c>
      <c r="AQ309" s="150" t="inlineStr">
        <is>
          <t>— MISSING —</t>
        </is>
      </c>
      <c r="AR309" s="153" t="inlineStr">
        <is>
          <t>— no certificate —</t>
        </is>
      </c>
      <c r="AS309" s="152" t="inlineStr">
        <is>
          <t>✗</t>
        </is>
      </c>
    </row>
    <row r="310" ht="13" customHeight="1" s="70">
      <c r="A310" s="135" t="n"/>
      <c r="D310" s="136" t="n"/>
      <c r="F310" s="137" t="n"/>
      <c r="G310" s="136" t="n"/>
      <c r="I310" s="137" t="n"/>
      <c r="J310" s="136" t="n"/>
      <c r="L310" s="137" t="n"/>
      <c r="M310" s="136" t="n"/>
      <c r="O310" s="137" t="n"/>
      <c r="P310" s="136" t="n"/>
      <c r="R310" s="137" t="n"/>
      <c r="S310" s="136" t="n"/>
      <c r="U310" s="137" t="n"/>
      <c r="V310" s="136" t="n"/>
      <c r="X310" s="137" t="n"/>
      <c r="Y310" s="136" t="n"/>
      <c r="AA310" s="137" t="n"/>
      <c r="AB310" s="156" t="inlineStr">
        <is>
          <t>— no certificate —</t>
        </is>
      </c>
      <c r="AG310" s="137" t="n"/>
      <c r="AH310" s="156" t="inlineStr">
        <is>
          <t>— no certificate —</t>
        </is>
      </c>
      <c r="AK310" s="137" t="n"/>
      <c r="AL310" s="156" t="inlineStr">
        <is>
          <t>— no certificate —</t>
        </is>
      </c>
      <c r="AP310" s="137" t="n"/>
      <c r="AQ310" s="136" t="n"/>
      <c r="AS310" s="137" t="n"/>
    </row>
    <row r="311" ht="14" customHeight="1" s="70">
      <c r="A311" s="139" t="n"/>
      <c r="B311" s="140" t="n"/>
      <c r="D311" s="141" t="n"/>
      <c r="E311" s="140" t="n"/>
      <c r="F311" s="142" t="n"/>
      <c r="G311" s="128" t="inlineStr">
        <is>
          <t>Conforms</t>
        </is>
      </c>
      <c r="H311" s="129">
        <f>IFERROR(INDEX('iCoA Register'!$B:$B,MATCH("P060232|AB|I",'iCoA Register'!$R:$R,0)),"iCoA — at issue")&amp;", (27.04.2026) [PP]"</f>
        <v/>
      </c>
      <c r="I311" s="130" t="inlineStr">
        <is>
          <t>✓</t>
        </is>
      </c>
      <c r="J311" s="141" t="n"/>
      <c r="K311" s="140" t="n"/>
      <c r="L311" s="142" t="n"/>
      <c r="M311" s="141" t="n"/>
      <c r="N311" s="140" t="n"/>
      <c r="O311" s="142" t="n"/>
      <c r="P311" s="141" t="n"/>
      <c r="Q311" s="140" t="n"/>
      <c r="R311" s="142" t="n"/>
      <c r="S311" s="141" t="n"/>
      <c r="T311" s="140" t="n"/>
      <c r="U311" s="142" t="n"/>
      <c r="V311" s="141" t="n"/>
      <c r="W311" s="140" t="n"/>
      <c r="X311" s="142" t="n"/>
      <c r="Y311" s="141" t="n"/>
      <c r="Z311" s="140" t="n"/>
      <c r="AA311" s="142" t="n"/>
      <c r="AB311" s="141" t="n"/>
      <c r="AC311" s="140" t="n"/>
      <c r="AD311" s="140" t="n"/>
      <c r="AE311" s="140" t="n"/>
      <c r="AF311" s="140" t="n"/>
      <c r="AG311" s="142" t="n"/>
      <c r="AH311" s="141" t="n"/>
      <c r="AI311" s="140" t="n"/>
      <c r="AJ311" s="140" t="n"/>
      <c r="AK311" s="142" t="n"/>
      <c r="AL311" s="141" t="n"/>
      <c r="AM311" s="140" t="n"/>
      <c r="AN311" s="140" t="n"/>
      <c r="AO311" s="140" t="n"/>
      <c r="AP311" s="142" t="n"/>
      <c r="AQ311" s="141" t="n"/>
      <c r="AR311" s="140" t="n"/>
      <c r="AS311" s="142" t="n"/>
    </row>
    <row r="312" ht="13" customHeight="1" s="70">
      <c r="A312" s="143" t="n"/>
      <c r="B312" s="144" t="n"/>
      <c r="C312" s="144" t="n"/>
      <c r="D312" s="145" t="n"/>
      <c r="E312" s="146" t="n"/>
      <c r="F312" s="147" t="n"/>
      <c r="G312" s="145" t="n"/>
      <c r="H312" s="146" t="n"/>
      <c r="I312" s="147" t="n"/>
      <c r="J312" s="145" t="n"/>
      <c r="K312" s="146" t="n"/>
      <c r="L312" s="147" t="n"/>
      <c r="M312" s="145" t="n"/>
      <c r="N312" s="146" t="n"/>
      <c r="O312" s="147" t="n"/>
      <c r="P312" s="145" t="n"/>
      <c r="Q312" s="146" t="n"/>
      <c r="R312" s="147" t="n"/>
      <c r="S312" s="145" t="n"/>
      <c r="T312" s="146" t="n"/>
      <c r="U312" s="147" t="n"/>
      <c r="V312" s="145" t="n"/>
      <c r="W312" s="146" t="n"/>
      <c r="X312" s="147" t="n"/>
      <c r="Y312" s="145" t="n"/>
      <c r="Z312" s="146" t="n"/>
      <c r="AA312" s="147" t="n"/>
      <c r="AB312" s="145" t="n"/>
      <c r="AC312" s="146" t="n"/>
      <c r="AD312" s="146" t="n"/>
      <c r="AE312" s="146" t="n"/>
      <c r="AF312" s="146" t="n"/>
      <c r="AG312" s="147" t="n"/>
      <c r="AH312" s="145" t="n"/>
      <c r="AI312" s="146" t="n"/>
      <c r="AJ312" s="146" t="n"/>
      <c r="AK312" s="147" t="n"/>
      <c r="AL312" s="145" t="n"/>
      <c r="AM312" s="146" t="n"/>
      <c r="AN312" s="146" t="n"/>
      <c r="AO312" s="146" t="n"/>
      <c r="AP312" s="147" t="n"/>
      <c r="AQ312" s="145" t="n"/>
      <c r="AR312" s="146" t="n"/>
      <c r="AS312" s="147" t="n"/>
    </row>
    <row r="313" ht="21" customHeight="1" s="70">
      <c r="A313" s="125" t="inlineStr">
        <is>
          <t>SCR022601</t>
        </is>
      </c>
      <c r="B313" s="126" t="inlineStr">
        <is>
          <t>P060442</t>
        </is>
      </c>
      <c r="C313" s="149" t="inlineStr">
        <is>
          <t>⚠ 3 NO RESULT
(3 no cert / 0 cert w/o result)</t>
        </is>
      </c>
      <c r="D313" s="128" t="inlineStr">
        <is>
          <t>Conforms ᴿ</t>
        </is>
      </c>
      <c r="E313" s="129" t="inlineStr">
        <is>
          <t>ППК26116, (06.07.2026) [CNP]</t>
        </is>
      </c>
      <c r="F313" s="130" t="inlineStr">
        <is>
          <t>✓</t>
        </is>
      </c>
      <c r="G313" s="128" t="inlineStr">
        <is>
          <t>Conforms ᴿ</t>
        </is>
      </c>
      <c r="H313" s="129" t="inlineStr">
        <is>
          <t>ППК26116, (06.07.2026) [CNP]</t>
        </is>
      </c>
      <c r="I313" s="130" t="inlineStr">
        <is>
          <t>✓</t>
        </is>
      </c>
      <c r="J313" s="128" t="inlineStr">
        <is>
          <t>Conforms (ImB spec.) ᴿ</t>
        </is>
      </c>
      <c r="K313" s="129" t="inlineStr">
        <is>
          <t>ППК26116, (06.07.2026) [CNP]</t>
        </is>
      </c>
      <c r="L313" s="130" t="inlineStr">
        <is>
          <t>✓</t>
        </is>
      </c>
      <c r="M313" s="128" t="inlineStr">
        <is>
          <t>21.92 ᴿ</t>
        </is>
      </c>
      <c r="N313" s="129" t="inlineStr">
        <is>
          <t>ППК26116, (06.07.2026) [CNP]</t>
        </is>
      </c>
      <c r="O313" s="130" t="inlineStr">
        <is>
          <t>✓</t>
        </is>
      </c>
      <c r="P313" s="128" t="inlineStr">
        <is>
          <t>0.19 ᴿ</t>
        </is>
      </c>
      <c r="Q313" s="129" t="inlineStr">
        <is>
          <t>ППК26116, (06.07.2026) [CNP]</t>
        </is>
      </c>
      <c r="R313" s="130" t="inlineStr">
        <is>
          <t>✓</t>
        </is>
      </c>
      <c r="S313" s="128" t="inlineStr">
        <is>
          <t>0.06 ᴿ</t>
        </is>
      </c>
      <c r="T313" s="129" t="inlineStr">
        <is>
          <t>ППК26116, (06.07.2026) [CNP]</t>
        </is>
      </c>
      <c r="U313" s="130" t="inlineStr">
        <is>
          <t>✓</t>
        </is>
      </c>
      <c r="V313" s="128" t="inlineStr">
        <is>
          <t>Conforms ᴿ</t>
        </is>
      </c>
      <c r="W313" s="129" t="inlineStr">
        <is>
          <t>ППК26116, (06.07.2026) [CNP]</t>
        </is>
      </c>
      <c r="X313" s="130" t="inlineStr">
        <is>
          <t>✓</t>
        </is>
      </c>
      <c r="Y313" s="128" t="inlineStr">
        <is>
          <t>7.06 ᴿ</t>
        </is>
      </c>
      <c r="Z313" s="129" t="inlineStr">
        <is>
          <t>ППК26116, (06.07.2026) [CNP]</t>
        </is>
      </c>
      <c r="AA313" s="130" t="inlineStr">
        <is>
          <t>✓</t>
        </is>
      </c>
      <c r="AB313" s="128" t="inlineStr">
        <is>
          <t>1.7×10³</t>
        </is>
      </c>
      <c r="AC313" s="134" t="inlineStr">
        <is>
          <t>5.6×10²</t>
        </is>
      </c>
      <c r="AD313" s="134" t="inlineStr">
        <is>
          <t>&lt;10</t>
        </is>
      </c>
      <c r="AE313" s="134" t="inlineStr">
        <is>
          <t>absent</t>
        </is>
      </c>
      <c r="AF313" s="134" t="inlineStr">
        <is>
          <t>absent</t>
        </is>
      </c>
      <c r="AG313" s="130" t="inlineStr">
        <is>
          <t>✓</t>
        </is>
      </c>
      <c r="AH313" s="150" t="inlineStr">
        <is>
          <t>— MISSING —</t>
        </is>
      </c>
      <c r="AI313" s="151" t="inlineStr">
        <is>
          <t>— MISSING —</t>
        </is>
      </c>
      <c r="AJ313" s="151" t="inlineStr">
        <is>
          <t>— MISSING —</t>
        </is>
      </c>
      <c r="AK313" s="152" t="inlineStr">
        <is>
          <t>✗</t>
        </is>
      </c>
      <c r="AL313" s="150" t="inlineStr">
        <is>
          <t>— MISSING —</t>
        </is>
      </c>
      <c r="AM313" s="151" t="inlineStr">
        <is>
          <t>— MISSING —</t>
        </is>
      </c>
      <c r="AN313" s="151" t="inlineStr">
        <is>
          <t>— MISSING —</t>
        </is>
      </c>
      <c r="AO313" s="151" t="inlineStr">
        <is>
          <t>— MISSING —</t>
        </is>
      </c>
      <c r="AP313" s="152" t="inlineStr">
        <is>
          <t>✗</t>
        </is>
      </c>
      <c r="AQ313" s="150" t="inlineStr">
        <is>
          <t>— MISSING —</t>
        </is>
      </c>
      <c r="AR313" s="153" t="inlineStr">
        <is>
          <t>— no certificate —</t>
        </is>
      </c>
      <c r="AS313" s="152" t="inlineStr">
        <is>
          <t>✗</t>
        </is>
      </c>
    </row>
    <row r="314" ht="13" customHeight="1" s="70">
      <c r="A314" s="143" t="n"/>
      <c r="B314" s="144" t="n"/>
      <c r="C314" s="144" t="n"/>
      <c r="D314" s="145" t="n"/>
      <c r="E314" s="146" t="n"/>
      <c r="F314" s="147" t="n"/>
      <c r="G314" s="145" t="n"/>
      <c r="H314" s="146" t="n"/>
      <c r="I314" s="147" t="n"/>
      <c r="J314" s="145" t="n"/>
      <c r="K314" s="146" t="n"/>
      <c r="L314" s="147" t="n"/>
      <c r="M314" s="145" t="n"/>
      <c r="N314" s="146" t="n"/>
      <c r="O314" s="147" t="n"/>
      <c r="P314" s="145" t="n"/>
      <c r="Q314" s="146" t="n"/>
      <c r="R314" s="147" t="n"/>
      <c r="S314" s="145" t="n"/>
      <c r="T314" s="146" t="n"/>
      <c r="U314" s="147" t="n"/>
      <c r="V314" s="145" t="n"/>
      <c r="W314" s="146" t="n"/>
      <c r="X314" s="147" t="n"/>
      <c r="Y314" s="145" t="n"/>
      <c r="Z314" s="146" t="n"/>
      <c r="AA314" s="147" t="n"/>
      <c r="AB314" s="148" t="inlineStr">
        <is>
          <t>536-1067-26, (31.08.2026) [IJZ-MB]</t>
        </is>
      </c>
      <c r="AC314" s="146" t="n"/>
      <c r="AD314" s="146" t="n"/>
      <c r="AE314" s="146" t="n"/>
      <c r="AF314" s="146" t="n"/>
      <c r="AG314" s="147" t="n"/>
      <c r="AH314" s="154" t="inlineStr">
        <is>
          <t>— no certificate —</t>
        </is>
      </c>
      <c r="AI314" s="146" t="n"/>
      <c r="AJ314" s="146" t="n"/>
      <c r="AK314" s="147" t="n"/>
      <c r="AL314" s="154" t="inlineStr">
        <is>
          <t>— no certificate —</t>
        </is>
      </c>
      <c r="AM314" s="146" t="n"/>
      <c r="AN314" s="146" t="n"/>
      <c r="AO314" s="146" t="n"/>
      <c r="AP314" s="147" t="n"/>
      <c r="AQ314" s="145" t="n"/>
      <c r="AR314" s="146" t="n"/>
      <c r="AS314" s="147" t="n"/>
    </row>
    <row r="315" ht="14" customHeight="1" s="70">
      <c r="A315" s="125" t="inlineStr">
        <is>
          <t>SCR112501</t>
        </is>
      </c>
      <c r="B315" s="126" t="inlineStr">
        <is>
          <t>P060282</t>
        </is>
      </c>
      <c r="C315" s="127" t="inlineStr">
        <is>
          <t>✓ COMPLETE
2 testing instances
• 1 document(s) on file, not credited</t>
        </is>
      </c>
      <c r="D315" s="128" t="inlineStr">
        <is>
          <t>Conforms</t>
        </is>
      </c>
      <c r="E315" s="129">
        <f>IFERROR(INDEX('iCoA Register'!$B:$B,MATCH("P060282|AB|I",'iCoA Register'!$R:$R,0)),"iCoA — at issue")&amp;", (18.05.2026) [PP]"</f>
        <v/>
      </c>
      <c r="F315" s="130" t="inlineStr">
        <is>
          <t>✓</t>
        </is>
      </c>
      <c r="G315" s="131" t="inlineStr">
        <is>
          <t>not on this certificate</t>
        </is>
      </c>
      <c r="H315" s="132" t="inlineStr">
        <is>
          <t>ППК26069, (11.05.2026) [CNP] · on file, not credited</t>
        </is>
      </c>
      <c r="I315" s="133" t="inlineStr">
        <is>
          <t>•</t>
        </is>
      </c>
      <c r="J315" s="128" t="inlineStr">
        <is>
          <t>Conforms (ImB spec.)</t>
        </is>
      </c>
      <c r="K315" s="129" t="inlineStr">
        <is>
          <t>ППК26069, (11.05.2026) [CNP]</t>
        </is>
      </c>
      <c r="L315" s="130" t="inlineStr">
        <is>
          <t>✓</t>
        </is>
      </c>
      <c r="M315" s="128" t="inlineStr">
        <is>
          <t>17.13</t>
        </is>
      </c>
      <c r="N315" s="129" t="inlineStr">
        <is>
          <t>ППК26069, (11.05.2026) [CNP]</t>
        </is>
      </c>
      <c r="O315" s="130" t="inlineStr">
        <is>
          <t>✓</t>
        </is>
      </c>
      <c r="P315" s="128" t="inlineStr">
        <is>
          <t>0.04</t>
        </is>
      </c>
      <c r="Q315" s="129" t="inlineStr">
        <is>
          <t>ППК26069, (11.05.2026) [CNP]</t>
        </is>
      </c>
      <c r="R315" s="130" t="inlineStr">
        <is>
          <t>✓</t>
        </is>
      </c>
      <c r="S315" s="128" t="inlineStr">
        <is>
          <t>BLQ ᴰ</t>
        </is>
      </c>
      <c r="T315" s="129" t="inlineStr">
        <is>
          <t>ППК26069, (11.05.2026) [CNP]</t>
        </is>
      </c>
      <c r="U315" s="130" t="inlineStr">
        <is>
          <t>✓</t>
        </is>
      </c>
      <c r="V315" s="128" t="inlineStr">
        <is>
          <t>Conforms</t>
        </is>
      </c>
      <c r="W315" s="129">
        <f>IFERROR(INDEX('iCoA Register'!$B:$B,MATCH("P060282|FM|I",'iCoA Register'!$R:$R,0)),"iCoA — at issue")&amp;", (18.05.2026) [PP]"</f>
        <v/>
      </c>
      <c r="X315" s="130" t="inlineStr">
        <is>
          <t>✓</t>
        </is>
      </c>
      <c r="Y315" s="128" t="inlineStr">
        <is>
          <t>6.84</t>
        </is>
      </c>
      <c r="Z315" s="129" t="inlineStr">
        <is>
          <t>ППК26069, (11.05.2026) [CNP]</t>
        </is>
      </c>
      <c r="AA315" s="130" t="inlineStr">
        <is>
          <t>✓</t>
        </is>
      </c>
      <c r="AB315" s="128" t="inlineStr">
        <is>
          <t>2.3 x 10³</t>
        </is>
      </c>
      <c r="AC315" s="134" t="inlineStr">
        <is>
          <t>4.3 x 10³</t>
        </is>
      </c>
      <c r="AD315" s="134" t="inlineStr">
        <is>
          <t>n.r.</t>
        </is>
      </c>
      <c r="AE315" s="134" t="inlineStr">
        <is>
          <t>отсутна/25</t>
        </is>
      </c>
      <c r="AF315" s="134" t="inlineStr">
        <is>
          <t>отсутна/g</t>
        </is>
      </c>
      <c r="AG315" s="130" t="inlineStr">
        <is>
          <t>✓</t>
        </is>
      </c>
      <c r="AH315" s="128" t="inlineStr">
        <is>
          <t>n.r.</t>
        </is>
      </c>
      <c r="AI315" s="134" t="inlineStr">
        <is>
          <t>&lt;2</t>
        </is>
      </c>
      <c r="AJ315" s="134" t="inlineStr">
        <is>
          <t>n.r.</t>
        </is>
      </c>
      <c r="AK315" s="130" t="inlineStr">
        <is>
          <t>✓</t>
        </is>
      </c>
      <c r="AL315" s="128" t="inlineStr">
        <is>
          <t>0.0299</t>
        </is>
      </c>
      <c r="AM315" s="134" t="inlineStr">
        <is>
          <t>0.0136</t>
        </is>
      </c>
      <c r="AN315" s="134" t="inlineStr">
        <is>
          <t>0.0154</t>
        </is>
      </c>
      <c r="AO315" s="134" t="inlineStr">
        <is>
          <t>0.017</t>
        </is>
      </c>
      <c r="AP315" s="130" t="inlineStr">
        <is>
          <t>✓</t>
        </is>
      </c>
      <c r="AQ315" s="128" t="inlineStr">
        <is>
          <t>≤ LOQ (all 27 compounds)</t>
        </is>
      </c>
      <c r="AR315" s="129" t="inlineStr">
        <is>
          <t>2360-2026, (29.04.2026) [IJZ]</t>
        </is>
      </c>
      <c r="AS315" s="130" t="inlineStr">
        <is>
          <t>✓</t>
        </is>
      </c>
    </row>
    <row r="316" ht="13" customHeight="1" s="70">
      <c r="A316" s="135" t="n"/>
      <c r="D316" s="136" t="n"/>
      <c r="F316" s="137" t="n"/>
      <c r="G316" s="136" t="n"/>
      <c r="I316" s="137" t="n"/>
      <c r="J316" s="136" t="n"/>
      <c r="L316" s="137" t="n"/>
      <c r="M316" s="136" t="n"/>
      <c r="O316" s="137" t="n"/>
      <c r="P316" s="136" t="n"/>
      <c r="R316" s="137" t="n"/>
      <c r="S316" s="136" t="n"/>
      <c r="U316" s="137" t="n"/>
      <c r="V316" s="136" t="n"/>
      <c r="X316" s="137" t="n"/>
      <c r="Y316" s="136" t="n"/>
      <c r="AA316" s="137" t="n"/>
      <c r="AB316" s="138" t="inlineStr">
        <is>
          <t>305-0549-26, (28.04.2026) [IJZ-MB]</t>
        </is>
      </c>
      <c r="AG316" s="137" t="n"/>
      <c r="AH316" s="138" t="inlineStr">
        <is>
          <t>2360-2026, (29.04.2026) [IJZ]</t>
        </is>
      </c>
      <c r="AK316" s="137" t="n"/>
      <c r="AL316" s="138" t="inlineStr">
        <is>
          <t>2360-2026, (29.04.2026) [IJZ]</t>
        </is>
      </c>
      <c r="AP316" s="137" t="n"/>
      <c r="AQ316" s="136" t="n"/>
      <c r="AS316" s="137" t="n"/>
    </row>
    <row r="317" ht="14" customHeight="1" s="70">
      <c r="A317" s="139" t="n"/>
      <c r="B317" s="140" t="n"/>
      <c r="D317" s="141" t="n"/>
      <c r="E317" s="140" t="n"/>
      <c r="F317" s="142" t="n"/>
      <c r="G317" s="128" t="inlineStr">
        <is>
          <t>Conforms</t>
        </is>
      </c>
      <c r="H317" s="129">
        <f>IFERROR(INDEX('iCoA Register'!$B:$B,MATCH("P060282|AB|I",'iCoA Register'!$R:$R,0)),"iCoA — at issue")&amp;", (18.05.2026) [PP]"</f>
        <v/>
      </c>
      <c r="I317" s="130" t="inlineStr">
        <is>
          <t>✓</t>
        </is>
      </c>
      <c r="J317" s="141" t="n"/>
      <c r="K317" s="140" t="n"/>
      <c r="L317" s="142" t="n"/>
      <c r="M317" s="141" t="n"/>
      <c r="N317" s="140" t="n"/>
      <c r="O317" s="142" t="n"/>
      <c r="P317" s="141" t="n"/>
      <c r="Q317" s="140" t="n"/>
      <c r="R317" s="142" t="n"/>
      <c r="S317" s="141" t="n"/>
      <c r="T317" s="140" t="n"/>
      <c r="U317" s="142" t="n"/>
      <c r="V317" s="141" t="n"/>
      <c r="W317" s="140" t="n"/>
      <c r="X317" s="142" t="n"/>
      <c r="Y317" s="141" t="n"/>
      <c r="Z317" s="140" t="n"/>
      <c r="AA317" s="142" t="n"/>
      <c r="AB317" s="141" t="n"/>
      <c r="AC317" s="140" t="n"/>
      <c r="AD317" s="140" t="n"/>
      <c r="AE317" s="140" t="n"/>
      <c r="AF317" s="140" t="n"/>
      <c r="AG317" s="142" t="n"/>
      <c r="AH317" s="141" t="n"/>
      <c r="AI317" s="140" t="n"/>
      <c r="AJ317" s="140" t="n"/>
      <c r="AK317" s="142" t="n"/>
      <c r="AL317" s="141" t="n"/>
      <c r="AM317" s="140" t="n"/>
      <c r="AN317" s="140" t="n"/>
      <c r="AO317" s="140" t="n"/>
      <c r="AP317" s="142" t="n"/>
      <c r="AQ317" s="141" t="n"/>
      <c r="AR317" s="140" t="n"/>
      <c r="AS317" s="142" t="n"/>
    </row>
    <row r="318" ht="13" customHeight="1" s="70">
      <c r="A318" s="143" t="n"/>
      <c r="B318" s="144" t="n"/>
      <c r="C318" s="144" t="n"/>
      <c r="D318" s="145" t="n"/>
      <c r="E318" s="146" t="n"/>
      <c r="F318" s="147" t="n"/>
      <c r="G318" s="145" t="n"/>
      <c r="H318" s="146" t="n"/>
      <c r="I318" s="147" t="n"/>
      <c r="J318" s="145" t="n"/>
      <c r="K318" s="146" t="n"/>
      <c r="L318" s="147" t="n"/>
      <c r="M318" s="145" t="n"/>
      <c r="N318" s="146" t="n"/>
      <c r="O318" s="147" t="n"/>
      <c r="P318" s="145" t="n"/>
      <c r="Q318" s="146" t="n"/>
      <c r="R318" s="147" t="n"/>
      <c r="S318" s="145" t="n"/>
      <c r="T318" s="146" t="n"/>
      <c r="U318" s="147" t="n"/>
      <c r="V318" s="145" t="n"/>
      <c r="W318" s="146" t="n"/>
      <c r="X318" s="147" t="n"/>
      <c r="Y318" s="145" t="n"/>
      <c r="Z318" s="146" t="n"/>
      <c r="AA318" s="147" t="n"/>
      <c r="AB318" s="145" t="n"/>
      <c r="AC318" s="146" t="n"/>
      <c r="AD318" s="146" t="n"/>
      <c r="AE318" s="146" t="n"/>
      <c r="AF318" s="146" t="n"/>
      <c r="AG318" s="147" t="n"/>
      <c r="AH318" s="145" t="n"/>
      <c r="AI318" s="146" t="n"/>
      <c r="AJ318" s="146" t="n"/>
      <c r="AK318" s="147" t="n"/>
      <c r="AL318" s="145" t="n"/>
      <c r="AM318" s="146" t="n"/>
      <c r="AN318" s="146" t="n"/>
      <c r="AO318" s="146" t="n"/>
      <c r="AP318" s="147" t="n"/>
      <c r="AQ318" s="145" t="n"/>
      <c r="AR318" s="146" t="n"/>
      <c r="AS318" s="147" t="n"/>
    </row>
    <row r="319" ht="21" customHeight="1" s="70">
      <c r="A319" s="125" t="inlineStr">
        <is>
          <t>SJ102501</t>
        </is>
      </c>
      <c r="B319" s="126" t="inlineStr">
        <is>
          <t>P060162</t>
        </is>
      </c>
      <c r="C319" s="149" t="inlineStr">
        <is>
          <t>⚠ 3 NO RESULT
(3 no cert / 0 cert w/o result)
2 testing instances
• 2 document(s) on file, not credited</t>
        </is>
      </c>
      <c r="D319" s="128" t="inlineStr">
        <is>
          <t>Conforms</t>
        </is>
      </c>
      <c r="E319" s="129">
        <f>IFERROR(INDEX('iCoA Register'!$B:$B,MATCH("P060162|AB|I",'iCoA Register'!$R:$R,0)),"iCoA — at issue")&amp;", (09.03.2026) [PP]"</f>
        <v/>
      </c>
      <c r="F319" s="130" t="inlineStr">
        <is>
          <t>✓</t>
        </is>
      </c>
      <c r="G319" s="128" t="inlineStr">
        <is>
          <t>Conforms</t>
        </is>
      </c>
      <c r="H319" s="129">
        <f>IFERROR(INDEX('iCoA Register'!$B:$B,MATCH("P060162|AB|I",'iCoA Register'!$R:$R,0)),"iCoA — at issue")&amp;", (09.03.2026) [PP]"</f>
        <v/>
      </c>
      <c r="I319" s="130" t="inlineStr">
        <is>
          <t>✓</t>
        </is>
      </c>
      <c r="J319" s="131" t="inlineStr">
        <is>
          <t>not on this certificate</t>
        </is>
      </c>
      <c r="K319" s="132" t="inlineStr">
        <is>
          <t>051-3-LoD-26, (02.03.2026) [FHM-K] · on file, not credited</t>
        </is>
      </c>
      <c r="L319" s="133" t="inlineStr">
        <is>
          <t>•</t>
        </is>
      </c>
      <c r="M319" s="131" t="inlineStr">
        <is>
          <t>not on this certificate</t>
        </is>
      </c>
      <c r="N319" s="132" t="inlineStr">
        <is>
          <t>051-3-LoD-26, (02.03.2026) [FHM-K] · on file, not credited</t>
        </is>
      </c>
      <c r="O319" s="133" t="inlineStr">
        <is>
          <t>•</t>
        </is>
      </c>
      <c r="P319" s="131" t="inlineStr">
        <is>
          <t>not on this certificate</t>
        </is>
      </c>
      <c r="Q319" s="132" t="inlineStr">
        <is>
          <t>051-3-LoD-26, (02.03.2026) [FHM-K] · on file, not credited</t>
        </is>
      </c>
      <c r="R319" s="133" t="inlineStr">
        <is>
          <t>•</t>
        </is>
      </c>
      <c r="S319" s="131" t="inlineStr">
        <is>
          <t>not on this certificate</t>
        </is>
      </c>
      <c r="T319" s="132" t="inlineStr">
        <is>
          <t>051-3-LoD-26, (02.03.2026) [FHM-K] · on file, not credited</t>
        </is>
      </c>
      <c r="U319" s="133" t="inlineStr">
        <is>
          <t>•</t>
        </is>
      </c>
      <c r="V319" s="128" t="inlineStr">
        <is>
          <t>Conforms</t>
        </is>
      </c>
      <c r="W319" s="129">
        <f>IFERROR(INDEX('iCoA Register'!$B:$B,MATCH("P060162|FM|I",'iCoA Register'!$R:$R,0)),"iCoA — at issue")&amp;", (09.03.2026) [PP]"</f>
        <v/>
      </c>
      <c r="X319" s="130" t="inlineStr">
        <is>
          <t>✓</t>
        </is>
      </c>
      <c r="Y319" s="128" t="inlineStr">
        <is>
          <t>7.8</t>
        </is>
      </c>
      <c r="Z319" s="129" t="inlineStr">
        <is>
          <t>051-3-LoD-26, (02.03.2026) [FHM-K]</t>
        </is>
      </c>
      <c r="AA319" s="130" t="inlineStr">
        <is>
          <t>✓</t>
        </is>
      </c>
      <c r="AB319" s="128" t="inlineStr">
        <is>
          <t>5.2×10²</t>
        </is>
      </c>
      <c r="AC319" s="134" t="inlineStr">
        <is>
          <t>4.3×10²</t>
        </is>
      </c>
      <c r="AD319" s="134" t="inlineStr">
        <is>
          <t>&lt;10</t>
        </is>
      </c>
      <c r="AE319" s="134" t="inlineStr">
        <is>
          <t>absent</t>
        </is>
      </c>
      <c r="AF319" s="134" t="inlineStr">
        <is>
          <t>absent</t>
        </is>
      </c>
      <c r="AG319" s="130" t="inlineStr">
        <is>
          <t>✓</t>
        </is>
      </c>
      <c r="AH319" s="150" t="inlineStr">
        <is>
          <t>— MISSING —</t>
        </is>
      </c>
      <c r="AI319" s="151" t="inlineStr">
        <is>
          <t>— MISSING —</t>
        </is>
      </c>
      <c r="AJ319" s="151" t="inlineStr">
        <is>
          <t>— MISSING —</t>
        </is>
      </c>
      <c r="AK319" s="152" t="inlineStr">
        <is>
          <t>✗</t>
        </is>
      </c>
      <c r="AL319" s="150" t="inlineStr">
        <is>
          <t>— MISSING —</t>
        </is>
      </c>
      <c r="AM319" s="151" t="inlineStr">
        <is>
          <t>— MISSING —</t>
        </is>
      </c>
      <c r="AN319" s="151" t="inlineStr">
        <is>
          <t>— MISSING —</t>
        </is>
      </c>
      <c r="AO319" s="151" t="inlineStr">
        <is>
          <t>— MISSING —</t>
        </is>
      </c>
      <c r="AP319" s="152" t="inlineStr">
        <is>
          <t>✗</t>
        </is>
      </c>
      <c r="AQ319" s="150" t="inlineStr">
        <is>
          <t>— MISSING —</t>
        </is>
      </c>
      <c r="AR319" s="153" t="inlineStr">
        <is>
          <t>— no certificate —</t>
        </is>
      </c>
      <c r="AS319" s="152" t="inlineStr">
        <is>
          <t>✗</t>
        </is>
      </c>
    </row>
    <row r="320" ht="21" customHeight="1" s="70">
      <c r="A320" s="135" t="n"/>
      <c r="D320" s="136" t="n"/>
      <c r="F320" s="137" t="n"/>
      <c r="G320" s="136" t="n"/>
      <c r="I320" s="137" t="n"/>
      <c r="J320" s="136" t="n"/>
      <c r="L320" s="137" t="n"/>
      <c r="M320" s="136" t="n"/>
      <c r="O320" s="137" t="n"/>
      <c r="P320" s="136" t="n"/>
      <c r="R320" s="137" t="n"/>
      <c r="S320" s="136" t="n"/>
      <c r="U320" s="137" t="n"/>
      <c r="V320" s="136" t="n"/>
      <c r="X320" s="137" t="n"/>
      <c r="Y320" s="136" t="n"/>
      <c r="AA320" s="137" t="n"/>
      <c r="AB320" s="138" t="inlineStr">
        <is>
          <t>549-1080-26, (31.08.2026) [IJZ-MB]</t>
        </is>
      </c>
      <c r="AG320" s="137" t="n"/>
      <c r="AH320" s="156" t="inlineStr">
        <is>
          <t>— no certificate —</t>
        </is>
      </c>
      <c r="AK320" s="137" t="n"/>
      <c r="AL320" s="156" t="inlineStr">
        <is>
          <t>— no certificate —</t>
        </is>
      </c>
      <c r="AP320" s="137" t="n"/>
      <c r="AQ320" s="136" t="n"/>
      <c r="AS320" s="137" t="n"/>
    </row>
    <row r="321" ht="14" customHeight="1" s="70">
      <c r="A321" s="139" t="n"/>
      <c r="B321" s="140" t="n"/>
      <c r="D321" s="141" t="n"/>
      <c r="E321" s="140" t="n"/>
      <c r="F321" s="142" t="n"/>
      <c r="G321" s="141" t="n"/>
      <c r="H321" s="140" t="n"/>
      <c r="I321" s="142" t="n"/>
      <c r="J321" s="128" t="inlineStr">
        <is>
          <t>Conforms (ImB spec.) ᴿ</t>
        </is>
      </c>
      <c r="K321" s="129" t="inlineStr">
        <is>
          <t>051-3-K-26, (04.03.2026) [FHM-K]</t>
        </is>
      </c>
      <c r="L321" s="130" t="inlineStr">
        <is>
          <t>✓</t>
        </is>
      </c>
      <c r="M321" s="128" t="inlineStr">
        <is>
          <t>11.20</t>
        </is>
      </c>
      <c r="N321" s="129" t="inlineStr">
        <is>
          <t>051-3-K-26, (04.03.2026) [FHM-K]</t>
        </is>
      </c>
      <c r="O321" s="130" t="inlineStr">
        <is>
          <t>✓</t>
        </is>
      </c>
      <c r="P321" s="128" t="inlineStr">
        <is>
          <t>&lt;LOQ**</t>
        </is>
      </c>
      <c r="Q321" s="129" t="inlineStr">
        <is>
          <t>051-3-K-26, (04.03.2026) [FHM-K]</t>
        </is>
      </c>
      <c r="R321" s="130" t="inlineStr">
        <is>
          <t>✓</t>
        </is>
      </c>
      <c r="S321" s="128" t="inlineStr">
        <is>
          <t>&lt;LOQ**</t>
        </is>
      </c>
      <c r="T321" s="129" t="inlineStr">
        <is>
          <t>051-3-K-26, (04.03.2026) [FHM-K]</t>
        </is>
      </c>
      <c r="U321" s="130" t="inlineStr">
        <is>
          <t>✓</t>
        </is>
      </c>
      <c r="V321" s="141" t="n"/>
      <c r="W321" s="140" t="n"/>
      <c r="X321" s="142" t="n"/>
      <c r="Y321" s="131" t="inlineStr">
        <is>
          <t>not on this certificate</t>
        </is>
      </c>
      <c r="Z321" s="132" t="inlineStr">
        <is>
          <t>051-3-K-26, (04.03.2026) [FHM-K] · on file, not credited</t>
        </is>
      </c>
      <c r="AA321" s="133" t="inlineStr">
        <is>
          <t>•</t>
        </is>
      </c>
      <c r="AB321" s="141" t="n"/>
      <c r="AC321" s="140" t="n"/>
      <c r="AD321" s="140" t="n"/>
      <c r="AE321" s="140" t="n"/>
      <c r="AF321" s="140" t="n"/>
      <c r="AG321" s="142" t="n"/>
      <c r="AH321" s="141" t="n"/>
      <c r="AI321" s="140" t="n"/>
      <c r="AJ321" s="140" t="n"/>
      <c r="AK321" s="142" t="n"/>
      <c r="AL321" s="141" t="n"/>
      <c r="AM321" s="140" t="n"/>
      <c r="AN321" s="140" t="n"/>
      <c r="AO321" s="140" t="n"/>
      <c r="AP321" s="142" t="n"/>
      <c r="AQ321" s="141" t="n"/>
      <c r="AR321" s="140" t="n"/>
      <c r="AS321" s="142" t="n"/>
    </row>
    <row r="322" ht="21" customHeight="1" s="70">
      <c r="A322" s="143" t="n"/>
      <c r="B322" s="144" t="n"/>
      <c r="C322" s="144" t="n"/>
      <c r="D322" s="145" t="n"/>
      <c r="E322" s="146" t="n"/>
      <c r="F322" s="147" t="n"/>
      <c r="G322" s="145" t="n"/>
      <c r="H322" s="146" t="n"/>
      <c r="I322" s="147" t="n"/>
      <c r="J322" s="145" t="n"/>
      <c r="K322" s="146" t="n"/>
      <c r="L322" s="147" t="n"/>
      <c r="M322" s="145" t="n"/>
      <c r="N322" s="146" t="n"/>
      <c r="O322" s="147" t="n"/>
      <c r="P322" s="145" t="n"/>
      <c r="Q322" s="146" t="n"/>
      <c r="R322" s="147" t="n"/>
      <c r="S322" s="145" t="n"/>
      <c r="T322" s="146" t="n"/>
      <c r="U322" s="147" t="n"/>
      <c r="V322" s="145" t="n"/>
      <c r="W322" s="146" t="n"/>
      <c r="X322" s="147" t="n"/>
      <c r="Y322" s="145" t="n"/>
      <c r="Z322" s="146" t="n"/>
      <c r="AA322" s="147" t="n"/>
      <c r="AB322" s="145" t="n"/>
      <c r="AC322" s="146" t="n"/>
      <c r="AD322" s="146" t="n"/>
      <c r="AE322" s="146" t="n"/>
      <c r="AF322" s="146" t="n"/>
      <c r="AG322" s="147" t="n"/>
      <c r="AH322" s="145" t="n"/>
      <c r="AI322" s="146" t="n"/>
      <c r="AJ322" s="146" t="n"/>
      <c r="AK322" s="147" t="n"/>
      <c r="AL322" s="145" t="n"/>
      <c r="AM322" s="146" t="n"/>
      <c r="AN322" s="146" t="n"/>
      <c r="AO322" s="146" t="n"/>
      <c r="AP322" s="147" t="n"/>
      <c r="AQ322" s="145" t="n"/>
      <c r="AR322" s="146" t="n"/>
      <c r="AS322" s="147" t="n"/>
    </row>
    <row r="323" ht="21" customHeight="1" s="70">
      <c r="A323" s="125" t="inlineStr">
        <is>
          <t>SJ112501</t>
        </is>
      </c>
      <c r="B323" s="126" t="inlineStr">
        <is>
          <t>P060192</t>
        </is>
      </c>
      <c r="C323" s="155" t="inlineStr">
        <is>
          <t>✗ 4 NO RESULT
(4 no cert / 0 cert w/o result)
2 testing instances
• 2 document(s) on file, not credited</t>
        </is>
      </c>
      <c r="D323" s="128" t="inlineStr">
        <is>
          <t>Conforms</t>
        </is>
      </c>
      <c r="E323" s="129">
        <f>IFERROR(INDEX('iCoA Register'!$B:$B,MATCH("P060192|AB|I",'iCoA Register'!$R:$R,0)),"iCoA — at issue")&amp;", (31.03.2026) [PP]"</f>
        <v/>
      </c>
      <c r="F323" s="130" t="inlineStr">
        <is>
          <t>✓</t>
        </is>
      </c>
      <c r="G323" s="128" t="inlineStr">
        <is>
          <t>Conforms</t>
        </is>
      </c>
      <c r="H323" s="129">
        <f>IFERROR(INDEX('iCoA Register'!$B:$B,MATCH("P060192|AB|I",'iCoA Register'!$R:$R,0)),"iCoA — at issue")&amp;", (31.03.2026) [PP]"</f>
        <v/>
      </c>
      <c r="I323" s="130" t="inlineStr">
        <is>
          <t>✓</t>
        </is>
      </c>
      <c r="J323" s="131" t="inlineStr">
        <is>
          <t>not on this certificate</t>
        </is>
      </c>
      <c r="K323" s="132" t="inlineStr">
        <is>
          <t>051-2-LoD-26, (02.03.2026) [FHM-K] · on file, not credited</t>
        </is>
      </c>
      <c r="L323" s="133" t="inlineStr">
        <is>
          <t>•</t>
        </is>
      </c>
      <c r="M323" s="131" t="inlineStr">
        <is>
          <t>not on this certificate</t>
        </is>
      </c>
      <c r="N323" s="132" t="inlineStr">
        <is>
          <t>051-2-LoD-26, (02.03.2026) [FHM-K] · on file, not credited</t>
        </is>
      </c>
      <c r="O323" s="133" t="inlineStr">
        <is>
          <t>•</t>
        </is>
      </c>
      <c r="P323" s="131" t="inlineStr">
        <is>
          <t>not on this certificate</t>
        </is>
      </c>
      <c r="Q323" s="132" t="inlineStr">
        <is>
          <t>051-2-LoD-26, (02.03.2026) [FHM-K] · on file, not credited</t>
        </is>
      </c>
      <c r="R323" s="133" t="inlineStr">
        <is>
          <t>•</t>
        </is>
      </c>
      <c r="S323" s="131" t="inlineStr">
        <is>
          <t>not on this certificate</t>
        </is>
      </c>
      <c r="T323" s="132" t="inlineStr">
        <is>
          <t>051-2-LoD-26, (02.03.2026) [FHM-K] · on file, not credited</t>
        </is>
      </c>
      <c r="U323" s="133" t="inlineStr">
        <is>
          <t>•</t>
        </is>
      </c>
      <c r="V323" s="128" t="inlineStr">
        <is>
          <t>Conforms</t>
        </is>
      </c>
      <c r="W323" s="129">
        <f>IFERROR(INDEX('iCoA Register'!$B:$B,MATCH("P060192|FM|I",'iCoA Register'!$R:$R,0)),"iCoA — at issue")&amp;", (31.03.2026) [PP]"</f>
        <v/>
      </c>
      <c r="X323" s="130" t="inlineStr">
        <is>
          <t>✓</t>
        </is>
      </c>
      <c r="Y323" s="128" t="inlineStr">
        <is>
          <t>6.7</t>
        </is>
      </c>
      <c r="Z323" s="129" t="inlineStr">
        <is>
          <t>051-2-LoD-26, (02.03.2026) [FHM-K]</t>
        </is>
      </c>
      <c r="AA323" s="130" t="inlineStr">
        <is>
          <t>✓</t>
        </is>
      </c>
      <c r="AB323" s="150" t="inlineStr">
        <is>
          <t>— MISSING —</t>
        </is>
      </c>
      <c r="AC323" s="151" t="inlineStr">
        <is>
          <t>— MISSING —</t>
        </is>
      </c>
      <c r="AD323" s="151" t="inlineStr">
        <is>
          <t>— MISSING —</t>
        </is>
      </c>
      <c r="AE323" s="151" t="inlineStr">
        <is>
          <t>— MISSING —</t>
        </is>
      </c>
      <c r="AF323" s="151" t="inlineStr">
        <is>
          <t>— MISSING —</t>
        </is>
      </c>
      <c r="AG323" s="152" t="inlineStr">
        <is>
          <t>✗</t>
        </is>
      </c>
      <c r="AH323" s="150" t="inlineStr">
        <is>
          <t>— MISSING —</t>
        </is>
      </c>
      <c r="AI323" s="151" t="inlineStr">
        <is>
          <t>— MISSING —</t>
        </is>
      </c>
      <c r="AJ323" s="151" t="inlineStr">
        <is>
          <t>— MISSING —</t>
        </is>
      </c>
      <c r="AK323" s="152" t="inlineStr">
        <is>
          <t>✗</t>
        </is>
      </c>
      <c r="AL323" s="150" t="inlineStr">
        <is>
          <t>— MISSING —</t>
        </is>
      </c>
      <c r="AM323" s="151" t="inlineStr">
        <is>
          <t>— MISSING —</t>
        </is>
      </c>
      <c r="AN323" s="151" t="inlineStr">
        <is>
          <t>— MISSING —</t>
        </is>
      </c>
      <c r="AO323" s="151" t="inlineStr">
        <is>
          <t>— MISSING —</t>
        </is>
      </c>
      <c r="AP323" s="152" t="inlineStr">
        <is>
          <t>✗</t>
        </is>
      </c>
      <c r="AQ323" s="150" t="inlineStr">
        <is>
          <t>— MISSING —</t>
        </is>
      </c>
      <c r="AR323" s="153" t="inlineStr">
        <is>
          <t>— no certificate —</t>
        </is>
      </c>
      <c r="AS323" s="152" t="inlineStr">
        <is>
          <t>✗</t>
        </is>
      </c>
    </row>
    <row r="324" ht="21" customHeight="1" s="70">
      <c r="A324" s="135" t="n"/>
      <c r="D324" s="136" t="n"/>
      <c r="F324" s="137" t="n"/>
      <c r="G324" s="136" t="n"/>
      <c r="I324" s="137" t="n"/>
      <c r="J324" s="136" t="n"/>
      <c r="L324" s="137" t="n"/>
      <c r="M324" s="136" t="n"/>
      <c r="O324" s="137" t="n"/>
      <c r="P324" s="136" t="n"/>
      <c r="R324" s="137" t="n"/>
      <c r="S324" s="136" t="n"/>
      <c r="U324" s="137" t="n"/>
      <c r="V324" s="136" t="n"/>
      <c r="X324" s="137" t="n"/>
      <c r="Y324" s="136" t="n"/>
      <c r="AA324" s="137" t="n"/>
      <c r="AB324" s="156" t="inlineStr">
        <is>
          <t>— no certificate —</t>
        </is>
      </c>
      <c r="AG324" s="137" t="n"/>
      <c r="AH324" s="156" t="inlineStr">
        <is>
          <t>— no certificate —</t>
        </is>
      </c>
      <c r="AK324" s="137" t="n"/>
      <c r="AL324" s="156" t="inlineStr">
        <is>
          <t>— no certificate —</t>
        </is>
      </c>
      <c r="AP324" s="137" t="n"/>
      <c r="AQ324" s="136" t="n"/>
      <c r="AS324" s="137" t="n"/>
    </row>
    <row r="325" ht="14" customHeight="1" s="70">
      <c r="A325" s="139" t="n"/>
      <c r="B325" s="140" t="n"/>
      <c r="D325" s="141" t="n"/>
      <c r="E325" s="140" t="n"/>
      <c r="F325" s="142" t="n"/>
      <c r="G325" s="141" t="n"/>
      <c r="H325" s="140" t="n"/>
      <c r="I325" s="142" t="n"/>
      <c r="J325" s="128" t="inlineStr">
        <is>
          <t>Conforms (ImB spec.) ᴿ</t>
        </is>
      </c>
      <c r="K325" s="129" t="inlineStr">
        <is>
          <t>051-2-K-26, (04.03.2026) [FHM-K]</t>
        </is>
      </c>
      <c r="L325" s="130" t="inlineStr">
        <is>
          <t>✓</t>
        </is>
      </c>
      <c r="M325" s="128" t="inlineStr">
        <is>
          <t>9.20</t>
        </is>
      </c>
      <c r="N325" s="129" t="inlineStr">
        <is>
          <t>051-2-K-26, (04.03.2026) [FHM-K]</t>
        </is>
      </c>
      <c r="O325" s="130" t="inlineStr">
        <is>
          <t>✓</t>
        </is>
      </c>
      <c r="P325" s="128" t="inlineStr">
        <is>
          <t>&lt;LOQ**</t>
        </is>
      </c>
      <c r="Q325" s="129" t="inlineStr">
        <is>
          <t>051-2-K-26, (04.03.2026) [FHM-K]</t>
        </is>
      </c>
      <c r="R325" s="130" t="inlineStr">
        <is>
          <t>✓</t>
        </is>
      </c>
      <c r="S325" s="128" t="inlineStr">
        <is>
          <t>&lt;LOQ**</t>
        </is>
      </c>
      <c r="T325" s="129" t="inlineStr">
        <is>
          <t>051-2-K-26, (04.03.2026) [FHM-K]</t>
        </is>
      </c>
      <c r="U325" s="130" t="inlineStr">
        <is>
          <t>✓</t>
        </is>
      </c>
      <c r="V325" s="141" t="n"/>
      <c r="W325" s="140" t="n"/>
      <c r="X325" s="142" t="n"/>
      <c r="Y325" s="131" t="inlineStr">
        <is>
          <t>not on this certificate</t>
        </is>
      </c>
      <c r="Z325" s="132" t="inlineStr">
        <is>
          <t>051-2-K-26, (04.03.2026) [FHM-K] · on file, not credited</t>
        </is>
      </c>
      <c r="AA325" s="133" t="inlineStr">
        <is>
          <t>•</t>
        </is>
      </c>
      <c r="AB325" s="141" t="n"/>
      <c r="AC325" s="140" t="n"/>
      <c r="AD325" s="140" t="n"/>
      <c r="AE325" s="140" t="n"/>
      <c r="AF325" s="140" t="n"/>
      <c r="AG325" s="142" t="n"/>
      <c r="AH325" s="141" t="n"/>
      <c r="AI325" s="140" t="n"/>
      <c r="AJ325" s="140" t="n"/>
      <c r="AK325" s="142" t="n"/>
      <c r="AL325" s="141" t="n"/>
      <c r="AM325" s="140" t="n"/>
      <c r="AN325" s="140" t="n"/>
      <c r="AO325" s="140" t="n"/>
      <c r="AP325" s="142" t="n"/>
      <c r="AQ325" s="141" t="n"/>
      <c r="AR325" s="140" t="n"/>
      <c r="AS325" s="142" t="n"/>
    </row>
    <row r="326" ht="21" customHeight="1" s="70">
      <c r="A326" s="143" t="n"/>
      <c r="B326" s="144" t="n"/>
      <c r="C326" s="144" t="n"/>
      <c r="D326" s="145" t="n"/>
      <c r="E326" s="146" t="n"/>
      <c r="F326" s="147" t="n"/>
      <c r="G326" s="145" t="n"/>
      <c r="H326" s="146" t="n"/>
      <c r="I326" s="147" t="n"/>
      <c r="J326" s="145" t="n"/>
      <c r="K326" s="146" t="n"/>
      <c r="L326" s="147" t="n"/>
      <c r="M326" s="145" t="n"/>
      <c r="N326" s="146" t="n"/>
      <c r="O326" s="147" t="n"/>
      <c r="P326" s="145" t="n"/>
      <c r="Q326" s="146" t="n"/>
      <c r="R326" s="147" t="n"/>
      <c r="S326" s="145" t="n"/>
      <c r="T326" s="146" t="n"/>
      <c r="U326" s="147" t="n"/>
      <c r="V326" s="145" t="n"/>
      <c r="W326" s="146" t="n"/>
      <c r="X326" s="147" t="n"/>
      <c r="Y326" s="145" t="n"/>
      <c r="Z326" s="146" t="n"/>
      <c r="AA326" s="147" t="n"/>
      <c r="AB326" s="145" t="n"/>
      <c r="AC326" s="146" t="n"/>
      <c r="AD326" s="146" t="n"/>
      <c r="AE326" s="146" t="n"/>
      <c r="AF326" s="146" t="n"/>
      <c r="AG326" s="147" t="n"/>
      <c r="AH326" s="145" t="n"/>
      <c r="AI326" s="146" t="n"/>
      <c r="AJ326" s="146" t="n"/>
      <c r="AK326" s="147" t="n"/>
      <c r="AL326" s="145" t="n"/>
      <c r="AM326" s="146" t="n"/>
      <c r="AN326" s="146" t="n"/>
      <c r="AO326" s="146" t="n"/>
      <c r="AP326" s="147" t="n"/>
      <c r="AQ326" s="145" t="n"/>
      <c r="AR326" s="146" t="n"/>
      <c r="AS326" s="147" t="n"/>
    </row>
    <row r="327" ht="21" customHeight="1" s="70">
      <c r="A327" s="125" t="inlineStr">
        <is>
          <t>— not recorded —</t>
        </is>
      </c>
      <c r="B327" s="126" t="inlineStr">
        <is>
          <t>P050142</t>
        </is>
      </c>
      <c r="C327" s="155" t="inlineStr">
        <is>
          <t>✗ 8 NO RESULT
(8 no cert / 0 cert w/o result)</t>
        </is>
      </c>
      <c r="D327" s="128" t="inlineStr">
        <is>
          <t>Conforms</t>
        </is>
      </c>
      <c r="E327" s="129">
        <f>IFERROR(INDEX('iCoA Register'!$B:$B,MATCH("P050142|AB|I",'iCoA Register'!$R:$R,0)),"iCoA — at issue")&amp;", (30.09.2025) [PP]"</f>
        <v/>
      </c>
      <c r="F327" s="130" t="inlineStr">
        <is>
          <t>✓</t>
        </is>
      </c>
      <c r="G327" s="128" t="inlineStr">
        <is>
          <t>Conforms</t>
        </is>
      </c>
      <c r="H327" s="129">
        <f>IFERROR(INDEX('iCoA Register'!$B:$B,MATCH("P050142|AB|I",'iCoA Register'!$R:$R,0)),"iCoA — at issue")&amp;", (30.09.2025) [PP]"</f>
        <v/>
      </c>
      <c r="I327" s="130" t="inlineStr">
        <is>
          <t>✓</t>
        </is>
      </c>
      <c r="J327" s="150" t="inlineStr">
        <is>
          <t>— MISSING —</t>
        </is>
      </c>
      <c r="K327" s="153" t="inlineStr">
        <is>
          <t>— no certificate —</t>
        </is>
      </c>
      <c r="L327" s="152" t="inlineStr">
        <is>
          <t>✗</t>
        </is>
      </c>
      <c r="M327" s="150" t="inlineStr">
        <is>
          <t>— MISSING —</t>
        </is>
      </c>
      <c r="N327" s="153" t="inlineStr">
        <is>
          <t>— no certificate —</t>
        </is>
      </c>
      <c r="O327" s="152" t="inlineStr">
        <is>
          <t>✗</t>
        </is>
      </c>
      <c r="P327" s="150" t="inlineStr">
        <is>
          <t>— MISSING —</t>
        </is>
      </c>
      <c r="Q327" s="153" t="inlineStr">
        <is>
          <t>— no certificate —</t>
        </is>
      </c>
      <c r="R327" s="152" t="inlineStr">
        <is>
          <t>✗</t>
        </is>
      </c>
      <c r="S327" s="150" t="inlineStr">
        <is>
          <t>— MISSING —</t>
        </is>
      </c>
      <c r="T327" s="153" t="inlineStr">
        <is>
          <t>— no certificate —</t>
        </is>
      </c>
      <c r="U327" s="152" t="inlineStr">
        <is>
          <t>✗</t>
        </is>
      </c>
      <c r="V327" s="128" t="inlineStr">
        <is>
          <t>Conforms</t>
        </is>
      </c>
      <c r="W327" s="129">
        <f>IFERROR(INDEX('iCoA Register'!$B:$B,MATCH("P050142|FM|I",'iCoA Register'!$R:$R,0)),"iCoA — at issue")&amp;", (30.09.2025) [PP]"</f>
        <v/>
      </c>
      <c r="X327" s="130" t="inlineStr">
        <is>
          <t>✓</t>
        </is>
      </c>
      <c r="Y327" s="150" t="inlineStr">
        <is>
          <t>— MISSING —</t>
        </is>
      </c>
      <c r="Z327" s="153" t="inlineStr">
        <is>
          <t>— no certificate —</t>
        </is>
      </c>
      <c r="AA327" s="152" t="inlineStr">
        <is>
          <t>✗</t>
        </is>
      </c>
      <c r="AB327" s="128" t="inlineStr">
        <is>
          <t>&lt;10</t>
        </is>
      </c>
      <c r="AC327" s="134" t="inlineStr">
        <is>
          <t>&lt;10</t>
        </is>
      </c>
      <c r="AD327" s="134" t="inlineStr">
        <is>
          <t>&lt;10</t>
        </is>
      </c>
      <c r="AE327" s="134" t="inlineStr">
        <is>
          <t>absent</t>
        </is>
      </c>
      <c r="AF327" s="134" t="inlineStr">
        <is>
          <t>absent</t>
        </is>
      </c>
      <c r="AG327" s="130" t="inlineStr">
        <is>
          <t>✓</t>
        </is>
      </c>
      <c r="AH327" s="150" t="inlineStr">
        <is>
          <t>— MISSING —</t>
        </is>
      </c>
      <c r="AI327" s="151" t="inlineStr">
        <is>
          <t>— MISSING —</t>
        </is>
      </c>
      <c r="AJ327" s="151" t="inlineStr">
        <is>
          <t>— MISSING —</t>
        </is>
      </c>
      <c r="AK327" s="152" t="inlineStr">
        <is>
          <t>✗</t>
        </is>
      </c>
      <c r="AL327" s="150" t="inlineStr">
        <is>
          <t>— MISSING —</t>
        </is>
      </c>
      <c r="AM327" s="151" t="inlineStr">
        <is>
          <t>— MISSING —</t>
        </is>
      </c>
      <c r="AN327" s="151" t="inlineStr">
        <is>
          <t>— MISSING —</t>
        </is>
      </c>
      <c r="AO327" s="151" t="inlineStr">
        <is>
          <t>— MISSING —</t>
        </is>
      </c>
      <c r="AP327" s="152" t="inlineStr">
        <is>
          <t>✗</t>
        </is>
      </c>
      <c r="AQ327" s="150" t="inlineStr">
        <is>
          <t>— MISSING —</t>
        </is>
      </c>
      <c r="AR327" s="153" t="inlineStr">
        <is>
          <t>— no certificate —</t>
        </is>
      </c>
      <c r="AS327" s="152" t="inlineStr">
        <is>
          <t>✗</t>
        </is>
      </c>
    </row>
    <row r="328" ht="13" customHeight="1" s="70">
      <c r="A328" s="143" t="n"/>
      <c r="B328" s="144" t="n"/>
      <c r="C328" s="144" t="n"/>
      <c r="D328" s="145" t="n"/>
      <c r="E328" s="146" t="n"/>
      <c r="F328" s="147" t="n"/>
      <c r="G328" s="145" t="n"/>
      <c r="H328" s="146" t="n"/>
      <c r="I328" s="147" t="n"/>
      <c r="J328" s="145" t="n"/>
      <c r="K328" s="146" t="n"/>
      <c r="L328" s="147" t="n"/>
      <c r="M328" s="145" t="n"/>
      <c r="N328" s="146" t="n"/>
      <c r="O328" s="147" t="n"/>
      <c r="P328" s="145" t="n"/>
      <c r="Q328" s="146" t="n"/>
      <c r="R328" s="147" t="n"/>
      <c r="S328" s="145" t="n"/>
      <c r="T328" s="146" t="n"/>
      <c r="U328" s="147" t="n"/>
      <c r="V328" s="145" t="n"/>
      <c r="W328" s="146" t="n"/>
      <c r="X328" s="147" t="n"/>
      <c r="Y328" s="145" t="n"/>
      <c r="Z328" s="146" t="n"/>
      <c r="AA328" s="147" t="n"/>
      <c r="AB328" s="148" t="inlineStr">
        <is>
          <t>559-1090-26, (01.09.2026) [IJZ-MB]</t>
        </is>
      </c>
      <c r="AC328" s="146" t="n"/>
      <c r="AD328" s="146" t="n"/>
      <c r="AE328" s="146" t="n"/>
      <c r="AF328" s="146" t="n"/>
      <c r="AG328" s="147" t="n"/>
      <c r="AH328" s="154" t="inlineStr">
        <is>
          <t>— no certificate —</t>
        </is>
      </c>
      <c r="AI328" s="146" t="n"/>
      <c r="AJ328" s="146" t="n"/>
      <c r="AK328" s="147" t="n"/>
      <c r="AL328" s="154" t="inlineStr">
        <is>
          <t>— no certificate —</t>
        </is>
      </c>
      <c r="AM328" s="146" t="n"/>
      <c r="AN328" s="146" t="n"/>
      <c r="AO328" s="146" t="n"/>
      <c r="AP328" s="147" t="n"/>
      <c r="AQ328" s="145" t="n"/>
      <c r="AR328" s="146" t="n"/>
      <c r="AS328" s="147" t="n"/>
    </row>
    <row r="329" ht="21" customHeight="1" s="70">
      <c r="A329" s="125" t="inlineStr">
        <is>
          <t>— not recorded —</t>
        </is>
      </c>
      <c r="B329" s="126" t="inlineStr">
        <is>
          <t>P060102</t>
        </is>
      </c>
      <c r="C329" s="155" t="inlineStr">
        <is>
          <t>✗ 8 NO RESULT
(8 no cert / 0 cert w/o result)</t>
        </is>
      </c>
      <c r="D329" s="128" t="inlineStr">
        <is>
          <t>Conforms</t>
        </is>
      </c>
      <c r="E329" s="129">
        <f>IFERROR(INDEX('iCoA Register'!$B:$B,MATCH("P060102|AB|I",'iCoA Register'!$R:$R,0)),"iCoA — at issue")&amp;", (16.02.2026) [PP]"</f>
        <v/>
      </c>
      <c r="F329" s="130" t="inlineStr">
        <is>
          <t>✓</t>
        </is>
      </c>
      <c r="G329" s="128" t="inlineStr">
        <is>
          <t>Conforms</t>
        </is>
      </c>
      <c r="H329" s="129">
        <f>IFERROR(INDEX('iCoA Register'!$B:$B,MATCH("P060102|AB|I",'iCoA Register'!$R:$R,0)),"iCoA — at issue")&amp;", (16.02.2026) [PP]"</f>
        <v/>
      </c>
      <c r="I329" s="130" t="inlineStr">
        <is>
          <t>✓</t>
        </is>
      </c>
      <c r="J329" s="150" t="inlineStr">
        <is>
          <t>— MISSING —</t>
        </is>
      </c>
      <c r="K329" s="153" t="inlineStr">
        <is>
          <t>— no certificate —</t>
        </is>
      </c>
      <c r="L329" s="152" t="inlineStr">
        <is>
          <t>✗</t>
        </is>
      </c>
      <c r="M329" s="150" t="inlineStr">
        <is>
          <t>— MISSING —</t>
        </is>
      </c>
      <c r="N329" s="153" t="inlineStr">
        <is>
          <t>— no certificate —</t>
        </is>
      </c>
      <c r="O329" s="152" t="inlineStr">
        <is>
          <t>✗</t>
        </is>
      </c>
      <c r="P329" s="150" t="inlineStr">
        <is>
          <t>— MISSING —</t>
        </is>
      </c>
      <c r="Q329" s="153" t="inlineStr">
        <is>
          <t>— no certificate —</t>
        </is>
      </c>
      <c r="R329" s="152" t="inlineStr">
        <is>
          <t>✗</t>
        </is>
      </c>
      <c r="S329" s="150" t="inlineStr">
        <is>
          <t>— MISSING —</t>
        </is>
      </c>
      <c r="T329" s="153" t="inlineStr">
        <is>
          <t>— no certificate —</t>
        </is>
      </c>
      <c r="U329" s="152" t="inlineStr">
        <is>
          <t>✗</t>
        </is>
      </c>
      <c r="V329" s="128" t="inlineStr">
        <is>
          <t>Conforms</t>
        </is>
      </c>
      <c r="W329" s="129">
        <f>IFERROR(INDEX('iCoA Register'!$B:$B,MATCH("P060102|FM|I",'iCoA Register'!$R:$R,0)),"iCoA — at issue")&amp;", (16.02.2026) [PP]"</f>
        <v/>
      </c>
      <c r="X329" s="130" t="inlineStr">
        <is>
          <t>✓</t>
        </is>
      </c>
      <c r="Y329" s="150" t="inlineStr">
        <is>
          <t>— MISSING —</t>
        </is>
      </c>
      <c r="Z329" s="153" t="inlineStr">
        <is>
          <t>— no certificate —</t>
        </is>
      </c>
      <c r="AA329" s="152" t="inlineStr">
        <is>
          <t>✗</t>
        </is>
      </c>
      <c r="AB329" s="128" t="inlineStr">
        <is>
          <t>&lt;10</t>
        </is>
      </c>
      <c r="AC329" s="134" t="inlineStr">
        <is>
          <t>&lt;10</t>
        </is>
      </c>
      <c r="AD329" s="134" t="inlineStr">
        <is>
          <t>&lt;10</t>
        </is>
      </c>
      <c r="AE329" s="134" t="inlineStr">
        <is>
          <t>absent</t>
        </is>
      </c>
      <c r="AF329" s="134" t="inlineStr">
        <is>
          <t>absent</t>
        </is>
      </c>
      <c r="AG329" s="130" t="inlineStr">
        <is>
          <t>✓</t>
        </is>
      </c>
      <c r="AH329" s="150" t="inlineStr">
        <is>
          <t>— MISSING —</t>
        </is>
      </c>
      <c r="AI329" s="151" t="inlineStr">
        <is>
          <t>— MISSING —</t>
        </is>
      </c>
      <c r="AJ329" s="151" t="inlineStr">
        <is>
          <t>— MISSING —</t>
        </is>
      </c>
      <c r="AK329" s="152" t="inlineStr">
        <is>
          <t>✗</t>
        </is>
      </c>
      <c r="AL329" s="150" t="inlineStr">
        <is>
          <t>— MISSING —</t>
        </is>
      </c>
      <c r="AM329" s="151" t="inlineStr">
        <is>
          <t>— MISSING —</t>
        </is>
      </c>
      <c r="AN329" s="151" t="inlineStr">
        <is>
          <t>— MISSING —</t>
        </is>
      </c>
      <c r="AO329" s="151" t="inlineStr">
        <is>
          <t>— MISSING —</t>
        </is>
      </c>
      <c r="AP329" s="152" t="inlineStr">
        <is>
          <t>✗</t>
        </is>
      </c>
      <c r="AQ329" s="150" t="inlineStr">
        <is>
          <t>— MISSING —</t>
        </is>
      </c>
      <c r="AR329" s="153" t="inlineStr">
        <is>
          <t>— no certificate —</t>
        </is>
      </c>
      <c r="AS329" s="152" t="inlineStr">
        <is>
          <t>✗</t>
        </is>
      </c>
    </row>
    <row r="330" ht="13" customHeight="1" s="70">
      <c r="A330" s="143" t="n"/>
      <c r="B330" s="144" t="n"/>
      <c r="C330" s="144" t="n"/>
      <c r="D330" s="145" t="n"/>
      <c r="E330" s="146" t="n"/>
      <c r="F330" s="147" t="n"/>
      <c r="G330" s="145" t="n"/>
      <c r="H330" s="146" t="n"/>
      <c r="I330" s="147" t="n"/>
      <c r="J330" s="145" t="n"/>
      <c r="K330" s="146" t="n"/>
      <c r="L330" s="147" t="n"/>
      <c r="M330" s="145" t="n"/>
      <c r="N330" s="146" t="n"/>
      <c r="O330" s="147" t="n"/>
      <c r="P330" s="145" t="n"/>
      <c r="Q330" s="146" t="n"/>
      <c r="R330" s="147" t="n"/>
      <c r="S330" s="145" t="n"/>
      <c r="T330" s="146" t="n"/>
      <c r="U330" s="147" t="n"/>
      <c r="V330" s="145" t="n"/>
      <c r="W330" s="146" t="n"/>
      <c r="X330" s="147" t="n"/>
      <c r="Y330" s="145" t="n"/>
      <c r="Z330" s="146" t="n"/>
      <c r="AA330" s="147" t="n"/>
      <c r="AB330" s="148" t="inlineStr">
        <is>
          <t>551-1082-26, (01.09.2026) [IJZ-MB]</t>
        </is>
      </c>
      <c r="AC330" s="146" t="n"/>
      <c r="AD330" s="146" t="n"/>
      <c r="AE330" s="146" t="n"/>
      <c r="AF330" s="146" t="n"/>
      <c r="AG330" s="147" t="n"/>
      <c r="AH330" s="154" t="inlineStr">
        <is>
          <t>— no certificate —</t>
        </is>
      </c>
      <c r="AI330" s="146" t="n"/>
      <c r="AJ330" s="146" t="n"/>
      <c r="AK330" s="147" t="n"/>
      <c r="AL330" s="154" t="inlineStr">
        <is>
          <t>— no certificate —</t>
        </is>
      </c>
      <c r="AM330" s="146" t="n"/>
      <c r="AN330" s="146" t="n"/>
      <c r="AO330" s="146" t="n"/>
      <c r="AP330" s="147" t="n"/>
      <c r="AQ330" s="145" t="n"/>
      <c r="AR330" s="146" t="n"/>
      <c r="AS330" s="147" t="n"/>
    </row>
    <row r="331" ht="21" customHeight="1" s="70">
      <c r="A331" s="125" t="inlineStr">
        <is>
          <t>— not recorded —</t>
        </is>
      </c>
      <c r="B331" s="126" t="inlineStr">
        <is>
          <t>P060342</t>
        </is>
      </c>
      <c r="C331" s="155" t="inlineStr">
        <is>
          <t>✗ 8 NO RESULT
(8 no cert / 0 cert w/o result)</t>
        </is>
      </c>
      <c r="D331" s="128" t="inlineStr">
        <is>
          <t>Conforms</t>
        </is>
      </c>
      <c r="E331" s="129">
        <f>IFERROR(INDEX('iCoA Register'!$B:$B,MATCH("P060342|AB|I",'iCoA Register'!$R:$R,0)),"iCoA — at issue")&amp;", (25.05.2026) [PP]"</f>
        <v/>
      </c>
      <c r="F331" s="130" t="inlineStr">
        <is>
          <t>✓</t>
        </is>
      </c>
      <c r="G331" s="128" t="inlineStr">
        <is>
          <t>Conforms</t>
        </is>
      </c>
      <c r="H331" s="129">
        <f>IFERROR(INDEX('iCoA Register'!$B:$B,MATCH("P060342|AB|I",'iCoA Register'!$R:$R,0)),"iCoA — at issue")&amp;", (25.05.2026) [PP]"</f>
        <v/>
      </c>
      <c r="I331" s="130" t="inlineStr">
        <is>
          <t>✓</t>
        </is>
      </c>
      <c r="J331" s="150" t="inlineStr">
        <is>
          <t>— MISSING —</t>
        </is>
      </c>
      <c r="K331" s="153" t="inlineStr">
        <is>
          <t>— no certificate —</t>
        </is>
      </c>
      <c r="L331" s="152" t="inlineStr">
        <is>
          <t>✗</t>
        </is>
      </c>
      <c r="M331" s="150" t="inlineStr">
        <is>
          <t>— MISSING —</t>
        </is>
      </c>
      <c r="N331" s="153" t="inlineStr">
        <is>
          <t>— no certificate —</t>
        </is>
      </c>
      <c r="O331" s="152" t="inlineStr">
        <is>
          <t>✗</t>
        </is>
      </c>
      <c r="P331" s="150" t="inlineStr">
        <is>
          <t>— MISSING —</t>
        </is>
      </c>
      <c r="Q331" s="153" t="inlineStr">
        <is>
          <t>— no certificate —</t>
        </is>
      </c>
      <c r="R331" s="152" t="inlineStr">
        <is>
          <t>✗</t>
        </is>
      </c>
      <c r="S331" s="150" t="inlineStr">
        <is>
          <t>— MISSING —</t>
        </is>
      </c>
      <c r="T331" s="153" t="inlineStr">
        <is>
          <t>— no certificate —</t>
        </is>
      </c>
      <c r="U331" s="152" t="inlineStr">
        <is>
          <t>✗</t>
        </is>
      </c>
      <c r="V331" s="128" t="inlineStr">
        <is>
          <t>Conforms</t>
        </is>
      </c>
      <c r="W331" s="129">
        <f>IFERROR(INDEX('iCoA Register'!$B:$B,MATCH("P060342|FM|I",'iCoA Register'!$R:$R,0)),"iCoA — at issue")&amp;", (25.05.2026) [PP]"</f>
        <v/>
      </c>
      <c r="X331" s="130" t="inlineStr">
        <is>
          <t>✓</t>
        </is>
      </c>
      <c r="Y331" s="150" t="inlineStr">
        <is>
          <t>— MISSING —</t>
        </is>
      </c>
      <c r="Z331" s="153" t="inlineStr">
        <is>
          <t>— no certificate —</t>
        </is>
      </c>
      <c r="AA331" s="152" t="inlineStr">
        <is>
          <t>✗</t>
        </is>
      </c>
      <c r="AB331" s="128" t="inlineStr">
        <is>
          <t>8.3×10³</t>
        </is>
      </c>
      <c r="AC331" s="134" t="inlineStr">
        <is>
          <t>5.3×10³</t>
        </is>
      </c>
      <c r="AD331" s="134" t="inlineStr">
        <is>
          <t>&lt;10</t>
        </is>
      </c>
      <c r="AE331" s="134" t="inlineStr">
        <is>
          <t>absent</t>
        </is>
      </c>
      <c r="AF331" s="134" t="inlineStr">
        <is>
          <t>absent</t>
        </is>
      </c>
      <c r="AG331" s="130" t="inlineStr">
        <is>
          <t>✓</t>
        </is>
      </c>
      <c r="AH331" s="150" t="inlineStr">
        <is>
          <t>— MISSING —</t>
        </is>
      </c>
      <c r="AI331" s="151" t="inlineStr">
        <is>
          <t>— MISSING —</t>
        </is>
      </c>
      <c r="AJ331" s="151" t="inlineStr">
        <is>
          <t>— MISSING —</t>
        </is>
      </c>
      <c r="AK331" s="152" t="inlineStr">
        <is>
          <t>✗</t>
        </is>
      </c>
      <c r="AL331" s="150" t="inlineStr">
        <is>
          <t>— MISSING —</t>
        </is>
      </c>
      <c r="AM331" s="151" t="inlineStr">
        <is>
          <t>— MISSING —</t>
        </is>
      </c>
      <c r="AN331" s="151" t="inlineStr">
        <is>
          <t>— MISSING —</t>
        </is>
      </c>
      <c r="AO331" s="151" t="inlineStr">
        <is>
          <t>— MISSING —</t>
        </is>
      </c>
      <c r="AP331" s="152" t="inlineStr">
        <is>
          <t>✗</t>
        </is>
      </c>
      <c r="AQ331" s="150" t="inlineStr">
        <is>
          <t>— MISSING —</t>
        </is>
      </c>
      <c r="AR331" s="153" t="inlineStr">
        <is>
          <t>— no certificate —</t>
        </is>
      </c>
      <c r="AS331" s="152" t="inlineStr">
        <is>
          <t>✗</t>
        </is>
      </c>
    </row>
    <row r="332" ht="13" customHeight="1" s="70">
      <c r="A332" s="143" t="n"/>
      <c r="B332" s="144" t="n"/>
      <c r="C332" s="144" t="n"/>
      <c r="D332" s="145" t="n"/>
      <c r="E332" s="146" t="n"/>
      <c r="F332" s="147" t="n"/>
      <c r="G332" s="145" t="n"/>
      <c r="H332" s="146" t="n"/>
      <c r="I332" s="147" t="n"/>
      <c r="J332" s="145" t="n"/>
      <c r="K332" s="146" t="n"/>
      <c r="L332" s="147" t="n"/>
      <c r="M332" s="145" t="n"/>
      <c r="N332" s="146" t="n"/>
      <c r="O332" s="147" t="n"/>
      <c r="P332" s="145" t="n"/>
      <c r="Q332" s="146" t="n"/>
      <c r="R332" s="147" t="n"/>
      <c r="S332" s="145" t="n"/>
      <c r="T332" s="146" t="n"/>
      <c r="U332" s="147" t="n"/>
      <c r="V332" s="145" t="n"/>
      <c r="W332" s="146" t="n"/>
      <c r="X332" s="147" t="n"/>
      <c r="Y332" s="145" t="n"/>
      <c r="Z332" s="146" t="n"/>
      <c r="AA332" s="147" t="n"/>
      <c r="AB332" s="148" t="inlineStr">
        <is>
          <t>539-1070-26, (31.08.2026) [IJZ-MB]</t>
        </is>
      </c>
      <c r="AC332" s="146" t="n"/>
      <c r="AD332" s="146" t="n"/>
      <c r="AE332" s="146" t="n"/>
      <c r="AF332" s="146" t="n"/>
      <c r="AG332" s="147" t="n"/>
      <c r="AH332" s="154" t="inlineStr">
        <is>
          <t>— no certificate —</t>
        </is>
      </c>
      <c r="AI332" s="146" t="n"/>
      <c r="AJ332" s="146" t="n"/>
      <c r="AK332" s="147" t="n"/>
      <c r="AL332" s="154" t="inlineStr">
        <is>
          <t>— no certificate —</t>
        </is>
      </c>
      <c r="AM332" s="146" t="n"/>
      <c r="AN332" s="146" t="n"/>
      <c r="AO332" s="146" t="n"/>
      <c r="AP332" s="147" t="n"/>
      <c r="AQ332" s="145" t="n"/>
      <c r="AR332" s="146" t="n"/>
      <c r="AS332" s="147" t="n"/>
    </row>
    <row r="334" ht="62" customHeight="1" s="70">
      <c r="A334"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19" t="inlineStr">
        <is>
          <t>BATCH IDENTIFICATION</t>
        </is>
      </c>
      <c r="B1" s="120" t="n"/>
      <c r="C1" s="121" t="n"/>
      <c r="D1" s="119" t="inlineStr">
        <is>
          <t>PHYSICAL  7–8</t>
        </is>
      </c>
      <c r="E1" s="120" t="n"/>
      <c r="F1" s="120" t="n"/>
      <c r="G1" s="120" t="n"/>
      <c r="H1" s="120" t="n"/>
      <c r="I1" s="121" t="n"/>
      <c r="J1" s="119" t="inlineStr">
        <is>
          <t>MICROBIOLOGY  9</t>
        </is>
      </c>
      <c r="K1" s="120" t="n"/>
      <c r="L1" s="120" t="n"/>
      <c r="M1" s="120" t="n"/>
      <c r="N1" s="120" t="n"/>
      <c r="O1" s="121" t="n"/>
      <c r="P1" s="119" t="inlineStr">
        <is>
          <t>CONTAMINANTS  10–12</t>
        </is>
      </c>
      <c r="Q1" s="120" t="n"/>
      <c r="R1" s="120" t="n"/>
      <c r="S1" s="120" t="n"/>
      <c r="T1" s="120" t="n"/>
      <c r="U1" s="120" t="n"/>
      <c r="V1" s="120" t="n"/>
      <c r="W1" s="120" t="n"/>
      <c r="X1" s="120" t="n"/>
      <c r="Y1" s="120" t="n"/>
      <c r="Z1" s="120" t="n"/>
      <c r="AA1" s="121" t="n"/>
    </row>
    <row r="2" ht="30" customHeight="1" s="70">
      <c r="A2" s="122" t="inlineStr">
        <is>
          <t>CU Batch</t>
        </is>
      </c>
      <c r="B2" s="122" t="inlineStr">
        <is>
          <t>P Batch</t>
        </is>
      </c>
      <c r="C2" s="122" t="inlineStr">
        <is>
          <t>STATUS</t>
        </is>
      </c>
      <c r="D2" s="119" t="inlineStr">
        <is>
          <t>#7 Foreign Matter
Ph. Eur. 2.8.2 / in-house</t>
        </is>
      </c>
      <c r="E2" s="120" t="n"/>
      <c r="F2" s="121" t="n"/>
      <c r="G2" s="119" t="inlineStr">
        <is>
          <t>#8 Loss on Drying
Ph. Eur. 2.2.32 · 40 °C, 24 h, 15–25 mbar</t>
        </is>
      </c>
      <c r="H2" s="120" t="n"/>
      <c r="I2" s="121" t="n"/>
      <c r="J2" s="119" t="inlineStr">
        <is>
          <t>#9 Microbiological Purity
Ph. Eur. 2.6.12 / 2.6.13 / 2.6.31 · cat. C</t>
        </is>
      </c>
      <c r="K2" s="120" t="n"/>
      <c r="L2" s="120" t="n"/>
      <c r="M2" s="120" t="n"/>
      <c r="N2" s="120" t="n"/>
      <c r="O2" s="121" t="n"/>
      <c r="P2" s="119" t="inlineStr">
        <is>
          <t>#10 Mycotoxins
Ph. Eur. 2.8.18 / 2.8.22 (HPLC-FLD)</t>
        </is>
      </c>
      <c r="Q2" s="120" t="n"/>
      <c r="R2" s="120" t="n"/>
      <c r="S2" s="121" t="n"/>
      <c r="T2" s="119" t="inlineStr">
        <is>
          <t>#11 Heavy Metals
Ph. Eur. 2.4.27 (ICP-MS)</t>
        </is>
      </c>
      <c r="U2" s="120" t="n"/>
      <c r="V2" s="120" t="n"/>
      <c r="W2" s="120" t="n"/>
      <c r="X2" s="121" t="n"/>
      <c r="Y2" s="119" t="inlineStr">
        <is>
          <t>#12 Pesticide Residues
Ph. Eur. 2.8.13 (LC-MS/MS) · CUMCS equivalency</t>
        </is>
      </c>
      <c r="Z2" s="120" t="n"/>
      <c r="AA2" s="121" t="n"/>
    </row>
    <row r="3" ht="26" customHeight="1" s="70">
      <c r="A3" s="173" t="n"/>
      <c r="B3" s="173" t="n"/>
      <c r="C3" s="173" t="n"/>
      <c r="D3" s="123" t="inlineStr">
        <is>
          <t>A.C.: ≤ 2.0 % (25–50 g); leaves &lt; 1 cm; no seeds</t>
        </is>
      </c>
      <c r="E3" s="121" t="n"/>
      <c r="F3" s="123" t="inlineStr"/>
      <c r="G3" s="123" t="inlineStr">
        <is>
          <t>A.C.: ≤ 12.0 %</t>
        </is>
      </c>
      <c r="H3" s="121" t="n"/>
      <c r="I3" s="123" t="inlineStr"/>
      <c r="J3" s="123" t="inlineStr">
        <is>
          <t>A.C.: ≤ 10⁵ CFU/g</t>
        </is>
      </c>
      <c r="K3" s="123" t="inlineStr">
        <is>
          <t>A.C.: ≤ 10⁴ CFU/g</t>
        </is>
      </c>
      <c r="L3" s="123" t="inlineStr">
        <is>
          <t>A.C.: ≤ 10⁴ CFU/g</t>
        </is>
      </c>
      <c r="M3" s="123" t="inlineStr">
        <is>
          <t>A.C.: Absence / 25 g</t>
        </is>
      </c>
      <c r="N3" s="123" t="inlineStr">
        <is>
          <t>A.C.: Absence / 1 g</t>
        </is>
      </c>
      <c r="O3" s="123" t="inlineStr"/>
      <c r="P3" s="123" t="inlineStr">
        <is>
          <t>A.C.: ≤ 2 µg/kg</t>
        </is>
      </c>
      <c r="Q3" s="123" t="inlineStr">
        <is>
          <t>A.C.: ≤ 4 µg/kg</t>
        </is>
      </c>
      <c r="R3" s="123" t="inlineStr">
        <is>
          <t>A.C.: ≤ 20 µg/kg</t>
        </is>
      </c>
      <c r="S3" s="123" t="inlineStr"/>
      <c r="T3" s="123" t="inlineStr">
        <is>
          <t>A.C.: ≤ 0.5 mg/kg</t>
        </is>
      </c>
      <c r="U3" s="123" t="inlineStr">
        <is>
          <t>A.C.: ≤ 0.3 mg/kg</t>
        </is>
      </c>
      <c r="V3" s="123" t="inlineStr">
        <is>
          <t>A.C.: ≤ 0.2 mg/kg</t>
        </is>
      </c>
      <c r="W3" s="123" t="inlineStr">
        <is>
          <t>A.C.: ≤ 0.1 mg/kg</t>
        </is>
      </c>
      <c r="X3" s="123" t="inlineStr"/>
      <c r="Y3" s="123" t="inlineStr">
        <is>
          <t>A.C.: ≤ LOQ (Ph. Eur. 2.8.13 / CUMCS equivalency)</t>
        </is>
      </c>
      <c r="Z3" s="121" t="n"/>
      <c r="AA3" s="123" t="inlineStr"/>
    </row>
    <row r="4" ht="24" customHeight="1" s="70">
      <c r="A4" s="174" t="n"/>
      <c r="B4" s="174" t="n"/>
      <c r="C4" s="174" t="n"/>
      <c r="D4" s="124" t="inlineStr">
        <is>
          <t>Result (as reported)</t>
        </is>
      </c>
      <c r="E4" s="124" t="inlineStr">
        <is>
          <t>eCOA ref, (date) [Lab] — one certificate per line</t>
        </is>
      </c>
      <c r="F4" s="124" t="inlineStr">
        <is>
          <t>✓/✗</t>
        </is>
      </c>
      <c r="G4" s="124" t="inlineStr">
        <is>
          <t>Result (as reported)</t>
        </is>
      </c>
      <c r="H4" s="124" t="inlineStr">
        <is>
          <t>eCOA ref, (date) [Lab] — one certificate per line</t>
        </is>
      </c>
      <c r="I4" s="124" t="inlineStr">
        <is>
          <t>✓/✗</t>
        </is>
      </c>
      <c r="J4" s="124" t="inlineStr">
        <is>
          <t>TAMC</t>
        </is>
      </c>
      <c r="K4" s="124" t="inlineStr">
        <is>
          <t>TYMC</t>
        </is>
      </c>
      <c r="L4" s="124" t="inlineStr">
        <is>
          <t>GNB</t>
        </is>
      </c>
      <c r="M4" s="124" t="inlineStr">
        <is>
          <t>Salm.</t>
        </is>
      </c>
      <c r="N4" s="124" t="inlineStr">
        <is>
          <t>E. coli</t>
        </is>
      </c>
      <c r="O4" s="124" t="inlineStr">
        <is>
          <t>✓/✗</t>
        </is>
      </c>
      <c r="P4" s="124" t="inlineStr">
        <is>
          <t>AfB₁</t>
        </is>
      </c>
      <c r="Q4" s="124" t="inlineStr">
        <is>
          <t>ΣAf</t>
        </is>
      </c>
      <c r="R4" s="124" t="inlineStr">
        <is>
          <t>OTA</t>
        </is>
      </c>
      <c r="S4" s="124" t="inlineStr">
        <is>
          <t>✓/✗</t>
        </is>
      </c>
      <c r="T4" s="124" t="inlineStr">
        <is>
          <t>Pb</t>
        </is>
      </c>
      <c r="U4" s="124" t="inlineStr">
        <is>
          <t>Cd</t>
        </is>
      </c>
      <c r="V4" s="124" t="inlineStr">
        <is>
          <t>As</t>
        </is>
      </c>
      <c r="W4" s="124" t="inlineStr">
        <is>
          <t>Hg</t>
        </is>
      </c>
      <c r="X4" s="124" t="inlineStr">
        <is>
          <t>✓/✗</t>
        </is>
      </c>
      <c r="Y4" s="124" t="inlineStr">
        <is>
          <t>Result (as reported)</t>
        </is>
      </c>
      <c r="Z4" s="124" t="inlineStr">
        <is>
          <t>eCOA ref, (date) [Lab] — one certificate per line</t>
        </is>
      </c>
      <c r="AA4" s="124" t="inlineStr">
        <is>
          <t>✓/✗</t>
        </is>
      </c>
    </row>
    <row r="5" ht="21" customHeight="1" s="70">
      <c r="A5" s="125" t="inlineStr">
        <is>
          <t>FB012603</t>
        </is>
      </c>
      <c r="B5" s="126" t="inlineStr">
        <is>
          <t>P060432</t>
        </is>
      </c>
      <c r="C5" s="149" t="inlineStr">
        <is>
          <t>⚠ 3 NO RESULT
(3 no cert / 0 cert w/o result)</t>
        </is>
      </c>
      <c r="D5" s="128" t="inlineStr">
        <is>
          <t>/ (Одговара)</t>
        </is>
      </c>
      <c r="E5" s="129" t="inlineStr">
        <is>
          <t>ППК26112, (30.06.2026) [CNP]</t>
        </is>
      </c>
      <c r="F5" s="130" t="inlineStr">
        <is>
          <t>✓</t>
        </is>
      </c>
      <c r="G5" s="128" t="inlineStr">
        <is>
          <t>7.04</t>
        </is>
      </c>
      <c r="H5" s="129" t="inlineStr">
        <is>
          <t>ППК26112, (30.06.2026) [CNP]</t>
        </is>
      </c>
      <c r="I5" s="130" t="inlineStr">
        <is>
          <t>✓</t>
        </is>
      </c>
      <c r="J5" s="128" t="inlineStr">
        <is>
          <t>9.8×10³</t>
        </is>
      </c>
      <c r="K5" s="134" t="inlineStr">
        <is>
          <t>2.5×10³</t>
        </is>
      </c>
      <c r="L5" s="134" t="inlineStr">
        <is>
          <t>&lt;10² и &gt;10</t>
        </is>
      </c>
      <c r="M5" s="134" t="inlineStr">
        <is>
          <t>absent</t>
        </is>
      </c>
      <c r="N5" s="134" t="inlineStr">
        <is>
          <t>absent</t>
        </is>
      </c>
      <c r="O5" s="130" t="inlineStr">
        <is>
          <t>✓</t>
        </is>
      </c>
      <c r="P5" s="150" t="inlineStr">
        <is>
          <t>— MISSING —</t>
        </is>
      </c>
      <c r="Q5" s="151" t="inlineStr">
        <is>
          <t>— MISSING —</t>
        </is>
      </c>
      <c r="R5" s="151" t="inlineStr">
        <is>
          <t>— MISSING —</t>
        </is>
      </c>
      <c r="S5" s="152" t="inlineStr">
        <is>
          <t>✗</t>
        </is>
      </c>
      <c r="T5" s="150" t="inlineStr">
        <is>
          <t>— MISSING —</t>
        </is>
      </c>
      <c r="U5" s="151" t="inlineStr">
        <is>
          <t>— MISSING —</t>
        </is>
      </c>
      <c r="V5" s="151" t="inlineStr">
        <is>
          <t>— MISSING —</t>
        </is>
      </c>
      <c r="W5" s="151" t="inlineStr">
        <is>
          <t>— MISSING —</t>
        </is>
      </c>
      <c r="X5" s="152" t="inlineStr">
        <is>
          <t>✗</t>
        </is>
      </c>
      <c r="Y5" s="150" t="inlineStr">
        <is>
          <t>— MISSING —</t>
        </is>
      </c>
      <c r="Z5" s="153" t="inlineStr">
        <is>
          <t>— no certificate —</t>
        </is>
      </c>
      <c r="AA5" s="152" t="inlineStr">
        <is>
          <t>✗</t>
        </is>
      </c>
    </row>
    <row r="6" ht="13" customHeight="1" s="70">
      <c r="A6" s="175" t="n"/>
      <c r="B6" s="174" t="n"/>
      <c r="C6" s="174" t="n"/>
      <c r="D6" s="176" t="n"/>
      <c r="E6" s="174" t="n"/>
      <c r="F6" s="177" t="n"/>
      <c r="G6" s="176" t="n"/>
      <c r="H6" s="174" t="n"/>
      <c r="I6" s="177" t="n"/>
      <c r="J6" s="148" t="inlineStr">
        <is>
          <t>537-1068-26, (31.08.2026) [IJZ-MB]</t>
        </is>
      </c>
      <c r="K6" s="178" t="n"/>
      <c r="L6" s="178" t="n"/>
      <c r="M6" s="178" t="n"/>
      <c r="N6" s="179" t="n"/>
      <c r="O6" s="177" t="n"/>
      <c r="P6" s="154" t="inlineStr">
        <is>
          <t>— no certificate —</t>
        </is>
      </c>
      <c r="Q6" s="178" t="n"/>
      <c r="R6" s="179" t="n"/>
      <c r="S6" s="177" t="n"/>
      <c r="T6" s="154" t="inlineStr">
        <is>
          <t>— no certificate —</t>
        </is>
      </c>
      <c r="U6" s="178" t="n"/>
      <c r="V6" s="178" t="n"/>
      <c r="W6" s="179" t="n"/>
      <c r="X6" s="177" t="n"/>
      <c r="Y6" s="176" t="n"/>
      <c r="Z6" s="174" t="n"/>
      <c r="AA6" s="177" t="n"/>
    </row>
    <row r="7" ht="21" customHeight="1" s="70">
      <c r="A7" s="125" t="inlineStr">
        <is>
          <t>FB012603V</t>
        </is>
      </c>
      <c r="B7" s="126" t="inlineStr">
        <is>
          <t>P060392</t>
        </is>
      </c>
      <c r="C7" s="149" t="inlineStr">
        <is>
          <t>⚠ 3 NO RESULT
(3 no cert / 0 cert w/o result)</t>
        </is>
      </c>
      <c r="D7" s="128" t="inlineStr">
        <is>
          <t>/ (Одговара)</t>
        </is>
      </c>
      <c r="E7" s="129" t="inlineStr">
        <is>
          <t>ППК26110, (30.06.2026) [CNP]</t>
        </is>
      </c>
      <c r="F7" s="130" t="inlineStr">
        <is>
          <t>✓</t>
        </is>
      </c>
      <c r="G7" s="128" t="inlineStr">
        <is>
          <t>6.36</t>
        </is>
      </c>
      <c r="H7" s="129" t="inlineStr">
        <is>
          <t>ППК26110, (30.06.2026) [CNP]</t>
        </is>
      </c>
      <c r="I7" s="130" t="inlineStr">
        <is>
          <t>✓</t>
        </is>
      </c>
      <c r="J7" s="128" t="inlineStr">
        <is>
          <t>2.9×10³</t>
        </is>
      </c>
      <c r="K7" s="134" t="inlineStr">
        <is>
          <t>2.5×10³</t>
        </is>
      </c>
      <c r="L7" s="134" t="inlineStr">
        <is>
          <t>&lt;10</t>
        </is>
      </c>
      <c r="M7" s="134" t="inlineStr">
        <is>
          <t>absent</t>
        </is>
      </c>
      <c r="N7" s="134" t="inlineStr">
        <is>
          <t>absent</t>
        </is>
      </c>
      <c r="O7" s="130" t="inlineStr">
        <is>
          <t>✓</t>
        </is>
      </c>
      <c r="P7" s="150" t="inlineStr">
        <is>
          <t>— MISSING —</t>
        </is>
      </c>
      <c r="Q7" s="151" t="inlineStr">
        <is>
          <t>— MISSING —</t>
        </is>
      </c>
      <c r="R7" s="151" t="inlineStr">
        <is>
          <t>— MISSING —</t>
        </is>
      </c>
      <c r="S7" s="152" t="inlineStr">
        <is>
          <t>✗</t>
        </is>
      </c>
      <c r="T7" s="150" t="inlineStr">
        <is>
          <t>— MISSING —</t>
        </is>
      </c>
      <c r="U7" s="151" t="inlineStr">
        <is>
          <t>— MISSING —</t>
        </is>
      </c>
      <c r="V7" s="151" t="inlineStr">
        <is>
          <t>— MISSING —</t>
        </is>
      </c>
      <c r="W7" s="151" t="inlineStr">
        <is>
          <t>— MISSING —</t>
        </is>
      </c>
      <c r="X7" s="152" t="inlineStr">
        <is>
          <t>✗</t>
        </is>
      </c>
      <c r="Y7" s="150" t="inlineStr">
        <is>
          <t>— MISSING —</t>
        </is>
      </c>
      <c r="Z7" s="153" t="inlineStr">
        <is>
          <t>— no certificate —</t>
        </is>
      </c>
      <c r="AA7" s="152" t="inlineStr">
        <is>
          <t>✗</t>
        </is>
      </c>
    </row>
    <row r="8" ht="13" customHeight="1" s="70">
      <c r="A8" s="175" t="n"/>
      <c r="B8" s="174" t="n"/>
      <c r="C8" s="174" t="n"/>
      <c r="D8" s="176" t="n"/>
      <c r="E8" s="174" t="n"/>
      <c r="F8" s="177" t="n"/>
      <c r="G8" s="176" t="n"/>
      <c r="H8" s="174" t="n"/>
      <c r="I8" s="177" t="n"/>
      <c r="J8" s="148" t="inlineStr">
        <is>
          <t>538-1069-26, (31.08.2026) [IJZ-MB]</t>
        </is>
      </c>
      <c r="K8" s="178" t="n"/>
      <c r="L8" s="178" t="n"/>
      <c r="M8" s="178" t="n"/>
      <c r="N8" s="179" t="n"/>
      <c r="O8" s="177" t="n"/>
      <c r="P8" s="154" t="inlineStr">
        <is>
          <t>— no certificate —</t>
        </is>
      </c>
      <c r="Q8" s="178" t="n"/>
      <c r="R8" s="179" t="n"/>
      <c r="S8" s="177" t="n"/>
      <c r="T8" s="154" t="inlineStr">
        <is>
          <t>— no certificate —</t>
        </is>
      </c>
      <c r="U8" s="178" t="n"/>
      <c r="V8" s="178" t="n"/>
      <c r="W8" s="179" t="n"/>
      <c r="X8" s="177" t="n"/>
      <c r="Y8" s="176" t="n"/>
      <c r="Z8" s="174" t="n"/>
      <c r="AA8" s="177" t="n"/>
    </row>
    <row r="9" ht="21" customHeight="1" s="70">
      <c r="A9" s="125" t="inlineStr">
        <is>
          <t>FB032601</t>
        </is>
      </c>
      <c r="B9" s="126" t="inlineStr">
        <is>
          <t>P060452</t>
        </is>
      </c>
      <c r="C9" s="155" t="inlineStr">
        <is>
          <t>✗ 4 NO RESULT
(4 no cert / 0 cert w/o result)</t>
        </is>
      </c>
      <c r="D9" s="128" t="inlineStr">
        <is>
          <t>0.08% (Не одговара)</t>
        </is>
      </c>
      <c r="E9" s="129" t="inlineStr">
        <is>
          <t>ППК26127, (21.07.2026) [CNP]</t>
        </is>
      </c>
      <c r="F9" s="130" t="inlineStr">
        <is>
          <t>✓</t>
        </is>
      </c>
      <c r="G9" s="128" t="inlineStr">
        <is>
          <t>7.77</t>
        </is>
      </c>
      <c r="H9" s="129" t="inlineStr">
        <is>
          <t>ППК26127, (21.07.2026) [CNP]</t>
        </is>
      </c>
      <c r="I9" s="130" t="inlineStr">
        <is>
          <t>✓</t>
        </is>
      </c>
      <c r="J9" s="150" t="inlineStr">
        <is>
          <t>— MISSING —</t>
        </is>
      </c>
      <c r="K9" s="151" t="inlineStr">
        <is>
          <t>— MISSING —</t>
        </is>
      </c>
      <c r="L9" s="151" t="inlineStr">
        <is>
          <t>— MISSING —</t>
        </is>
      </c>
      <c r="M9" s="151" t="inlineStr">
        <is>
          <t>— MISSING —</t>
        </is>
      </c>
      <c r="N9" s="151" t="inlineStr">
        <is>
          <t>— MISSING —</t>
        </is>
      </c>
      <c r="O9" s="152" t="inlineStr">
        <is>
          <t>✗</t>
        </is>
      </c>
      <c r="P9" s="150" t="inlineStr">
        <is>
          <t>— MISSING —</t>
        </is>
      </c>
      <c r="Q9" s="151" t="inlineStr">
        <is>
          <t>— MISSING —</t>
        </is>
      </c>
      <c r="R9" s="151" t="inlineStr">
        <is>
          <t>— MISSING —</t>
        </is>
      </c>
      <c r="S9" s="152" t="inlineStr">
        <is>
          <t>✗</t>
        </is>
      </c>
      <c r="T9" s="150" t="inlineStr">
        <is>
          <t>— MISSING —</t>
        </is>
      </c>
      <c r="U9" s="151" t="inlineStr">
        <is>
          <t>— MISSING —</t>
        </is>
      </c>
      <c r="V9" s="151" t="inlineStr">
        <is>
          <t>— MISSING —</t>
        </is>
      </c>
      <c r="W9" s="151" t="inlineStr">
        <is>
          <t>— MISSING —</t>
        </is>
      </c>
      <c r="X9" s="152" t="inlineStr">
        <is>
          <t>✗</t>
        </is>
      </c>
      <c r="Y9" s="150" t="inlineStr">
        <is>
          <t>— MISSING —</t>
        </is>
      </c>
      <c r="Z9" s="153" t="inlineStr">
        <is>
          <t>— no certificate —</t>
        </is>
      </c>
      <c r="AA9" s="152" t="inlineStr">
        <is>
          <t>✗</t>
        </is>
      </c>
    </row>
    <row r="10" ht="13" customHeight="1" s="70">
      <c r="A10" s="175" t="n"/>
      <c r="B10" s="174" t="n"/>
      <c r="C10" s="174" t="n"/>
      <c r="D10" s="176" t="n"/>
      <c r="E10" s="174" t="n"/>
      <c r="F10" s="177" t="n"/>
      <c r="G10" s="176" t="n"/>
      <c r="H10" s="174" t="n"/>
      <c r="I10" s="177" t="n"/>
      <c r="J10" s="154" t="inlineStr">
        <is>
          <t>— no certificate —</t>
        </is>
      </c>
      <c r="K10" s="178" t="n"/>
      <c r="L10" s="178" t="n"/>
      <c r="M10" s="178" t="n"/>
      <c r="N10" s="179" t="n"/>
      <c r="O10" s="177" t="n"/>
      <c r="P10" s="154" t="inlineStr">
        <is>
          <t>— no certificate —</t>
        </is>
      </c>
      <c r="Q10" s="178" t="n"/>
      <c r="R10" s="179" t="n"/>
      <c r="S10" s="177" t="n"/>
      <c r="T10" s="154" t="inlineStr">
        <is>
          <t>— no certificate —</t>
        </is>
      </c>
      <c r="U10" s="178" t="n"/>
      <c r="V10" s="178" t="n"/>
      <c r="W10" s="179" t="n"/>
      <c r="X10" s="177" t="n"/>
      <c r="Y10" s="176" t="n"/>
      <c r="Z10" s="174" t="n"/>
      <c r="AA10" s="177" t="n"/>
    </row>
    <row r="11" ht="21" customHeight="1" s="70">
      <c r="A11" s="125" t="inlineStr">
        <is>
          <t>GG012603</t>
        </is>
      </c>
      <c r="B11" s="126" t="inlineStr">
        <is>
          <t>P060402</t>
        </is>
      </c>
      <c r="C11" s="149" t="inlineStr">
        <is>
          <t>⚠ 3 NO RESULT
(3 no cert / 0 cert w/o result)
2 testing instances
• 1 document(s) on file, not credited</t>
        </is>
      </c>
      <c r="D11" s="128" t="inlineStr">
        <is>
          <t>0.09 % (Одговара)</t>
        </is>
      </c>
      <c r="E11" s="129" t="inlineStr">
        <is>
          <t>ППК26114, (30.06.2026) [CNP]</t>
        </is>
      </c>
      <c r="F11" s="130" t="inlineStr">
        <is>
          <t>✓</t>
        </is>
      </c>
      <c r="G11" s="128" t="inlineStr">
        <is>
          <t>6.48</t>
        </is>
      </c>
      <c r="H11" s="129" t="inlineStr">
        <is>
          <t>ППК26114, (30.06.2026) [CNP]</t>
        </is>
      </c>
      <c r="I11" s="130" t="inlineStr">
        <is>
          <t>✓</t>
        </is>
      </c>
      <c r="J11" s="150" t="inlineStr">
        <is>
          <t>— MISSING —</t>
        </is>
      </c>
      <c r="K11" s="151" t="inlineStr">
        <is>
          <t>— MISSING —</t>
        </is>
      </c>
      <c r="L11" s="151" t="inlineStr">
        <is>
          <t>— MISSING —</t>
        </is>
      </c>
      <c r="M11" s="151" t="inlineStr">
        <is>
          <t>— MISSING —</t>
        </is>
      </c>
      <c r="N11" s="151" t="inlineStr">
        <is>
          <t>— MISSING —</t>
        </is>
      </c>
      <c r="O11" s="152" t="inlineStr">
        <is>
          <t>✗</t>
        </is>
      </c>
      <c r="P11" s="128" t="inlineStr">
        <is>
          <t>ND</t>
        </is>
      </c>
      <c r="Q11" s="134" t="inlineStr">
        <is>
          <t>ND ᴿ</t>
        </is>
      </c>
      <c r="R11" s="134" t="inlineStr">
        <is>
          <t>ND</t>
        </is>
      </c>
      <c r="S11" s="130" t="inlineStr">
        <is>
          <t>✓</t>
        </is>
      </c>
      <c r="T11" s="150" t="inlineStr">
        <is>
          <t>— MISSING —</t>
        </is>
      </c>
      <c r="U11" s="151" t="inlineStr">
        <is>
          <t>— MISSING —</t>
        </is>
      </c>
      <c r="V11" s="151" t="inlineStr">
        <is>
          <t>— MISSING —</t>
        </is>
      </c>
      <c r="W11" s="151" t="inlineStr">
        <is>
          <t>— MISSING —</t>
        </is>
      </c>
      <c r="X11" s="152" t="inlineStr">
        <is>
          <t>✗</t>
        </is>
      </c>
      <c r="Y11" s="150" t="inlineStr">
        <is>
          <t>— MISSING —</t>
        </is>
      </c>
      <c r="Z11" s="153" t="inlineStr">
        <is>
          <t>— no certificate —</t>
        </is>
      </c>
      <c r="AA11" s="152" t="inlineStr">
        <is>
          <t>✗</t>
        </is>
      </c>
    </row>
    <row r="12" ht="13" customHeight="1" s="70">
      <c r="A12" s="180" t="n"/>
      <c r="B12" s="173" t="n"/>
      <c r="C12" s="173" t="n"/>
      <c r="D12" s="176" t="n"/>
      <c r="E12" s="174" t="n"/>
      <c r="F12" s="177" t="n"/>
      <c r="G12" s="176" t="n"/>
      <c r="H12" s="174" t="n"/>
      <c r="I12" s="177" t="n"/>
      <c r="J12" s="156" t="inlineStr">
        <is>
          <t>— no certificate —</t>
        </is>
      </c>
      <c r="K12" s="120" t="n"/>
      <c r="L12" s="120" t="n"/>
      <c r="M12" s="120" t="n"/>
      <c r="N12" s="121" t="n"/>
      <c r="O12" s="177" t="n"/>
      <c r="P12" s="138" t="inlineStr">
        <is>
          <t>197-8-M-26, (10.08.2026) [FHM-M]</t>
        </is>
      </c>
      <c r="Q12" s="120" t="n"/>
      <c r="R12" s="121" t="n"/>
      <c r="S12" s="177" t="n"/>
      <c r="T12" s="156" t="inlineStr">
        <is>
          <t>— no certificate —</t>
        </is>
      </c>
      <c r="U12" s="120" t="n"/>
      <c r="V12" s="120" t="n"/>
      <c r="W12" s="121" t="n"/>
      <c r="X12" s="177" t="n"/>
      <c r="Y12" s="176" t="n"/>
      <c r="Z12" s="174" t="n"/>
      <c r="AA12" s="177" t="n"/>
    </row>
    <row r="13" ht="14" customHeight="1" s="70">
      <c r="A13" s="180" t="n"/>
      <c r="B13" s="173" t="n"/>
      <c r="C13" s="173" t="n"/>
      <c r="D13" s="141" t="n"/>
      <c r="E13" s="140" t="n"/>
      <c r="F13" s="142" t="n"/>
      <c r="G13" s="131" t="inlineStr">
        <is>
          <t>not on this certificate</t>
        </is>
      </c>
      <c r="H13" s="132" t="inlineStr">
        <is>
          <t>197-8-K-26, (07.08.2026) [FHM-K] · on file, not credited</t>
        </is>
      </c>
      <c r="I13" s="133" t="inlineStr">
        <is>
          <t>•</t>
        </is>
      </c>
      <c r="J13" s="141" t="n"/>
      <c r="K13" s="140" t="n"/>
      <c r="L13" s="140" t="n"/>
      <c r="M13" s="140" t="n"/>
      <c r="N13" s="140" t="n"/>
      <c r="O13" s="142" t="n"/>
      <c r="P13" s="141" t="n"/>
      <c r="Q13" s="140" t="n"/>
      <c r="R13" s="140" t="n"/>
      <c r="S13" s="142" t="n"/>
      <c r="T13" s="141" t="n"/>
      <c r="U13" s="140" t="n"/>
      <c r="V13" s="140" t="n"/>
      <c r="W13" s="140" t="n"/>
      <c r="X13" s="142" t="n"/>
      <c r="Y13" s="141" t="n"/>
      <c r="Z13" s="140" t="n"/>
      <c r="AA13" s="142" t="n"/>
    </row>
    <row r="14" ht="21" customHeight="1" s="70">
      <c r="A14" s="175" t="n"/>
      <c r="B14" s="174" t="n"/>
      <c r="C14" s="174" t="n"/>
      <c r="D14" s="145" t="n"/>
      <c r="E14" s="146" t="n"/>
      <c r="F14" s="147" t="n"/>
      <c r="G14" s="176" t="n"/>
      <c r="H14" s="174" t="n"/>
      <c r="I14" s="177" t="n"/>
      <c r="J14" s="145" t="n"/>
      <c r="K14" s="146" t="n"/>
      <c r="L14" s="146" t="n"/>
      <c r="M14" s="146" t="n"/>
      <c r="N14" s="146" t="n"/>
      <c r="O14" s="147" t="n"/>
      <c r="P14" s="145" t="n"/>
      <c r="Q14" s="146" t="n"/>
      <c r="R14" s="146" t="n"/>
      <c r="S14" s="147" t="n"/>
      <c r="T14" s="145" t="n"/>
      <c r="U14" s="146" t="n"/>
      <c r="V14" s="146" t="n"/>
      <c r="W14" s="146" t="n"/>
      <c r="X14" s="147" t="n"/>
      <c r="Y14" s="145" t="n"/>
      <c r="Z14" s="146" t="n"/>
      <c r="AA14" s="147" t="n"/>
    </row>
    <row r="15" ht="21" customHeight="1" s="70">
      <c r="A15" s="125" t="inlineStr">
        <is>
          <t>GG032601</t>
        </is>
      </c>
      <c r="B15" s="126" t="inlineStr">
        <is>
          <t>P060462</t>
        </is>
      </c>
      <c r="C15" s="155" t="inlineStr">
        <is>
          <t>✗ 4 NO RESULT
(4 no cert / 0 cert w/o result)</t>
        </is>
      </c>
      <c r="D15" s="128" t="inlineStr">
        <is>
          <t>/ (Одговара)</t>
        </is>
      </c>
      <c r="E15" s="129" t="inlineStr">
        <is>
          <t>ППК26128, (21.07.2026) [CNP]</t>
        </is>
      </c>
      <c r="F15" s="130" t="inlineStr">
        <is>
          <t>✓</t>
        </is>
      </c>
      <c r="G15" s="128" t="inlineStr">
        <is>
          <t>7.88</t>
        </is>
      </c>
      <c r="H15" s="129" t="inlineStr">
        <is>
          <t>ППК26128, (21.07.2026) [CNP]</t>
        </is>
      </c>
      <c r="I15" s="130" t="inlineStr">
        <is>
          <t>✓</t>
        </is>
      </c>
      <c r="J15" s="150" t="inlineStr">
        <is>
          <t>— MISSING —</t>
        </is>
      </c>
      <c r="K15" s="151" t="inlineStr">
        <is>
          <t>— MISSING —</t>
        </is>
      </c>
      <c r="L15" s="151" t="inlineStr">
        <is>
          <t>— MISSING —</t>
        </is>
      </c>
      <c r="M15" s="151" t="inlineStr">
        <is>
          <t>— MISSING —</t>
        </is>
      </c>
      <c r="N15" s="151" t="inlineStr">
        <is>
          <t>— MISSING —</t>
        </is>
      </c>
      <c r="O15" s="152" t="inlineStr">
        <is>
          <t>✗</t>
        </is>
      </c>
      <c r="P15" s="150" t="inlineStr">
        <is>
          <t>— MISSING —</t>
        </is>
      </c>
      <c r="Q15" s="151" t="inlineStr">
        <is>
          <t>— MISSING —</t>
        </is>
      </c>
      <c r="R15" s="151" t="inlineStr">
        <is>
          <t>— MISSING —</t>
        </is>
      </c>
      <c r="S15" s="152" t="inlineStr">
        <is>
          <t>✗</t>
        </is>
      </c>
      <c r="T15" s="150" t="inlineStr">
        <is>
          <t>— MISSING —</t>
        </is>
      </c>
      <c r="U15" s="151" t="inlineStr">
        <is>
          <t>— MISSING —</t>
        </is>
      </c>
      <c r="V15" s="151" t="inlineStr">
        <is>
          <t>— MISSING —</t>
        </is>
      </c>
      <c r="W15" s="151" t="inlineStr">
        <is>
          <t>— MISSING —</t>
        </is>
      </c>
      <c r="X15" s="152" t="inlineStr">
        <is>
          <t>✗</t>
        </is>
      </c>
      <c r="Y15" s="150" t="inlineStr">
        <is>
          <t>— MISSING —</t>
        </is>
      </c>
      <c r="Z15" s="153" t="inlineStr">
        <is>
          <t>— no certificate —</t>
        </is>
      </c>
      <c r="AA15" s="152" t="inlineStr">
        <is>
          <t>✗</t>
        </is>
      </c>
    </row>
    <row r="16" ht="13" customHeight="1" s="70">
      <c r="A16" s="175" t="n"/>
      <c r="B16" s="174" t="n"/>
      <c r="C16" s="174" t="n"/>
      <c r="D16" s="176" t="n"/>
      <c r="E16" s="174" t="n"/>
      <c r="F16" s="177" t="n"/>
      <c r="G16" s="176" t="n"/>
      <c r="H16" s="174" t="n"/>
      <c r="I16" s="177" t="n"/>
      <c r="J16" s="154" t="inlineStr">
        <is>
          <t>— no certificate —</t>
        </is>
      </c>
      <c r="K16" s="178" t="n"/>
      <c r="L16" s="178" t="n"/>
      <c r="M16" s="178" t="n"/>
      <c r="N16" s="179" t="n"/>
      <c r="O16" s="177" t="n"/>
      <c r="P16" s="154" t="inlineStr">
        <is>
          <t>— no certificate —</t>
        </is>
      </c>
      <c r="Q16" s="178" t="n"/>
      <c r="R16" s="179" t="n"/>
      <c r="S16" s="177" t="n"/>
      <c r="T16" s="154" t="inlineStr">
        <is>
          <t>— no certificate —</t>
        </is>
      </c>
      <c r="U16" s="178" t="n"/>
      <c r="V16" s="178" t="n"/>
      <c r="W16" s="179" t="n"/>
      <c r="X16" s="177" t="n"/>
      <c r="Y16" s="176" t="n"/>
      <c r="Z16" s="174" t="n"/>
      <c r="AA16" s="177" t="n"/>
    </row>
    <row r="17" ht="21" customHeight="1" s="70">
      <c r="A17" s="125" t="inlineStr">
        <is>
          <t>GG1024</t>
        </is>
      </c>
      <c r="B17" s="126" t="inlineStr">
        <is>
          <t>N/A — no P batch assigned</t>
        </is>
      </c>
      <c r="C17" s="155" t="inlineStr">
        <is>
          <t>✗ 9 NO RESULT
(9 no cert / 0 cert w/o result)
2 testing instances</t>
        </is>
      </c>
      <c r="D17" s="128" t="inlineStr">
        <is>
          <t>Confirms</t>
        </is>
      </c>
      <c r="E17" s="129">
        <f>IFERROR(INDEX('iCoA Register'!$B:$B,MATCH("GG1024|FM|I",'iCoA Register'!$R:$R,0)),"iCoA — at issue")&amp;", (11.03.2025) [PP]"</f>
        <v/>
      </c>
      <c r="F17" s="130" t="inlineStr">
        <is>
          <t>✓</t>
        </is>
      </c>
      <c r="G17" s="150" t="inlineStr">
        <is>
          <t>— MISSING —</t>
        </is>
      </c>
      <c r="H17" s="153" t="inlineStr">
        <is>
          <t>— no certificate —</t>
        </is>
      </c>
      <c r="I17" s="152" t="inlineStr">
        <is>
          <t>✗</t>
        </is>
      </c>
      <c r="J17" s="150" t="inlineStr">
        <is>
          <t>— MISSING —</t>
        </is>
      </c>
      <c r="K17" s="151" t="inlineStr">
        <is>
          <t>— MISSING —</t>
        </is>
      </c>
      <c r="L17" s="151" t="inlineStr">
        <is>
          <t>— MISSING —</t>
        </is>
      </c>
      <c r="M17" s="151" t="inlineStr">
        <is>
          <t>— MISSING —</t>
        </is>
      </c>
      <c r="N17" s="151" t="inlineStr">
        <is>
          <t>— MISSING —</t>
        </is>
      </c>
      <c r="O17" s="152" t="inlineStr">
        <is>
          <t>✗</t>
        </is>
      </c>
      <c r="P17" s="150" t="inlineStr">
        <is>
          <t>— MISSING —</t>
        </is>
      </c>
      <c r="Q17" s="151" t="inlineStr">
        <is>
          <t>— MISSING —</t>
        </is>
      </c>
      <c r="R17" s="151" t="inlineStr">
        <is>
          <t>— MISSING —</t>
        </is>
      </c>
      <c r="S17" s="152" t="inlineStr">
        <is>
          <t>✗</t>
        </is>
      </c>
      <c r="T17" s="150" t="inlineStr">
        <is>
          <t>— MISSING —</t>
        </is>
      </c>
      <c r="U17" s="151" t="inlineStr">
        <is>
          <t>— MISSING —</t>
        </is>
      </c>
      <c r="V17" s="151" t="inlineStr">
        <is>
          <t>— MISSING —</t>
        </is>
      </c>
      <c r="W17" s="151" t="inlineStr">
        <is>
          <t>— MISSING —</t>
        </is>
      </c>
      <c r="X17" s="152" t="inlineStr">
        <is>
          <t>✗</t>
        </is>
      </c>
      <c r="Y17" s="150" t="inlineStr">
        <is>
          <t>— MISSING —</t>
        </is>
      </c>
      <c r="Z17" s="153" t="inlineStr">
        <is>
          <t>— no certificate —</t>
        </is>
      </c>
      <c r="AA17" s="152" t="inlineStr">
        <is>
          <t>✗</t>
        </is>
      </c>
    </row>
    <row r="18" ht="13" customHeight="1" s="70">
      <c r="A18" s="180" t="n"/>
      <c r="B18" s="173" t="n"/>
      <c r="C18" s="173" t="n"/>
      <c r="D18" s="176" t="n"/>
      <c r="E18" s="174" t="n"/>
      <c r="F18" s="177" t="n"/>
      <c r="G18" s="176" t="n"/>
      <c r="H18" s="174" t="n"/>
      <c r="I18" s="177" t="n"/>
      <c r="J18" s="156" t="inlineStr">
        <is>
          <t>— no certificate —</t>
        </is>
      </c>
      <c r="K18" s="120" t="n"/>
      <c r="L18" s="120" t="n"/>
      <c r="M18" s="120" t="n"/>
      <c r="N18" s="121" t="n"/>
      <c r="O18" s="177" t="n"/>
      <c r="P18" s="156" t="inlineStr">
        <is>
          <t>— no certificate —</t>
        </is>
      </c>
      <c r="Q18" s="120" t="n"/>
      <c r="R18" s="121" t="n"/>
      <c r="S18" s="177" t="n"/>
      <c r="T18" s="156" t="inlineStr">
        <is>
          <t>— no certificate —</t>
        </is>
      </c>
      <c r="U18" s="120" t="n"/>
      <c r="V18" s="120" t="n"/>
      <c r="W18" s="121" t="n"/>
      <c r="X18" s="177" t="n"/>
      <c r="Y18" s="176" t="n"/>
      <c r="Z18" s="174" t="n"/>
      <c r="AA18" s="177" t="n"/>
    </row>
    <row r="19" ht="14" customHeight="1" s="70">
      <c r="A19" s="180" t="n"/>
      <c r="B19" s="173" t="n"/>
      <c r="C19" s="173" t="n"/>
      <c r="D19" s="128" t="inlineStr">
        <is>
          <t>Confirms</t>
        </is>
      </c>
      <c r="E19" s="129" t="inlineStr">
        <is>
          <t>NO-DOC-CODE (Report of Analysis), (23.04.2025) [PP]</t>
        </is>
      </c>
      <c r="F19" s="130" t="inlineStr">
        <is>
          <t>✓</t>
        </is>
      </c>
      <c r="G19" s="141" t="n"/>
      <c r="H19" s="140" t="n"/>
      <c r="I19" s="142" t="n"/>
      <c r="J19" s="141" t="n"/>
      <c r="K19" s="140" t="n"/>
      <c r="L19" s="140" t="n"/>
      <c r="M19" s="140" t="n"/>
      <c r="N19" s="140" t="n"/>
      <c r="O19" s="142" t="n"/>
      <c r="P19" s="141" t="n"/>
      <c r="Q19" s="140" t="n"/>
      <c r="R19" s="140" t="n"/>
      <c r="S19" s="142" t="n"/>
      <c r="T19" s="141" t="n"/>
      <c r="U19" s="140" t="n"/>
      <c r="V19" s="140" t="n"/>
      <c r="W19" s="140" t="n"/>
      <c r="X19" s="142" t="n"/>
      <c r="Y19" s="141" t="n"/>
      <c r="Z19" s="140" t="n"/>
      <c r="AA19" s="142" t="n"/>
    </row>
    <row r="20" ht="13" customHeight="1" s="70">
      <c r="A20" s="175" t="n"/>
      <c r="B20" s="174" t="n"/>
      <c r="C20" s="174" t="n"/>
      <c r="D20" s="176" t="n"/>
      <c r="E20" s="174" t="n"/>
      <c r="F20" s="177" t="n"/>
      <c r="G20" s="145" t="n"/>
      <c r="H20" s="146" t="n"/>
      <c r="I20" s="147" t="n"/>
      <c r="J20" s="145" t="n"/>
      <c r="K20" s="146" t="n"/>
      <c r="L20" s="146" t="n"/>
      <c r="M20" s="146" t="n"/>
      <c r="N20" s="146" t="n"/>
      <c r="O20" s="147" t="n"/>
      <c r="P20" s="145" t="n"/>
      <c r="Q20" s="146" t="n"/>
      <c r="R20" s="146" t="n"/>
      <c r="S20" s="147" t="n"/>
      <c r="T20" s="145" t="n"/>
      <c r="U20" s="146" t="n"/>
      <c r="V20" s="146" t="n"/>
      <c r="W20" s="146" t="n"/>
      <c r="X20" s="147" t="n"/>
      <c r="Y20" s="145" t="n"/>
      <c r="Z20" s="146" t="n"/>
      <c r="AA20" s="147" t="n"/>
    </row>
    <row r="21" ht="21" customHeight="1" s="70">
      <c r="A21" s="125" t="inlineStr">
        <is>
          <t>GRC102501</t>
        </is>
      </c>
      <c r="B21" s="126" t="inlineStr">
        <is>
          <t>P060142 / P060182</t>
        </is>
      </c>
      <c r="C21" s="149" t="inlineStr">
        <is>
          <t>⚠ 3 NO RESULT
(3 no cert / 0 cert w/o result)
2 testing instances
• 2 document(s) on file, not credited</t>
        </is>
      </c>
      <c r="D21" s="128" t="inlineStr">
        <is>
          <t>Conforms</t>
        </is>
      </c>
      <c r="E21" s="129">
        <f>IFERROR(INDEX('iCoA Register'!$B:$B,MATCH("P060142|FM|I",'iCoA Register'!$R:$R,0)),"iCoA — at issue")&amp;", (23.02.2026) [PP]"</f>
        <v/>
      </c>
      <c r="F21" s="130" t="inlineStr">
        <is>
          <t>✓</t>
        </is>
      </c>
      <c r="G21" s="128" t="inlineStr">
        <is>
          <t>7.7</t>
        </is>
      </c>
      <c r="H21" s="129" t="inlineStr">
        <is>
          <t>051-6-LoD-26, (02.03.2026) [FHM-K]</t>
        </is>
      </c>
      <c r="I21" s="130" t="inlineStr">
        <is>
          <t>✓</t>
        </is>
      </c>
      <c r="J21" s="128" t="inlineStr">
        <is>
          <t>10</t>
        </is>
      </c>
      <c r="K21" s="134" t="inlineStr">
        <is>
          <t>&lt;10</t>
        </is>
      </c>
      <c r="L21" s="134" t="inlineStr">
        <is>
          <t>&lt;10</t>
        </is>
      </c>
      <c r="M21" s="134" t="inlineStr">
        <is>
          <t>absent</t>
        </is>
      </c>
      <c r="N21" s="134" t="inlineStr">
        <is>
          <t>absent</t>
        </is>
      </c>
      <c r="O21" s="130" t="inlineStr">
        <is>
          <t>✓</t>
        </is>
      </c>
      <c r="P21" s="150" t="inlineStr">
        <is>
          <t>— MISSING —</t>
        </is>
      </c>
      <c r="Q21" s="151" t="inlineStr">
        <is>
          <t>— MISSING —</t>
        </is>
      </c>
      <c r="R21" s="151" t="inlineStr">
        <is>
          <t>— MISSING —</t>
        </is>
      </c>
      <c r="S21" s="152" t="inlineStr">
        <is>
          <t>✗</t>
        </is>
      </c>
      <c r="T21" s="150" t="inlineStr">
        <is>
          <t>— MISSING —</t>
        </is>
      </c>
      <c r="U21" s="151" t="inlineStr">
        <is>
          <t>— MISSING —</t>
        </is>
      </c>
      <c r="V21" s="151" t="inlineStr">
        <is>
          <t>— MISSING —</t>
        </is>
      </c>
      <c r="W21" s="151" t="inlineStr">
        <is>
          <t>— MISSING —</t>
        </is>
      </c>
      <c r="X21" s="152" t="inlineStr">
        <is>
          <t>✗</t>
        </is>
      </c>
      <c r="Y21" s="150" t="inlineStr">
        <is>
          <t>— MISSING —</t>
        </is>
      </c>
      <c r="Z21" s="153" t="inlineStr">
        <is>
          <t>— no certificate —</t>
        </is>
      </c>
      <c r="AA21" s="152" t="inlineStr">
        <is>
          <t>✗</t>
        </is>
      </c>
    </row>
    <row r="22" ht="21" customHeight="1" s="70">
      <c r="A22" s="180" t="n"/>
      <c r="B22" s="173" t="n"/>
      <c r="C22" s="173" t="n"/>
      <c r="D22" s="176" t="n"/>
      <c r="E22" s="174" t="n"/>
      <c r="F22" s="177" t="n"/>
      <c r="G22" s="176" t="n"/>
      <c r="H22" s="174" t="n"/>
      <c r="I22" s="177" t="n"/>
      <c r="J22" s="138" t="inlineStr">
        <is>
          <t>550-1081-26, (01.09.2026) [IJZ-MB]</t>
        </is>
      </c>
      <c r="K22" s="120" t="n"/>
      <c r="L22" s="120" t="n"/>
      <c r="M22" s="120" t="n"/>
      <c r="N22" s="121" t="n"/>
      <c r="O22" s="177" t="n"/>
      <c r="P22" s="156" t="inlineStr">
        <is>
          <t>— no certificate —</t>
        </is>
      </c>
      <c r="Q22" s="120" t="n"/>
      <c r="R22" s="121" t="n"/>
      <c r="S22" s="177" t="n"/>
      <c r="T22" s="156" t="inlineStr">
        <is>
          <t>— no certificate —</t>
        </is>
      </c>
      <c r="U22" s="120" t="n"/>
      <c r="V22" s="120" t="n"/>
      <c r="W22" s="121" t="n"/>
      <c r="X22" s="177" t="n"/>
      <c r="Y22" s="176" t="n"/>
      <c r="Z22" s="174" t="n"/>
      <c r="AA22" s="177" t="n"/>
    </row>
    <row r="23" ht="14" customHeight="1" s="70">
      <c r="A23" s="180" t="n"/>
      <c r="B23" s="173" t="n"/>
      <c r="C23" s="173" t="n"/>
      <c r="D23" s="128" t="inlineStr">
        <is>
          <t>Conforms</t>
        </is>
      </c>
      <c r="E23" s="129">
        <f>IFERROR(INDEX('iCoA Register'!$B:$B,MATCH("P060182|FM|I",'iCoA Register'!$R:$R,0)),"iCoA — at issue")&amp;", (14.03.2026) [PP]"</f>
        <v/>
      </c>
      <c r="F23" s="130" t="inlineStr">
        <is>
          <t>✓</t>
        </is>
      </c>
      <c r="G23" s="131" t="inlineStr">
        <is>
          <t>not on this certificate</t>
        </is>
      </c>
      <c r="H23" s="132" t="inlineStr">
        <is>
          <t>051-6-K-26, (04.03.2026) [FHM-K] · on file, not credited</t>
        </is>
      </c>
      <c r="I23" s="133" t="inlineStr">
        <is>
          <t>•</t>
        </is>
      </c>
      <c r="J23" s="141" t="n"/>
      <c r="K23" s="140" t="n"/>
      <c r="L23" s="140" t="n"/>
      <c r="M23" s="140" t="n"/>
      <c r="N23" s="140" t="n"/>
      <c r="O23" s="142" t="n"/>
      <c r="P23" s="141" t="n"/>
      <c r="Q23" s="140" t="n"/>
      <c r="R23" s="140" t="n"/>
      <c r="S23" s="142" t="n"/>
      <c r="T23" s="141" t="n"/>
      <c r="U23" s="140" t="n"/>
      <c r="V23" s="140" t="n"/>
      <c r="W23" s="140" t="n"/>
      <c r="X23" s="142" t="n"/>
      <c r="Y23" s="141" t="n"/>
      <c r="Z23" s="140" t="n"/>
      <c r="AA23" s="142" t="n"/>
    </row>
    <row r="24" ht="21" customHeight="1" s="70">
      <c r="A24" s="175" t="n"/>
      <c r="B24" s="174" t="n"/>
      <c r="C24" s="174" t="n"/>
      <c r="D24" s="176" t="n"/>
      <c r="E24" s="174" t="n"/>
      <c r="F24" s="177" t="n"/>
      <c r="G24" s="176" t="n"/>
      <c r="H24" s="174" t="n"/>
      <c r="I24" s="177" t="n"/>
      <c r="J24" s="145" t="n"/>
      <c r="K24" s="146" t="n"/>
      <c r="L24" s="146" t="n"/>
      <c r="M24" s="146" t="n"/>
      <c r="N24" s="146" t="n"/>
      <c r="O24" s="147" t="n"/>
      <c r="P24" s="145" t="n"/>
      <c r="Q24" s="146" t="n"/>
      <c r="R24" s="146" t="n"/>
      <c r="S24" s="147" t="n"/>
      <c r="T24" s="145" t="n"/>
      <c r="U24" s="146" t="n"/>
      <c r="V24" s="146" t="n"/>
      <c r="W24" s="146" t="n"/>
      <c r="X24" s="147" t="n"/>
      <c r="Y24" s="145" t="n"/>
      <c r="Z24" s="146" t="n"/>
      <c r="AA24" s="147" t="n"/>
    </row>
    <row r="25" ht="21" customHeight="1" s="70">
      <c r="A25" s="125" t="inlineStr">
        <is>
          <t>HPA1024</t>
        </is>
      </c>
      <c r="B25" s="126" t="inlineStr">
        <is>
          <t>N/A — no P batch assigned</t>
        </is>
      </c>
      <c r="C25" s="155" t="inlineStr">
        <is>
          <t>✗ 4 NO RESULT
(4 no cert / 0 cert w/o result)
2 testing instances
• 1 document(s) on file, not credited</t>
        </is>
      </c>
      <c r="D25" s="128" t="inlineStr">
        <is>
          <t>Conforms</t>
        </is>
      </c>
      <c r="E25" s="129">
        <f>IFERROR(INDEX('iCoA Register'!$B:$B,MATCH("HPA1024|FM|I",'iCoA Register'!$R:$R,0)),"iCoA — at issue")&amp;", (11.04.2025) [PP]"</f>
        <v/>
      </c>
      <c r="F25" s="130" t="inlineStr">
        <is>
          <t>✓</t>
        </is>
      </c>
      <c r="G25" s="131" t="inlineStr">
        <is>
          <t>not on this certificate</t>
        </is>
      </c>
      <c r="H25" s="132" t="inlineStr">
        <is>
          <t>197-13-K-26, (07.08.2026) [FHM-K] · on file, not credited</t>
        </is>
      </c>
      <c r="I25" s="133" t="inlineStr">
        <is>
          <t>•</t>
        </is>
      </c>
      <c r="J25" s="150" t="inlineStr">
        <is>
          <t>— MISSING —</t>
        </is>
      </c>
      <c r="K25" s="151" t="inlineStr">
        <is>
          <t>— MISSING —</t>
        </is>
      </c>
      <c r="L25" s="151" t="inlineStr">
        <is>
          <t>— MISSING —</t>
        </is>
      </c>
      <c r="M25" s="151" t="inlineStr">
        <is>
          <t>— MISSING —</t>
        </is>
      </c>
      <c r="N25" s="151" t="inlineStr">
        <is>
          <t>— MISSING —</t>
        </is>
      </c>
      <c r="O25" s="152" t="inlineStr">
        <is>
          <t>✗</t>
        </is>
      </c>
      <c r="P25" s="128" t="inlineStr">
        <is>
          <t>ND</t>
        </is>
      </c>
      <c r="Q25" s="134" t="inlineStr">
        <is>
          <t>ND ᴿ</t>
        </is>
      </c>
      <c r="R25" s="134" t="inlineStr">
        <is>
          <t>&lt;LOQ</t>
        </is>
      </c>
      <c r="S25" s="130" t="inlineStr">
        <is>
          <t>✓</t>
        </is>
      </c>
      <c r="T25" s="150" t="inlineStr">
        <is>
          <t>— MISSING —</t>
        </is>
      </c>
      <c r="U25" s="151" t="inlineStr">
        <is>
          <t>— MISSING —</t>
        </is>
      </c>
      <c r="V25" s="151" t="inlineStr">
        <is>
          <t>— MISSING —</t>
        </is>
      </c>
      <c r="W25" s="151" t="inlineStr">
        <is>
          <t>— MISSING —</t>
        </is>
      </c>
      <c r="X25" s="152" t="inlineStr">
        <is>
          <t>✗</t>
        </is>
      </c>
      <c r="Y25" s="150" t="inlineStr">
        <is>
          <t>— MISSING —</t>
        </is>
      </c>
      <c r="Z25" s="153" t="inlineStr">
        <is>
          <t>— no certificate —</t>
        </is>
      </c>
      <c r="AA25" s="152" t="inlineStr">
        <is>
          <t>✗</t>
        </is>
      </c>
    </row>
    <row r="26" ht="21" customHeight="1" s="70">
      <c r="A26" s="180" t="n"/>
      <c r="B26" s="173" t="n"/>
      <c r="C26" s="173" t="n"/>
      <c r="D26" s="176" t="n"/>
      <c r="E26" s="174" t="n"/>
      <c r="F26" s="177" t="n"/>
      <c r="G26" s="176" t="n"/>
      <c r="H26" s="174" t="n"/>
      <c r="I26" s="177" t="n"/>
      <c r="J26" s="156" t="inlineStr">
        <is>
          <t>— no certificate —</t>
        </is>
      </c>
      <c r="K26" s="120" t="n"/>
      <c r="L26" s="120" t="n"/>
      <c r="M26" s="120" t="n"/>
      <c r="N26" s="121" t="n"/>
      <c r="O26" s="177" t="n"/>
      <c r="P26" s="138" t="inlineStr">
        <is>
          <t>197-13-M-26, (10.08.2026) [FHM-M]</t>
        </is>
      </c>
      <c r="Q26" s="120" t="n"/>
      <c r="R26" s="121" t="n"/>
      <c r="S26" s="177" t="n"/>
      <c r="T26" s="156" t="inlineStr">
        <is>
          <t>— no certificate —</t>
        </is>
      </c>
      <c r="U26" s="120" t="n"/>
      <c r="V26" s="120" t="n"/>
      <c r="W26" s="121" t="n"/>
      <c r="X26" s="177" t="n"/>
      <c r="Y26" s="176" t="n"/>
      <c r="Z26" s="174" t="n"/>
      <c r="AA26" s="177" t="n"/>
    </row>
    <row r="27" ht="14" customHeight="1" s="70">
      <c r="A27" s="180" t="n"/>
      <c r="B27" s="173" t="n"/>
      <c r="C27" s="173" t="n"/>
      <c r="D27" s="128" t="inlineStr">
        <is>
          <t>Confirms</t>
        </is>
      </c>
      <c r="E27" s="129" t="inlineStr">
        <is>
          <t>NO-DOC-CODE (Report of Analysis), (23.04.2025) [PP]</t>
        </is>
      </c>
      <c r="F27" s="130" t="inlineStr">
        <is>
          <t>✓</t>
        </is>
      </c>
      <c r="G27" s="141" t="n"/>
      <c r="H27" s="140" t="n"/>
      <c r="I27" s="142" t="n"/>
      <c r="J27" s="141" t="n"/>
      <c r="K27" s="140" t="n"/>
      <c r="L27" s="140" t="n"/>
      <c r="M27" s="140" t="n"/>
      <c r="N27" s="140" t="n"/>
      <c r="O27" s="142" t="n"/>
      <c r="P27" s="141" t="n"/>
      <c r="Q27" s="140" t="n"/>
      <c r="R27" s="140" t="n"/>
      <c r="S27" s="142" t="n"/>
      <c r="T27" s="141" t="n"/>
      <c r="U27" s="140" t="n"/>
      <c r="V27" s="140" t="n"/>
      <c r="W27" s="140" t="n"/>
      <c r="X27" s="142" t="n"/>
      <c r="Y27" s="141" t="n"/>
      <c r="Z27" s="140" t="n"/>
      <c r="AA27" s="142" t="n"/>
    </row>
    <row r="28" ht="13" customHeight="1" s="70">
      <c r="A28" s="175" t="n"/>
      <c r="B28" s="174" t="n"/>
      <c r="C28" s="174" t="n"/>
      <c r="D28" s="176" t="n"/>
      <c r="E28" s="174" t="n"/>
      <c r="F28" s="177" t="n"/>
      <c r="G28" s="145" t="n"/>
      <c r="H28" s="146" t="n"/>
      <c r="I28" s="147" t="n"/>
      <c r="J28" s="145" t="n"/>
      <c r="K28" s="146" t="n"/>
      <c r="L28" s="146" t="n"/>
      <c r="M28" s="146" t="n"/>
      <c r="N28" s="146" t="n"/>
      <c r="O28" s="147" t="n"/>
      <c r="P28" s="145" t="n"/>
      <c r="Q28" s="146" t="n"/>
      <c r="R28" s="146" t="n"/>
      <c r="S28" s="147" t="n"/>
      <c r="T28" s="145" t="n"/>
      <c r="U28" s="146" t="n"/>
      <c r="V28" s="146" t="n"/>
      <c r="W28" s="146" t="n"/>
      <c r="X28" s="147" t="n"/>
      <c r="Y28" s="145" t="n"/>
      <c r="Z28" s="146" t="n"/>
      <c r="AA28" s="147" t="n"/>
    </row>
    <row r="29" ht="21" customHeight="1" s="70">
      <c r="A29" s="125" t="inlineStr">
        <is>
          <t>J31102501</t>
        </is>
      </c>
      <c r="B29" s="126" t="inlineStr">
        <is>
          <t>P060152</t>
        </is>
      </c>
      <c r="C29" s="149" t="inlineStr">
        <is>
          <t>⚠ 3 NO RESULT
(3 no cert / 0 cert w/o result)
3 testing instances
• 3 document(s) on file, not credited</t>
        </is>
      </c>
      <c r="D29" s="128" t="inlineStr">
        <is>
          <t>Conforms</t>
        </is>
      </c>
      <c r="E29" s="129">
        <f>IFERROR(INDEX('iCoA Register'!$B:$B,MATCH("P060152|FM|I",'iCoA Register'!$R:$R,0)),"iCoA — at issue")&amp;", (05.03.2026) [PP]"</f>
        <v/>
      </c>
      <c r="F29" s="130" t="inlineStr">
        <is>
          <t>✓</t>
        </is>
      </c>
      <c r="G29" s="128" t="inlineStr">
        <is>
          <t>6.3</t>
        </is>
      </c>
      <c r="H29" s="129" t="inlineStr">
        <is>
          <t>051-1-LoD-26, (02.03.2026) [FHM-K]</t>
        </is>
      </c>
      <c r="I29" s="130" t="inlineStr">
        <is>
          <t>✓</t>
        </is>
      </c>
      <c r="J29" s="150" t="inlineStr">
        <is>
          <t>— MISSING —</t>
        </is>
      </c>
      <c r="K29" s="151" t="inlineStr">
        <is>
          <t>— MISSING —</t>
        </is>
      </c>
      <c r="L29" s="151" t="inlineStr">
        <is>
          <t>— MISSING —</t>
        </is>
      </c>
      <c r="M29" s="151" t="inlineStr">
        <is>
          <t>— MISSING —</t>
        </is>
      </c>
      <c r="N29" s="151" t="inlineStr">
        <is>
          <t>— MISSING —</t>
        </is>
      </c>
      <c r="O29" s="152" t="inlineStr">
        <is>
          <t>✗</t>
        </is>
      </c>
      <c r="P29" s="128" t="inlineStr">
        <is>
          <t>ND</t>
        </is>
      </c>
      <c r="Q29" s="134" t="inlineStr">
        <is>
          <t>ND ᴿ</t>
        </is>
      </c>
      <c r="R29" s="134" t="inlineStr">
        <is>
          <t>ND</t>
        </is>
      </c>
      <c r="S29" s="130" t="inlineStr">
        <is>
          <t>✓</t>
        </is>
      </c>
      <c r="T29" s="150" t="inlineStr">
        <is>
          <t>— MISSING —</t>
        </is>
      </c>
      <c r="U29" s="151" t="inlineStr">
        <is>
          <t>— MISSING —</t>
        </is>
      </c>
      <c r="V29" s="151" t="inlineStr">
        <is>
          <t>— MISSING —</t>
        </is>
      </c>
      <c r="W29" s="151" t="inlineStr">
        <is>
          <t>— MISSING —</t>
        </is>
      </c>
      <c r="X29" s="152" t="inlineStr">
        <is>
          <t>✗</t>
        </is>
      </c>
      <c r="Y29" s="150" t="inlineStr">
        <is>
          <t>— MISSING —</t>
        </is>
      </c>
      <c r="Z29" s="153" t="inlineStr">
        <is>
          <t>— no certificate —</t>
        </is>
      </c>
      <c r="AA29" s="152" t="inlineStr">
        <is>
          <t>✗</t>
        </is>
      </c>
    </row>
    <row r="30" ht="21" customHeight="1" s="70">
      <c r="A30" s="180" t="n"/>
      <c r="B30" s="173" t="n"/>
      <c r="C30" s="173" t="n"/>
      <c r="D30" s="176" t="n"/>
      <c r="E30" s="174" t="n"/>
      <c r="F30" s="177" t="n"/>
      <c r="G30" s="176" t="n"/>
      <c r="H30" s="174" t="n"/>
      <c r="I30" s="177" t="n"/>
      <c r="J30" s="156" t="inlineStr">
        <is>
          <t>— no certificate —</t>
        </is>
      </c>
      <c r="K30" s="120" t="n"/>
      <c r="L30" s="120" t="n"/>
      <c r="M30" s="120" t="n"/>
      <c r="N30" s="121" t="n"/>
      <c r="O30" s="177" t="n"/>
      <c r="P30" s="138" t="inlineStr">
        <is>
          <t>197-16-M-26, (10.08.2026) [FHM-M]</t>
        </is>
      </c>
      <c r="Q30" s="120" t="n"/>
      <c r="R30" s="121" t="n"/>
      <c r="S30" s="177" t="n"/>
      <c r="T30" s="156" t="inlineStr">
        <is>
          <t>— no certificate —</t>
        </is>
      </c>
      <c r="U30" s="120" t="n"/>
      <c r="V30" s="120" t="n"/>
      <c r="W30" s="121" t="n"/>
      <c r="X30" s="177" t="n"/>
      <c r="Y30" s="176" t="n"/>
      <c r="Z30" s="174" t="n"/>
      <c r="AA30" s="177" t="n"/>
    </row>
    <row r="31" ht="14" customHeight="1" s="70">
      <c r="A31" s="180" t="n"/>
      <c r="B31" s="173" t="n"/>
      <c r="C31" s="173" t="n"/>
      <c r="D31" s="141" t="n"/>
      <c r="E31" s="140" t="n"/>
      <c r="F31" s="142" t="n"/>
      <c r="G31" s="131" t="inlineStr">
        <is>
          <t>not on this certificate</t>
        </is>
      </c>
      <c r="H31" s="132" t="inlineStr">
        <is>
          <t>051-1-K-26, (04.03.2026) [FHM-K] · on file, not credited</t>
        </is>
      </c>
      <c r="I31" s="133" t="inlineStr">
        <is>
          <t>•</t>
        </is>
      </c>
      <c r="J31" s="141" t="n"/>
      <c r="K31" s="140" t="n"/>
      <c r="L31" s="140" t="n"/>
      <c r="M31" s="140" t="n"/>
      <c r="N31" s="140" t="n"/>
      <c r="O31" s="142" t="n"/>
      <c r="P31" s="141" t="n"/>
      <c r="Q31" s="140" t="n"/>
      <c r="R31" s="140" t="n"/>
      <c r="S31" s="142" t="n"/>
      <c r="T31" s="141" t="n"/>
      <c r="U31" s="140" t="n"/>
      <c r="V31" s="140" t="n"/>
      <c r="W31" s="140" t="n"/>
      <c r="X31" s="142" t="n"/>
      <c r="Y31" s="141" t="n"/>
      <c r="Z31" s="140" t="n"/>
      <c r="AA31" s="142" t="n"/>
    </row>
    <row r="32" ht="21" customHeight="1" s="70">
      <c r="A32" s="180" t="n"/>
      <c r="B32" s="173" t="n"/>
      <c r="C32" s="173" t="n"/>
      <c r="D32" s="145" t="n"/>
      <c r="E32" s="146" t="n"/>
      <c r="F32" s="147" t="n"/>
      <c r="G32" s="176" t="n"/>
      <c r="H32" s="174" t="n"/>
      <c r="I32" s="177" t="n"/>
      <c r="J32" s="145" t="n"/>
      <c r="K32" s="146" t="n"/>
      <c r="L32" s="146" t="n"/>
      <c r="M32" s="146" t="n"/>
      <c r="N32" s="146" t="n"/>
      <c r="O32" s="147" t="n"/>
      <c r="P32" s="145" t="n"/>
      <c r="Q32" s="146" t="n"/>
      <c r="R32" s="146" t="n"/>
      <c r="S32" s="147" t="n"/>
      <c r="T32" s="145" t="n"/>
      <c r="U32" s="146" t="n"/>
      <c r="V32" s="146" t="n"/>
      <c r="W32" s="146" t="n"/>
      <c r="X32" s="147" t="n"/>
      <c r="Y32" s="145" t="n"/>
      <c r="Z32" s="146" t="n"/>
      <c r="AA32" s="147" t="n"/>
    </row>
    <row r="33" ht="14" customHeight="1" s="70">
      <c r="A33" s="180" t="n"/>
      <c r="B33" s="173" t="n"/>
      <c r="C33" s="173" t="n"/>
      <c r="D33" s="141" t="n"/>
      <c r="E33" s="140" t="n"/>
      <c r="F33" s="142" t="n"/>
      <c r="G33" s="131" t="inlineStr">
        <is>
          <t>not on this certificate</t>
        </is>
      </c>
      <c r="H33" s="132" t="inlineStr">
        <is>
          <t>197-16-K-26, (07.08.2026) [FHM-K] · on file, not credited</t>
        </is>
      </c>
      <c r="I33" s="133" t="inlineStr">
        <is>
          <t>•</t>
        </is>
      </c>
      <c r="J33" s="141" t="n"/>
      <c r="K33" s="140" t="n"/>
      <c r="L33" s="140" t="n"/>
      <c r="M33" s="140" t="n"/>
      <c r="N33" s="140" t="n"/>
      <c r="O33" s="142" t="n"/>
      <c r="P33" s="141" t="n"/>
      <c r="Q33" s="140" t="n"/>
      <c r="R33" s="140" t="n"/>
      <c r="S33" s="142" t="n"/>
      <c r="T33" s="141" t="n"/>
      <c r="U33" s="140" t="n"/>
      <c r="V33" s="140" t="n"/>
      <c r="W33" s="140" t="n"/>
      <c r="X33" s="142" t="n"/>
      <c r="Y33" s="141" t="n"/>
      <c r="Z33" s="140" t="n"/>
      <c r="AA33" s="142" t="n"/>
    </row>
    <row r="34" ht="21" customHeight="1" s="70">
      <c r="A34" s="175" t="n"/>
      <c r="B34" s="174" t="n"/>
      <c r="C34" s="174" t="n"/>
      <c r="D34" s="145" t="n"/>
      <c r="E34" s="146" t="n"/>
      <c r="F34" s="147" t="n"/>
      <c r="G34" s="176" t="n"/>
      <c r="H34" s="174" t="n"/>
      <c r="I34" s="177" t="n"/>
      <c r="J34" s="145" t="n"/>
      <c r="K34" s="146" t="n"/>
      <c r="L34" s="146" t="n"/>
      <c r="M34" s="146" t="n"/>
      <c r="N34" s="146" t="n"/>
      <c r="O34" s="147" t="n"/>
      <c r="P34" s="145" t="n"/>
      <c r="Q34" s="146" t="n"/>
      <c r="R34" s="146" t="n"/>
      <c r="S34" s="147" t="n"/>
      <c r="T34" s="145" t="n"/>
      <c r="U34" s="146" t="n"/>
      <c r="V34" s="146" t="n"/>
      <c r="W34" s="146" t="n"/>
      <c r="X34" s="147" t="n"/>
      <c r="Y34" s="145" t="n"/>
      <c r="Z34" s="146" t="n"/>
      <c r="AA34" s="147" t="n"/>
    </row>
    <row r="35" ht="21" customHeight="1" s="70">
      <c r="A35" s="125" t="inlineStr">
        <is>
          <t>J31112501</t>
        </is>
      </c>
      <c r="B35" s="126" t="inlineStr">
        <is>
          <t>P060202</t>
        </is>
      </c>
      <c r="C35" s="149" t="inlineStr">
        <is>
          <t>⚠ 3 NO RESULT
(3 no cert / 0 cert w/o result)
6 testing instances
• 6 document(s) on file, not credited</t>
        </is>
      </c>
      <c r="D35" s="128" t="inlineStr">
        <is>
          <t>Conforms</t>
        </is>
      </c>
      <c r="E35" s="129">
        <f>IFERROR(INDEX('iCoA Register'!$B:$B,MATCH("P060202|FM|I",'iCoA Register'!$R:$R,0)),"iCoA — at issue")&amp;", (17.04.2026) [PP]"</f>
        <v/>
      </c>
      <c r="F35" s="130" t="inlineStr">
        <is>
          <t>✓</t>
        </is>
      </c>
      <c r="G35" s="128" t="inlineStr">
        <is>
          <t>8.4</t>
        </is>
      </c>
      <c r="H35" s="129" t="inlineStr">
        <is>
          <t>051-5-LoD-26, (02.03.2026) [FHM-K]</t>
        </is>
      </c>
      <c r="I35" s="130" t="inlineStr">
        <is>
          <t>✓</t>
        </is>
      </c>
      <c r="J35" s="128" t="inlineStr">
        <is>
          <t>4.4×10²</t>
        </is>
      </c>
      <c r="K35" s="134" t="inlineStr">
        <is>
          <t>8.6×10²</t>
        </is>
      </c>
      <c r="L35" s="134" t="inlineStr">
        <is>
          <t>&lt;10²</t>
        </is>
      </c>
      <c r="M35" s="134" t="inlineStr">
        <is>
          <t>absent</t>
        </is>
      </c>
      <c r="N35" s="134" t="inlineStr">
        <is>
          <t>absent</t>
        </is>
      </c>
      <c r="O35" s="130" t="inlineStr">
        <is>
          <t>✓</t>
        </is>
      </c>
      <c r="P35" s="150" t="inlineStr">
        <is>
          <t>— MISSING —</t>
        </is>
      </c>
      <c r="Q35" s="151" t="inlineStr">
        <is>
          <t>— MISSING —</t>
        </is>
      </c>
      <c r="R35" s="151" t="inlineStr">
        <is>
          <t>— MISSING —</t>
        </is>
      </c>
      <c r="S35" s="152" t="inlineStr">
        <is>
          <t>✗</t>
        </is>
      </c>
      <c r="T35" s="150" t="inlineStr">
        <is>
          <t>— MISSING —</t>
        </is>
      </c>
      <c r="U35" s="151" t="inlineStr">
        <is>
          <t>— MISSING —</t>
        </is>
      </c>
      <c r="V35" s="151" t="inlineStr">
        <is>
          <t>— MISSING —</t>
        </is>
      </c>
      <c r="W35" s="151" t="inlineStr">
        <is>
          <t>— MISSING —</t>
        </is>
      </c>
      <c r="X35" s="152" t="inlineStr">
        <is>
          <t>✗</t>
        </is>
      </c>
      <c r="Y35" s="150" t="inlineStr">
        <is>
          <t>— MISSING —</t>
        </is>
      </c>
      <c r="Z35" s="153" t="inlineStr">
        <is>
          <t>— no certificate —</t>
        </is>
      </c>
      <c r="AA35" s="152" t="inlineStr">
        <is>
          <t>✗</t>
        </is>
      </c>
    </row>
    <row r="36" ht="21" customHeight="1" s="70">
      <c r="A36" s="180" t="n"/>
      <c r="B36" s="173" t="n"/>
      <c r="C36" s="173" t="n"/>
      <c r="D36" s="176" t="n"/>
      <c r="E36" s="174" t="n"/>
      <c r="F36" s="177" t="n"/>
      <c r="G36" s="176" t="n"/>
      <c r="H36" s="174" t="n"/>
      <c r="I36" s="177" t="n"/>
      <c r="J36" s="138" t="inlineStr">
        <is>
          <t>547-1078-26, (31.08.2026) [IJZ-MB]</t>
        </is>
      </c>
      <c r="K36" s="120" t="n"/>
      <c r="L36" s="120" t="n"/>
      <c r="M36" s="120" t="n"/>
      <c r="N36" s="121" t="n"/>
      <c r="O36" s="177" t="n"/>
      <c r="P36" s="156" t="inlineStr">
        <is>
          <t>— no certificate —</t>
        </is>
      </c>
      <c r="Q36" s="120" t="n"/>
      <c r="R36" s="121" t="n"/>
      <c r="S36" s="177" t="n"/>
      <c r="T36" s="156" t="inlineStr">
        <is>
          <t>— no certificate —</t>
        </is>
      </c>
      <c r="U36" s="120" t="n"/>
      <c r="V36" s="120" t="n"/>
      <c r="W36" s="121" t="n"/>
      <c r="X36" s="177" t="n"/>
      <c r="Y36" s="176" t="n"/>
      <c r="Z36" s="174" t="n"/>
      <c r="AA36" s="177" t="n"/>
    </row>
    <row r="37" ht="14" customHeight="1" s="70">
      <c r="A37" s="180" t="n"/>
      <c r="B37" s="173" t="n"/>
      <c r="C37" s="173" t="n"/>
      <c r="D37" s="141" t="n"/>
      <c r="E37" s="140" t="n"/>
      <c r="F37" s="142" t="n"/>
      <c r="G37" s="131" t="inlineStr">
        <is>
          <t>not on this certificate</t>
        </is>
      </c>
      <c r="H37" s="132" t="inlineStr">
        <is>
          <t>051-5-K-26, (04.03.2026) [FHM-K] · on file, not credited</t>
        </is>
      </c>
      <c r="I37" s="133" t="inlineStr">
        <is>
          <t>•</t>
        </is>
      </c>
      <c r="J37" s="141" t="n"/>
      <c r="K37" s="140" t="n"/>
      <c r="L37" s="140" t="n"/>
      <c r="M37" s="140" t="n"/>
      <c r="N37" s="140" t="n"/>
      <c r="O37" s="142" t="n"/>
      <c r="P37" s="141" t="n"/>
      <c r="Q37" s="140" t="n"/>
      <c r="R37" s="140" t="n"/>
      <c r="S37" s="142" t="n"/>
      <c r="T37" s="141" t="n"/>
      <c r="U37" s="140" t="n"/>
      <c r="V37" s="140" t="n"/>
      <c r="W37" s="140" t="n"/>
      <c r="X37" s="142" t="n"/>
      <c r="Y37" s="141" t="n"/>
      <c r="Z37" s="140" t="n"/>
      <c r="AA37" s="142" t="n"/>
    </row>
    <row r="38" ht="21" customHeight="1" s="70">
      <c r="A38" s="180" t="n"/>
      <c r="B38" s="173" t="n"/>
      <c r="C38" s="173" t="n"/>
      <c r="D38" s="145" t="n"/>
      <c r="E38" s="146" t="n"/>
      <c r="F38" s="147" t="n"/>
      <c r="G38" s="176" t="n"/>
      <c r="H38" s="174" t="n"/>
      <c r="I38" s="177" t="n"/>
      <c r="J38" s="145" t="n"/>
      <c r="K38" s="146" t="n"/>
      <c r="L38" s="146" t="n"/>
      <c r="M38" s="146" t="n"/>
      <c r="N38" s="146" t="n"/>
      <c r="O38" s="147" t="n"/>
      <c r="P38" s="145" t="n"/>
      <c r="Q38" s="146" t="n"/>
      <c r="R38" s="146" t="n"/>
      <c r="S38" s="147" t="n"/>
      <c r="T38" s="145" t="n"/>
      <c r="U38" s="146" t="n"/>
      <c r="V38" s="146" t="n"/>
      <c r="W38" s="146" t="n"/>
      <c r="X38" s="147" t="n"/>
      <c r="Y38" s="145" t="n"/>
      <c r="Z38" s="146" t="n"/>
      <c r="AA38" s="147" t="n"/>
    </row>
    <row r="39" ht="14" customHeight="1" s="70">
      <c r="A39" s="180" t="n"/>
      <c r="B39" s="173" t="n"/>
      <c r="C39" s="173" t="n"/>
      <c r="D39" s="141" t="n"/>
      <c r="E39" s="140" t="n"/>
      <c r="F39" s="142" t="n"/>
      <c r="G39" s="131" t="inlineStr">
        <is>
          <t>not on this certificate</t>
        </is>
      </c>
      <c r="H39" s="132" t="inlineStr">
        <is>
          <t>100-1-K-26, (09.04.2026) [FHM-K] · on file, not credited</t>
        </is>
      </c>
      <c r="I39" s="133" t="inlineStr">
        <is>
          <t>•</t>
        </is>
      </c>
      <c r="J39" s="141" t="n"/>
      <c r="K39" s="140" t="n"/>
      <c r="L39" s="140" t="n"/>
      <c r="M39" s="140" t="n"/>
      <c r="N39" s="140" t="n"/>
      <c r="O39" s="142" t="n"/>
      <c r="P39" s="141" t="n"/>
      <c r="Q39" s="140" t="n"/>
      <c r="R39" s="140" t="n"/>
      <c r="S39" s="142" t="n"/>
      <c r="T39" s="141" t="n"/>
      <c r="U39" s="140" t="n"/>
      <c r="V39" s="140" t="n"/>
      <c r="W39" s="140" t="n"/>
      <c r="X39" s="142" t="n"/>
      <c r="Y39" s="141" t="n"/>
      <c r="Z39" s="140" t="n"/>
      <c r="AA39" s="142" t="n"/>
    </row>
    <row r="40" ht="21" customHeight="1" s="70">
      <c r="A40" s="180" t="n"/>
      <c r="B40" s="173" t="n"/>
      <c r="C40" s="173" t="n"/>
      <c r="D40" s="145" t="n"/>
      <c r="E40" s="146" t="n"/>
      <c r="F40" s="147" t="n"/>
      <c r="G40" s="176" t="n"/>
      <c r="H40" s="174" t="n"/>
      <c r="I40" s="177" t="n"/>
      <c r="J40" s="145" t="n"/>
      <c r="K40" s="146" t="n"/>
      <c r="L40" s="146" t="n"/>
      <c r="M40" s="146" t="n"/>
      <c r="N40" s="146" t="n"/>
      <c r="O40" s="147" t="n"/>
      <c r="P40" s="145" t="n"/>
      <c r="Q40" s="146" t="n"/>
      <c r="R40" s="146" t="n"/>
      <c r="S40" s="147" t="n"/>
      <c r="T40" s="145" t="n"/>
      <c r="U40" s="146" t="n"/>
      <c r="V40" s="146" t="n"/>
      <c r="W40" s="146" t="n"/>
      <c r="X40" s="147" t="n"/>
      <c r="Y40" s="145" t="n"/>
      <c r="Z40" s="146" t="n"/>
      <c r="AA40" s="147" t="n"/>
    </row>
    <row r="41" ht="14" customHeight="1" s="70">
      <c r="A41" s="180" t="n"/>
      <c r="B41" s="173" t="n"/>
      <c r="C41" s="173" t="n"/>
      <c r="D41" s="141" t="n"/>
      <c r="E41" s="140" t="n"/>
      <c r="F41" s="142" t="n"/>
      <c r="G41" s="128" t="inlineStr">
        <is>
          <t>7.6</t>
        </is>
      </c>
      <c r="H41" s="129" t="inlineStr">
        <is>
          <t>100-1-LoD-26, (09.04.2026) [FHM-K]</t>
        </is>
      </c>
      <c r="I41" s="130" t="inlineStr">
        <is>
          <t>✓</t>
        </is>
      </c>
      <c r="J41" s="141" t="n"/>
      <c r="K41" s="140" t="n"/>
      <c r="L41" s="140" t="n"/>
      <c r="M41" s="140" t="n"/>
      <c r="N41" s="140" t="n"/>
      <c r="O41" s="142" t="n"/>
      <c r="P41" s="141" t="n"/>
      <c r="Q41" s="140" t="n"/>
      <c r="R41" s="140" t="n"/>
      <c r="S41" s="142" t="n"/>
      <c r="T41" s="141" t="n"/>
      <c r="U41" s="140" t="n"/>
      <c r="V41" s="140" t="n"/>
      <c r="W41" s="140" t="n"/>
      <c r="X41" s="142" t="n"/>
      <c r="Y41" s="141" t="n"/>
      <c r="Z41" s="140" t="n"/>
      <c r="AA41" s="142" t="n"/>
    </row>
    <row r="42" ht="21" customHeight="1" s="70">
      <c r="A42" s="180" t="n"/>
      <c r="B42" s="173" t="n"/>
      <c r="C42" s="173" t="n"/>
      <c r="D42" s="145" t="n"/>
      <c r="E42" s="146" t="n"/>
      <c r="F42" s="147" t="n"/>
      <c r="G42" s="176" t="n"/>
      <c r="H42" s="174" t="n"/>
      <c r="I42" s="177" t="n"/>
      <c r="J42" s="145" t="n"/>
      <c r="K42" s="146" t="n"/>
      <c r="L42" s="146" t="n"/>
      <c r="M42" s="146" t="n"/>
      <c r="N42" s="146" t="n"/>
      <c r="O42" s="147" t="n"/>
      <c r="P42" s="145" t="n"/>
      <c r="Q42" s="146" t="n"/>
      <c r="R42" s="146" t="n"/>
      <c r="S42" s="147" t="n"/>
      <c r="T42" s="145" t="n"/>
      <c r="U42" s="146" t="n"/>
      <c r="V42" s="146" t="n"/>
      <c r="W42" s="146" t="n"/>
      <c r="X42" s="147" t="n"/>
      <c r="Y42" s="145" t="n"/>
      <c r="Z42" s="146" t="n"/>
      <c r="AA42" s="147" t="n"/>
    </row>
    <row r="43" ht="14" customHeight="1" s="70">
      <c r="A43" s="180" t="n"/>
      <c r="B43" s="173" t="n"/>
      <c r="C43" s="173" t="n"/>
      <c r="D43" s="141" t="n"/>
      <c r="E43" s="140" t="n"/>
      <c r="F43" s="142" t="n"/>
      <c r="G43" s="128" t="inlineStr">
        <is>
          <t>10.3 ± 0.2</t>
        </is>
      </c>
      <c r="H43" s="129" t="inlineStr">
        <is>
          <t>100-2-LoD-26, (09.04.2026) [FHM-K]</t>
        </is>
      </c>
      <c r="I43" s="130" t="inlineStr">
        <is>
          <t>✓</t>
        </is>
      </c>
      <c r="J43" s="141" t="n"/>
      <c r="K43" s="140" t="n"/>
      <c r="L43" s="140" t="n"/>
      <c r="M43" s="140" t="n"/>
      <c r="N43" s="140" t="n"/>
      <c r="O43" s="142" t="n"/>
      <c r="P43" s="141" t="n"/>
      <c r="Q43" s="140" t="n"/>
      <c r="R43" s="140" t="n"/>
      <c r="S43" s="142" t="n"/>
      <c r="T43" s="141" t="n"/>
      <c r="U43" s="140" t="n"/>
      <c r="V43" s="140" t="n"/>
      <c r="W43" s="140" t="n"/>
      <c r="X43" s="142" t="n"/>
      <c r="Y43" s="141" t="n"/>
      <c r="Z43" s="140" t="n"/>
      <c r="AA43" s="142" t="n"/>
    </row>
    <row r="44" ht="21" customHeight="1" s="70">
      <c r="A44" s="180" t="n"/>
      <c r="B44" s="173" t="n"/>
      <c r="C44" s="173" t="n"/>
      <c r="D44" s="145" t="n"/>
      <c r="E44" s="146" t="n"/>
      <c r="F44" s="147" t="n"/>
      <c r="G44" s="176" t="n"/>
      <c r="H44" s="174" t="n"/>
      <c r="I44" s="177" t="n"/>
      <c r="J44" s="145" t="n"/>
      <c r="K44" s="146" t="n"/>
      <c r="L44" s="146" t="n"/>
      <c r="M44" s="146" t="n"/>
      <c r="N44" s="146" t="n"/>
      <c r="O44" s="147" t="n"/>
      <c r="P44" s="145" t="n"/>
      <c r="Q44" s="146" t="n"/>
      <c r="R44" s="146" t="n"/>
      <c r="S44" s="147" t="n"/>
      <c r="T44" s="145" t="n"/>
      <c r="U44" s="146" t="n"/>
      <c r="V44" s="146" t="n"/>
      <c r="W44" s="146" t="n"/>
      <c r="X44" s="147" t="n"/>
      <c r="Y44" s="145" t="n"/>
      <c r="Z44" s="146" t="n"/>
      <c r="AA44" s="147" t="n"/>
    </row>
    <row r="45" ht="14" customHeight="1" s="70">
      <c r="A45" s="180" t="n"/>
      <c r="B45" s="173" t="n"/>
      <c r="C45" s="173" t="n"/>
      <c r="D45" s="141" t="n"/>
      <c r="E45" s="140" t="n"/>
      <c r="F45" s="142" t="n"/>
      <c r="G45" s="128" t="inlineStr">
        <is>
          <t>10.3</t>
        </is>
      </c>
      <c r="H45" s="129" t="inlineStr">
        <is>
          <t>100-3-LoD-26, (09.04.2026) [FHM-K]</t>
        </is>
      </c>
      <c r="I45" s="130" t="inlineStr">
        <is>
          <t>✓</t>
        </is>
      </c>
      <c r="J45" s="141" t="n"/>
      <c r="K45" s="140" t="n"/>
      <c r="L45" s="140" t="n"/>
      <c r="M45" s="140" t="n"/>
      <c r="N45" s="140" t="n"/>
      <c r="O45" s="142" t="n"/>
      <c r="P45" s="141" t="n"/>
      <c r="Q45" s="140" t="n"/>
      <c r="R45" s="140" t="n"/>
      <c r="S45" s="142" t="n"/>
      <c r="T45" s="141" t="n"/>
      <c r="U45" s="140" t="n"/>
      <c r="V45" s="140" t="n"/>
      <c r="W45" s="140" t="n"/>
      <c r="X45" s="142" t="n"/>
      <c r="Y45" s="141" t="n"/>
      <c r="Z45" s="140" t="n"/>
      <c r="AA45" s="142" t="n"/>
    </row>
    <row r="46" ht="21" customHeight="1" s="70">
      <c r="A46" s="175" t="n"/>
      <c r="B46" s="174" t="n"/>
      <c r="C46" s="174" t="n"/>
      <c r="D46" s="145" t="n"/>
      <c r="E46" s="146" t="n"/>
      <c r="F46" s="147" t="n"/>
      <c r="G46" s="176" t="n"/>
      <c r="H46" s="174" t="n"/>
      <c r="I46" s="177" t="n"/>
      <c r="J46" s="145" t="n"/>
      <c r="K46" s="146" t="n"/>
      <c r="L46" s="146" t="n"/>
      <c r="M46" s="146" t="n"/>
      <c r="N46" s="146" t="n"/>
      <c r="O46" s="147" t="n"/>
      <c r="P46" s="145" t="n"/>
      <c r="Q46" s="146" t="n"/>
      <c r="R46" s="146" t="n"/>
      <c r="S46" s="147" t="n"/>
      <c r="T46" s="145" t="n"/>
      <c r="U46" s="146" t="n"/>
      <c r="V46" s="146" t="n"/>
      <c r="W46" s="146" t="n"/>
      <c r="X46" s="147" t="n"/>
      <c r="Y46" s="145" t="n"/>
      <c r="Z46" s="146" t="n"/>
      <c r="AA46" s="147" t="n"/>
    </row>
    <row r="47" ht="21" customHeight="1" s="70">
      <c r="A47" s="125" t="inlineStr">
        <is>
          <t>J31122501</t>
        </is>
      </c>
      <c r="B47" s="126" t="inlineStr">
        <is>
          <t>P060262</t>
        </is>
      </c>
      <c r="C47" s="149" t="inlineStr">
        <is>
          <t>⚠ 1 NO RESULT
(1 no cert / 0 cert w/o result)
3 testing instances
• 2 document(s) on file, not credited</t>
        </is>
      </c>
      <c r="D47" s="128" t="inlineStr">
        <is>
          <t>Conforms</t>
        </is>
      </c>
      <c r="E47" s="129">
        <f>IFERROR(INDEX('iCoA Register'!$B:$B,MATCH("P060262|FM|I",'iCoA Register'!$R:$R,0)),"iCoA — at issue")&amp;", (14.05.2026) [PP]"</f>
        <v/>
      </c>
      <c r="F47" s="130" t="inlineStr">
        <is>
          <t>✓</t>
        </is>
      </c>
      <c r="G47" s="131" t="inlineStr">
        <is>
          <t>not ingested</t>
        </is>
      </c>
      <c r="H47" s="132" t="inlineStr">
        <is>
          <t>100-2-K-26, (09.04.2026) [FHM-K] · on file, not credited</t>
        </is>
      </c>
      <c r="I47" s="133" t="inlineStr">
        <is>
          <t>•</t>
        </is>
      </c>
      <c r="J47" s="128" t="inlineStr">
        <is>
          <t>1900 ᴿ</t>
        </is>
      </c>
      <c r="K47" s="134" t="inlineStr">
        <is>
          <t>840 ᴿ</t>
        </is>
      </c>
      <c r="L47" s="134" t="inlineStr">
        <is>
          <t>&lt;10³ and &gt;10² ᴿ</t>
        </is>
      </c>
      <c r="M47" s="134" t="inlineStr">
        <is>
          <t>absent ᴿ</t>
        </is>
      </c>
      <c r="N47" s="134" t="inlineStr">
        <is>
          <t>absent ᴿ</t>
        </is>
      </c>
      <c r="O47" s="130" t="inlineStr">
        <is>
          <t>✓</t>
        </is>
      </c>
      <c r="P47" s="128" t="inlineStr">
        <is>
          <t>n.r.</t>
        </is>
      </c>
      <c r="Q47" s="134" t="inlineStr">
        <is>
          <t>Complies ᴿ</t>
        </is>
      </c>
      <c r="R47" s="134" t="inlineStr">
        <is>
          <t>n.r.</t>
        </is>
      </c>
      <c r="S47" s="130" t="inlineStr">
        <is>
          <t>✓</t>
        </is>
      </c>
      <c r="T47" s="158" t="inlineStr">
        <is>
          <t>not ingested</t>
        </is>
      </c>
      <c r="U47" s="161" t="inlineStr"/>
      <c r="V47" s="161" t="inlineStr"/>
      <c r="W47" s="161" t="inlineStr"/>
      <c r="X47" s="160" t="inlineStr">
        <is>
          <t>✗</t>
        </is>
      </c>
      <c r="Y47" s="128" t="inlineStr">
        <is>
          <t>N.D. ᴿ</t>
        </is>
      </c>
      <c r="Z47" s="129" t="inlineStr">
        <is>
          <t>1625-2026, (23.04.2026) [IJZ]</t>
        </is>
      </c>
      <c r="AA47" s="130" t="inlineStr">
        <is>
          <t>✓</t>
        </is>
      </c>
    </row>
    <row r="48" ht="21" customHeight="1" s="70">
      <c r="A48" s="180" t="n"/>
      <c r="B48" s="173" t="n"/>
      <c r="C48" s="173" t="n"/>
      <c r="D48" s="176" t="n"/>
      <c r="E48" s="174" t="n"/>
      <c r="F48" s="177" t="n"/>
      <c r="G48" s="176" t="n"/>
      <c r="H48" s="174" t="n"/>
      <c r="I48" s="177" t="n"/>
      <c r="J48" s="138" t="inlineStr">
        <is>
          <t>230-0393-26, (07.04.2026) [IJZ-MB]</t>
        </is>
      </c>
      <c r="K48" s="120" t="n"/>
      <c r="L48" s="120" t="n"/>
      <c r="M48" s="120" t="n"/>
      <c r="N48" s="121" t="n"/>
      <c r="O48" s="177" t="n"/>
      <c r="P48" s="138" t="inlineStr">
        <is>
          <t>1625-2026, (23.04.2026) [IJZ]</t>
        </is>
      </c>
      <c r="Q48" s="120" t="n"/>
      <c r="R48" s="121" t="n"/>
      <c r="S48" s="177" t="n"/>
      <c r="T48" s="162" t="inlineStr">
        <is>
          <t>1625-2026, (23.04.2026) [IJZ]</t>
        </is>
      </c>
      <c r="U48" s="120" t="n"/>
      <c r="V48" s="120" t="n"/>
      <c r="W48" s="121" t="n"/>
      <c r="X48" s="177" t="n"/>
      <c r="Y48" s="176" t="n"/>
      <c r="Z48" s="174" t="n"/>
      <c r="AA48" s="177" t="n"/>
    </row>
    <row r="49" ht="21" customHeight="1" s="70">
      <c r="A49" s="180" t="n"/>
      <c r="B49" s="173" t="n"/>
      <c r="C49" s="173" t="n"/>
      <c r="D49" s="141" t="n"/>
      <c r="E49" s="140" t="n"/>
      <c r="F49" s="142" t="n"/>
      <c r="G49" s="131" t="inlineStr">
        <is>
          <t>not ingested</t>
        </is>
      </c>
      <c r="H49" s="132" t="inlineStr">
        <is>
          <t>100-3-K-26, (09.04.2026) [FHM-K] · on file, not credited</t>
        </is>
      </c>
      <c r="I49" s="133" t="inlineStr">
        <is>
          <t>•</t>
        </is>
      </c>
      <c r="J49" s="128" t="inlineStr">
        <is>
          <t>850 ᴿ</t>
        </is>
      </c>
      <c r="K49" s="134" t="inlineStr">
        <is>
          <t>370 ᴿ</t>
        </is>
      </c>
      <c r="L49" s="134" t="inlineStr">
        <is>
          <t>&lt;10² and &gt;10 ᴿ</t>
        </is>
      </c>
      <c r="M49" s="134" t="inlineStr">
        <is>
          <t>absent ᴿ</t>
        </is>
      </c>
      <c r="N49" s="134" t="inlineStr">
        <is>
          <t>absent ᴿ</t>
        </is>
      </c>
      <c r="O49" s="130" t="inlineStr">
        <is>
          <t>✓</t>
        </is>
      </c>
      <c r="P49" s="128" t="inlineStr">
        <is>
          <t>n.r.</t>
        </is>
      </c>
      <c r="Q49" s="134" t="inlineStr">
        <is>
          <t>2.5 ᴿ</t>
        </is>
      </c>
      <c r="R49" s="134" t="inlineStr">
        <is>
          <t>n.r.</t>
        </is>
      </c>
      <c r="S49" s="130" t="inlineStr">
        <is>
          <t>✓</t>
        </is>
      </c>
      <c r="T49" s="128" t="inlineStr">
        <is>
          <t>N.D. ᴿ</t>
        </is>
      </c>
      <c r="U49" s="134" t="inlineStr">
        <is>
          <t>N.D. ᴿ</t>
        </is>
      </c>
      <c r="V49" s="134" t="inlineStr">
        <is>
          <t>N.D. ᴿ</t>
        </is>
      </c>
      <c r="W49" s="134" t="inlineStr">
        <is>
          <t>N.D. ᴿ</t>
        </is>
      </c>
      <c r="X49" s="130" t="inlineStr">
        <is>
          <t>✓</t>
        </is>
      </c>
      <c r="Y49" s="128" t="inlineStr">
        <is>
          <t>N.D. ᴿ</t>
        </is>
      </c>
      <c r="Z49" s="129" t="inlineStr">
        <is>
          <t>1628-2026, (23.04.2026) [IJZ]</t>
        </is>
      </c>
      <c r="AA49" s="130" t="inlineStr">
        <is>
          <t>✓</t>
        </is>
      </c>
    </row>
    <row r="50" ht="21" customHeight="1" s="70">
      <c r="A50" s="180" t="n"/>
      <c r="B50" s="173" t="n"/>
      <c r="C50" s="173" t="n"/>
      <c r="D50" s="145" t="n"/>
      <c r="E50" s="146" t="n"/>
      <c r="F50" s="147" t="n"/>
      <c r="G50" s="176" t="n"/>
      <c r="H50" s="174" t="n"/>
      <c r="I50" s="177" t="n"/>
      <c r="J50" s="148" t="inlineStr">
        <is>
          <t>231-0394-26, (07.04.2026) [IJZ-MB]</t>
        </is>
      </c>
      <c r="K50" s="178" t="n"/>
      <c r="L50" s="178" t="n"/>
      <c r="M50" s="178" t="n"/>
      <c r="N50" s="179" t="n"/>
      <c r="O50" s="177" t="n"/>
      <c r="P50" s="148" t="inlineStr">
        <is>
          <t>1628-2026, (23.04.2026) [IJZ]</t>
        </is>
      </c>
      <c r="Q50" s="178" t="n"/>
      <c r="R50" s="179" t="n"/>
      <c r="S50" s="177" t="n"/>
      <c r="T50" s="148" t="inlineStr">
        <is>
          <t>1628-2026, (23.04.2026) [IJZ]</t>
        </is>
      </c>
      <c r="U50" s="178" t="n"/>
      <c r="V50" s="178" t="n"/>
      <c r="W50" s="179" t="n"/>
      <c r="X50" s="177" t="n"/>
      <c r="Y50" s="176" t="n"/>
      <c r="Z50" s="174" t="n"/>
      <c r="AA50" s="177" t="n"/>
    </row>
    <row r="51" ht="21" customHeight="1" s="70">
      <c r="A51" s="180" t="n"/>
      <c r="B51" s="173" t="n"/>
      <c r="C51" s="173" t="n"/>
      <c r="D51" s="141" t="n"/>
      <c r="E51" s="140" t="n"/>
      <c r="F51" s="142" t="n"/>
      <c r="G51" s="141" t="n"/>
      <c r="H51" s="140" t="n"/>
      <c r="I51" s="142" t="n"/>
      <c r="J51" s="128" t="inlineStr">
        <is>
          <t>1×10³</t>
        </is>
      </c>
      <c r="K51" s="134" t="inlineStr">
        <is>
          <t>1.7×10²</t>
        </is>
      </c>
      <c r="L51" s="134" t="inlineStr">
        <is>
          <t>&lt;10³ и &gt;10²</t>
        </is>
      </c>
      <c r="M51" s="134" t="inlineStr">
        <is>
          <t>absent</t>
        </is>
      </c>
      <c r="N51" s="134" t="inlineStr">
        <is>
          <t>absent</t>
        </is>
      </c>
      <c r="O51" s="130" t="inlineStr">
        <is>
          <t>✓</t>
        </is>
      </c>
      <c r="P51" s="141" t="n"/>
      <c r="Q51" s="140" t="n"/>
      <c r="R51" s="140" t="n"/>
      <c r="S51" s="142" t="n"/>
      <c r="T51" s="141" t="n"/>
      <c r="U51" s="140" t="n"/>
      <c r="V51" s="140" t="n"/>
      <c r="W51" s="140" t="n"/>
      <c r="X51" s="142" t="n"/>
      <c r="Y51" s="141" t="n"/>
      <c r="Z51" s="140" t="n"/>
      <c r="AA51" s="142" t="n"/>
    </row>
    <row r="52" ht="13" customHeight="1" s="70">
      <c r="A52" s="175" t="n"/>
      <c r="B52" s="174" t="n"/>
      <c r="C52" s="174" t="n"/>
      <c r="D52" s="145" t="n"/>
      <c r="E52" s="146" t="n"/>
      <c r="F52" s="147" t="n"/>
      <c r="G52" s="145" t="n"/>
      <c r="H52" s="146" t="n"/>
      <c r="I52" s="147" t="n"/>
      <c r="J52" s="148" t="inlineStr">
        <is>
          <t>544-1075-26, (31.08.2026) [IJZ-MB]</t>
        </is>
      </c>
      <c r="K52" s="178" t="n"/>
      <c r="L52" s="178" t="n"/>
      <c r="M52" s="178" t="n"/>
      <c r="N52" s="179" t="n"/>
      <c r="O52" s="177" t="n"/>
      <c r="P52" s="145" t="n"/>
      <c r="Q52" s="146" t="n"/>
      <c r="R52" s="146" t="n"/>
      <c r="S52" s="147" t="n"/>
      <c r="T52" s="145" t="n"/>
      <c r="U52" s="146" t="n"/>
      <c r="V52" s="146" t="n"/>
      <c r="W52" s="146" t="n"/>
      <c r="X52" s="147" t="n"/>
      <c r="Y52" s="145" t="n"/>
      <c r="Z52" s="146" t="n"/>
      <c r="AA52" s="147" t="n"/>
    </row>
    <row r="53" ht="21" customHeight="1" s="70">
      <c r="A53" s="125" t="inlineStr">
        <is>
          <t>JD012603</t>
        </is>
      </c>
      <c r="B53" s="126" t="inlineStr">
        <is>
          <t>P060362 / P060412 / P060422</t>
        </is>
      </c>
      <c r="C53" s="155" t="inlineStr">
        <is>
          <t>✗ 4 NO RESULT
(4 no cert / 0 cert w/o result)
2 testing instances
• 1 document(s) on file, not credited</t>
        </is>
      </c>
      <c r="D53" s="128" t="inlineStr">
        <is>
          <t>/ (Одговара)</t>
        </is>
      </c>
      <c r="E53" s="129" t="inlineStr">
        <is>
          <t>ППК26111, (30.06.2026) [CNP]</t>
        </is>
      </c>
      <c r="F53" s="130" t="inlineStr">
        <is>
          <t>✓</t>
        </is>
      </c>
      <c r="G53" s="128" t="inlineStr">
        <is>
          <t>7.04</t>
        </is>
      </c>
      <c r="H53" s="129" t="inlineStr">
        <is>
          <t>ППК26111, (30.06.2026) [CNP]</t>
        </is>
      </c>
      <c r="I53" s="130" t="inlineStr">
        <is>
          <t>✓</t>
        </is>
      </c>
      <c r="J53" s="150" t="inlineStr">
        <is>
          <t>— MISSING —</t>
        </is>
      </c>
      <c r="K53" s="151" t="inlineStr">
        <is>
          <t>— MISSING —</t>
        </is>
      </c>
      <c r="L53" s="151" t="inlineStr">
        <is>
          <t>— MISSING —</t>
        </is>
      </c>
      <c r="M53" s="151" t="inlineStr">
        <is>
          <t>— MISSING —</t>
        </is>
      </c>
      <c r="N53" s="151" t="inlineStr">
        <is>
          <t>— MISSING —</t>
        </is>
      </c>
      <c r="O53" s="152" t="inlineStr">
        <is>
          <t>✗</t>
        </is>
      </c>
      <c r="P53" s="150" t="inlineStr">
        <is>
          <t>— MISSING —</t>
        </is>
      </c>
      <c r="Q53" s="151" t="inlineStr">
        <is>
          <t>— MISSING —</t>
        </is>
      </c>
      <c r="R53" s="151" t="inlineStr">
        <is>
          <t>— MISSING —</t>
        </is>
      </c>
      <c r="S53" s="152" t="inlineStr">
        <is>
          <t>✗</t>
        </is>
      </c>
      <c r="T53" s="150" t="inlineStr">
        <is>
          <t>— MISSING —</t>
        </is>
      </c>
      <c r="U53" s="151" t="inlineStr">
        <is>
          <t>— MISSING —</t>
        </is>
      </c>
      <c r="V53" s="151" t="inlineStr">
        <is>
          <t>— MISSING —</t>
        </is>
      </c>
      <c r="W53" s="151" t="inlineStr">
        <is>
          <t>— MISSING —</t>
        </is>
      </c>
      <c r="X53" s="152" t="inlineStr">
        <is>
          <t>✗</t>
        </is>
      </c>
      <c r="Y53" s="150" t="inlineStr">
        <is>
          <t>— MISSING —</t>
        </is>
      </c>
      <c r="Z53" s="153" t="inlineStr">
        <is>
          <t>— no certificate —</t>
        </is>
      </c>
      <c r="AA53" s="152" t="inlineStr">
        <is>
          <t>✗</t>
        </is>
      </c>
    </row>
    <row r="54" ht="13" customHeight="1" s="70">
      <c r="A54" s="180" t="n"/>
      <c r="B54" s="173" t="n"/>
      <c r="C54" s="173" t="n"/>
      <c r="D54" s="176" t="n"/>
      <c r="E54" s="174" t="n"/>
      <c r="F54" s="177" t="n"/>
      <c r="G54" s="176" t="n"/>
      <c r="H54" s="174" t="n"/>
      <c r="I54" s="177" t="n"/>
      <c r="J54" s="156" t="inlineStr">
        <is>
          <t>— no certificate —</t>
        </is>
      </c>
      <c r="K54" s="120" t="n"/>
      <c r="L54" s="120" t="n"/>
      <c r="M54" s="120" t="n"/>
      <c r="N54" s="121" t="n"/>
      <c r="O54" s="177" t="n"/>
      <c r="P54" s="156" t="inlineStr">
        <is>
          <t>— no certificate —</t>
        </is>
      </c>
      <c r="Q54" s="120" t="n"/>
      <c r="R54" s="121" t="n"/>
      <c r="S54" s="177" t="n"/>
      <c r="T54" s="156" t="inlineStr">
        <is>
          <t>— no certificate —</t>
        </is>
      </c>
      <c r="U54" s="120" t="n"/>
      <c r="V54" s="120" t="n"/>
      <c r="W54" s="121" t="n"/>
      <c r="X54" s="177" t="n"/>
      <c r="Y54" s="176" t="n"/>
      <c r="Z54" s="174" t="n"/>
      <c r="AA54" s="177" t="n"/>
    </row>
    <row r="55" ht="14" customHeight="1" s="70">
      <c r="A55" s="180" t="n"/>
      <c r="B55" s="173" t="n"/>
      <c r="C55" s="173" t="n"/>
      <c r="D55" s="131" t="inlineStr">
        <is>
          <t>/ (Одговара)</t>
        </is>
      </c>
      <c r="E55" s="132" t="inlineStr">
        <is>
          <t>ППК26113, (30.06.2026) [CNP] · on file, not credited</t>
        </is>
      </c>
      <c r="F55" s="133" t="inlineStr">
        <is>
          <t>•</t>
        </is>
      </c>
      <c r="G55" s="128" t="inlineStr">
        <is>
          <t>7.52</t>
        </is>
      </c>
      <c r="H55" s="129" t="inlineStr">
        <is>
          <t>ППК26113, (30.06.2026) [CNP]</t>
        </is>
      </c>
      <c r="I55" s="130" t="inlineStr">
        <is>
          <t>✓</t>
        </is>
      </c>
      <c r="J55" s="141" t="n"/>
      <c r="K55" s="140" t="n"/>
      <c r="L55" s="140" t="n"/>
      <c r="M55" s="140" t="n"/>
      <c r="N55" s="140" t="n"/>
      <c r="O55" s="142" t="n"/>
      <c r="P55" s="141" t="n"/>
      <c r="Q55" s="140" t="n"/>
      <c r="R55" s="140" t="n"/>
      <c r="S55" s="142" t="n"/>
      <c r="T55" s="141" t="n"/>
      <c r="U55" s="140" t="n"/>
      <c r="V55" s="140" t="n"/>
      <c r="W55" s="140" t="n"/>
      <c r="X55" s="142" t="n"/>
      <c r="Y55" s="141" t="n"/>
      <c r="Z55" s="140" t="n"/>
      <c r="AA55" s="142" t="n"/>
    </row>
    <row r="56" ht="13" customHeight="1" s="70">
      <c r="A56" s="175" t="n"/>
      <c r="B56" s="174" t="n"/>
      <c r="C56" s="174" t="n"/>
      <c r="D56" s="176" t="n"/>
      <c r="E56" s="174" t="n"/>
      <c r="F56" s="177" t="n"/>
      <c r="G56" s="176" t="n"/>
      <c r="H56" s="174" t="n"/>
      <c r="I56" s="177" t="n"/>
      <c r="J56" s="145" t="n"/>
      <c r="K56" s="146" t="n"/>
      <c r="L56" s="146" t="n"/>
      <c r="M56" s="146" t="n"/>
      <c r="N56" s="146" t="n"/>
      <c r="O56" s="147" t="n"/>
      <c r="P56" s="145" t="n"/>
      <c r="Q56" s="146" t="n"/>
      <c r="R56" s="146" t="n"/>
      <c r="S56" s="147" t="n"/>
      <c r="T56" s="145" t="n"/>
      <c r="U56" s="146" t="n"/>
      <c r="V56" s="146" t="n"/>
      <c r="W56" s="146" t="n"/>
      <c r="X56" s="147" t="n"/>
      <c r="Y56" s="145" t="n"/>
      <c r="Z56" s="146" t="n"/>
      <c r="AA56" s="147" t="n"/>
    </row>
    <row r="57" ht="21" customHeight="1" s="70">
      <c r="A57" s="125" t="inlineStr">
        <is>
          <t>JD022601</t>
        </is>
      </c>
      <c r="B57" s="126" t="inlineStr">
        <is>
          <t>P060482</t>
        </is>
      </c>
      <c r="C57" s="155" t="inlineStr">
        <is>
          <t>✗ 4 NO RESULT
(4 no cert / 0 cert w/o result)</t>
        </is>
      </c>
      <c r="D57" s="128" t="inlineStr">
        <is>
          <t>/ (Одговара)</t>
        </is>
      </c>
      <c r="E57" s="129" t="inlineStr">
        <is>
          <t>ППК26115, (30.06.2026) [CNP]</t>
        </is>
      </c>
      <c r="F57" s="130" t="inlineStr">
        <is>
          <t>✓</t>
        </is>
      </c>
      <c r="G57" s="128" t="inlineStr">
        <is>
          <t>7.73</t>
        </is>
      </c>
      <c r="H57" s="129" t="inlineStr">
        <is>
          <t>ППК26115, (30.06.2026) [CNP]</t>
        </is>
      </c>
      <c r="I57" s="130" t="inlineStr">
        <is>
          <t>✓</t>
        </is>
      </c>
      <c r="J57" s="150" t="inlineStr">
        <is>
          <t>— MISSING —</t>
        </is>
      </c>
      <c r="K57" s="151" t="inlineStr">
        <is>
          <t>— MISSING —</t>
        </is>
      </c>
      <c r="L57" s="151" t="inlineStr">
        <is>
          <t>— MISSING —</t>
        </is>
      </c>
      <c r="M57" s="151" t="inlineStr">
        <is>
          <t>— MISSING —</t>
        </is>
      </c>
      <c r="N57" s="151" t="inlineStr">
        <is>
          <t>— MISSING —</t>
        </is>
      </c>
      <c r="O57" s="152" t="inlineStr">
        <is>
          <t>✗</t>
        </is>
      </c>
      <c r="P57" s="150" t="inlineStr">
        <is>
          <t>— MISSING —</t>
        </is>
      </c>
      <c r="Q57" s="151" t="inlineStr">
        <is>
          <t>— MISSING —</t>
        </is>
      </c>
      <c r="R57" s="151" t="inlineStr">
        <is>
          <t>— MISSING —</t>
        </is>
      </c>
      <c r="S57" s="152" t="inlineStr">
        <is>
          <t>✗</t>
        </is>
      </c>
      <c r="T57" s="150" t="inlineStr">
        <is>
          <t>— MISSING —</t>
        </is>
      </c>
      <c r="U57" s="151" t="inlineStr">
        <is>
          <t>— MISSING —</t>
        </is>
      </c>
      <c r="V57" s="151" t="inlineStr">
        <is>
          <t>— MISSING —</t>
        </is>
      </c>
      <c r="W57" s="151" t="inlineStr">
        <is>
          <t>— MISSING —</t>
        </is>
      </c>
      <c r="X57" s="152" t="inlineStr">
        <is>
          <t>✗</t>
        </is>
      </c>
      <c r="Y57" s="150" t="inlineStr">
        <is>
          <t>— MISSING —</t>
        </is>
      </c>
      <c r="Z57" s="153" t="inlineStr">
        <is>
          <t>— no certificate —</t>
        </is>
      </c>
      <c r="AA57" s="152" t="inlineStr">
        <is>
          <t>✗</t>
        </is>
      </c>
    </row>
    <row r="58" ht="13" customHeight="1" s="70">
      <c r="A58" s="175" t="n"/>
      <c r="B58" s="174" t="n"/>
      <c r="C58" s="174" t="n"/>
      <c r="D58" s="176" t="n"/>
      <c r="E58" s="174" t="n"/>
      <c r="F58" s="177" t="n"/>
      <c r="G58" s="176" t="n"/>
      <c r="H58" s="174" t="n"/>
      <c r="I58" s="177" t="n"/>
      <c r="J58" s="154" t="inlineStr">
        <is>
          <t>— no certificate —</t>
        </is>
      </c>
      <c r="K58" s="178" t="n"/>
      <c r="L58" s="178" t="n"/>
      <c r="M58" s="178" t="n"/>
      <c r="N58" s="179" t="n"/>
      <c r="O58" s="177" t="n"/>
      <c r="P58" s="154" t="inlineStr">
        <is>
          <t>— no certificate —</t>
        </is>
      </c>
      <c r="Q58" s="178" t="n"/>
      <c r="R58" s="179" t="n"/>
      <c r="S58" s="177" t="n"/>
      <c r="T58" s="154" t="inlineStr">
        <is>
          <t>— no certificate —</t>
        </is>
      </c>
      <c r="U58" s="178" t="n"/>
      <c r="V58" s="178" t="n"/>
      <c r="W58" s="179" t="n"/>
      <c r="X58" s="177" t="n"/>
      <c r="Y58" s="176" t="n"/>
      <c r="Z58" s="174" t="n"/>
      <c r="AA58" s="177" t="n"/>
    </row>
    <row r="59" ht="21" customHeight="1" s="70">
      <c r="A59" s="125" t="inlineStr">
        <is>
          <t>JD112501</t>
        </is>
      </c>
      <c r="B59" s="126" t="inlineStr">
        <is>
          <t>P060212</t>
        </is>
      </c>
      <c r="C59" s="127" t="inlineStr">
        <is>
          <t>✓ COMPLETE
3 testing instances
• 5 document(s) on file, not credited</t>
        </is>
      </c>
      <c r="D59" s="128" t="inlineStr">
        <is>
          <t>Conforms</t>
        </is>
      </c>
      <c r="E59" s="129">
        <f>IFERROR(INDEX('iCoA Register'!$B:$B,MATCH("P060212|FM|I",'iCoA Register'!$R:$R,0)),"iCoA — at issue")&amp;", (21.04.2026) [PP]"</f>
        <v/>
      </c>
      <c r="F59" s="130" t="inlineStr">
        <is>
          <t>✓</t>
        </is>
      </c>
      <c r="G59" s="128" t="inlineStr">
        <is>
          <t>6.69</t>
        </is>
      </c>
      <c r="H59" s="129" t="inlineStr">
        <is>
          <t>ППК26063, (11.05.2026) [CNP]</t>
        </is>
      </c>
      <c r="I59" s="130" t="inlineStr">
        <is>
          <t>✓</t>
        </is>
      </c>
      <c r="J59" s="131" t="inlineStr">
        <is>
          <t>1 x 10⁴</t>
        </is>
      </c>
      <c r="K59" s="163" t="inlineStr">
        <is>
          <t>6.7 x 10³</t>
        </is>
      </c>
      <c r="L59" s="163" t="inlineStr">
        <is>
          <t>&lt;10³ и &gt;10²</t>
        </is>
      </c>
      <c r="M59" s="163" t="inlineStr">
        <is>
          <t>отсутна/25</t>
        </is>
      </c>
      <c r="N59" s="163" t="inlineStr">
        <is>
          <t>отсутна/g</t>
        </is>
      </c>
      <c r="O59" s="133" t="inlineStr">
        <is>
          <t>•</t>
        </is>
      </c>
      <c r="P59" s="128" t="inlineStr">
        <is>
          <t>n.r.</t>
        </is>
      </c>
      <c r="Q59" s="134" t="inlineStr">
        <is>
          <t>&lt;2</t>
        </is>
      </c>
      <c r="R59" s="134" t="inlineStr">
        <is>
          <t>n.r.</t>
        </is>
      </c>
      <c r="S59" s="130" t="inlineStr">
        <is>
          <t>✓</t>
        </is>
      </c>
      <c r="T59" s="128" t="inlineStr">
        <is>
          <t>0.022</t>
        </is>
      </c>
      <c r="U59" s="134" t="inlineStr">
        <is>
          <t>0.0149</t>
        </is>
      </c>
      <c r="V59" s="134" t="inlineStr">
        <is>
          <t>0.02</t>
        </is>
      </c>
      <c r="W59" s="134" t="inlineStr">
        <is>
          <t>0.0166</t>
        </is>
      </c>
      <c r="X59" s="130" t="inlineStr">
        <is>
          <t>✓</t>
        </is>
      </c>
      <c r="Y59" s="128" t="inlineStr">
        <is>
          <t>≤ LOQ (all 26 compounds)</t>
        </is>
      </c>
      <c r="Z59" s="129" t="inlineStr">
        <is>
          <t>2361-2026, (30.04.2026) [IJZ]</t>
        </is>
      </c>
      <c r="AA59" s="130" t="inlineStr">
        <is>
          <t>✓</t>
        </is>
      </c>
    </row>
    <row r="60" ht="13" customHeight="1" s="70">
      <c r="A60" s="180" t="n"/>
      <c r="B60" s="173" t="n"/>
      <c r="C60" s="173" t="n"/>
      <c r="D60" s="176" t="n"/>
      <c r="E60" s="174" t="n"/>
      <c r="F60" s="177" t="n"/>
      <c r="G60" s="176" t="n"/>
      <c r="H60" s="174" t="n"/>
      <c r="I60" s="177" t="n"/>
      <c r="J60" s="164" t="inlineStr">
        <is>
          <t>306-0550-26, (28.04.2026) [IJZ-MB] · on file, not credited</t>
        </is>
      </c>
      <c r="K60" s="120" t="n"/>
      <c r="L60" s="120" t="n"/>
      <c r="M60" s="120" t="n"/>
      <c r="N60" s="121" t="n"/>
      <c r="O60" s="177" t="n"/>
      <c r="P60" s="138" t="inlineStr">
        <is>
          <t>2361-2026, (30.04.2026) [IJZ]</t>
        </is>
      </c>
      <c r="Q60" s="120" t="n"/>
      <c r="R60" s="121" t="n"/>
      <c r="S60" s="177" t="n"/>
      <c r="T60" s="138" t="inlineStr">
        <is>
          <t>2361-2026, (30.04.2026) [IJZ]</t>
        </is>
      </c>
      <c r="U60" s="120" t="n"/>
      <c r="V60" s="120" t="n"/>
      <c r="W60" s="121" t="n"/>
      <c r="X60" s="177" t="n"/>
      <c r="Y60" s="176" t="n"/>
      <c r="Z60" s="174" t="n"/>
      <c r="AA60" s="177" t="n"/>
    </row>
    <row r="61" ht="21" customHeight="1" s="70">
      <c r="A61" s="180" t="n"/>
      <c r="B61" s="173" t="n"/>
      <c r="C61" s="173" t="n"/>
      <c r="D61" s="141" t="n"/>
      <c r="E61" s="140" t="n"/>
      <c r="F61" s="142" t="n"/>
      <c r="G61" s="131" t="inlineStr">
        <is>
          <t>6.38</t>
        </is>
      </c>
      <c r="H61" s="132" t="inlineStr">
        <is>
          <t>ППК26065, (11.05.2026) [CNP] · on file, not credited</t>
        </is>
      </c>
      <c r="I61" s="133" t="inlineStr">
        <is>
          <t>•</t>
        </is>
      </c>
      <c r="J61" s="128" t="inlineStr">
        <is>
          <t>2.6 x 10³</t>
        </is>
      </c>
      <c r="K61" s="134" t="inlineStr">
        <is>
          <t>3.3 x 10³</t>
        </is>
      </c>
      <c r="L61" s="134" t="inlineStr">
        <is>
          <t>n.r.</t>
        </is>
      </c>
      <c r="M61" s="134" t="inlineStr">
        <is>
          <t>отсуство/25</t>
        </is>
      </c>
      <c r="N61" s="134" t="inlineStr">
        <is>
          <t>отсуство/g</t>
        </is>
      </c>
      <c r="O61" s="130" t="inlineStr">
        <is>
          <t>✓</t>
        </is>
      </c>
      <c r="P61" s="131" t="inlineStr">
        <is>
          <t>n.r.</t>
        </is>
      </c>
      <c r="Q61" s="163" t="inlineStr">
        <is>
          <t>&lt;2</t>
        </is>
      </c>
      <c r="R61" s="163" t="inlineStr">
        <is>
          <t>n.r.</t>
        </is>
      </c>
      <c r="S61" s="133" t="inlineStr">
        <is>
          <t>•</t>
        </is>
      </c>
      <c r="T61" s="131" t="inlineStr">
        <is>
          <t>0.0109</t>
        </is>
      </c>
      <c r="U61" s="163" t="inlineStr">
        <is>
          <t>0.01287</t>
        </is>
      </c>
      <c r="V61" s="163" t="inlineStr">
        <is>
          <t>0.0175</t>
        </is>
      </c>
      <c r="W61" s="163" t="inlineStr">
        <is>
          <t>0.0165</t>
        </is>
      </c>
      <c r="X61" s="133" t="inlineStr">
        <is>
          <t>•</t>
        </is>
      </c>
      <c r="Y61" s="131" t="inlineStr">
        <is>
          <t>≤ LOQ (all 27 compounds)</t>
        </is>
      </c>
      <c r="Z61" s="132" t="inlineStr">
        <is>
          <t>2365-2026, (30.04.2026) [IJZ] · on file, not credited</t>
        </is>
      </c>
      <c r="AA61" s="133" t="inlineStr">
        <is>
          <t>•</t>
        </is>
      </c>
    </row>
    <row r="62" ht="21" customHeight="1" s="70">
      <c r="A62" s="180" t="n"/>
      <c r="B62" s="173" t="n"/>
      <c r="C62" s="173" t="n"/>
      <c r="D62" s="145" t="n"/>
      <c r="E62" s="146" t="n"/>
      <c r="F62" s="147" t="n"/>
      <c r="G62" s="176" t="n"/>
      <c r="H62" s="174" t="n"/>
      <c r="I62" s="177" t="n"/>
      <c r="J62" s="148" t="inlineStr">
        <is>
          <t>307-0551-26, (28.04.2026) [IJZ-MB]</t>
        </is>
      </c>
      <c r="K62" s="178" t="n"/>
      <c r="L62" s="178" t="n"/>
      <c r="M62" s="178" t="n"/>
      <c r="N62" s="179" t="n"/>
      <c r="O62" s="177" t="n"/>
      <c r="P62" s="165" t="inlineStr">
        <is>
          <t>2365-2026, (30.04.2026) [IJZ] · on file, not credited</t>
        </is>
      </c>
      <c r="Q62" s="178" t="n"/>
      <c r="R62" s="179" t="n"/>
      <c r="S62" s="177" t="n"/>
      <c r="T62" s="165" t="inlineStr">
        <is>
          <t>2365-2026, (30.04.2026) [IJZ] · on file, not credited</t>
        </is>
      </c>
      <c r="U62" s="178" t="n"/>
      <c r="V62" s="178" t="n"/>
      <c r="W62" s="179" t="n"/>
      <c r="X62" s="177" t="n"/>
      <c r="Y62" s="176" t="n"/>
      <c r="Z62" s="174" t="n"/>
      <c r="AA62" s="177" t="n"/>
    </row>
    <row r="63" ht="14" customHeight="1" s="70">
      <c r="A63" s="180" t="n"/>
      <c r="B63" s="173" t="n"/>
      <c r="C63" s="173" t="n"/>
      <c r="D63" s="141" t="n"/>
      <c r="E63" s="140" t="n"/>
      <c r="F63" s="142" t="n"/>
      <c r="G63" s="131" t="inlineStr">
        <is>
          <t>not on this certificate</t>
        </is>
      </c>
      <c r="H63" s="132" t="inlineStr">
        <is>
          <t>197-15-K-26, (07.08.2026) [FHM-K] · on file, not credited</t>
        </is>
      </c>
      <c r="I63" s="133" t="inlineStr">
        <is>
          <t>•</t>
        </is>
      </c>
      <c r="J63" s="141" t="n"/>
      <c r="K63" s="140" t="n"/>
      <c r="L63" s="140" t="n"/>
      <c r="M63" s="140" t="n"/>
      <c r="N63" s="140" t="n"/>
      <c r="O63" s="142" t="n"/>
      <c r="P63" s="128" t="inlineStr">
        <is>
          <t>ND</t>
        </is>
      </c>
      <c r="Q63" s="134" t="inlineStr">
        <is>
          <t>ND ᴿ</t>
        </is>
      </c>
      <c r="R63" s="134" t="inlineStr">
        <is>
          <t>ND</t>
        </is>
      </c>
      <c r="S63" s="130" t="inlineStr">
        <is>
          <t>✓</t>
        </is>
      </c>
      <c r="T63" s="141" t="n"/>
      <c r="U63" s="140" t="n"/>
      <c r="V63" s="140" t="n"/>
      <c r="W63" s="140" t="n"/>
      <c r="X63" s="142" t="n"/>
      <c r="Y63" s="141" t="n"/>
      <c r="Z63" s="140" t="n"/>
      <c r="AA63" s="142" t="n"/>
    </row>
    <row r="64" ht="21" customHeight="1" s="70">
      <c r="A64" s="175" t="n"/>
      <c r="B64" s="174" t="n"/>
      <c r="C64" s="174" t="n"/>
      <c r="D64" s="145" t="n"/>
      <c r="E64" s="146" t="n"/>
      <c r="F64" s="147" t="n"/>
      <c r="G64" s="176" t="n"/>
      <c r="H64" s="174" t="n"/>
      <c r="I64" s="177" t="n"/>
      <c r="J64" s="145" t="n"/>
      <c r="K64" s="146" t="n"/>
      <c r="L64" s="146" t="n"/>
      <c r="M64" s="146" t="n"/>
      <c r="N64" s="146" t="n"/>
      <c r="O64" s="147" t="n"/>
      <c r="P64" s="148" t="inlineStr">
        <is>
          <t>197-15-M-26, (10.08.2026) [FHM-M]</t>
        </is>
      </c>
      <c r="Q64" s="178" t="n"/>
      <c r="R64" s="179" t="n"/>
      <c r="S64" s="177" t="n"/>
      <c r="T64" s="145" t="n"/>
      <c r="U64" s="146" t="n"/>
      <c r="V64" s="146" t="n"/>
      <c r="W64" s="146" t="n"/>
      <c r="X64" s="147" t="n"/>
      <c r="Y64" s="145" t="n"/>
      <c r="Z64" s="146" t="n"/>
      <c r="AA64" s="147" t="n"/>
    </row>
    <row r="65" ht="21" customHeight="1" s="70">
      <c r="A65" s="125" t="inlineStr">
        <is>
          <t>KC102501</t>
        </is>
      </c>
      <c r="B65" s="126" t="inlineStr">
        <is>
          <t>P060172</t>
        </is>
      </c>
      <c r="C65" s="155" t="inlineStr">
        <is>
          <t>✗ 4 NO RESULT
(4 no cert / 0 cert w/o result)
2 testing instances
• 2 document(s) on file, not credited</t>
        </is>
      </c>
      <c r="D65" s="128" t="inlineStr">
        <is>
          <t>Conforms</t>
        </is>
      </c>
      <c r="E65" s="129">
        <f>IFERROR(INDEX('iCoA Register'!$B:$B,MATCH("P060172|FM|I",'iCoA Register'!$R:$R,0)),"iCoA — at issue")&amp;", (12.03.2026) [PP]"</f>
        <v/>
      </c>
      <c r="F65" s="130" t="inlineStr">
        <is>
          <t>✓</t>
        </is>
      </c>
      <c r="G65" s="128" t="inlineStr">
        <is>
          <t>8.6</t>
        </is>
      </c>
      <c r="H65" s="129" t="inlineStr">
        <is>
          <t>051-4-LoD-26, (02.03.2026) [FHM-K]</t>
        </is>
      </c>
      <c r="I65" s="130" t="inlineStr">
        <is>
          <t>✓</t>
        </is>
      </c>
      <c r="J65" s="150" t="inlineStr">
        <is>
          <t>— MISSING —</t>
        </is>
      </c>
      <c r="K65" s="151" t="inlineStr">
        <is>
          <t>— MISSING —</t>
        </is>
      </c>
      <c r="L65" s="151" t="inlineStr">
        <is>
          <t>— MISSING —</t>
        </is>
      </c>
      <c r="M65" s="151" t="inlineStr">
        <is>
          <t>— MISSING —</t>
        </is>
      </c>
      <c r="N65" s="151" t="inlineStr">
        <is>
          <t>— MISSING —</t>
        </is>
      </c>
      <c r="O65" s="152" t="inlineStr">
        <is>
          <t>✗</t>
        </is>
      </c>
      <c r="P65" s="150" t="inlineStr">
        <is>
          <t>— MISSING —</t>
        </is>
      </c>
      <c r="Q65" s="151" t="inlineStr">
        <is>
          <t>— MISSING —</t>
        </is>
      </c>
      <c r="R65" s="151" t="inlineStr">
        <is>
          <t>— MISSING —</t>
        </is>
      </c>
      <c r="S65" s="152" t="inlineStr">
        <is>
          <t>✗</t>
        </is>
      </c>
      <c r="T65" s="150" t="inlineStr">
        <is>
          <t>— MISSING —</t>
        </is>
      </c>
      <c r="U65" s="151" t="inlineStr">
        <is>
          <t>— MISSING —</t>
        </is>
      </c>
      <c r="V65" s="151" t="inlineStr">
        <is>
          <t>— MISSING —</t>
        </is>
      </c>
      <c r="W65" s="151" t="inlineStr">
        <is>
          <t>— MISSING —</t>
        </is>
      </c>
      <c r="X65" s="152" t="inlineStr">
        <is>
          <t>✗</t>
        </is>
      </c>
      <c r="Y65" s="150" t="inlineStr">
        <is>
          <t>— MISSING —</t>
        </is>
      </c>
      <c r="Z65" s="153" t="inlineStr">
        <is>
          <t>— no certificate —</t>
        </is>
      </c>
      <c r="AA65" s="152" t="inlineStr">
        <is>
          <t>✗</t>
        </is>
      </c>
    </row>
    <row r="66" ht="21" customHeight="1" s="70">
      <c r="A66" s="180" t="n"/>
      <c r="B66" s="173" t="n"/>
      <c r="C66" s="173" t="n"/>
      <c r="D66" s="176" t="n"/>
      <c r="E66" s="174" t="n"/>
      <c r="F66" s="177" t="n"/>
      <c r="G66" s="176" t="n"/>
      <c r="H66" s="174" t="n"/>
      <c r="I66" s="177" t="n"/>
      <c r="J66" s="156" t="inlineStr">
        <is>
          <t>— no certificate —</t>
        </is>
      </c>
      <c r="K66" s="120" t="n"/>
      <c r="L66" s="120" t="n"/>
      <c r="M66" s="120" t="n"/>
      <c r="N66" s="121" t="n"/>
      <c r="O66" s="177" t="n"/>
      <c r="P66" s="156" t="inlineStr">
        <is>
          <t>— no certificate —</t>
        </is>
      </c>
      <c r="Q66" s="120" t="n"/>
      <c r="R66" s="121" t="n"/>
      <c r="S66" s="177" t="n"/>
      <c r="T66" s="156" t="inlineStr">
        <is>
          <t>— no certificate —</t>
        </is>
      </c>
      <c r="U66" s="120" t="n"/>
      <c r="V66" s="120" t="n"/>
      <c r="W66" s="121" t="n"/>
      <c r="X66" s="177" t="n"/>
      <c r="Y66" s="176" t="n"/>
      <c r="Z66" s="174" t="n"/>
      <c r="AA66" s="177" t="n"/>
    </row>
    <row r="67" ht="14" customHeight="1" s="70">
      <c r="A67" s="180" t="n"/>
      <c r="B67" s="173" t="n"/>
      <c r="C67" s="173" t="n"/>
      <c r="D67" s="141" t="n"/>
      <c r="E67" s="140" t="n"/>
      <c r="F67" s="142" t="n"/>
      <c r="G67" s="131" t="inlineStr">
        <is>
          <t>not on this certificate</t>
        </is>
      </c>
      <c r="H67" s="132" t="inlineStr">
        <is>
          <t>051-4-K-26, (04.03.2026) [FHM-K] · on file, not credited</t>
        </is>
      </c>
      <c r="I67" s="133" t="inlineStr">
        <is>
          <t>•</t>
        </is>
      </c>
      <c r="J67" s="141" t="n"/>
      <c r="K67" s="140" t="n"/>
      <c r="L67" s="140" t="n"/>
      <c r="M67" s="140" t="n"/>
      <c r="N67" s="140" t="n"/>
      <c r="O67" s="142" t="n"/>
      <c r="P67" s="141" t="n"/>
      <c r="Q67" s="140" t="n"/>
      <c r="R67" s="140" t="n"/>
      <c r="S67" s="142" t="n"/>
      <c r="T67" s="141" t="n"/>
      <c r="U67" s="140" t="n"/>
      <c r="V67" s="140" t="n"/>
      <c r="W67" s="140" t="n"/>
      <c r="X67" s="142" t="n"/>
      <c r="Y67" s="141" t="n"/>
      <c r="Z67" s="140" t="n"/>
      <c r="AA67" s="142" t="n"/>
    </row>
    <row r="68" ht="21" customHeight="1" s="70">
      <c r="A68" s="175" t="n"/>
      <c r="B68" s="174" t="n"/>
      <c r="C68" s="174" t="n"/>
      <c r="D68" s="145" t="n"/>
      <c r="E68" s="146" t="n"/>
      <c r="F68" s="147" t="n"/>
      <c r="G68" s="176" t="n"/>
      <c r="H68" s="174" t="n"/>
      <c r="I68" s="177" t="n"/>
      <c r="J68" s="145" t="n"/>
      <c r="K68" s="146" t="n"/>
      <c r="L68" s="146" t="n"/>
      <c r="M68" s="146" t="n"/>
      <c r="N68" s="146" t="n"/>
      <c r="O68" s="147" t="n"/>
      <c r="P68" s="145" t="n"/>
      <c r="Q68" s="146" t="n"/>
      <c r="R68" s="146" t="n"/>
      <c r="S68" s="147" t="n"/>
      <c r="T68" s="145" t="n"/>
      <c r="U68" s="146" t="n"/>
      <c r="V68" s="146" t="n"/>
      <c r="W68" s="146" t="n"/>
      <c r="X68" s="147" t="n"/>
      <c r="Y68" s="145" t="n"/>
      <c r="Z68" s="146" t="n"/>
      <c r="AA68" s="147" t="n"/>
    </row>
    <row r="69" ht="21" customHeight="1" s="70">
      <c r="A69" s="125" t="inlineStr">
        <is>
          <t>OPM1024</t>
        </is>
      </c>
      <c r="B69" s="126" t="inlineStr">
        <is>
          <t>N/A — no P batch assigned</t>
        </is>
      </c>
      <c r="C69" s="155" t="inlineStr">
        <is>
          <t>✗ 4 NO RESULT
(4 no cert / 0 cert w/o result)
2 testing instances
• 1 document(s) on file, not credited</t>
        </is>
      </c>
      <c r="D69" s="128" t="inlineStr">
        <is>
          <t>Confirms</t>
        </is>
      </c>
      <c r="E69" s="129" t="inlineStr">
        <is>
          <t>NO-DOC-CODE (Report of Analysis), (23.04.2025) [PP]</t>
        </is>
      </c>
      <c r="F69" s="130" t="inlineStr">
        <is>
          <t>✓</t>
        </is>
      </c>
      <c r="G69" s="131" t="inlineStr">
        <is>
          <t>not on this certificate</t>
        </is>
      </c>
      <c r="H69" s="132" t="inlineStr">
        <is>
          <t>197-17-K-26, (07.08.2026) [FHM-K] · on file, not credited</t>
        </is>
      </c>
      <c r="I69" s="133" t="inlineStr">
        <is>
          <t>•</t>
        </is>
      </c>
      <c r="J69" s="150" t="inlineStr">
        <is>
          <t>— MISSING —</t>
        </is>
      </c>
      <c r="K69" s="151" t="inlineStr">
        <is>
          <t>— MISSING —</t>
        </is>
      </c>
      <c r="L69" s="151" t="inlineStr">
        <is>
          <t>— MISSING —</t>
        </is>
      </c>
      <c r="M69" s="151" t="inlineStr">
        <is>
          <t>— MISSING —</t>
        </is>
      </c>
      <c r="N69" s="151" t="inlineStr">
        <is>
          <t>— MISSING —</t>
        </is>
      </c>
      <c r="O69" s="152" t="inlineStr">
        <is>
          <t>✗</t>
        </is>
      </c>
      <c r="P69" s="128" t="inlineStr">
        <is>
          <t>ND</t>
        </is>
      </c>
      <c r="Q69" s="134" t="inlineStr">
        <is>
          <t>ND ᴿ</t>
        </is>
      </c>
      <c r="R69" s="134" t="inlineStr">
        <is>
          <t>ND</t>
        </is>
      </c>
      <c r="S69" s="130" t="inlineStr">
        <is>
          <t>✓</t>
        </is>
      </c>
      <c r="T69" s="150" t="inlineStr">
        <is>
          <t>— MISSING —</t>
        </is>
      </c>
      <c r="U69" s="151" t="inlineStr">
        <is>
          <t>— MISSING —</t>
        </is>
      </c>
      <c r="V69" s="151" t="inlineStr">
        <is>
          <t>— MISSING —</t>
        </is>
      </c>
      <c r="W69" s="151" t="inlineStr">
        <is>
          <t>— MISSING —</t>
        </is>
      </c>
      <c r="X69" s="152" t="inlineStr">
        <is>
          <t>✗</t>
        </is>
      </c>
      <c r="Y69" s="150" t="inlineStr">
        <is>
          <t>— MISSING —</t>
        </is>
      </c>
      <c r="Z69" s="153" t="inlineStr">
        <is>
          <t>— no certificate —</t>
        </is>
      </c>
      <c r="AA69" s="152" t="inlineStr">
        <is>
          <t>✗</t>
        </is>
      </c>
    </row>
    <row r="70" ht="21" customHeight="1" s="70">
      <c r="A70" s="180" t="n"/>
      <c r="B70" s="173" t="n"/>
      <c r="C70" s="173" t="n"/>
      <c r="D70" s="176" t="n"/>
      <c r="E70" s="174" t="n"/>
      <c r="F70" s="177" t="n"/>
      <c r="G70" s="176" t="n"/>
      <c r="H70" s="174" t="n"/>
      <c r="I70" s="177" t="n"/>
      <c r="J70" s="156" t="inlineStr">
        <is>
          <t>— no certificate —</t>
        </is>
      </c>
      <c r="K70" s="120" t="n"/>
      <c r="L70" s="120" t="n"/>
      <c r="M70" s="120" t="n"/>
      <c r="N70" s="121" t="n"/>
      <c r="O70" s="177" t="n"/>
      <c r="P70" s="138" t="inlineStr">
        <is>
          <t>197-17-M-26, (10.08.2026) [FHM-M]</t>
        </is>
      </c>
      <c r="Q70" s="120" t="n"/>
      <c r="R70" s="121" t="n"/>
      <c r="S70" s="177" t="n"/>
      <c r="T70" s="156" t="inlineStr">
        <is>
          <t>— no certificate —</t>
        </is>
      </c>
      <c r="U70" s="120" t="n"/>
      <c r="V70" s="120" t="n"/>
      <c r="W70" s="121" t="n"/>
      <c r="X70" s="177" t="n"/>
      <c r="Y70" s="176" t="n"/>
      <c r="Z70" s="174" t="n"/>
      <c r="AA70" s="177" t="n"/>
    </row>
    <row r="71" ht="14" customHeight="1" s="70">
      <c r="A71" s="180" t="n"/>
      <c r="B71" s="173" t="n"/>
      <c r="C71" s="173" t="n"/>
      <c r="D71" s="128" t="inlineStr">
        <is>
          <t>Conforms</t>
        </is>
      </c>
      <c r="E71" s="129">
        <f>IFERROR(INDEX('iCoA Register'!$B:$B,MATCH("OPM1024|FM|I",'iCoA Register'!$R:$R,0)),"iCoA — at issue")&amp;", (24.04.2025) [PP]"</f>
        <v/>
      </c>
      <c r="F71" s="130" t="inlineStr">
        <is>
          <t>✓</t>
        </is>
      </c>
      <c r="G71" s="141" t="n"/>
      <c r="H71" s="140" t="n"/>
      <c r="I71" s="142" t="n"/>
      <c r="J71" s="141" t="n"/>
      <c r="K71" s="140" t="n"/>
      <c r="L71" s="140" t="n"/>
      <c r="M71" s="140" t="n"/>
      <c r="N71" s="140" t="n"/>
      <c r="O71" s="142" t="n"/>
      <c r="P71" s="141" t="n"/>
      <c r="Q71" s="140" t="n"/>
      <c r="R71" s="140" t="n"/>
      <c r="S71" s="142" t="n"/>
      <c r="T71" s="141" t="n"/>
      <c r="U71" s="140" t="n"/>
      <c r="V71" s="140" t="n"/>
      <c r="W71" s="140" t="n"/>
      <c r="X71" s="142" t="n"/>
      <c r="Y71" s="141" t="n"/>
      <c r="Z71" s="140" t="n"/>
      <c r="AA71" s="142" t="n"/>
    </row>
    <row r="72" ht="13" customHeight="1" s="70">
      <c r="A72" s="175" t="n"/>
      <c r="B72" s="174" t="n"/>
      <c r="C72" s="174" t="n"/>
      <c r="D72" s="176" t="n"/>
      <c r="E72" s="174" t="n"/>
      <c r="F72" s="177" t="n"/>
      <c r="G72" s="145" t="n"/>
      <c r="H72" s="146" t="n"/>
      <c r="I72" s="147" t="n"/>
      <c r="J72" s="145" t="n"/>
      <c r="K72" s="146" t="n"/>
      <c r="L72" s="146" t="n"/>
      <c r="M72" s="146" t="n"/>
      <c r="N72" s="146" t="n"/>
      <c r="O72" s="147" t="n"/>
      <c r="P72" s="145" t="n"/>
      <c r="Q72" s="146" t="n"/>
      <c r="R72" s="146" t="n"/>
      <c r="S72" s="147" t="n"/>
      <c r="T72" s="145" t="n"/>
      <c r="U72" s="146" t="n"/>
      <c r="V72" s="146" t="n"/>
      <c r="W72" s="146" t="n"/>
      <c r="X72" s="147" t="n"/>
      <c r="Y72" s="145" t="n"/>
      <c r="Z72" s="146" t="n"/>
      <c r="AA72" s="147" t="n"/>
    </row>
    <row r="73" ht="21" customHeight="1" s="70">
      <c r="A73" s="125" t="inlineStr">
        <is>
          <t>OPM112501</t>
        </is>
      </c>
      <c r="B73" s="126" t="inlineStr">
        <is>
          <t>P060222</t>
        </is>
      </c>
      <c r="C73" s="155" t="inlineStr">
        <is>
          <t>✗ 4 NO RESULT
(3 no cert / 1 cert w/o result)
2 testing instances
• 1 document(s) on file, not credited</t>
        </is>
      </c>
      <c r="D73" s="128" t="inlineStr">
        <is>
          <t>Conforms</t>
        </is>
      </c>
      <c r="E73" s="129">
        <f>IFERROR(INDEX('iCoA Register'!$B:$B,MATCH("P060222|FM|I",'iCoA Register'!$R:$R,0)),"iCoA — at issue")&amp;", (24.04.2026) [PP]"</f>
        <v/>
      </c>
      <c r="F73" s="130" t="inlineStr">
        <is>
          <t>✓</t>
        </is>
      </c>
      <c r="G73" s="128" t="inlineStr">
        <is>
          <t>8.06 ᴿ</t>
        </is>
      </c>
      <c r="H73" s="129" t="inlineStr">
        <is>
          <t>ППК26031, (05.03.2026) [CNP]</t>
        </is>
      </c>
      <c r="I73" s="130" t="inlineStr">
        <is>
          <t>✓</t>
        </is>
      </c>
      <c r="J73" s="128" t="inlineStr">
        <is>
          <t>&lt;10</t>
        </is>
      </c>
      <c r="K73" s="134" t="inlineStr">
        <is>
          <t>10</t>
        </is>
      </c>
      <c r="L73" s="134" t="inlineStr">
        <is>
          <t>&lt;10</t>
        </is>
      </c>
      <c r="M73" s="134" t="inlineStr">
        <is>
          <t>absent</t>
        </is>
      </c>
      <c r="N73" s="134" t="inlineStr">
        <is>
          <t>absent</t>
        </is>
      </c>
      <c r="O73" s="130" t="inlineStr">
        <is>
          <t>✓</t>
        </is>
      </c>
      <c r="P73" s="150" t="inlineStr">
        <is>
          <t>— MISSING —</t>
        </is>
      </c>
      <c r="Q73" s="151" t="inlineStr">
        <is>
          <t>— MISSING —</t>
        </is>
      </c>
      <c r="R73" s="151" t="inlineStr">
        <is>
          <t>— MISSING —</t>
        </is>
      </c>
      <c r="S73" s="152" t="inlineStr">
        <is>
          <t>✗</t>
        </is>
      </c>
      <c r="T73" s="150" t="inlineStr">
        <is>
          <t>— MISSING —</t>
        </is>
      </c>
      <c r="U73" s="151" t="inlineStr">
        <is>
          <t>— MISSING —</t>
        </is>
      </c>
      <c r="V73" s="151" t="inlineStr">
        <is>
          <t>— MISSING —</t>
        </is>
      </c>
      <c r="W73" s="151" t="inlineStr">
        <is>
          <t>— MISSING —</t>
        </is>
      </c>
      <c r="X73" s="152" t="inlineStr">
        <is>
          <t>✗</t>
        </is>
      </c>
      <c r="Y73" s="150" t="inlineStr">
        <is>
          <t>— MISSING —</t>
        </is>
      </c>
      <c r="Z73" s="153" t="inlineStr">
        <is>
          <t>— no certificate —</t>
        </is>
      </c>
      <c r="AA73" s="152" t="inlineStr">
        <is>
          <t>✗</t>
        </is>
      </c>
    </row>
    <row r="74" ht="13" customHeight="1" s="70">
      <c r="A74" s="180" t="n"/>
      <c r="B74" s="173" t="n"/>
      <c r="C74" s="173" t="n"/>
      <c r="D74" s="176" t="n"/>
      <c r="E74" s="174" t="n"/>
      <c r="F74" s="177" t="n"/>
      <c r="G74" s="176" t="n"/>
      <c r="H74" s="174" t="n"/>
      <c r="I74" s="177" t="n"/>
      <c r="J74" s="138" t="inlineStr">
        <is>
          <t>546-1077-26, (31.08.2026) [IJZ-MB]</t>
        </is>
      </c>
      <c r="K74" s="120" t="n"/>
      <c r="L74" s="120" t="n"/>
      <c r="M74" s="120" t="n"/>
      <c r="N74" s="121" t="n"/>
      <c r="O74" s="177" t="n"/>
      <c r="P74" s="156" t="inlineStr">
        <is>
          <t>— no certificate —</t>
        </is>
      </c>
      <c r="Q74" s="120" t="n"/>
      <c r="R74" s="121" t="n"/>
      <c r="S74" s="177" t="n"/>
      <c r="T74" s="156" t="inlineStr">
        <is>
          <t>— no certificate —</t>
        </is>
      </c>
      <c r="U74" s="120" t="n"/>
      <c r="V74" s="120" t="n"/>
      <c r="W74" s="121" t="n"/>
      <c r="X74" s="177" t="n"/>
      <c r="Y74" s="176" t="n"/>
      <c r="Z74" s="174" t="n"/>
      <c r="AA74" s="177" t="n"/>
    </row>
    <row r="75" ht="14" customHeight="1" s="70">
      <c r="A75" s="180" t="n"/>
      <c r="B75" s="173" t="n"/>
      <c r="C75" s="173" t="n"/>
      <c r="D75" s="141" t="n"/>
      <c r="E75" s="140" t="n"/>
      <c r="F75" s="142" t="n"/>
      <c r="G75" s="141" t="n"/>
      <c r="H75" s="140" t="n"/>
      <c r="I75" s="142" t="n"/>
      <c r="J75" s="141" t="n"/>
      <c r="K75" s="140" t="n"/>
      <c r="L75" s="140" t="n"/>
      <c r="M75" s="140" t="n"/>
      <c r="N75" s="140" t="n"/>
      <c r="O75" s="142" t="n"/>
      <c r="P75" s="141" t="n"/>
      <c r="Q75" s="140" t="n"/>
      <c r="R75" s="140" t="n"/>
      <c r="S75" s="142" t="n"/>
      <c r="T75" s="141" t="n"/>
      <c r="U75" s="140" t="n"/>
      <c r="V75" s="140" t="n"/>
      <c r="W75" s="140" t="n"/>
      <c r="X75" s="142" t="n"/>
      <c r="Y75" s="141" t="n"/>
      <c r="Z75" s="140" t="n"/>
      <c r="AA75" s="142" t="n"/>
    </row>
    <row r="76" ht="13" customHeight="1" s="70">
      <c r="A76" s="175" t="n"/>
      <c r="B76" s="174" t="n"/>
      <c r="C76" s="174" t="n"/>
      <c r="D76" s="145" t="n"/>
      <c r="E76" s="146" t="n"/>
      <c r="F76" s="147" t="n"/>
      <c r="G76" s="145" t="n"/>
      <c r="H76" s="146" t="n"/>
      <c r="I76" s="147" t="n"/>
      <c r="J76" s="145" t="n"/>
      <c r="K76" s="146" t="n"/>
      <c r="L76" s="146" t="n"/>
      <c r="M76" s="146" t="n"/>
      <c r="N76" s="146" t="n"/>
      <c r="O76" s="147" t="n"/>
      <c r="P76" s="145" t="n"/>
      <c r="Q76" s="146" t="n"/>
      <c r="R76" s="146" t="n"/>
      <c r="S76" s="147" t="n"/>
      <c r="T76" s="145" t="n"/>
      <c r="U76" s="146" t="n"/>
      <c r="V76" s="146" t="n"/>
      <c r="W76" s="146" t="n"/>
      <c r="X76" s="147" t="n"/>
      <c r="Y76" s="145" t="n"/>
      <c r="Z76" s="146" t="n"/>
      <c r="AA76" s="147" t="n"/>
    </row>
    <row r="77" ht="30" customHeight="1" s="70">
      <c r="A77" s="125" t="inlineStr">
        <is>
          <t>BSS052501</t>
        </is>
      </c>
      <c r="B77" s="126" t="inlineStr">
        <is>
          <t>P050192</t>
        </is>
      </c>
      <c r="C77" s="149" t="inlineStr">
        <is>
          <t>⚠ 2 NO RESULT
(0 no cert / 2 cert w/o result)
3 testing instances</t>
        </is>
      </c>
      <c r="D77" s="128" t="inlineStr">
        <is>
          <t>Conforms</t>
        </is>
      </c>
      <c r="E77" s="129">
        <f>IFERROR(INDEX('iCoA Register'!$B:$B,MATCH("P050192|FM|I",'iCoA Register'!$R:$R,0)),"iCoA — at issue")&amp;", (10.10.2025) [PP]"</f>
        <v/>
      </c>
      <c r="F77" s="130" t="inlineStr">
        <is>
          <t>✓</t>
        </is>
      </c>
      <c r="G77" s="158" t="inlineStr">
        <is>
          <t>not on this certificate</t>
        </is>
      </c>
      <c r="H77" s="159" t="inlineStr">
        <is>
          <t>NGP-QCG-SOP-024 F3, (28.11.2025) [NGP]</t>
        </is>
      </c>
      <c r="I77" s="160" t="inlineStr">
        <is>
          <t>✗</t>
        </is>
      </c>
      <c r="J77" s="128" t="inlineStr">
        <is>
          <t>200</t>
        </is>
      </c>
      <c r="K77" s="134" t="inlineStr">
        <is>
          <t>200</t>
        </is>
      </c>
      <c r="L77" s="134" t="inlineStr">
        <is>
          <t>&lt;10^2 &gt;10</t>
        </is>
      </c>
      <c r="M77" s="134" t="inlineStr">
        <is>
          <t>Одговара</t>
        </is>
      </c>
      <c r="N77" s="134" t="inlineStr">
        <is>
          <t>Одговара</t>
        </is>
      </c>
      <c r="O77" s="130" t="inlineStr">
        <is>
          <t>✓</t>
        </is>
      </c>
      <c r="P77" s="158" t="inlineStr">
        <is>
          <t>not on this certificate</t>
        </is>
      </c>
      <c r="Q77" s="161" t="inlineStr"/>
      <c r="R77" s="161" t="inlineStr"/>
      <c r="S77" s="160" t="inlineStr">
        <is>
          <t>✗</t>
        </is>
      </c>
      <c r="T77" s="128" t="inlineStr">
        <is>
          <t>0.024</t>
        </is>
      </c>
      <c r="U77" s="134" t="inlineStr">
        <is>
          <t>0.004</t>
        </is>
      </c>
      <c r="V77" s="134" t="inlineStr">
        <is>
          <t>0.025</t>
        </is>
      </c>
      <c r="W77" s="134" t="inlineStr">
        <is>
          <t>0.0036</t>
        </is>
      </c>
      <c r="X77" s="130" t="inlineStr">
        <is>
          <t>✓</t>
        </is>
      </c>
      <c r="Y77" s="128" t="inlineStr">
        <is>
          <t>&lt;LOQ</t>
        </is>
      </c>
      <c r="Z77" s="129" t="inlineStr">
        <is>
          <t>10802_2845-2 EN, (17.11.2025) [DFL]</t>
        </is>
      </c>
      <c r="AA77" s="130" t="inlineStr">
        <is>
          <t>✓</t>
        </is>
      </c>
    </row>
    <row r="78" ht="13" customHeight="1" s="70">
      <c r="A78" s="180" t="n"/>
      <c r="B78" s="173" t="n"/>
      <c r="C78" s="173" t="n"/>
      <c r="D78" s="176" t="n"/>
      <c r="E78" s="174" t="n"/>
      <c r="F78" s="177" t="n"/>
      <c r="G78" s="176" t="n"/>
      <c r="H78" s="174" t="n"/>
      <c r="I78" s="177" t="n"/>
      <c r="J78" s="138" t="inlineStr">
        <is>
          <t>1157-2058-25, (24.11.2025) [IJZ-MB]</t>
        </is>
      </c>
      <c r="K78" s="120" t="n"/>
      <c r="L78" s="120" t="n"/>
      <c r="M78" s="120" t="n"/>
      <c r="N78" s="121" t="n"/>
      <c r="O78" s="177" t="n"/>
      <c r="P78" s="162" t="inlineStr">
        <is>
          <t>5661-2025, (01.12.2025) [IJZ]</t>
        </is>
      </c>
      <c r="Q78" s="120" t="n"/>
      <c r="R78" s="121" t="n"/>
      <c r="S78" s="177" t="n"/>
      <c r="T78" s="138" t="inlineStr">
        <is>
          <t>5661-2025, (01.12.2025) [IJZ]</t>
        </is>
      </c>
      <c r="U78" s="120" t="n"/>
      <c r="V78" s="120" t="n"/>
      <c r="W78" s="121" t="n"/>
      <c r="X78" s="177" t="n"/>
      <c r="Y78" s="176" t="n"/>
      <c r="Z78" s="174" t="n"/>
      <c r="AA78" s="177" t="n"/>
    </row>
    <row r="79" ht="14" customHeight="1" s="70">
      <c r="A79" s="180" t="n"/>
      <c r="B79" s="173" t="n"/>
      <c r="C79" s="173" t="n"/>
      <c r="D79" s="141" t="n"/>
      <c r="E79" s="140" t="n"/>
      <c r="F79" s="142" t="n"/>
      <c r="G79" s="141" t="n"/>
      <c r="H79" s="140" t="n"/>
      <c r="I79" s="142" t="n"/>
      <c r="J79" s="128" t="inlineStr">
        <is>
          <t>5.4×10²</t>
        </is>
      </c>
      <c r="K79" s="134" t="inlineStr">
        <is>
          <t>3.7×10²</t>
        </is>
      </c>
      <c r="L79" s="134" t="inlineStr">
        <is>
          <t>&lt;10</t>
        </is>
      </c>
      <c r="M79" s="134" t="inlineStr">
        <is>
          <t>absent</t>
        </is>
      </c>
      <c r="N79" s="134" t="inlineStr">
        <is>
          <t>absent</t>
        </is>
      </c>
      <c r="O79" s="130" t="inlineStr">
        <is>
          <t>✓</t>
        </is>
      </c>
      <c r="P79" s="128" t="inlineStr">
        <is>
          <t>ND *</t>
        </is>
      </c>
      <c r="Q79" s="134" t="inlineStr">
        <is>
          <t>n.r.</t>
        </is>
      </c>
      <c r="R79" s="134" t="inlineStr">
        <is>
          <t>&lt;LOQ **</t>
        </is>
      </c>
      <c r="S79" s="130" t="inlineStr">
        <is>
          <t>✓</t>
        </is>
      </c>
      <c r="T79" s="141" t="n"/>
      <c r="U79" s="140" t="n"/>
      <c r="V79" s="140" t="n"/>
      <c r="W79" s="140" t="n"/>
      <c r="X79" s="142" t="n"/>
      <c r="Y79" s="128" t="inlineStr">
        <is>
          <t>&lt;LOQ</t>
        </is>
      </c>
      <c r="Z79" s="129" t="inlineStr">
        <is>
          <t>10802_2845-2 MK, (17.11.2025) [DFL]</t>
        </is>
      </c>
      <c r="AA79" s="130" t="inlineStr">
        <is>
          <t>✓</t>
        </is>
      </c>
    </row>
    <row r="80" ht="13" customHeight="1" s="70">
      <c r="A80" s="180" t="n"/>
      <c r="B80" s="173" t="n"/>
      <c r="C80" s="173" t="n"/>
      <c r="D80" s="145" t="n"/>
      <c r="E80" s="146" t="n"/>
      <c r="F80" s="147" t="n"/>
      <c r="G80" s="145" t="n"/>
      <c r="H80" s="146" t="n"/>
      <c r="I80" s="147" t="n"/>
      <c r="J80" s="148" t="inlineStr">
        <is>
          <t>548-1079-26, (31.08.2026) [IJZ-MB]</t>
        </is>
      </c>
      <c r="K80" s="178" t="n"/>
      <c r="L80" s="178" t="n"/>
      <c r="M80" s="178" t="n"/>
      <c r="N80" s="179" t="n"/>
      <c r="O80" s="177" t="n"/>
      <c r="P80" s="148" t="inlineStr">
        <is>
          <t>276-31-M-25, (04.12.2025) [FHM-M]</t>
        </is>
      </c>
      <c r="Q80" s="178" t="n"/>
      <c r="R80" s="179" t="n"/>
      <c r="S80" s="177" t="n"/>
      <c r="T80" s="145" t="n"/>
      <c r="U80" s="146" t="n"/>
      <c r="V80" s="146" t="n"/>
      <c r="W80" s="146" t="n"/>
      <c r="X80" s="147" t="n"/>
      <c r="Y80" s="176" t="n"/>
      <c r="Z80" s="174" t="n"/>
      <c r="AA80" s="177" t="n"/>
    </row>
    <row r="81" ht="14" customHeight="1" s="70">
      <c r="A81" s="180" t="n"/>
      <c r="B81" s="173" t="n"/>
      <c r="C81" s="173" t="n"/>
      <c r="D81" s="141" t="n"/>
      <c r="E81" s="140" t="n"/>
      <c r="F81" s="142" t="n"/>
      <c r="G81" s="141" t="n"/>
      <c r="H81" s="140" t="n"/>
      <c r="I81" s="142" t="n"/>
      <c r="J81" s="141" t="n"/>
      <c r="K81" s="140" t="n"/>
      <c r="L81" s="140" t="n"/>
      <c r="M81" s="140" t="n"/>
      <c r="N81" s="140" t="n"/>
      <c r="O81" s="142" t="n"/>
      <c r="P81" s="141" t="n"/>
      <c r="Q81" s="140" t="n"/>
      <c r="R81" s="140" t="n"/>
      <c r="S81" s="142" t="n"/>
      <c r="T81" s="141" t="n"/>
      <c r="U81" s="140" t="n"/>
      <c r="V81" s="140" t="n"/>
      <c r="W81" s="140" t="n"/>
      <c r="X81" s="142" t="n"/>
      <c r="Y81" s="158" t="inlineStr">
        <is>
          <t>not on this certificate</t>
        </is>
      </c>
      <c r="Z81" s="159" t="inlineStr">
        <is>
          <t>5661-2025, (01.12.2025) [IJZ]</t>
        </is>
      </c>
      <c r="AA81" s="160" t="inlineStr">
        <is>
          <t>✗</t>
        </is>
      </c>
    </row>
    <row r="82" ht="13" customHeight="1" s="70">
      <c r="A82" s="175" t="n"/>
      <c r="B82" s="174" t="n"/>
      <c r="C82" s="174" t="n"/>
      <c r="D82" s="145" t="n"/>
      <c r="E82" s="146" t="n"/>
      <c r="F82" s="147" t="n"/>
      <c r="G82" s="145" t="n"/>
      <c r="H82" s="146" t="n"/>
      <c r="I82" s="147" t="n"/>
      <c r="J82" s="145" t="n"/>
      <c r="K82" s="146" t="n"/>
      <c r="L82" s="146" t="n"/>
      <c r="M82" s="146" t="n"/>
      <c r="N82" s="146" t="n"/>
      <c r="O82" s="147" t="n"/>
      <c r="P82" s="145" t="n"/>
      <c r="Q82" s="146" t="n"/>
      <c r="R82" s="146" t="n"/>
      <c r="S82" s="147" t="n"/>
      <c r="T82" s="145" t="n"/>
      <c r="U82" s="146" t="n"/>
      <c r="V82" s="146" t="n"/>
      <c r="W82" s="146" t="n"/>
      <c r="X82" s="147" t="n"/>
      <c r="Y82" s="176" t="n"/>
      <c r="Z82" s="174" t="n"/>
      <c r="AA82" s="177" t="n"/>
    </row>
    <row r="83" ht="21" customHeight="1" s="70">
      <c r="A83" s="125" t="inlineStr">
        <is>
          <t>GP062501</t>
        </is>
      </c>
      <c r="B83" s="126" t="inlineStr">
        <is>
          <t>P050202</t>
        </is>
      </c>
      <c r="C83" s="149" t="inlineStr">
        <is>
          <t>⚠ 1 NO RESULT
(0 no cert / 0 cert w/o result)
5 testing instances
• 4 document(s) on file, not credited
· stability above A.C.: #6</t>
        </is>
      </c>
      <c r="D83" s="128" t="inlineStr">
        <is>
          <t>Conforms</t>
        </is>
      </c>
      <c r="E83" s="129">
        <f>IFERROR(INDEX('iCoA Register'!$B:$B,MATCH("P050202|FM|I",'iCoA Register'!$R:$R,0)),"iCoA — at issue")&amp;", (30.10.2025) [PP]"</f>
        <v/>
      </c>
      <c r="F83" s="130" t="inlineStr">
        <is>
          <t>✓</t>
        </is>
      </c>
      <c r="G83" s="128" t="inlineStr">
        <is>
          <t>8.19</t>
        </is>
      </c>
      <c r="H83" s="129" t="inlineStr">
        <is>
          <t>NGP-QCG-SOP-024 F3, (28.11.2025) [NGP]</t>
        </is>
      </c>
      <c r="I83" s="130" t="inlineStr">
        <is>
          <t>✓</t>
        </is>
      </c>
      <c r="J83" s="128" t="inlineStr">
        <is>
          <t>1.3×10⁴</t>
        </is>
      </c>
      <c r="K83" s="134" t="inlineStr">
        <is>
          <t>4.2×10³</t>
        </is>
      </c>
      <c r="L83" s="134" t="inlineStr">
        <is>
          <t>&lt;10³ and &gt;10² ᴿ</t>
        </is>
      </c>
      <c r="M83" s="134" t="inlineStr">
        <is>
          <t>Одговара</t>
        </is>
      </c>
      <c r="N83" s="134" t="inlineStr">
        <is>
          <t>Одговара</t>
        </is>
      </c>
      <c r="O83" s="130" t="inlineStr">
        <is>
          <t>✓</t>
        </is>
      </c>
      <c r="P83" s="128" t="inlineStr">
        <is>
          <t>n.r.</t>
        </is>
      </c>
      <c r="Q83" s="134" t="inlineStr">
        <is>
          <t>&lt;2</t>
        </is>
      </c>
      <c r="R83" s="134" t="inlineStr">
        <is>
          <t>n.r.</t>
        </is>
      </c>
      <c r="S83" s="130" t="inlineStr">
        <is>
          <t>✓</t>
        </is>
      </c>
      <c r="T83" s="128" t="inlineStr">
        <is>
          <t>0.077</t>
        </is>
      </c>
      <c r="U83" s="134" t="inlineStr">
        <is>
          <t>0.014</t>
        </is>
      </c>
      <c r="V83" s="134" t="inlineStr">
        <is>
          <t>0.024</t>
        </is>
      </c>
      <c r="W83" s="134" t="inlineStr">
        <is>
          <t>0.011</t>
        </is>
      </c>
      <c r="X83" s="130" t="inlineStr">
        <is>
          <t>✓</t>
        </is>
      </c>
      <c r="Y83" s="128" t="inlineStr">
        <is>
          <t>≤ LOQ (all 28 compounds)</t>
        </is>
      </c>
      <c r="Z83" s="129" t="inlineStr">
        <is>
          <t>4762-2025, (08.10.2025) [IJZ]</t>
        </is>
      </c>
      <c r="AA83" s="130" t="inlineStr">
        <is>
          <t>✓</t>
        </is>
      </c>
    </row>
    <row r="84" ht="13" customHeight="1" s="70">
      <c r="A84" s="180" t="n"/>
      <c r="B84" s="173" t="n"/>
      <c r="C84" s="173" t="n"/>
      <c r="D84" s="176" t="n"/>
      <c r="E84" s="174" t="n"/>
      <c r="F84" s="177" t="n"/>
      <c r="G84" s="176" t="n"/>
      <c r="H84" s="174" t="n"/>
      <c r="I84" s="177" t="n"/>
      <c r="J84" s="138" t="inlineStr">
        <is>
          <t>1009-1813-25, (08.10.2025) [IJZ-MB]</t>
        </is>
      </c>
      <c r="K84" s="120" t="n"/>
      <c r="L84" s="120" t="n"/>
      <c r="M84" s="120" t="n"/>
      <c r="N84" s="121" t="n"/>
      <c r="O84" s="177" t="n"/>
      <c r="P84" s="138" t="inlineStr">
        <is>
          <t>4762-2025, (08.10.2025) [IJZ]</t>
        </is>
      </c>
      <c r="Q84" s="120" t="n"/>
      <c r="R84" s="121" t="n"/>
      <c r="S84" s="177" t="n"/>
      <c r="T84" s="138" t="inlineStr">
        <is>
          <t>4762-2025, (08.10.2025) [IJZ]</t>
        </is>
      </c>
      <c r="U84" s="120" t="n"/>
      <c r="V84" s="120" t="n"/>
      <c r="W84" s="121" t="n"/>
      <c r="X84" s="177" t="n"/>
      <c r="Y84" s="176" t="n"/>
      <c r="Z84" s="174" t="n"/>
      <c r="AA84" s="177" t="n"/>
    </row>
    <row r="85" ht="14" customHeight="1" s="70">
      <c r="A85" s="180" t="n"/>
      <c r="B85" s="173" t="n"/>
      <c r="C85" s="173" t="n"/>
      <c r="D85" s="141" t="n"/>
      <c r="E85" s="140" t="n"/>
      <c r="F85" s="142" t="n"/>
      <c r="G85" s="167" t="inlineStr">
        <is>
          <t>5.83</t>
        </is>
      </c>
      <c r="H85" s="168" t="inlineStr">
        <is>
          <t>ППК26036, (05.03.2026) [CNP]</t>
        </is>
      </c>
      <c r="I85" s="169" t="inlineStr">
        <is>
          <t>✓</t>
        </is>
      </c>
      <c r="J85" s="128" t="inlineStr">
        <is>
          <t>600</t>
        </is>
      </c>
      <c r="K85" s="134" t="inlineStr">
        <is>
          <t>400</t>
        </is>
      </c>
      <c r="L85" s="134" t="inlineStr">
        <is>
          <t>&lt;10</t>
        </is>
      </c>
      <c r="M85" s="134" t="inlineStr">
        <is>
          <t>Одговара</t>
        </is>
      </c>
      <c r="N85" s="134" t="inlineStr">
        <is>
          <t>Одговара</t>
        </is>
      </c>
      <c r="O85" s="130" t="inlineStr">
        <is>
          <t>✓</t>
        </is>
      </c>
      <c r="P85" s="141" t="n"/>
      <c r="Q85" s="140" t="n"/>
      <c r="R85" s="140" t="n"/>
      <c r="S85" s="142" t="n"/>
      <c r="T85" s="141" t="n"/>
      <c r="U85" s="140" t="n"/>
      <c r="V85" s="140" t="n"/>
      <c r="W85" s="140" t="n"/>
      <c r="X85" s="142" t="n"/>
      <c r="Y85" s="141" t="n"/>
      <c r="Z85" s="140" t="n"/>
      <c r="AA85" s="142" t="n"/>
    </row>
    <row r="86" ht="13" customHeight="1" s="70">
      <c r="A86" s="180" t="n"/>
      <c r="B86" s="173" t="n"/>
      <c r="C86" s="173" t="n"/>
      <c r="D86" s="145" t="n"/>
      <c r="E86" s="146" t="n"/>
      <c r="F86" s="147" t="n"/>
      <c r="G86" s="176" t="n"/>
      <c r="H86" s="174" t="n"/>
      <c r="I86" s="177" t="n"/>
      <c r="J86" s="148" t="inlineStr">
        <is>
          <t>1155-2056-25, (24.11.2025) [IJZ-MB]</t>
        </is>
      </c>
      <c r="K86" s="178" t="n"/>
      <c r="L86" s="178" t="n"/>
      <c r="M86" s="178" t="n"/>
      <c r="N86" s="179" t="n"/>
      <c r="O86" s="177" t="n"/>
      <c r="P86" s="145" t="n"/>
      <c r="Q86" s="146" t="n"/>
      <c r="R86" s="146" t="n"/>
      <c r="S86" s="147" t="n"/>
      <c r="T86" s="145" t="n"/>
      <c r="U86" s="146" t="n"/>
      <c r="V86" s="146" t="n"/>
      <c r="W86" s="146" t="n"/>
      <c r="X86" s="147" t="n"/>
      <c r="Y86" s="145" t="n"/>
      <c r="Z86" s="146" t="n"/>
      <c r="AA86" s="147" t="n"/>
    </row>
    <row r="87" ht="14" customHeight="1" s="70">
      <c r="A87" s="180" t="n"/>
      <c r="B87" s="173" t="n"/>
      <c r="C87" s="173" t="n"/>
      <c r="D87" s="141" t="n"/>
      <c r="E87" s="140" t="n"/>
      <c r="F87" s="142" t="n"/>
      <c r="G87" s="167" t="inlineStr">
        <is>
          <t>5.38</t>
        </is>
      </c>
      <c r="H87" s="168" t="inlineStr">
        <is>
          <t>ППК26037, (05.03.2026) [CNP]</t>
        </is>
      </c>
      <c r="I87" s="169" t="inlineStr">
        <is>
          <t>✓</t>
        </is>
      </c>
      <c r="J87" s="128" t="inlineStr">
        <is>
          <t>&lt;10</t>
        </is>
      </c>
      <c r="K87" s="134" t="inlineStr">
        <is>
          <t>&lt;10</t>
        </is>
      </c>
      <c r="L87" s="134" t="inlineStr">
        <is>
          <t>&lt;10</t>
        </is>
      </c>
      <c r="M87" s="134" t="inlineStr">
        <is>
          <t>absent</t>
        </is>
      </c>
      <c r="N87" s="134" t="inlineStr">
        <is>
          <t>absent</t>
        </is>
      </c>
      <c r="O87" s="130" t="inlineStr">
        <is>
          <t>✓</t>
        </is>
      </c>
      <c r="P87" s="141" t="n"/>
      <c r="Q87" s="140" t="n"/>
      <c r="R87" s="140" t="n"/>
      <c r="S87" s="142" t="n"/>
      <c r="T87" s="141" t="n"/>
      <c r="U87" s="140" t="n"/>
      <c r="V87" s="140" t="n"/>
      <c r="W87" s="140" t="n"/>
      <c r="X87" s="142" t="n"/>
      <c r="Y87" s="141" t="n"/>
      <c r="Z87" s="140" t="n"/>
      <c r="AA87" s="142" t="n"/>
    </row>
    <row r="88" ht="13" customHeight="1" s="70">
      <c r="A88" s="180" t="n"/>
      <c r="B88" s="173" t="n"/>
      <c r="C88" s="173" t="n"/>
      <c r="D88" s="145" t="n"/>
      <c r="E88" s="146" t="n"/>
      <c r="F88" s="147" t="n"/>
      <c r="G88" s="176" t="n"/>
      <c r="H88" s="174" t="n"/>
      <c r="I88" s="177" t="n"/>
      <c r="J88" s="148" t="inlineStr">
        <is>
          <t>557-1088-26, (01.09.2026) [IJZ-MB]</t>
        </is>
      </c>
      <c r="K88" s="178" t="n"/>
      <c r="L88" s="178" t="n"/>
      <c r="M88" s="178" t="n"/>
      <c r="N88" s="179" t="n"/>
      <c r="O88" s="177" t="n"/>
      <c r="P88" s="145" t="n"/>
      <c r="Q88" s="146" t="n"/>
      <c r="R88" s="146" t="n"/>
      <c r="S88" s="147" t="n"/>
      <c r="T88" s="145" t="n"/>
      <c r="U88" s="146" t="n"/>
      <c r="V88" s="146" t="n"/>
      <c r="W88" s="146" t="n"/>
      <c r="X88" s="147" t="n"/>
      <c r="Y88" s="145" t="n"/>
      <c r="Z88" s="146" t="n"/>
      <c r="AA88" s="147" t="n"/>
    </row>
    <row r="89" ht="14" customHeight="1" s="70">
      <c r="A89" s="180" t="n"/>
      <c r="B89" s="173" t="n"/>
      <c r="C89" s="173" t="n"/>
      <c r="D89" s="141" t="n"/>
      <c r="E89" s="140" t="n"/>
      <c r="F89" s="142" t="n"/>
      <c r="G89" s="167" t="inlineStr">
        <is>
          <t>6.85</t>
        </is>
      </c>
      <c r="H89" s="168" t="inlineStr">
        <is>
          <t>ППК26057, (11.05.2026) [CNP]</t>
        </is>
      </c>
      <c r="I89" s="169" t="inlineStr">
        <is>
          <t>✓</t>
        </is>
      </c>
      <c r="J89" s="141" t="n"/>
      <c r="K89" s="140" t="n"/>
      <c r="L89" s="140" t="n"/>
      <c r="M89" s="140" t="n"/>
      <c r="N89" s="140" t="n"/>
      <c r="O89" s="142" t="n"/>
      <c r="P89" s="141" t="n"/>
      <c r="Q89" s="140" t="n"/>
      <c r="R89" s="140" t="n"/>
      <c r="S89" s="142" t="n"/>
      <c r="T89" s="141" t="n"/>
      <c r="U89" s="140" t="n"/>
      <c r="V89" s="140" t="n"/>
      <c r="W89" s="140" t="n"/>
      <c r="X89" s="142" t="n"/>
      <c r="Y89" s="141" t="n"/>
      <c r="Z89" s="140" t="n"/>
      <c r="AA89" s="142" t="n"/>
    </row>
    <row r="90" ht="13" customHeight="1" s="70">
      <c r="A90" s="180" t="n"/>
      <c r="B90" s="173" t="n"/>
      <c r="C90" s="173" t="n"/>
      <c r="D90" s="145" t="n"/>
      <c r="E90" s="146" t="n"/>
      <c r="F90" s="147" t="n"/>
      <c r="G90" s="176" t="n"/>
      <c r="H90" s="174" t="n"/>
      <c r="I90" s="177" t="n"/>
      <c r="J90" s="145" t="n"/>
      <c r="K90" s="146" t="n"/>
      <c r="L90" s="146" t="n"/>
      <c r="M90" s="146" t="n"/>
      <c r="N90" s="146" t="n"/>
      <c r="O90" s="147" t="n"/>
      <c r="P90" s="145" t="n"/>
      <c r="Q90" s="146" t="n"/>
      <c r="R90" s="146" t="n"/>
      <c r="S90" s="147" t="n"/>
      <c r="T90" s="145" t="n"/>
      <c r="U90" s="146" t="n"/>
      <c r="V90" s="146" t="n"/>
      <c r="W90" s="146" t="n"/>
      <c r="X90" s="147" t="n"/>
      <c r="Y90" s="145" t="n"/>
      <c r="Z90" s="146" t="n"/>
      <c r="AA90" s="147" t="n"/>
    </row>
    <row r="91" ht="14" customHeight="1" s="70">
      <c r="A91" s="180" t="n"/>
      <c r="B91" s="173" t="n"/>
      <c r="C91" s="173" t="n"/>
      <c r="D91" s="141" t="n"/>
      <c r="E91" s="140" t="n"/>
      <c r="F91" s="142" t="n"/>
      <c r="G91" s="167" t="inlineStr">
        <is>
          <t>6.60</t>
        </is>
      </c>
      <c r="H91" s="168" t="inlineStr">
        <is>
          <t>ППК26058, (11.05.2026) [CNP]</t>
        </is>
      </c>
      <c r="I91" s="169" t="inlineStr">
        <is>
          <t>✓</t>
        </is>
      </c>
      <c r="J91" s="141" t="n"/>
      <c r="K91" s="140" t="n"/>
      <c r="L91" s="140" t="n"/>
      <c r="M91" s="140" t="n"/>
      <c r="N91" s="140" t="n"/>
      <c r="O91" s="142" t="n"/>
      <c r="P91" s="141" t="n"/>
      <c r="Q91" s="140" t="n"/>
      <c r="R91" s="140" t="n"/>
      <c r="S91" s="142" t="n"/>
      <c r="T91" s="141" t="n"/>
      <c r="U91" s="140" t="n"/>
      <c r="V91" s="140" t="n"/>
      <c r="W91" s="140" t="n"/>
      <c r="X91" s="142" t="n"/>
      <c r="Y91" s="141" t="n"/>
      <c r="Z91" s="140" t="n"/>
      <c r="AA91" s="142" t="n"/>
    </row>
    <row r="92" ht="13" customHeight="1" s="70">
      <c r="A92" s="175" t="n"/>
      <c r="B92" s="174" t="n"/>
      <c r="C92" s="174" t="n"/>
      <c r="D92" s="145" t="n"/>
      <c r="E92" s="146" t="n"/>
      <c r="F92" s="147" t="n"/>
      <c r="G92" s="176" t="n"/>
      <c r="H92" s="174" t="n"/>
      <c r="I92" s="177" t="n"/>
      <c r="J92" s="145" t="n"/>
      <c r="K92" s="146" t="n"/>
      <c r="L92" s="146" t="n"/>
      <c r="M92" s="146" t="n"/>
      <c r="N92" s="146" t="n"/>
      <c r="O92" s="147" t="n"/>
      <c r="P92" s="145" t="n"/>
      <c r="Q92" s="146" t="n"/>
      <c r="R92" s="146" t="n"/>
      <c r="S92" s="147" t="n"/>
      <c r="T92" s="145" t="n"/>
      <c r="U92" s="146" t="n"/>
      <c r="V92" s="146" t="n"/>
      <c r="W92" s="146" t="n"/>
      <c r="X92" s="147" t="n"/>
      <c r="Y92" s="145" t="n"/>
      <c r="Z92" s="146" t="n"/>
      <c r="AA92" s="147" t="n"/>
    </row>
    <row r="93" ht="21" customHeight="1" s="70">
      <c r="A93" s="125" t="inlineStr">
        <is>
          <t>CC012601/1</t>
        </is>
      </c>
      <c r="B93" s="126" t="inlineStr">
        <is>
          <t>P060332</t>
        </is>
      </c>
      <c r="C93" s="155" t="inlineStr">
        <is>
          <t>✗ 4 NO RESULT
(4 no cert / 0 cert w/o result)
• 1 document(s) on file, not credited</t>
        </is>
      </c>
      <c r="D93" s="128" t="inlineStr">
        <is>
          <t>Conforms</t>
        </is>
      </c>
      <c r="E93" s="129">
        <f>IFERROR(INDEX('iCoA Register'!$B:$B,MATCH("P060332|FM|I",'iCoA Register'!$R:$R,0)),"iCoA — at issue")&amp;", (22.05.2026) [PP]"</f>
        <v/>
      </c>
      <c r="F93" s="130" t="inlineStr">
        <is>
          <t>✓</t>
        </is>
      </c>
      <c r="G93" s="131" t="inlineStr">
        <is>
          <t>not on this certificate</t>
        </is>
      </c>
      <c r="H93" s="132" t="inlineStr">
        <is>
          <t>197-6-K-26, (07.08.2026) [FHM-K] · on file, not credited</t>
        </is>
      </c>
      <c r="I93" s="133" t="inlineStr">
        <is>
          <t>•</t>
        </is>
      </c>
      <c r="J93" s="150" t="inlineStr">
        <is>
          <t>— MISSING —</t>
        </is>
      </c>
      <c r="K93" s="151" t="inlineStr">
        <is>
          <t>— MISSING —</t>
        </is>
      </c>
      <c r="L93" s="151" t="inlineStr">
        <is>
          <t>— MISSING —</t>
        </is>
      </c>
      <c r="M93" s="151" t="inlineStr">
        <is>
          <t>— MISSING —</t>
        </is>
      </c>
      <c r="N93" s="151" t="inlineStr">
        <is>
          <t>— MISSING —</t>
        </is>
      </c>
      <c r="O93" s="152" t="inlineStr">
        <is>
          <t>✗</t>
        </is>
      </c>
      <c r="P93" s="128" t="inlineStr">
        <is>
          <t>ND</t>
        </is>
      </c>
      <c r="Q93" s="134" t="inlineStr">
        <is>
          <t>ND ᴿ</t>
        </is>
      </c>
      <c r="R93" s="134" t="inlineStr">
        <is>
          <t>ND</t>
        </is>
      </c>
      <c r="S93" s="130" t="inlineStr">
        <is>
          <t>✓</t>
        </is>
      </c>
      <c r="T93" s="150" t="inlineStr">
        <is>
          <t>— MISSING —</t>
        </is>
      </c>
      <c r="U93" s="151" t="inlineStr">
        <is>
          <t>— MISSING —</t>
        </is>
      </c>
      <c r="V93" s="151" t="inlineStr">
        <is>
          <t>— MISSING —</t>
        </is>
      </c>
      <c r="W93" s="151" t="inlineStr">
        <is>
          <t>— MISSING —</t>
        </is>
      </c>
      <c r="X93" s="152" t="inlineStr">
        <is>
          <t>✗</t>
        </is>
      </c>
      <c r="Y93" s="150" t="inlineStr">
        <is>
          <t>— MISSING —</t>
        </is>
      </c>
      <c r="Z93" s="153" t="inlineStr">
        <is>
          <t>— no certificate —</t>
        </is>
      </c>
      <c r="AA93" s="152" t="inlineStr">
        <is>
          <t>✗</t>
        </is>
      </c>
    </row>
    <row r="94" ht="21" customHeight="1" s="70">
      <c r="A94" s="175" t="n"/>
      <c r="B94" s="174" t="n"/>
      <c r="C94" s="174" t="n"/>
      <c r="D94" s="176" t="n"/>
      <c r="E94" s="174" t="n"/>
      <c r="F94" s="177" t="n"/>
      <c r="G94" s="176" t="n"/>
      <c r="H94" s="174" t="n"/>
      <c r="I94" s="177" t="n"/>
      <c r="J94" s="154" t="inlineStr">
        <is>
          <t>— no certificate —</t>
        </is>
      </c>
      <c r="K94" s="178" t="n"/>
      <c r="L94" s="178" t="n"/>
      <c r="M94" s="178" t="n"/>
      <c r="N94" s="179" t="n"/>
      <c r="O94" s="177" t="n"/>
      <c r="P94" s="148" t="inlineStr">
        <is>
          <t>197-6-M-26, (10.08.2026) [FHM-M]</t>
        </is>
      </c>
      <c r="Q94" s="178" t="n"/>
      <c r="R94" s="179" t="n"/>
      <c r="S94" s="177" t="n"/>
      <c r="T94" s="154" t="inlineStr">
        <is>
          <t>— no certificate —</t>
        </is>
      </c>
      <c r="U94" s="178" t="n"/>
      <c r="V94" s="178" t="n"/>
      <c r="W94" s="179" t="n"/>
      <c r="X94" s="177" t="n"/>
      <c r="Y94" s="176" t="n"/>
      <c r="Z94" s="174" t="n"/>
      <c r="AA94" s="177" t="n"/>
    </row>
    <row r="95" ht="21" customHeight="1" s="70">
      <c r="A95" s="125" t="inlineStr">
        <is>
          <t>FB012602*</t>
        </is>
      </c>
      <c r="B95" s="126" t="inlineStr">
        <is>
          <t>P060352</t>
        </is>
      </c>
      <c r="C95" s="155" t="inlineStr">
        <is>
          <t>✗ 4 NO RESULT
(4 no cert / 0 cert w/o result)
• 1 document(s) on file, not credited</t>
        </is>
      </c>
      <c r="D95" s="128" t="inlineStr">
        <is>
          <t>Conforms</t>
        </is>
      </c>
      <c r="E95" s="129">
        <f>IFERROR(INDEX('iCoA Register'!$B:$B,MATCH("P060352|FM|I",'iCoA Register'!$R:$R,0)),"iCoA — at issue")&amp;", (23.05.2026) [PP]"</f>
        <v/>
      </c>
      <c r="F95" s="130" t="inlineStr">
        <is>
          <t>✓</t>
        </is>
      </c>
      <c r="G95" s="131" t="inlineStr">
        <is>
          <t>not on this certificate</t>
        </is>
      </c>
      <c r="H95" s="132" t="inlineStr">
        <is>
          <t>197-7-K-26, (07.08.2026) [FHM-K] · on file, not credited</t>
        </is>
      </c>
      <c r="I95" s="133" t="inlineStr">
        <is>
          <t>•</t>
        </is>
      </c>
      <c r="J95" s="150" t="inlineStr">
        <is>
          <t>— MISSING —</t>
        </is>
      </c>
      <c r="K95" s="151" t="inlineStr">
        <is>
          <t>— MISSING —</t>
        </is>
      </c>
      <c r="L95" s="151" t="inlineStr">
        <is>
          <t>— MISSING —</t>
        </is>
      </c>
      <c r="M95" s="151" t="inlineStr">
        <is>
          <t>— MISSING —</t>
        </is>
      </c>
      <c r="N95" s="151" t="inlineStr">
        <is>
          <t>— MISSING —</t>
        </is>
      </c>
      <c r="O95" s="152" t="inlineStr">
        <is>
          <t>✗</t>
        </is>
      </c>
      <c r="P95" s="128" t="inlineStr">
        <is>
          <t>ND</t>
        </is>
      </c>
      <c r="Q95" s="134" t="inlineStr">
        <is>
          <t>ND ᴿ</t>
        </is>
      </c>
      <c r="R95" s="134" t="inlineStr">
        <is>
          <t>ND</t>
        </is>
      </c>
      <c r="S95" s="130" t="inlineStr">
        <is>
          <t>✓</t>
        </is>
      </c>
      <c r="T95" s="150" t="inlineStr">
        <is>
          <t>— MISSING —</t>
        </is>
      </c>
      <c r="U95" s="151" t="inlineStr">
        <is>
          <t>— MISSING —</t>
        </is>
      </c>
      <c r="V95" s="151" t="inlineStr">
        <is>
          <t>— MISSING —</t>
        </is>
      </c>
      <c r="W95" s="151" t="inlineStr">
        <is>
          <t>— MISSING —</t>
        </is>
      </c>
      <c r="X95" s="152" t="inlineStr">
        <is>
          <t>✗</t>
        </is>
      </c>
      <c r="Y95" s="150" t="inlineStr">
        <is>
          <t>— MISSING —</t>
        </is>
      </c>
      <c r="Z95" s="153" t="inlineStr">
        <is>
          <t>— no certificate —</t>
        </is>
      </c>
      <c r="AA95" s="152" t="inlineStr">
        <is>
          <t>✗</t>
        </is>
      </c>
    </row>
    <row r="96" ht="21" customHeight="1" s="70">
      <c r="A96" s="175" t="n"/>
      <c r="B96" s="174" t="n"/>
      <c r="C96" s="174" t="n"/>
      <c r="D96" s="176" t="n"/>
      <c r="E96" s="174" t="n"/>
      <c r="F96" s="177" t="n"/>
      <c r="G96" s="176" t="n"/>
      <c r="H96" s="174" t="n"/>
      <c r="I96" s="177" t="n"/>
      <c r="J96" s="154" t="inlineStr">
        <is>
          <t>— no certificate —</t>
        </is>
      </c>
      <c r="K96" s="178" t="n"/>
      <c r="L96" s="178" t="n"/>
      <c r="M96" s="178" t="n"/>
      <c r="N96" s="179" t="n"/>
      <c r="O96" s="177" t="n"/>
      <c r="P96" s="148" t="inlineStr">
        <is>
          <t>197-7-M-26, (10.08.2026) [FHM-M]</t>
        </is>
      </c>
      <c r="Q96" s="178" t="n"/>
      <c r="R96" s="179" t="n"/>
      <c r="S96" s="177" t="n"/>
      <c r="T96" s="154" t="inlineStr">
        <is>
          <t>— no certificate —</t>
        </is>
      </c>
      <c r="U96" s="178" t="n"/>
      <c r="V96" s="178" t="n"/>
      <c r="W96" s="179" t="n"/>
      <c r="X96" s="177" t="n"/>
      <c r="Y96" s="176" t="n"/>
      <c r="Z96" s="174" t="n"/>
      <c r="AA96" s="177" t="n"/>
    </row>
    <row r="97" ht="21" customHeight="1" s="70">
      <c r="A97" s="125" t="inlineStr">
        <is>
          <t>SCR012603</t>
        </is>
      </c>
      <c r="B97" s="126" t="inlineStr">
        <is>
          <t>P060382</t>
        </is>
      </c>
      <c r="C97" s="155" t="inlineStr">
        <is>
          <t>✗ 4 NO RESULT
(4 no cert / 0 cert w/o result)
• 1 document(s) on file, not credited</t>
        </is>
      </c>
      <c r="D97" s="128" t="inlineStr">
        <is>
          <t>Conforms</t>
        </is>
      </c>
      <c r="E97" s="129">
        <f>IFERROR(INDEX('iCoA Register'!$B:$B,MATCH("P060382|FM|I",'iCoA Register'!$R:$R,0)),"iCoA — at issue")&amp;", (25.05.2026) [PP]"</f>
        <v/>
      </c>
      <c r="F97" s="130" t="inlineStr">
        <is>
          <t>✓</t>
        </is>
      </c>
      <c r="G97" s="131" t="inlineStr">
        <is>
          <t>not on this certificate</t>
        </is>
      </c>
      <c r="H97" s="132" t="inlineStr">
        <is>
          <t>197-21-K-26, (07.08.2026) [FHM-K] · on file, not credited</t>
        </is>
      </c>
      <c r="I97" s="133" t="inlineStr">
        <is>
          <t>•</t>
        </is>
      </c>
      <c r="J97" s="150" t="inlineStr">
        <is>
          <t>— MISSING —</t>
        </is>
      </c>
      <c r="K97" s="151" t="inlineStr">
        <is>
          <t>— MISSING —</t>
        </is>
      </c>
      <c r="L97" s="151" t="inlineStr">
        <is>
          <t>— MISSING —</t>
        </is>
      </c>
      <c r="M97" s="151" t="inlineStr">
        <is>
          <t>— MISSING —</t>
        </is>
      </c>
      <c r="N97" s="151" t="inlineStr">
        <is>
          <t>— MISSING —</t>
        </is>
      </c>
      <c r="O97" s="152" t="inlineStr">
        <is>
          <t>✗</t>
        </is>
      </c>
      <c r="P97" s="128" t="inlineStr">
        <is>
          <t>ND</t>
        </is>
      </c>
      <c r="Q97" s="134" t="inlineStr">
        <is>
          <t>ND ᴿ</t>
        </is>
      </c>
      <c r="R97" s="134" t="inlineStr">
        <is>
          <t>ND</t>
        </is>
      </c>
      <c r="S97" s="130" t="inlineStr">
        <is>
          <t>✓</t>
        </is>
      </c>
      <c r="T97" s="150" t="inlineStr">
        <is>
          <t>— MISSING —</t>
        </is>
      </c>
      <c r="U97" s="151" t="inlineStr">
        <is>
          <t>— MISSING —</t>
        </is>
      </c>
      <c r="V97" s="151" t="inlineStr">
        <is>
          <t>— MISSING —</t>
        </is>
      </c>
      <c r="W97" s="151" t="inlineStr">
        <is>
          <t>— MISSING —</t>
        </is>
      </c>
      <c r="X97" s="152" t="inlineStr">
        <is>
          <t>✗</t>
        </is>
      </c>
      <c r="Y97" s="150" t="inlineStr">
        <is>
          <t>— MISSING —</t>
        </is>
      </c>
      <c r="Z97" s="153" t="inlineStr">
        <is>
          <t>— no certificate —</t>
        </is>
      </c>
      <c r="AA97" s="152" t="inlineStr">
        <is>
          <t>✗</t>
        </is>
      </c>
    </row>
    <row r="98" ht="21" customHeight="1" s="70">
      <c r="A98" s="175" t="n"/>
      <c r="B98" s="174" t="n"/>
      <c r="C98" s="174" t="n"/>
      <c r="D98" s="176" t="n"/>
      <c r="E98" s="174" t="n"/>
      <c r="F98" s="177" t="n"/>
      <c r="G98" s="176" t="n"/>
      <c r="H98" s="174" t="n"/>
      <c r="I98" s="177" t="n"/>
      <c r="J98" s="154" t="inlineStr">
        <is>
          <t>— no certificate —</t>
        </is>
      </c>
      <c r="K98" s="178" t="n"/>
      <c r="L98" s="178" t="n"/>
      <c r="M98" s="178" t="n"/>
      <c r="N98" s="179" t="n"/>
      <c r="O98" s="177" t="n"/>
      <c r="P98" s="148" t="inlineStr">
        <is>
          <t>197-21-M-26, (10.08.2026) [FHM-M]</t>
        </is>
      </c>
      <c r="Q98" s="178" t="n"/>
      <c r="R98" s="179" t="n"/>
      <c r="S98" s="177" t="n"/>
      <c r="T98" s="154" t="inlineStr">
        <is>
          <t>— no certificate —</t>
        </is>
      </c>
      <c r="U98" s="178" t="n"/>
      <c r="V98" s="178" t="n"/>
      <c r="W98" s="179" t="n"/>
      <c r="X98" s="177" t="n"/>
      <c r="Y98" s="176" t="n"/>
      <c r="Z98" s="174" t="n"/>
      <c r="AA98" s="177" t="n"/>
    </row>
    <row r="99" ht="21" customHeight="1" s="70">
      <c r="A99" s="125" t="inlineStr">
        <is>
          <t>— not recorded —</t>
        </is>
      </c>
      <c r="B99" s="126" t="inlineStr">
        <is>
          <t>P160012</t>
        </is>
      </c>
      <c r="C99" s="155" t="inlineStr">
        <is>
          <t>✗ 4 NO RESULT
(4 no cert / 0 cert w/o result)</t>
        </is>
      </c>
      <c r="D99" s="128" t="inlineStr">
        <is>
          <t>0.42% (Одговара)</t>
        </is>
      </c>
      <c r="E99" s="129" t="inlineStr">
        <is>
          <t>ППК26117, (06.07.2026) [CNP]</t>
        </is>
      </c>
      <c r="F99" s="130" t="inlineStr">
        <is>
          <t>✓</t>
        </is>
      </c>
      <c r="G99" s="128" t="inlineStr">
        <is>
          <t>6.31</t>
        </is>
      </c>
      <c r="H99" s="129" t="inlineStr">
        <is>
          <t>ППК26117, (06.07.2026) [CNP]</t>
        </is>
      </c>
      <c r="I99" s="130" t="inlineStr">
        <is>
          <t>✓</t>
        </is>
      </c>
      <c r="J99" s="150" t="inlineStr">
        <is>
          <t>— MISSING —</t>
        </is>
      </c>
      <c r="K99" s="151" t="inlineStr">
        <is>
          <t>— MISSING —</t>
        </is>
      </c>
      <c r="L99" s="151" t="inlineStr">
        <is>
          <t>— MISSING —</t>
        </is>
      </c>
      <c r="M99" s="151" t="inlineStr">
        <is>
          <t>— MISSING —</t>
        </is>
      </c>
      <c r="N99" s="151" t="inlineStr">
        <is>
          <t>— MISSING —</t>
        </is>
      </c>
      <c r="O99" s="152" t="inlineStr">
        <is>
          <t>✗</t>
        </is>
      </c>
      <c r="P99" s="150" t="inlineStr">
        <is>
          <t>— MISSING —</t>
        </is>
      </c>
      <c r="Q99" s="151" t="inlineStr">
        <is>
          <t>— MISSING —</t>
        </is>
      </c>
      <c r="R99" s="151" t="inlineStr">
        <is>
          <t>— MISSING —</t>
        </is>
      </c>
      <c r="S99" s="152" t="inlineStr">
        <is>
          <t>✗</t>
        </is>
      </c>
      <c r="T99" s="150" t="inlineStr">
        <is>
          <t>— MISSING —</t>
        </is>
      </c>
      <c r="U99" s="151" t="inlineStr">
        <is>
          <t>— MISSING —</t>
        </is>
      </c>
      <c r="V99" s="151" t="inlineStr">
        <is>
          <t>— MISSING —</t>
        </is>
      </c>
      <c r="W99" s="151" t="inlineStr">
        <is>
          <t>— MISSING —</t>
        </is>
      </c>
      <c r="X99" s="152" t="inlineStr">
        <is>
          <t>✗</t>
        </is>
      </c>
      <c r="Y99" s="150" t="inlineStr">
        <is>
          <t>— MISSING —</t>
        </is>
      </c>
      <c r="Z99" s="153" t="inlineStr">
        <is>
          <t>— no certificate —</t>
        </is>
      </c>
      <c r="AA99" s="152" t="inlineStr">
        <is>
          <t>✗</t>
        </is>
      </c>
    </row>
    <row r="100" ht="13" customHeight="1" s="70">
      <c r="A100" s="175" t="n"/>
      <c r="B100" s="174" t="n"/>
      <c r="C100" s="174" t="n"/>
      <c r="D100" s="176" t="n"/>
      <c r="E100" s="174" t="n"/>
      <c r="F100" s="177" t="n"/>
      <c r="G100" s="176" t="n"/>
      <c r="H100" s="174" t="n"/>
      <c r="I100" s="177" t="n"/>
      <c r="J100" s="154" t="inlineStr">
        <is>
          <t>— no certificate —</t>
        </is>
      </c>
      <c r="K100" s="178" t="n"/>
      <c r="L100" s="178" t="n"/>
      <c r="M100" s="178" t="n"/>
      <c r="N100" s="179" t="n"/>
      <c r="O100" s="177" t="n"/>
      <c r="P100" s="154" t="inlineStr">
        <is>
          <t>— no certificate —</t>
        </is>
      </c>
      <c r="Q100" s="178" t="n"/>
      <c r="R100" s="179" t="n"/>
      <c r="S100" s="177" t="n"/>
      <c r="T100" s="154" t="inlineStr">
        <is>
          <t>— no certificate —</t>
        </is>
      </c>
      <c r="U100" s="178" t="n"/>
      <c r="V100" s="178" t="n"/>
      <c r="W100" s="179" t="n"/>
      <c r="X100" s="177" t="n"/>
      <c r="Y100" s="176" t="n"/>
      <c r="Z100" s="174" t="n"/>
      <c r="AA100" s="177" t="n"/>
    </row>
    <row r="101" ht="21" customHeight="1" s="70">
      <c r="A101" s="125" t="inlineStr">
        <is>
          <t>— not recorded —</t>
        </is>
      </c>
      <c r="B101" s="126" t="inlineStr">
        <is>
          <t>P160022</t>
        </is>
      </c>
      <c r="C101" s="155" t="inlineStr">
        <is>
          <t>✗ 4 NO RESULT
(4 no cert / 0 cert w/o result)</t>
        </is>
      </c>
      <c r="D101" s="128" t="inlineStr">
        <is>
          <t>/ (Одговара)</t>
        </is>
      </c>
      <c r="E101" s="129" t="inlineStr">
        <is>
          <t>ППК26118, (06.07.2026) [CNP]</t>
        </is>
      </c>
      <c r="F101" s="130" t="inlineStr">
        <is>
          <t>✓</t>
        </is>
      </c>
      <c r="G101" s="128" t="inlineStr">
        <is>
          <t>6.67</t>
        </is>
      </c>
      <c r="H101" s="129" t="inlineStr">
        <is>
          <t>ППК26118, (06.07.2026) [CNP]</t>
        </is>
      </c>
      <c r="I101" s="130" t="inlineStr">
        <is>
          <t>✓</t>
        </is>
      </c>
      <c r="J101" s="150" t="inlineStr">
        <is>
          <t>— MISSING —</t>
        </is>
      </c>
      <c r="K101" s="151" t="inlineStr">
        <is>
          <t>— MISSING —</t>
        </is>
      </c>
      <c r="L101" s="151" t="inlineStr">
        <is>
          <t>— MISSING —</t>
        </is>
      </c>
      <c r="M101" s="151" t="inlineStr">
        <is>
          <t>— MISSING —</t>
        </is>
      </c>
      <c r="N101" s="151" t="inlineStr">
        <is>
          <t>— MISSING —</t>
        </is>
      </c>
      <c r="O101" s="152" t="inlineStr">
        <is>
          <t>✗</t>
        </is>
      </c>
      <c r="P101" s="150" t="inlineStr">
        <is>
          <t>— MISSING —</t>
        </is>
      </c>
      <c r="Q101" s="151" t="inlineStr">
        <is>
          <t>— MISSING —</t>
        </is>
      </c>
      <c r="R101" s="151" t="inlineStr">
        <is>
          <t>— MISSING —</t>
        </is>
      </c>
      <c r="S101" s="152" t="inlineStr">
        <is>
          <t>✗</t>
        </is>
      </c>
      <c r="T101" s="150" t="inlineStr">
        <is>
          <t>— MISSING —</t>
        </is>
      </c>
      <c r="U101" s="151" t="inlineStr">
        <is>
          <t>— MISSING —</t>
        </is>
      </c>
      <c r="V101" s="151" t="inlineStr">
        <is>
          <t>— MISSING —</t>
        </is>
      </c>
      <c r="W101" s="151" t="inlineStr">
        <is>
          <t>— MISSING —</t>
        </is>
      </c>
      <c r="X101" s="152" t="inlineStr">
        <is>
          <t>✗</t>
        </is>
      </c>
      <c r="Y101" s="150" t="inlineStr">
        <is>
          <t>— MISSING —</t>
        </is>
      </c>
      <c r="Z101" s="153" t="inlineStr">
        <is>
          <t>— no certificate —</t>
        </is>
      </c>
      <c r="AA101" s="152" t="inlineStr">
        <is>
          <t>✗</t>
        </is>
      </c>
    </row>
    <row r="102" ht="13" customHeight="1" s="70">
      <c r="A102" s="175" t="n"/>
      <c r="B102" s="174" t="n"/>
      <c r="C102" s="174" t="n"/>
      <c r="D102" s="176" t="n"/>
      <c r="E102" s="174" t="n"/>
      <c r="F102" s="177" t="n"/>
      <c r="G102" s="176" t="n"/>
      <c r="H102" s="174" t="n"/>
      <c r="I102" s="177" t="n"/>
      <c r="J102" s="154" t="inlineStr">
        <is>
          <t>— no certificate —</t>
        </is>
      </c>
      <c r="K102" s="178" t="n"/>
      <c r="L102" s="178" t="n"/>
      <c r="M102" s="178" t="n"/>
      <c r="N102" s="179" t="n"/>
      <c r="O102" s="177" t="n"/>
      <c r="P102" s="154" t="inlineStr">
        <is>
          <t>— no certificate —</t>
        </is>
      </c>
      <c r="Q102" s="178" t="n"/>
      <c r="R102" s="179" t="n"/>
      <c r="S102" s="177" t="n"/>
      <c r="T102" s="154" t="inlineStr">
        <is>
          <t>— no certificate —</t>
        </is>
      </c>
      <c r="U102" s="178" t="n"/>
      <c r="V102" s="178" t="n"/>
      <c r="W102" s="179" t="n"/>
      <c r="X102" s="177" t="n"/>
      <c r="Y102" s="176" t="n"/>
      <c r="Z102" s="174" t="n"/>
      <c r="AA102" s="177" t="n"/>
    </row>
    <row r="103" ht="21" customHeight="1" s="70">
      <c r="A103" s="125" t="inlineStr">
        <is>
          <t>— not recorded —</t>
        </is>
      </c>
      <c r="B103" s="126" t="inlineStr">
        <is>
          <t>P160032</t>
        </is>
      </c>
      <c r="C103" s="155" t="inlineStr">
        <is>
          <t>✗ 4 NO RESULT
(4 no cert / 0 cert w/o result)</t>
        </is>
      </c>
      <c r="D103" s="128" t="inlineStr">
        <is>
          <t>/ (Одговара)</t>
        </is>
      </c>
      <c r="E103" s="129" t="inlineStr">
        <is>
          <t>ППК26119, (06.07.2026) [CNP]</t>
        </is>
      </c>
      <c r="F103" s="130" t="inlineStr">
        <is>
          <t>✓</t>
        </is>
      </c>
      <c r="G103" s="128" t="inlineStr">
        <is>
          <t>6.78</t>
        </is>
      </c>
      <c r="H103" s="129" t="inlineStr">
        <is>
          <t>ППК26119, (06.07.2026) [CNP]</t>
        </is>
      </c>
      <c r="I103" s="130" t="inlineStr">
        <is>
          <t>✓</t>
        </is>
      </c>
      <c r="J103" s="150" t="inlineStr">
        <is>
          <t>— MISSING —</t>
        </is>
      </c>
      <c r="K103" s="151" t="inlineStr">
        <is>
          <t>— MISSING —</t>
        </is>
      </c>
      <c r="L103" s="151" t="inlineStr">
        <is>
          <t>— MISSING —</t>
        </is>
      </c>
      <c r="M103" s="151" t="inlineStr">
        <is>
          <t>— MISSING —</t>
        </is>
      </c>
      <c r="N103" s="151" t="inlineStr">
        <is>
          <t>— MISSING —</t>
        </is>
      </c>
      <c r="O103" s="152" t="inlineStr">
        <is>
          <t>✗</t>
        </is>
      </c>
      <c r="P103" s="150" t="inlineStr">
        <is>
          <t>— MISSING —</t>
        </is>
      </c>
      <c r="Q103" s="151" t="inlineStr">
        <is>
          <t>— MISSING —</t>
        </is>
      </c>
      <c r="R103" s="151" t="inlineStr">
        <is>
          <t>— MISSING —</t>
        </is>
      </c>
      <c r="S103" s="152" t="inlineStr">
        <is>
          <t>✗</t>
        </is>
      </c>
      <c r="T103" s="150" t="inlineStr">
        <is>
          <t>— MISSING —</t>
        </is>
      </c>
      <c r="U103" s="151" t="inlineStr">
        <is>
          <t>— MISSING —</t>
        </is>
      </c>
      <c r="V103" s="151" t="inlineStr">
        <is>
          <t>— MISSING —</t>
        </is>
      </c>
      <c r="W103" s="151" t="inlineStr">
        <is>
          <t>— MISSING —</t>
        </is>
      </c>
      <c r="X103" s="152" t="inlineStr">
        <is>
          <t>✗</t>
        </is>
      </c>
      <c r="Y103" s="150" t="inlineStr">
        <is>
          <t>— MISSING —</t>
        </is>
      </c>
      <c r="Z103" s="153" t="inlineStr">
        <is>
          <t>— no certificate —</t>
        </is>
      </c>
      <c r="AA103" s="152" t="inlineStr">
        <is>
          <t>✗</t>
        </is>
      </c>
    </row>
    <row r="104" ht="13" customHeight="1" s="70">
      <c r="A104" s="175" t="n"/>
      <c r="B104" s="174" t="n"/>
      <c r="C104" s="174" t="n"/>
      <c r="D104" s="176" t="n"/>
      <c r="E104" s="174" t="n"/>
      <c r="F104" s="177" t="n"/>
      <c r="G104" s="176" t="n"/>
      <c r="H104" s="174" t="n"/>
      <c r="I104" s="177" t="n"/>
      <c r="J104" s="154" t="inlineStr">
        <is>
          <t>— no certificate —</t>
        </is>
      </c>
      <c r="K104" s="178" t="n"/>
      <c r="L104" s="178" t="n"/>
      <c r="M104" s="178" t="n"/>
      <c r="N104" s="179" t="n"/>
      <c r="O104" s="177" t="n"/>
      <c r="P104" s="154" t="inlineStr">
        <is>
          <t>— no certificate —</t>
        </is>
      </c>
      <c r="Q104" s="178" t="n"/>
      <c r="R104" s="179" t="n"/>
      <c r="S104" s="177" t="n"/>
      <c r="T104" s="154" t="inlineStr">
        <is>
          <t>— no certificate —</t>
        </is>
      </c>
      <c r="U104" s="178" t="n"/>
      <c r="V104" s="178" t="n"/>
      <c r="W104" s="179" t="n"/>
      <c r="X104" s="177" t="n"/>
      <c r="Y104" s="176" t="n"/>
      <c r="Z104" s="174" t="n"/>
      <c r="AA104" s="177" t="n"/>
    </row>
    <row r="105" ht="21" customHeight="1" s="70">
      <c r="A105" s="125" t="inlineStr">
        <is>
          <t>PM112501</t>
        </is>
      </c>
      <c r="B105" s="126" t="inlineStr">
        <is>
          <t>P060232</t>
        </is>
      </c>
      <c r="C105" s="155" t="inlineStr">
        <is>
          <t>✗ 4 NO RESULT
(4 no cert / 0 cert w/o result)
2 testing instances
• 1 document(s) on file, not credited</t>
        </is>
      </c>
      <c r="D105" s="128" t="inlineStr">
        <is>
          <t>Conforms</t>
        </is>
      </c>
      <c r="E105" s="129">
        <f>IFERROR(INDEX('iCoA Register'!$B:$B,MATCH("P060232|FM|I",'iCoA Register'!$R:$R,0)),"iCoA — at issue")&amp;", (27.04.2026) [PP]"</f>
        <v/>
      </c>
      <c r="F105" s="130" t="inlineStr">
        <is>
          <t>✓</t>
        </is>
      </c>
      <c r="G105" s="128" t="inlineStr">
        <is>
          <t>8.61</t>
        </is>
      </c>
      <c r="H105" s="129" t="inlineStr">
        <is>
          <t>ППК26030, (05.03.2026) [CNP]</t>
        </is>
      </c>
      <c r="I105" s="130" t="inlineStr">
        <is>
          <t>✓</t>
        </is>
      </c>
      <c r="J105" s="150" t="inlineStr">
        <is>
          <t>— MISSING —</t>
        </is>
      </c>
      <c r="K105" s="151" t="inlineStr">
        <is>
          <t>— MISSING —</t>
        </is>
      </c>
      <c r="L105" s="151" t="inlineStr">
        <is>
          <t>— MISSING —</t>
        </is>
      </c>
      <c r="M105" s="151" t="inlineStr">
        <is>
          <t>— MISSING —</t>
        </is>
      </c>
      <c r="N105" s="151" t="inlineStr">
        <is>
          <t>— MISSING —</t>
        </is>
      </c>
      <c r="O105" s="152" t="inlineStr">
        <is>
          <t>✗</t>
        </is>
      </c>
      <c r="P105" s="150" t="inlineStr">
        <is>
          <t>— MISSING —</t>
        </is>
      </c>
      <c r="Q105" s="151" t="inlineStr">
        <is>
          <t>— MISSING —</t>
        </is>
      </c>
      <c r="R105" s="151" t="inlineStr">
        <is>
          <t>— MISSING —</t>
        </is>
      </c>
      <c r="S105" s="152" t="inlineStr">
        <is>
          <t>✗</t>
        </is>
      </c>
      <c r="T105" s="150" t="inlineStr">
        <is>
          <t>— MISSING —</t>
        </is>
      </c>
      <c r="U105" s="151" t="inlineStr">
        <is>
          <t>— MISSING —</t>
        </is>
      </c>
      <c r="V105" s="151" t="inlineStr">
        <is>
          <t>— MISSING —</t>
        </is>
      </c>
      <c r="W105" s="151" t="inlineStr">
        <is>
          <t>— MISSING —</t>
        </is>
      </c>
      <c r="X105" s="152" t="inlineStr">
        <is>
          <t>✗</t>
        </is>
      </c>
      <c r="Y105" s="150" t="inlineStr">
        <is>
          <t>— MISSING —</t>
        </is>
      </c>
      <c r="Z105" s="153" t="inlineStr">
        <is>
          <t>— no certificate —</t>
        </is>
      </c>
      <c r="AA105" s="152" t="inlineStr">
        <is>
          <t>✗</t>
        </is>
      </c>
    </row>
    <row r="106" ht="13" customHeight="1" s="70">
      <c r="A106" s="180" t="n"/>
      <c r="B106" s="173" t="n"/>
      <c r="C106" s="173" t="n"/>
      <c r="D106" s="176" t="n"/>
      <c r="E106" s="174" t="n"/>
      <c r="F106" s="177" t="n"/>
      <c r="G106" s="176" t="n"/>
      <c r="H106" s="174" t="n"/>
      <c r="I106" s="177" t="n"/>
      <c r="J106" s="156" t="inlineStr">
        <is>
          <t>— no certificate —</t>
        </is>
      </c>
      <c r="K106" s="120" t="n"/>
      <c r="L106" s="120" t="n"/>
      <c r="M106" s="120" t="n"/>
      <c r="N106" s="121" t="n"/>
      <c r="O106" s="177" t="n"/>
      <c r="P106" s="156" t="inlineStr">
        <is>
          <t>— no certificate —</t>
        </is>
      </c>
      <c r="Q106" s="120" t="n"/>
      <c r="R106" s="121" t="n"/>
      <c r="S106" s="177" t="n"/>
      <c r="T106" s="156" t="inlineStr">
        <is>
          <t>— no certificate —</t>
        </is>
      </c>
      <c r="U106" s="120" t="n"/>
      <c r="V106" s="120" t="n"/>
      <c r="W106" s="121" t="n"/>
      <c r="X106" s="177" t="n"/>
      <c r="Y106" s="176" t="n"/>
      <c r="Z106" s="174" t="n"/>
      <c r="AA106" s="177" t="n"/>
    </row>
    <row r="107" ht="14" customHeight="1" s="70">
      <c r="A107" s="180" t="n"/>
      <c r="B107" s="173" t="n"/>
      <c r="C107" s="173" t="n"/>
      <c r="D107" s="141" t="n"/>
      <c r="E107" s="140" t="n"/>
      <c r="F107" s="142" t="n"/>
      <c r="G107" s="141" t="n"/>
      <c r="H107" s="140" t="n"/>
      <c r="I107" s="142" t="n"/>
      <c r="J107" s="141" t="n"/>
      <c r="K107" s="140" t="n"/>
      <c r="L107" s="140" t="n"/>
      <c r="M107" s="140" t="n"/>
      <c r="N107" s="140" t="n"/>
      <c r="O107" s="142" t="n"/>
      <c r="P107" s="141" t="n"/>
      <c r="Q107" s="140" t="n"/>
      <c r="R107" s="140" t="n"/>
      <c r="S107" s="142" t="n"/>
      <c r="T107" s="141" t="n"/>
      <c r="U107" s="140" t="n"/>
      <c r="V107" s="140" t="n"/>
      <c r="W107" s="140" t="n"/>
      <c r="X107" s="142" t="n"/>
      <c r="Y107" s="141" t="n"/>
      <c r="Z107" s="140" t="n"/>
      <c r="AA107" s="142" t="n"/>
    </row>
    <row r="108" ht="13" customHeight="1" s="70">
      <c r="A108" s="175" t="n"/>
      <c r="B108" s="174" t="n"/>
      <c r="C108" s="174" t="n"/>
      <c r="D108" s="145" t="n"/>
      <c r="E108" s="146" t="n"/>
      <c r="F108" s="147" t="n"/>
      <c r="G108" s="145" t="n"/>
      <c r="H108" s="146" t="n"/>
      <c r="I108" s="147" t="n"/>
      <c r="J108" s="145" t="n"/>
      <c r="K108" s="146" t="n"/>
      <c r="L108" s="146" t="n"/>
      <c r="M108" s="146" t="n"/>
      <c r="N108" s="146" t="n"/>
      <c r="O108" s="147" t="n"/>
      <c r="P108" s="145" t="n"/>
      <c r="Q108" s="146" t="n"/>
      <c r="R108" s="146" t="n"/>
      <c r="S108" s="147" t="n"/>
      <c r="T108" s="145" t="n"/>
      <c r="U108" s="146" t="n"/>
      <c r="V108" s="146" t="n"/>
      <c r="W108" s="146" t="n"/>
      <c r="X108" s="147" t="n"/>
      <c r="Y108" s="145" t="n"/>
      <c r="Z108" s="146" t="n"/>
      <c r="AA108" s="147" t="n"/>
    </row>
    <row r="109" ht="21" customHeight="1" s="70">
      <c r="A109" s="125" t="inlineStr">
        <is>
          <t>SCR022601</t>
        </is>
      </c>
      <c r="B109" s="126" t="inlineStr">
        <is>
          <t>P060442</t>
        </is>
      </c>
      <c r="C109" s="149" t="inlineStr">
        <is>
          <t>⚠ 3 NO RESULT
(3 no cert / 0 cert w/o result)</t>
        </is>
      </c>
      <c r="D109" s="128" t="inlineStr">
        <is>
          <t>Conforms ᴿ</t>
        </is>
      </c>
      <c r="E109" s="129" t="inlineStr">
        <is>
          <t>ППК26116, (06.07.2026) [CNP]</t>
        </is>
      </c>
      <c r="F109" s="130" t="inlineStr">
        <is>
          <t>✓</t>
        </is>
      </c>
      <c r="G109" s="128" t="inlineStr">
        <is>
          <t>7.06 ᴿ</t>
        </is>
      </c>
      <c r="H109" s="129" t="inlineStr">
        <is>
          <t>ППК26116, (06.07.2026) [CNP]</t>
        </is>
      </c>
      <c r="I109" s="130" t="inlineStr">
        <is>
          <t>✓</t>
        </is>
      </c>
      <c r="J109" s="128" t="inlineStr">
        <is>
          <t>1.7×10³</t>
        </is>
      </c>
      <c r="K109" s="134" t="inlineStr">
        <is>
          <t>5.6×10²</t>
        </is>
      </c>
      <c r="L109" s="134" t="inlineStr">
        <is>
          <t>&lt;10</t>
        </is>
      </c>
      <c r="M109" s="134" t="inlineStr">
        <is>
          <t>absent</t>
        </is>
      </c>
      <c r="N109" s="134" t="inlineStr">
        <is>
          <t>absent</t>
        </is>
      </c>
      <c r="O109" s="130" t="inlineStr">
        <is>
          <t>✓</t>
        </is>
      </c>
      <c r="P109" s="150" t="inlineStr">
        <is>
          <t>— MISSING —</t>
        </is>
      </c>
      <c r="Q109" s="151" t="inlineStr">
        <is>
          <t>— MISSING —</t>
        </is>
      </c>
      <c r="R109" s="151" t="inlineStr">
        <is>
          <t>— MISSING —</t>
        </is>
      </c>
      <c r="S109" s="152" t="inlineStr">
        <is>
          <t>✗</t>
        </is>
      </c>
      <c r="T109" s="150" t="inlineStr">
        <is>
          <t>— MISSING —</t>
        </is>
      </c>
      <c r="U109" s="151" t="inlineStr">
        <is>
          <t>— MISSING —</t>
        </is>
      </c>
      <c r="V109" s="151" t="inlineStr">
        <is>
          <t>— MISSING —</t>
        </is>
      </c>
      <c r="W109" s="151" t="inlineStr">
        <is>
          <t>— MISSING —</t>
        </is>
      </c>
      <c r="X109" s="152" t="inlineStr">
        <is>
          <t>✗</t>
        </is>
      </c>
      <c r="Y109" s="150" t="inlineStr">
        <is>
          <t>— MISSING —</t>
        </is>
      </c>
      <c r="Z109" s="153" t="inlineStr">
        <is>
          <t>— no certificate —</t>
        </is>
      </c>
      <c r="AA109" s="152" t="inlineStr">
        <is>
          <t>✗</t>
        </is>
      </c>
    </row>
    <row r="110" ht="13" customHeight="1" s="70">
      <c r="A110" s="175" t="n"/>
      <c r="B110" s="174" t="n"/>
      <c r="C110" s="174" t="n"/>
      <c r="D110" s="176" t="n"/>
      <c r="E110" s="174" t="n"/>
      <c r="F110" s="177" t="n"/>
      <c r="G110" s="176" t="n"/>
      <c r="H110" s="174" t="n"/>
      <c r="I110" s="177" t="n"/>
      <c r="J110" s="148" t="inlineStr">
        <is>
          <t>536-1067-26, (31.08.2026) [IJZ-MB]</t>
        </is>
      </c>
      <c r="K110" s="178" t="n"/>
      <c r="L110" s="178" t="n"/>
      <c r="M110" s="178" t="n"/>
      <c r="N110" s="179" t="n"/>
      <c r="O110" s="177" t="n"/>
      <c r="P110" s="154" t="inlineStr">
        <is>
          <t>— no certificate —</t>
        </is>
      </c>
      <c r="Q110" s="178" t="n"/>
      <c r="R110" s="179" t="n"/>
      <c r="S110" s="177" t="n"/>
      <c r="T110" s="154" t="inlineStr">
        <is>
          <t>— no certificate —</t>
        </is>
      </c>
      <c r="U110" s="178" t="n"/>
      <c r="V110" s="178" t="n"/>
      <c r="W110" s="179" t="n"/>
      <c r="X110" s="177" t="n"/>
      <c r="Y110" s="176" t="n"/>
      <c r="Z110" s="174" t="n"/>
      <c r="AA110" s="177" t="n"/>
    </row>
    <row r="111" ht="21" customHeight="1" s="70">
      <c r="A111" s="125" t="inlineStr">
        <is>
          <t>SJ102501</t>
        </is>
      </c>
      <c r="B111" s="126" t="inlineStr">
        <is>
          <t>P060162</t>
        </is>
      </c>
      <c r="C111" s="149" t="inlineStr">
        <is>
          <t>⚠ 3 NO RESULT
(3 no cert / 0 cert w/o result)
2 testing instances
• 2 document(s) on file, not credited</t>
        </is>
      </c>
      <c r="D111" s="128" t="inlineStr">
        <is>
          <t>Conforms</t>
        </is>
      </c>
      <c r="E111" s="129">
        <f>IFERROR(INDEX('iCoA Register'!$B:$B,MATCH("P060162|FM|I",'iCoA Register'!$R:$R,0)),"iCoA — at issue")&amp;", (09.03.2026) [PP]"</f>
        <v/>
      </c>
      <c r="F111" s="130" t="inlineStr">
        <is>
          <t>✓</t>
        </is>
      </c>
      <c r="G111" s="128" t="inlineStr">
        <is>
          <t>7.8</t>
        </is>
      </c>
      <c r="H111" s="129" t="inlineStr">
        <is>
          <t>051-3-LoD-26, (02.03.2026) [FHM-K]</t>
        </is>
      </c>
      <c r="I111" s="130" t="inlineStr">
        <is>
          <t>✓</t>
        </is>
      </c>
      <c r="J111" s="128" t="inlineStr">
        <is>
          <t>5.2×10²</t>
        </is>
      </c>
      <c r="K111" s="134" t="inlineStr">
        <is>
          <t>4.3×10²</t>
        </is>
      </c>
      <c r="L111" s="134" t="inlineStr">
        <is>
          <t>&lt;10</t>
        </is>
      </c>
      <c r="M111" s="134" t="inlineStr">
        <is>
          <t>absent</t>
        </is>
      </c>
      <c r="N111" s="134" t="inlineStr">
        <is>
          <t>absent</t>
        </is>
      </c>
      <c r="O111" s="130" t="inlineStr">
        <is>
          <t>✓</t>
        </is>
      </c>
      <c r="P111" s="150" t="inlineStr">
        <is>
          <t>— MISSING —</t>
        </is>
      </c>
      <c r="Q111" s="151" t="inlineStr">
        <is>
          <t>— MISSING —</t>
        </is>
      </c>
      <c r="R111" s="151" t="inlineStr">
        <is>
          <t>— MISSING —</t>
        </is>
      </c>
      <c r="S111" s="152" t="inlineStr">
        <is>
          <t>✗</t>
        </is>
      </c>
      <c r="T111" s="150" t="inlineStr">
        <is>
          <t>— MISSING —</t>
        </is>
      </c>
      <c r="U111" s="151" t="inlineStr">
        <is>
          <t>— MISSING —</t>
        </is>
      </c>
      <c r="V111" s="151" t="inlineStr">
        <is>
          <t>— MISSING —</t>
        </is>
      </c>
      <c r="W111" s="151" t="inlineStr">
        <is>
          <t>— MISSING —</t>
        </is>
      </c>
      <c r="X111" s="152" t="inlineStr">
        <is>
          <t>✗</t>
        </is>
      </c>
      <c r="Y111" s="150" t="inlineStr">
        <is>
          <t>— MISSING —</t>
        </is>
      </c>
      <c r="Z111" s="153" t="inlineStr">
        <is>
          <t>— no certificate —</t>
        </is>
      </c>
      <c r="AA111" s="152" t="inlineStr">
        <is>
          <t>✗</t>
        </is>
      </c>
    </row>
    <row r="112" ht="21" customHeight="1" s="70">
      <c r="A112" s="180" t="n"/>
      <c r="B112" s="173" t="n"/>
      <c r="C112" s="173" t="n"/>
      <c r="D112" s="176" t="n"/>
      <c r="E112" s="174" t="n"/>
      <c r="F112" s="177" t="n"/>
      <c r="G112" s="176" t="n"/>
      <c r="H112" s="174" t="n"/>
      <c r="I112" s="177" t="n"/>
      <c r="J112" s="138" t="inlineStr">
        <is>
          <t>549-1080-26, (31.08.2026) [IJZ-MB]</t>
        </is>
      </c>
      <c r="K112" s="120" t="n"/>
      <c r="L112" s="120" t="n"/>
      <c r="M112" s="120" t="n"/>
      <c r="N112" s="121" t="n"/>
      <c r="O112" s="177" t="n"/>
      <c r="P112" s="156" t="inlineStr">
        <is>
          <t>— no certificate —</t>
        </is>
      </c>
      <c r="Q112" s="120" t="n"/>
      <c r="R112" s="121" t="n"/>
      <c r="S112" s="177" t="n"/>
      <c r="T112" s="156" t="inlineStr">
        <is>
          <t>— no certificate —</t>
        </is>
      </c>
      <c r="U112" s="120" t="n"/>
      <c r="V112" s="120" t="n"/>
      <c r="W112" s="121" t="n"/>
      <c r="X112" s="177" t="n"/>
      <c r="Y112" s="176" t="n"/>
      <c r="Z112" s="174" t="n"/>
      <c r="AA112" s="177" t="n"/>
    </row>
    <row r="113" ht="14" customHeight="1" s="70">
      <c r="A113" s="180" t="n"/>
      <c r="B113" s="173" t="n"/>
      <c r="C113" s="173" t="n"/>
      <c r="D113" s="141" t="n"/>
      <c r="E113" s="140" t="n"/>
      <c r="F113" s="142" t="n"/>
      <c r="G113" s="131" t="inlineStr">
        <is>
          <t>not on this certificate</t>
        </is>
      </c>
      <c r="H113" s="132" t="inlineStr">
        <is>
          <t>051-3-K-26, (04.03.2026) [FHM-K] · on file, not credited</t>
        </is>
      </c>
      <c r="I113" s="133" t="inlineStr">
        <is>
          <t>•</t>
        </is>
      </c>
      <c r="J113" s="141" t="n"/>
      <c r="K113" s="140" t="n"/>
      <c r="L113" s="140" t="n"/>
      <c r="M113" s="140" t="n"/>
      <c r="N113" s="140" t="n"/>
      <c r="O113" s="142" t="n"/>
      <c r="P113" s="141" t="n"/>
      <c r="Q113" s="140" t="n"/>
      <c r="R113" s="140" t="n"/>
      <c r="S113" s="142" t="n"/>
      <c r="T113" s="141" t="n"/>
      <c r="U113" s="140" t="n"/>
      <c r="V113" s="140" t="n"/>
      <c r="W113" s="140" t="n"/>
      <c r="X113" s="142" t="n"/>
      <c r="Y113" s="141" t="n"/>
      <c r="Z113" s="140" t="n"/>
      <c r="AA113" s="142" t="n"/>
    </row>
    <row r="114" ht="21" customHeight="1" s="70">
      <c r="A114" s="175" t="n"/>
      <c r="B114" s="174" t="n"/>
      <c r="C114" s="174" t="n"/>
      <c r="D114" s="145" t="n"/>
      <c r="E114" s="146" t="n"/>
      <c r="F114" s="147" t="n"/>
      <c r="G114" s="176" t="n"/>
      <c r="H114" s="174" t="n"/>
      <c r="I114" s="177" t="n"/>
      <c r="J114" s="145" t="n"/>
      <c r="K114" s="146" t="n"/>
      <c r="L114" s="146" t="n"/>
      <c r="M114" s="146" t="n"/>
      <c r="N114" s="146" t="n"/>
      <c r="O114" s="147" t="n"/>
      <c r="P114" s="145" t="n"/>
      <c r="Q114" s="146" t="n"/>
      <c r="R114" s="146" t="n"/>
      <c r="S114" s="147" t="n"/>
      <c r="T114" s="145" t="n"/>
      <c r="U114" s="146" t="n"/>
      <c r="V114" s="146" t="n"/>
      <c r="W114" s="146" t="n"/>
      <c r="X114" s="147" t="n"/>
      <c r="Y114" s="145" t="n"/>
      <c r="Z114" s="146" t="n"/>
      <c r="AA114" s="147" t="n"/>
    </row>
    <row r="115" ht="21" customHeight="1" s="70">
      <c r="A115" s="125" t="inlineStr">
        <is>
          <t>SJ112501</t>
        </is>
      </c>
      <c r="B115" s="126" t="inlineStr">
        <is>
          <t>P060192</t>
        </is>
      </c>
      <c r="C115" s="155" t="inlineStr">
        <is>
          <t>✗ 4 NO RESULT
(4 no cert / 0 cert w/o result)
2 testing instances
• 2 document(s) on file, not credited</t>
        </is>
      </c>
      <c r="D115" s="128" t="inlineStr">
        <is>
          <t>Conforms</t>
        </is>
      </c>
      <c r="E115" s="129">
        <f>IFERROR(INDEX('iCoA Register'!$B:$B,MATCH("P060192|FM|I",'iCoA Register'!$R:$R,0)),"iCoA — at issue")&amp;", (31.03.2026) [PP]"</f>
        <v/>
      </c>
      <c r="F115" s="130" t="inlineStr">
        <is>
          <t>✓</t>
        </is>
      </c>
      <c r="G115" s="128" t="inlineStr">
        <is>
          <t>6.7</t>
        </is>
      </c>
      <c r="H115" s="129" t="inlineStr">
        <is>
          <t>051-2-LoD-26, (02.03.2026) [FHM-K]</t>
        </is>
      </c>
      <c r="I115" s="130" t="inlineStr">
        <is>
          <t>✓</t>
        </is>
      </c>
      <c r="J115" s="150" t="inlineStr">
        <is>
          <t>— MISSING —</t>
        </is>
      </c>
      <c r="K115" s="151" t="inlineStr">
        <is>
          <t>— MISSING —</t>
        </is>
      </c>
      <c r="L115" s="151" t="inlineStr">
        <is>
          <t>— MISSING —</t>
        </is>
      </c>
      <c r="M115" s="151" t="inlineStr">
        <is>
          <t>— MISSING —</t>
        </is>
      </c>
      <c r="N115" s="151" t="inlineStr">
        <is>
          <t>— MISSING —</t>
        </is>
      </c>
      <c r="O115" s="152" t="inlineStr">
        <is>
          <t>✗</t>
        </is>
      </c>
      <c r="P115" s="150" t="inlineStr">
        <is>
          <t>— MISSING —</t>
        </is>
      </c>
      <c r="Q115" s="151" t="inlineStr">
        <is>
          <t>— MISSING —</t>
        </is>
      </c>
      <c r="R115" s="151" t="inlineStr">
        <is>
          <t>— MISSING —</t>
        </is>
      </c>
      <c r="S115" s="152" t="inlineStr">
        <is>
          <t>✗</t>
        </is>
      </c>
      <c r="T115" s="150" t="inlineStr">
        <is>
          <t>— MISSING —</t>
        </is>
      </c>
      <c r="U115" s="151" t="inlineStr">
        <is>
          <t>— MISSING —</t>
        </is>
      </c>
      <c r="V115" s="151" t="inlineStr">
        <is>
          <t>— MISSING —</t>
        </is>
      </c>
      <c r="W115" s="151" t="inlineStr">
        <is>
          <t>— MISSING —</t>
        </is>
      </c>
      <c r="X115" s="152" t="inlineStr">
        <is>
          <t>✗</t>
        </is>
      </c>
      <c r="Y115" s="150" t="inlineStr">
        <is>
          <t>— MISSING —</t>
        </is>
      </c>
      <c r="Z115" s="153" t="inlineStr">
        <is>
          <t>— no certificate —</t>
        </is>
      </c>
      <c r="AA115" s="152" t="inlineStr">
        <is>
          <t>✗</t>
        </is>
      </c>
    </row>
    <row r="116" ht="21" customHeight="1" s="70">
      <c r="A116" s="180" t="n"/>
      <c r="B116" s="173" t="n"/>
      <c r="C116" s="173" t="n"/>
      <c r="D116" s="176" t="n"/>
      <c r="E116" s="174" t="n"/>
      <c r="F116" s="177" t="n"/>
      <c r="G116" s="176" t="n"/>
      <c r="H116" s="174" t="n"/>
      <c r="I116" s="177" t="n"/>
      <c r="J116" s="156" t="inlineStr">
        <is>
          <t>— no certificate —</t>
        </is>
      </c>
      <c r="K116" s="120" t="n"/>
      <c r="L116" s="120" t="n"/>
      <c r="M116" s="120" t="n"/>
      <c r="N116" s="121" t="n"/>
      <c r="O116" s="177" t="n"/>
      <c r="P116" s="156" t="inlineStr">
        <is>
          <t>— no certificate —</t>
        </is>
      </c>
      <c r="Q116" s="120" t="n"/>
      <c r="R116" s="121" t="n"/>
      <c r="S116" s="177" t="n"/>
      <c r="T116" s="156" t="inlineStr">
        <is>
          <t>— no certificate —</t>
        </is>
      </c>
      <c r="U116" s="120" t="n"/>
      <c r="V116" s="120" t="n"/>
      <c r="W116" s="121" t="n"/>
      <c r="X116" s="177" t="n"/>
      <c r="Y116" s="176" t="n"/>
      <c r="Z116" s="174" t="n"/>
      <c r="AA116" s="177" t="n"/>
    </row>
    <row r="117" ht="14" customHeight="1" s="70">
      <c r="A117" s="180" t="n"/>
      <c r="B117" s="173" t="n"/>
      <c r="C117" s="173" t="n"/>
      <c r="D117" s="141" t="n"/>
      <c r="E117" s="140" t="n"/>
      <c r="F117" s="142" t="n"/>
      <c r="G117" s="131" t="inlineStr">
        <is>
          <t>not on this certificate</t>
        </is>
      </c>
      <c r="H117" s="132" t="inlineStr">
        <is>
          <t>051-2-K-26, (04.03.2026) [FHM-K] · on file, not credited</t>
        </is>
      </c>
      <c r="I117" s="133" t="inlineStr">
        <is>
          <t>•</t>
        </is>
      </c>
      <c r="J117" s="141" t="n"/>
      <c r="K117" s="140" t="n"/>
      <c r="L117" s="140" t="n"/>
      <c r="M117" s="140" t="n"/>
      <c r="N117" s="140" t="n"/>
      <c r="O117" s="142" t="n"/>
      <c r="P117" s="141" t="n"/>
      <c r="Q117" s="140" t="n"/>
      <c r="R117" s="140" t="n"/>
      <c r="S117" s="142" t="n"/>
      <c r="T117" s="141" t="n"/>
      <c r="U117" s="140" t="n"/>
      <c r="V117" s="140" t="n"/>
      <c r="W117" s="140" t="n"/>
      <c r="X117" s="142" t="n"/>
      <c r="Y117" s="141" t="n"/>
      <c r="Z117" s="140" t="n"/>
      <c r="AA117" s="142" t="n"/>
    </row>
    <row r="118" ht="21" customHeight="1" s="70">
      <c r="A118" s="175" t="n"/>
      <c r="B118" s="174" t="n"/>
      <c r="C118" s="174" t="n"/>
      <c r="D118" s="145" t="n"/>
      <c r="E118" s="146" t="n"/>
      <c r="F118" s="147" t="n"/>
      <c r="G118" s="176" t="n"/>
      <c r="H118" s="174" t="n"/>
      <c r="I118" s="177" t="n"/>
      <c r="J118" s="145" t="n"/>
      <c r="K118" s="146" t="n"/>
      <c r="L118" s="146" t="n"/>
      <c r="M118" s="146" t="n"/>
      <c r="N118" s="146" t="n"/>
      <c r="O118" s="147" t="n"/>
      <c r="P118" s="145" t="n"/>
      <c r="Q118" s="146" t="n"/>
      <c r="R118" s="146" t="n"/>
      <c r="S118" s="147" t="n"/>
      <c r="T118" s="145" t="n"/>
      <c r="U118" s="146" t="n"/>
      <c r="V118" s="146" t="n"/>
      <c r="W118" s="146" t="n"/>
      <c r="X118" s="147" t="n"/>
      <c r="Y118" s="145" t="n"/>
      <c r="Z118" s="146" t="n"/>
      <c r="AA118" s="147" t="n"/>
    </row>
    <row r="119" ht="62" customHeight="1" s="70">
      <c r="A119" s="17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0" t="n"/>
      <c r="C119" s="120" t="n"/>
      <c r="D119" s="120" t="n"/>
      <c r="E119" s="120" t="n"/>
      <c r="F119" s="120" t="n"/>
      <c r="G119" s="120" t="n"/>
      <c r="H119" s="120" t="n"/>
      <c r="I119" s="120" t="n"/>
      <c r="J119" s="120" t="n"/>
      <c r="K119" s="120" t="n"/>
      <c r="L119" s="120" t="n"/>
      <c r="M119" s="120" t="n"/>
      <c r="N119" s="120" t="n"/>
      <c r="O119" s="120" t="n"/>
      <c r="P119" s="120" t="n"/>
      <c r="Q119" s="120" t="n"/>
      <c r="R119" s="120" t="n"/>
      <c r="S119" s="120" t="n"/>
      <c r="T119" s="120" t="n"/>
      <c r="U119" s="120" t="n"/>
      <c r="V119" s="120" t="n"/>
      <c r="W119" s="120" t="n"/>
      <c r="X119" s="120" t="n"/>
      <c r="Y119" s="120" t="n"/>
      <c r="Z119" s="120" t="n"/>
      <c r="AA119" s="121"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Finding</t>
        </is>
      </c>
      <c r="I1" s="119" t="inlineStr">
        <is>
          <t>Action</t>
        </is>
      </c>
    </row>
    <row r="2">
      <c r="A2" s="181" t="inlineStr">
        <is>
          <t>BSS052501</t>
        </is>
      </c>
      <c r="B2" s="182" t="inlineStr">
        <is>
          <t>P050192</t>
        </is>
      </c>
      <c r="C2" s="182" t="inlineStr">
        <is>
          <t>NGP-QCG-SOP-024 F3</t>
        </is>
      </c>
      <c r="D2" s="183" t="n">
        <v>45989</v>
      </c>
      <c r="E2" s="182" t="inlineStr">
        <is>
          <t>NGP</t>
        </is>
      </c>
      <c r="F2" s="182" t="inlineStr">
        <is>
          <t>#6</t>
        </is>
      </c>
      <c r="G2" s="184" t="inlineStr">
        <is>
          <t>#6 Total CBN</t>
        </is>
      </c>
      <c r="H2" s="185" t="inlineStr">
        <is>
          <t>held for review</t>
        </is>
      </c>
      <c r="I2" s="186" t="inlineStr">
        <is>
          <t>The two independent reads disagreed. A person must confirm the figure from the page.</t>
        </is>
      </c>
    </row>
    <row r="3">
      <c r="A3" s="181" t="inlineStr">
        <is>
          <t>GP062501</t>
        </is>
      </c>
      <c r="B3" s="182" t="inlineStr">
        <is>
          <t>P050202</t>
        </is>
      </c>
      <c r="C3" s="182" t="inlineStr">
        <is>
          <t>NGP-QCG-SOP-024 F3</t>
        </is>
      </c>
      <c r="D3" s="183" t="n">
        <v>45989</v>
      </c>
      <c r="E3" s="182" t="inlineStr">
        <is>
          <t>NGP</t>
        </is>
      </c>
      <c r="F3" s="182" t="inlineStr">
        <is>
          <t>#6</t>
        </is>
      </c>
      <c r="G3" s="184" t="inlineStr">
        <is>
          <t>#6 Total CBN</t>
        </is>
      </c>
      <c r="H3" s="185" t="inlineStr">
        <is>
          <t>held for review</t>
        </is>
      </c>
      <c r="I3" s="186" t="inlineStr">
        <is>
          <t>The two independent reads disagreed. A person must confirm the figure from the page.</t>
        </is>
      </c>
    </row>
    <row r="4">
      <c r="A4" s="181" t="inlineStr">
        <is>
          <t>J31112501</t>
        </is>
      </c>
      <c r="B4" s="182" t="inlineStr">
        <is>
          <t>P060202</t>
        </is>
      </c>
      <c r="C4" s="182" t="inlineStr">
        <is>
          <t>100-1-K-26</t>
        </is>
      </c>
      <c r="D4" s="183" t="n">
        <v>46121</v>
      </c>
      <c r="E4" s="182" t="inlineStr">
        <is>
          <t>FHM-K</t>
        </is>
      </c>
      <c r="F4" s="182" t="inlineStr">
        <is>
          <t>#3</t>
        </is>
      </c>
      <c r="G4" s="184" t="inlineStr">
        <is>
          <t>#3 Identification C</t>
        </is>
      </c>
      <c r="H4" s="185" t="inlineStr">
        <is>
          <t>held for review</t>
        </is>
      </c>
      <c r="I4" s="186" t="inlineStr">
        <is>
          <t>The two independent reads disagreed. A person must confirm the figure from the page.</t>
        </is>
      </c>
    </row>
    <row r="5">
      <c r="A5" s="181" t="inlineStr">
        <is>
          <t>FB032601</t>
        </is>
      </c>
      <c r="B5" s="182" t="inlineStr">
        <is>
          <t>P060452</t>
        </is>
      </c>
      <c r="C5" s="182" t="inlineStr">
        <is>
          <t>ППК26127</t>
        </is>
      </c>
      <c r="D5" s="183" t="n">
        <v>46224</v>
      </c>
      <c r="E5" s="182" t="inlineStr">
        <is>
          <t>CNP</t>
        </is>
      </c>
      <c r="F5" s="182" t="inlineStr">
        <is>
          <t>#7</t>
        </is>
      </c>
      <c r="G5" s="184" t="inlineStr">
        <is>
          <t>#7 Foreign Matter</t>
        </is>
      </c>
      <c r="H5" s="185" t="inlineStr">
        <is>
          <t>non-conformance reported</t>
        </is>
      </c>
      <c r="I5" s="186" t="inlineStr"/>
    </row>
    <row r="6">
      <c r="A6" s="181" t="inlineStr">
        <is>
          <t>J31122501</t>
        </is>
      </c>
      <c r="B6" s="182" t="inlineStr">
        <is>
          <t>P060262</t>
        </is>
      </c>
      <c r="C6" s="182" t="inlineStr">
        <is>
          <t>100-3-K-26</t>
        </is>
      </c>
      <c r="D6" s="183" t="n">
        <v>46121</v>
      </c>
      <c r="E6" s="182" t="inlineStr">
        <is>
          <t>FHM-K</t>
        </is>
      </c>
      <c r="F6" s="182" t="inlineStr">
        <is>
          <t>#3</t>
        </is>
      </c>
      <c r="G6" s="184" t="inlineStr">
        <is>
          <t>#3 Identification C</t>
        </is>
      </c>
      <c r="H6" s="185" t="inlineStr">
        <is>
          <t>not ingested</t>
        </is>
      </c>
      <c r="I6" s="186" t="inlineStr">
        <is>
          <t>Re-extract the document into the corpus; the batch cannot reach a CoQ on this parameter until then.</t>
        </is>
      </c>
    </row>
    <row r="7">
      <c r="A7" s="181" t="inlineStr">
        <is>
          <t>J31122501</t>
        </is>
      </c>
      <c r="B7" s="182" t="inlineStr">
        <is>
          <t>P060262</t>
        </is>
      </c>
      <c r="C7" s="182" t="inlineStr">
        <is>
          <t>1625-2026</t>
        </is>
      </c>
      <c r="D7" s="183" t="n">
        <v>46135</v>
      </c>
      <c r="E7" s="182" t="inlineStr">
        <is>
          <t>IJZ</t>
        </is>
      </c>
      <c r="F7" s="182" t="inlineStr">
        <is>
          <t>#11</t>
        </is>
      </c>
      <c r="G7" s="184" t="inlineStr">
        <is>
          <t>#11 Heavy Metals</t>
        </is>
      </c>
      <c r="H7" s="185" t="inlineStr">
        <is>
          <t>not ingested</t>
        </is>
      </c>
      <c r="I7" s="186" t="inlineStr">
        <is>
          <t>Re-extract the document into the corpus; the batch cannot reach a CoQ on this parameter until then.</t>
        </is>
      </c>
    </row>
    <row r="8">
      <c r="A8" s="181" t="inlineStr">
        <is>
          <t>MB0824_04</t>
        </is>
      </c>
      <c r="B8" s="182" t="inlineStr">
        <is>
          <t>P050032</t>
        </is>
      </c>
      <c r="C8" s="182" t="inlineStr">
        <is>
          <t>ППК25118</t>
        </is>
      </c>
      <c r="D8" s="183" t="n">
        <v>45783</v>
      </c>
      <c r="E8" s="182" t="inlineStr">
        <is>
          <t>CNP</t>
        </is>
      </c>
      <c r="F8" s="182" t="inlineStr">
        <is>
          <t>#6</t>
        </is>
      </c>
      <c r="G8" s="184" t="inlineStr">
        <is>
          <t>#6 Total CBN</t>
        </is>
      </c>
      <c r="H8" s="185" t="inlineStr">
        <is>
          <t>not ingested</t>
        </is>
      </c>
      <c r="I8" s="186" t="inlineStr">
        <is>
          <t>Re-extract the document into the corpus; the batch cannot reach a CoQ on this parameter until then.</t>
        </is>
      </c>
    </row>
    <row r="9">
      <c r="A9" s="181" t="inlineStr">
        <is>
          <t>OPM052501</t>
        </is>
      </c>
      <c r="B9" s="182" t="inlineStr">
        <is>
          <t>P050132</t>
        </is>
      </c>
      <c r="C9" s="182" t="inlineStr">
        <is>
          <t>ППК25257</t>
        </is>
      </c>
      <c r="D9" s="183" t="n">
        <v>45905</v>
      </c>
      <c r="E9" s="182" t="inlineStr">
        <is>
          <t>CNP</t>
        </is>
      </c>
      <c r="F9" s="182" t="inlineStr">
        <is>
          <t>#6</t>
        </is>
      </c>
      <c r="G9" s="184" t="inlineStr">
        <is>
          <t>#6 Total CBN</t>
        </is>
      </c>
      <c r="H9" s="185" t="inlineStr">
        <is>
          <t>not ingested</t>
        </is>
      </c>
      <c r="I9" s="186" t="inlineStr">
        <is>
          <t>Re-extract the document into the corpus; the batch cannot reach a CoQ on this parameter until then.</t>
        </is>
      </c>
    </row>
    <row r="10">
      <c r="A10" s="181" t="inlineStr">
        <is>
          <t>OPM112501</t>
        </is>
      </c>
      <c r="B10" s="182" t="inlineStr">
        <is>
          <t>P060222</t>
        </is>
      </c>
      <c r="C10" s="182" t="inlineStr">
        <is>
          <t>ППК26031</t>
        </is>
      </c>
      <c r="D10" s="183" t="n">
        <v>46086</v>
      </c>
      <c r="E10" s="182" t="inlineStr">
        <is>
          <t>CNP</t>
        </is>
      </c>
      <c r="F10" s="182" t="inlineStr">
        <is>
          <t>#6</t>
        </is>
      </c>
      <c r="G10" s="184" t="inlineStr">
        <is>
          <t>#6 Total CBN</t>
        </is>
      </c>
      <c r="H10" s="185" t="inlineStr">
        <is>
          <t>not ingested</t>
        </is>
      </c>
      <c r="I10" s="186" t="inlineStr">
        <is>
          <t>Re-extract the document into the corpus; the batch cannot reach a CoQ on this parameter until then.</t>
        </is>
      </c>
    </row>
    <row r="11">
      <c r="A11" s="181" t="inlineStr">
        <is>
          <t>PM072501</t>
        </is>
      </c>
      <c r="B11" s="182" t="inlineStr">
        <is>
          <t>P050272</t>
        </is>
      </c>
      <c r="C11" s="182" t="inlineStr">
        <is>
          <t>ППК25368</t>
        </is>
      </c>
      <c r="D11" s="183" t="n">
        <v>45989</v>
      </c>
      <c r="E11" s="182" t="inlineStr">
        <is>
          <t>CNP</t>
        </is>
      </c>
      <c r="F11" s="182" t="inlineStr">
        <is>
          <t>#6</t>
        </is>
      </c>
      <c r="G11" s="184" t="inlineStr">
        <is>
          <t>#6 Total CBN</t>
        </is>
      </c>
      <c r="H11" s="185" t="inlineStr">
        <is>
          <t>not ingested</t>
        </is>
      </c>
      <c r="I11" s="186" t="inlineStr">
        <is>
          <t>Re-extract the document into the corpus; the batch cannot reach a CoQ on this parameter until then.</t>
        </is>
      </c>
    </row>
    <row r="12">
      <c r="A12" s="181" t="inlineStr">
        <is>
          <t>BSS052501</t>
        </is>
      </c>
      <c r="B12" s="182" t="inlineStr">
        <is>
          <t>P050192</t>
        </is>
      </c>
      <c r="C12" s="182" t="inlineStr">
        <is>
          <t>NGP-QCG-SOP-024 F3</t>
        </is>
      </c>
      <c r="D12" s="183" t="n">
        <v>45989</v>
      </c>
      <c r="E12" s="182" t="inlineStr">
        <is>
          <t>NGP</t>
        </is>
      </c>
      <c r="F12" s="182" t="inlineStr">
        <is>
          <t>#8</t>
        </is>
      </c>
      <c r="G12" s="184" t="inlineStr">
        <is>
          <t>#8 Loss on Drying</t>
        </is>
      </c>
      <c r="H12" s="187" t="inlineStr">
        <is>
          <t>not on this certificate</t>
        </is>
      </c>
      <c r="I12" s="186" t="inlineStr">
        <is>
          <t>Move the credit to the certificate that reports this parameter, or record why it stands.</t>
        </is>
      </c>
    </row>
    <row r="13">
      <c r="A13" s="181" t="inlineStr">
        <is>
          <t>BSS052501</t>
        </is>
      </c>
      <c r="B13" s="182" t="inlineStr">
        <is>
          <t>P050192</t>
        </is>
      </c>
      <c r="C13" s="182" t="inlineStr">
        <is>
          <t>5661-2025</t>
        </is>
      </c>
      <c r="D13" s="183" t="n">
        <v>45992</v>
      </c>
      <c r="E13" s="182" t="inlineStr">
        <is>
          <t>IJZ</t>
        </is>
      </c>
      <c r="F13" s="182" t="inlineStr">
        <is>
          <t>#10</t>
        </is>
      </c>
      <c r="G13" s="184" t="inlineStr">
        <is>
          <t>#10 Mycotoxins</t>
        </is>
      </c>
      <c r="H13" s="187" t="inlineStr">
        <is>
          <t>not on this certificate</t>
        </is>
      </c>
      <c r="I13" s="186" t="inlineStr">
        <is>
          <t>Move the credit to the certificate that reports this parameter, or record why it stands.</t>
        </is>
      </c>
    </row>
    <row r="14">
      <c r="A14" s="181" t="inlineStr">
        <is>
          <t>BSS052501</t>
        </is>
      </c>
      <c r="B14" s="182" t="inlineStr">
        <is>
          <t>P050192</t>
        </is>
      </c>
      <c r="C14" s="182" t="inlineStr">
        <is>
          <t>5661-2025</t>
        </is>
      </c>
      <c r="D14" s="183" t="n">
        <v>45992</v>
      </c>
      <c r="E14" s="182" t="inlineStr">
        <is>
          <t>IJZ</t>
        </is>
      </c>
      <c r="F14" s="182" t="inlineStr">
        <is>
          <t>#12</t>
        </is>
      </c>
      <c r="G14" s="184" t="inlineStr">
        <is>
          <t>#12 Pesticide Residues</t>
        </is>
      </c>
      <c r="H14" s="187" t="inlineStr">
        <is>
          <t>not on this certificate</t>
        </is>
      </c>
      <c r="I14" s="186" t="inlineStr">
        <is>
          <t>Move the credit to the certificate that reports this parameter, or record why it stands.</t>
        </is>
      </c>
    </row>
  </sheetData>
  <autoFilter ref="A1:I14"/>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19" t="inlineStr">
        <is>
          <t>CU Batch</t>
        </is>
      </c>
      <c r="B1" s="119" t="inlineStr">
        <is>
          <t>P Batch</t>
        </is>
      </c>
      <c r="C1" s="119" t="inlineStr">
        <is>
          <t>Certificate</t>
        </is>
      </c>
      <c r="D1" s="119" t="inlineStr">
        <is>
          <t>Date</t>
        </is>
      </c>
      <c r="E1" s="119" t="inlineStr">
        <is>
          <t>Lab</t>
        </is>
      </c>
      <c r="F1" s="119" t="inlineStr">
        <is>
          <t>#</t>
        </is>
      </c>
      <c r="G1" s="119" t="inlineStr">
        <is>
          <t>Parameter</t>
        </is>
      </c>
      <c r="H1" s="119" t="inlineStr">
        <is>
          <t>Correction</t>
        </is>
      </c>
      <c r="I1" s="119" t="inlineStr">
        <is>
          <t>Evidence</t>
        </is>
      </c>
    </row>
    <row r="2">
      <c r="A2" s="181" t="inlineStr">
        <is>
          <t>BG1024</t>
        </is>
      </c>
      <c r="B2" s="182" t="inlineStr">
        <is>
          <t>N/A — no P batch assigned</t>
        </is>
      </c>
      <c r="C2" s="182" t="inlineStr">
        <is>
          <t>197-1-K-26</t>
        </is>
      </c>
      <c r="D2" s="183" t="n">
        <v>46241</v>
      </c>
      <c r="E2" s="182" t="inlineStr">
        <is>
          <t>FHM-K</t>
        </is>
      </c>
      <c r="F2" s="182" t="inlineStr">
        <is>
          <t>#8</t>
        </is>
      </c>
      <c r="G2" s="184" t="inlineStr">
        <is>
          <t>#8 Loss on Drying</t>
        </is>
      </c>
      <c r="H2" s="187" t="inlineStr">
        <is>
          <t>credit removed</t>
        </is>
      </c>
      <c r="I2" s="186" t="inlineStr">
        <is>
          <t>R1 Farmahem pair — cannabinoid certificate; loss on drying is on the LoD certificate</t>
        </is>
      </c>
    </row>
    <row r="3">
      <c r="A3" s="181" t="inlineStr">
        <is>
          <t>BSS1024</t>
        </is>
      </c>
      <c r="B3" s="182" t="inlineStr">
        <is>
          <t>N/A — no P batch assigned</t>
        </is>
      </c>
      <c r="C3" s="182" t="inlineStr">
        <is>
          <t>197-2-K-26</t>
        </is>
      </c>
      <c r="D3" s="183" t="n">
        <v>46241</v>
      </c>
      <c r="E3" s="182" t="inlineStr">
        <is>
          <t>FHM-K</t>
        </is>
      </c>
      <c r="F3" s="182" t="inlineStr">
        <is>
          <t>#8</t>
        </is>
      </c>
      <c r="G3" s="184" t="inlineStr">
        <is>
          <t>#8 Loss on Drying</t>
        </is>
      </c>
      <c r="H3" s="187" t="inlineStr">
        <is>
          <t>credit removed</t>
        </is>
      </c>
      <c r="I3" s="186" t="inlineStr">
        <is>
          <t>R1 Farmahem pair — cannabinoid certificate; loss on drying is on the LoD certificate</t>
        </is>
      </c>
    </row>
    <row r="4">
      <c r="A4" s="181" t="inlineStr">
        <is>
          <t>CC012601/1</t>
        </is>
      </c>
      <c r="B4" s="182" t="inlineStr">
        <is>
          <t>P060332</t>
        </is>
      </c>
      <c r="C4" s="182" t="inlineStr">
        <is>
          <t>197-6-K-26</t>
        </is>
      </c>
      <c r="D4" s="183" t="n">
        <v>46241</v>
      </c>
      <c r="E4" s="182" t="inlineStr">
        <is>
          <t>FHM-K</t>
        </is>
      </c>
      <c r="F4" s="182" t="inlineStr">
        <is>
          <t>#8</t>
        </is>
      </c>
      <c r="G4" s="184" t="inlineStr">
        <is>
          <t>#8 Loss on Drying</t>
        </is>
      </c>
      <c r="H4" s="187" t="inlineStr">
        <is>
          <t>credit removed</t>
        </is>
      </c>
      <c r="I4" s="186" t="inlineStr">
        <is>
          <t>R1 Farmahem pair — cannabinoid certificate; loss on drying is on the LoD certificate</t>
        </is>
      </c>
    </row>
    <row r="5">
      <c r="A5" s="181" t="inlineStr">
        <is>
          <t>CJ052501/01</t>
        </is>
      </c>
      <c r="B5" s="182" t="inlineStr">
        <is>
          <t>P050162</t>
        </is>
      </c>
      <c r="C5" s="182" t="inlineStr">
        <is>
          <t>197-3-K-26</t>
        </is>
      </c>
      <c r="D5" s="183" t="n">
        <v>46241</v>
      </c>
      <c r="E5" s="182" t="inlineStr">
        <is>
          <t>FHM-K</t>
        </is>
      </c>
      <c r="F5" s="182" t="inlineStr">
        <is>
          <t>#8</t>
        </is>
      </c>
      <c r="G5" s="184" t="inlineStr">
        <is>
          <t>#8 Loss on Drying</t>
        </is>
      </c>
      <c r="H5" s="187" t="inlineStr">
        <is>
          <t>credit removed</t>
        </is>
      </c>
      <c r="I5" s="186" t="inlineStr">
        <is>
          <t>R1 Farmahem pair — cannabinoid certificate; loss on drying is on the LoD certificate</t>
        </is>
      </c>
    </row>
    <row r="6">
      <c r="A6" s="181" t="inlineStr">
        <is>
          <t>CJ062501/2</t>
        </is>
      </c>
      <c r="B6" s="182" t="inlineStr">
        <is>
          <t>P050212</t>
        </is>
      </c>
      <c r="C6" s="182" t="inlineStr">
        <is>
          <t>197-4-K-26</t>
        </is>
      </c>
      <c r="D6" s="183" t="n">
        <v>46241</v>
      </c>
      <c r="E6" s="182" t="inlineStr">
        <is>
          <t>FHM-K</t>
        </is>
      </c>
      <c r="F6" s="182" t="inlineStr">
        <is>
          <t>#8</t>
        </is>
      </c>
      <c r="G6" s="184" t="inlineStr">
        <is>
          <t>#8 Loss on Drying</t>
        </is>
      </c>
      <c r="H6" s="187" t="inlineStr">
        <is>
          <t>credit removed</t>
        </is>
      </c>
      <c r="I6" s="186" t="inlineStr">
        <is>
          <t>R1 Farmahem pair — cannabinoid certificate; loss on drying is on the LoD certificate</t>
        </is>
      </c>
    </row>
    <row r="7">
      <c r="A7" s="181" t="inlineStr">
        <is>
          <t>CJ082501/2</t>
        </is>
      </c>
      <c r="B7" s="182" t="inlineStr">
        <is>
          <t>P060032</t>
        </is>
      </c>
      <c r="C7" s="182" t="inlineStr">
        <is>
          <t>197-5-K-26</t>
        </is>
      </c>
      <c r="D7" s="183" t="n">
        <v>46241</v>
      </c>
      <c r="E7" s="182" t="inlineStr">
        <is>
          <t>FHM-K</t>
        </is>
      </c>
      <c r="F7" s="182" t="inlineStr">
        <is>
          <t>#8</t>
        </is>
      </c>
      <c r="G7" s="184" t="inlineStr">
        <is>
          <t>#8 Loss on Drying</t>
        </is>
      </c>
      <c r="H7" s="187" t="inlineStr">
        <is>
          <t>credit removed</t>
        </is>
      </c>
      <c r="I7" s="186" t="inlineStr">
        <is>
          <t>R1 Farmahem pair — cannabinoid certificate; loss on drying is on the LoD certificate</t>
        </is>
      </c>
    </row>
    <row r="8">
      <c r="A8" s="181" t="inlineStr">
        <is>
          <t>FB012602*</t>
        </is>
      </c>
      <c r="B8" s="182" t="inlineStr">
        <is>
          <t>P060352</t>
        </is>
      </c>
      <c r="C8" s="182" t="inlineStr">
        <is>
          <t>197-7-K-26</t>
        </is>
      </c>
      <c r="D8" s="183" t="n">
        <v>46241</v>
      </c>
      <c r="E8" s="182" t="inlineStr">
        <is>
          <t>FHM-K</t>
        </is>
      </c>
      <c r="F8" s="182" t="inlineStr">
        <is>
          <t>#8</t>
        </is>
      </c>
      <c r="G8" s="184" t="inlineStr">
        <is>
          <t>#8 Loss on Drying</t>
        </is>
      </c>
      <c r="H8" s="187" t="inlineStr">
        <is>
          <t>credit removed</t>
        </is>
      </c>
      <c r="I8" s="186" t="inlineStr">
        <is>
          <t>R1 Farmahem pair — cannabinoid certificate; loss on drying is on the LoD certificate</t>
        </is>
      </c>
    </row>
    <row r="9">
      <c r="A9" s="181" t="inlineStr">
        <is>
          <t>GG012603</t>
        </is>
      </c>
      <c r="B9" s="182" t="inlineStr">
        <is>
          <t>P060402</t>
        </is>
      </c>
      <c r="C9" s="182" t="inlineStr">
        <is>
          <t>197-8-K-26</t>
        </is>
      </c>
      <c r="D9" s="183" t="n">
        <v>46241</v>
      </c>
      <c r="E9" s="182" t="inlineStr">
        <is>
          <t>FHM-K</t>
        </is>
      </c>
      <c r="F9" s="182" t="inlineStr">
        <is>
          <t>#8</t>
        </is>
      </c>
      <c r="G9" s="184" t="inlineStr">
        <is>
          <t>#8 Loss on Drying</t>
        </is>
      </c>
      <c r="H9" s="187" t="inlineStr">
        <is>
          <t>credit removed</t>
        </is>
      </c>
      <c r="I9" s="186" t="inlineStr">
        <is>
          <t>R1 Farmahem pair — cannabinoid certificate; loss on drying is on the LoD certificate</t>
        </is>
      </c>
    </row>
    <row r="10">
      <c r="A10" s="181" t="inlineStr">
        <is>
          <t>GG1024_01</t>
        </is>
      </c>
      <c r="B10" s="182" t="inlineStr">
        <is>
          <t>P050092</t>
        </is>
      </c>
      <c r="C10" s="182" t="inlineStr">
        <is>
          <t>197-9-K-26</t>
        </is>
      </c>
      <c r="D10" s="183" t="n">
        <v>46241</v>
      </c>
      <c r="E10" s="182" t="inlineStr">
        <is>
          <t>FHM-K</t>
        </is>
      </c>
      <c r="F10" s="182" t="inlineStr">
        <is>
          <t>#8</t>
        </is>
      </c>
      <c r="G10" s="184" t="inlineStr">
        <is>
          <t>#8 Loss on Drying</t>
        </is>
      </c>
      <c r="H10" s="187" t="inlineStr">
        <is>
          <t>credit removed</t>
        </is>
      </c>
      <c r="I10" s="186" t="inlineStr">
        <is>
          <t>R1 Farmahem pair — cannabinoid certificate; loss on drying is on the LoD certificate</t>
        </is>
      </c>
    </row>
    <row r="11">
      <c r="A11" s="181" t="inlineStr">
        <is>
          <t>GP052501</t>
        </is>
      </c>
      <c r="B11" s="182" t="inlineStr">
        <is>
          <t>P050152</t>
        </is>
      </c>
      <c r="C11" s="182" t="inlineStr">
        <is>
          <t>197-10-K-26</t>
        </is>
      </c>
      <c r="D11" s="183" t="n">
        <v>46241</v>
      </c>
      <c r="E11" s="182" t="inlineStr">
        <is>
          <t>FHM-K</t>
        </is>
      </c>
      <c r="F11" s="182" t="inlineStr">
        <is>
          <t>#8</t>
        </is>
      </c>
      <c r="G11" s="184" t="inlineStr">
        <is>
          <t>#8 Loss on Drying</t>
        </is>
      </c>
      <c r="H11" s="187" t="inlineStr">
        <is>
          <t>credit removed</t>
        </is>
      </c>
      <c r="I11" s="186" t="inlineStr">
        <is>
          <t>R1 Farmahem pair — cannabinoid certificate; loss on drying is on the LoD certificate</t>
        </is>
      </c>
    </row>
    <row r="12">
      <c r="A12" s="181" t="inlineStr">
        <is>
          <t>GP0824_02</t>
        </is>
      </c>
      <c r="B12" s="182" t="inlineStr">
        <is>
          <t>P050022</t>
        </is>
      </c>
      <c r="C12" s="182" t="inlineStr">
        <is>
          <t>197-11-K-26</t>
        </is>
      </c>
      <c r="D12" s="183" t="n">
        <v>46241</v>
      </c>
      <c r="E12" s="182" t="inlineStr">
        <is>
          <t>FHM-K</t>
        </is>
      </c>
      <c r="F12" s="182" t="inlineStr">
        <is>
          <t>#8</t>
        </is>
      </c>
      <c r="G12" s="184" t="inlineStr">
        <is>
          <t>#8 Loss on Drying</t>
        </is>
      </c>
      <c r="H12" s="187" t="inlineStr">
        <is>
          <t>credit removed</t>
        </is>
      </c>
      <c r="I12" s="186" t="inlineStr">
        <is>
          <t>R1 Farmahem pair — cannabinoid certificate; loss on drying is on the LoD certificate</t>
        </is>
      </c>
    </row>
    <row r="13">
      <c r="A13" s="181" t="inlineStr">
        <is>
          <t>GP082501/2</t>
        </is>
      </c>
      <c r="B13" s="182" t="inlineStr">
        <is>
          <t>P050322</t>
        </is>
      </c>
      <c r="C13" s="182" t="inlineStr">
        <is>
          <t>197-12-K-26</t>
        </is>
      </c>
      <c r="D13" s="183" t="n">
        <v>46241</v>
      </c>
      <c r="E13" s="182" t="inlineStr">
        <is>
          <t>FHM-K</t>
        </is>
      </c>
      <c r="F13" s="182" t="inlineStr">
        <is>
          <t>#8</t>
        </is>
      </c>
      <c r="G13" s="184" t="inlineStr">
        <is>
          <t>#8 Loss on Drying</t>
        </is>
      </c>
      <c r="H13" s="187" t="inlineStr">
        <is>
          <t>credit removed</t>
        </is>
      </c>
      <c r="I13" s="186" t="inlineStr">
        <is>
          <t>R1 Farmahem pair — cannabinoid certificate; loss on drying is on the LoD certificate</t>
        </is>
      </c>
    </row>
    <row r="14">
      <c r="A14" s="181" t="inlineStr">
        <is>
          <t>GRC102501</t>
        </is>
      </c>
      <c r="B14" s="182" t="inlineStr">
        <is>
          <t>P060142 / P060182</t>
        </is>
      </c>
      <c r="C14" s="182" t="inlineStr">
        <is>
          <t>051-6-LoD-26</t>
        </is>
      </c>
      <c r="D14" s="183" t="n">
        <v>46083</v>
      </c>
      <c r="E14" s="182" t="inlineStr">
        <is>
          <t>FHM-K</t>
        </is>
      </c>
      <c r="F14" s="182" t="inlineStr">
        <is>
          <t>#3</t>
        </is>
      </c>
      <c r="G14" s="184" t="inlineStr">
        <is>
          <t>#3 Identification C</t>
        </is>
      </c>
      <c r="H14" s="187" t="inlineStr">
        <is>
          <t>credit removed</t>
        </is>
      </c>
      <c r="I14" s="186" t="inlineStr">
        <is>
          <t>R1 Farmahem pair — loss-on-drying certificate; reports no such determination</t>
        </is>
      </c>
    </row>
    <row r="15">
      <c r="A15" s="181" t="inlineStr">
        <is>
          <t>GRC102501</t>
        </is>
      </c>
      <c r="B15" s="182" t="inlineStr">
        <is>
          <t>P060142 / P060182</t>
        </is>
      </c>
      <c r="C15" s="182" t="inlineStr">
        <is>
          <t>051-6-LoD-26</t>
        </is>
      </c>
      <c r="D15" s="183" t="n">
        <v>46083</v>
      </c>
      <c r="E15" s="182" t="inlineStr">
        <is>
          <t>FHM-K</t>
        </is>
      </c>
      <c r="F15" s="182" t="inlineStr">
        <is>
          <t>#4</t>
        </is>
      </c>
      <c r="G15" s="184" t="inlineStr">
        <is>
          <t>#4 Assay — Total Δ⁹-THC*</t>
        </is>
      </c>
      <c r="H15" s="187" t="inlineStr">
        <is>
          <t>credit removed</t>
        </is>
      </c>
      <c r="I15" s="186" t="inlineStr">
        <is>
          <t>R1 Farmahem pair — loss-on-drying certificate; reports no such determination</t>
        </is>
      </c>
    </row>
    <row r="16">
      <c r="A16" s="181" t="inlineStr">
        <is>
          <t>GRC102501</t>
        </is>
      </c>
      <c r="B16" s="182" t="inlineStr">
        <is>
          <t>P060142 / P060182</t>
        </is>
      </c>
      <c r="C16" s="182" t="inlineStr">
        <is>
          <t>051-6-LoD-26</t>
        </is>
      </c>
      <c r="D16" s="183" t="n">
        <v>46083</v>
      </c>
      <c r="E16" s="182" t="inlineStr">
        <is>
          <t>FHM-K</t>
        </is>
      </c>
      <c r="F16" s="182" t="inlineStr">
        <is>
          <t>#5</t>
        </is>
      </c>
      <c r="G16" s="184" t="inlineStr">
        <is>
          <t>#5 Assay — Total CBD</t>
        </is>
      </c>
      <c r="H16" s="187" t="inlineStr">
        <is>
          <t>credit removed</t>
        </is>
      </c>
      <c r="I16" s="186" t="inlineStr">
        <is>
          <t>R1 Farmahem pair — loss-on-drying certificate; reports no such determination</t>
        </is>
      </c>
    </row>
    <row r="17">
      <c r="A17" s="181" t="inlineStr">
        <is>
          <t>GRC102501</t>
        </is>
      </c>
      <c r="B17" s="182" t="inlineStr">
        <is>
          <t>P060142 / P060182</t>
        </is>
      </c>
      <c r="C17" s="182" t="inlineStr">
        <is>
          <t>051-6-LoD-26</t>
        </is>
      </c>
      <c r="D17" s="183" t="n">
        <v>46083</v>
      </c>
      <c r="E17" s="182" t="inlineStr">
        <is>
          <t>FHM-K</t>
        </is>
      </c>
      <c r="F17" s="182" t="inlineStr">
        <is>
          <t>#6</t>
        </is>
      </c>
      <c r="G17" s="184" t="inlineStr">
        <is>
          <t>#6 Total CBN</t>
        </is>
      </c>
      <c r="H17" s="187" t="inlineStr">
        <is>
          <t>credit removed</t>
        </is>
      </c>
      <c r="I17" s="186" t="inlineStr">
        <is>
          <t>R1 Farmahem pair — loss-on-drying certificate; reports no such determination</t>
        </is>
      </c>
    </row>
    <row r="18">
      <c r="A18" s="181" t="inlineStr">
        <is>
          <t>GRC102501</t>
        </is>
      </c>
      <c r="B18" s="182" t="inlineStr">
        <is>
          <t>P060142 / P060182</t>
        </is>
      </c>
      <c r="C18" s="182" t="inlineStr">
        <is>
          <t>051-6-K-26</t>
        </is>
      </c>
      <c r="D18" s="183" t="n">
        <v>46085</v>
      </c>
      <c r="E18" s="182" t="inlineStr">
        <is>
          <t>FHM-K</t>
        </is>
      </c>
      <c r="F18" s="182" t="inlineStr">
        <is>
          <t>#8</t>
        </is>
      </c>
      <c r="G18" s="184" t="inlineStr">
        <is>
          <t>#8 Loss on Drying</t>
        </is>
      </c>
      <c r="H18" s="187" t="inlineStr">
        <is>
          <t>credit removed</t>
        </is>
      </c>
      <c r="I18" s="186" t="inlineStr">
        <is>
          <t>R1 Farmahem pair — cannabinoid certificate; loss on drying is on the LoD certificate</t>
        </is>
      </c>
    </row>
    <row r="19">
      <c r="A19" s="181" t="inlineStr">
        <is>
          <t>HPA1024</t>
        </is>
      </c>
      <c r="B19" s="182" t="inlineStr">
        <is>
          <t>N/A — no P batch assigned</t>
        </is>
      </c>
      <c r="C19" s="182" t="inlineStr">
        <is>
          <t>197-13-K-26</t>
        </is>
      </c>
      <c r="D19" s="183" t="n">
        <v>46241</v>
      </c>
      <c r="E19" s="182" t="inlineStr">
        <is>
          <t>FHM-K</t>
        </is>
      </c>
      <c r="F19" s="182" t="inlineStr">
        <is>
          <t>#8</t>
        </is>
      </c>
      <c r="G19" s="184" t="inlineStr">
        <is>
          <t>#8 Loss on Drying</t>
        </is>
      </c>
      <c r="H19" s="187" t="inlineStr">
        <is>
          <t>credit removed</t>
        </is>
      </c>
      <c r="I19" s="186" t="inlineStr">
        <is>
          <t>R1 Farmahem pair — cannabinoid certificate; loss on drying is on the LoD certificate</t>
        </is>
      </c>
    </row>
    <row r="20">
      <c r="A20" s="181" t="inlineStr">
        <is>
          <t>HPA1024_01</t>
        </is>
      </c>
      <c r="B20" s="182" t="inlineStr">
        <is>
          <t>P050052</t>
        </is>
      </c>
      <c r="C20" s="182" t="inlineStr">
        <is>
          <t>197-14-K-26</t>
        </is>
      </c>
      <c r="D20" s="183" t="n">
        <v>46241</v>
      </c>
      <c r="E20" s="182" t="inlineStr">
        <is>
          <t>FHM-K</t>
        </is>
      </c>
      <c r="F20" s="182" t="inlineStr">
        <is>
          <t>#8</t>
        </is>
      </c>
      <c r="G20" s="184" t="inlineStr">
        <is>
          <t>#8 Loss on Drying</t>
        </is>
      </c>
      <c r="H20" s="187" t="inlineStr">
        <is>
          <t>credit removed</t>
        </is>
      </c>
      <c r="I20" s="186" t="inlineStr">
        <is>
          <t>R1 Farmahem pair — cannabinoid certificate; loss on drying is on the LoD certificate</t>
        </is>
      </c>
    </row>
    <row r="21">
      <c r="A21" s="181" t="inlineStr">
        <is>
          <t>J31102501</t>
        </is>
      </c>
      <c r="B21" s="182" t="inlineStr">
        <is>
          <t>P060152</t>
        </is>
      </c>
      <c r="C21" s="182" t="inlineStr">
        <is>
          <t>051-1-LoD-26</t>
        </is>
      </c>
      <c r="D21" s="183" t="n">
        <v>46083</v>
      </c>
      <c r="E21" s="182" t="inlineStr">
        <is>
          <t>FHM-K</t>
        </is>
      </c>
      <c r="F21" s="182" t="inlineStr">
        <is>
          <t>#3</t>
        </is>
      </c>
      <c r="G21" s="184" t="inlineStr">
        <is>
          <t>#3 Identification C</t>
        </is>
      </c>
      <c r="H21" s="187" t="inlineStr">
        <is>
          <t>credit removed</t>
        </is>
      </c>
      <c r="I21" s="186" t="inlineStr">
        <is>
          <t>R1 Farmahem pair — loss-on-drying certificate; reports no such determination</t>
        </is>
      </c>
    </row>
    <row r="22">
      <c r="A22" s="181" t="inlineStr">
        <is>
          <t>J31102501</t>
        </is>
      </c>
      <c r="B22" s="182" t="inlineStr">
        <is>
          <t>P060152</t>
        </is>
      </c>
      <c r="C22" s="182" t="inlineStr">
        <is>
          <t>051-1-LoD-26</t>
        </is>
      </c>
      <c r="D22" s="183" t="n">
        <v>46083</v>
      </c>
      <c r="E22" s="182" t="inlineStr">
        <is>
          <t>FHM-K</t>
        </is>
      </c>
      <c r="F22" s="182" t="inlineStr">
        <is>
          <t>#4</t>
        </is>
      </c>
      <c r="G22" s="184" t="inlineStr">
        <is>
          <t>#4 Assay — Total Δ⁹-THC*</t>
        </is>
      </c>
      <c r="H22" s="187" t="inlineStr">
        <is>
          <t>credit removed</t>
        </is>
      </c>
      <c r="I22" s="186" t="inlineStr">
        <is>
          <t>R1 Farmahem pair — loss-on-drying certificate; reports no such determination</t>
        </is>
      </c>
    </row>
    <row r="23">
      <c r="A23" s="181" t="inlineStr">
        <is>
          <t>J31102501</t>
        </is>
      </c>
      <c r="B23" s="182" t="inlineStr">
        <is>
          <t>P060152</t>
        </is>
      </c>
      <c r="C23" s="182" t="inlineStr">
        <is>
          <t>051-1-LoD-26</t>
        </is>
      </c>
      <c r="D23" s="183" t="n">
        <v>46083</v>
      </c>
      <c r="E23" s="182" t="inlineStr">
        <is>
          <t>FHM-K</t>
        </is>
      </c>
      <c r="F23" s="182" t="inlineStr">
        <is>
          <t>#5</t>
        </is>
      </c>
      <c r="G23" s="184" t="inlineStr">
        <is>
          <t>#5 Assay — Total CBD</t>
        </is>
      </c>
      <c r="H23" s="187" t="inlineStr">
        <is>
          <t>credit removed</t>
        </is>
      </c>
      <c r="I23" s="186" t="inlineStr">
        <is>
          <t>R1 Farmahem pair — loss-on-drying certificate; reports no such determination</t>
        </is>
      </c>
    </row>
    <row r="24">
      <c r="A24" s="181" t="inlineStr">
        <is>
          <t>J31102501</t>
        </is>
      </c>
      <c r="B24" s="182" t="inlineStr">
        <is>
          <t>P060152</t>
        </is>
      </c>
      <c r="C24" s="182" t="inlineStr">
        <is>
          <t>051-1-LoD-26</t>
        </is>
      </c>
      <c r="D24" s="183" t="n">
        <v>46083</v>
      </c>
      <c r="E24" s="182" t="inlineStr">
        <is>
          <t>FHM-K</t>
        </is>
      </c>
      <c r="F24" s="182" t="inlineStr">
        <is>
          <t>#6</t>
        </is>
      </c>
      <c r="G24" s="184" t="inlineStr">
        <is>
          <t>#6 Total CBN</t>
        </is>
      </c>
      <c r="H24" s="187" t="inlineStr">
        <is>
          <t>credit removed</t>
        </is>
      </c>
      <c r="I24" s="186" t="inlineStr">
        <is>
          <t>R1 Farmahem pair — loss-on-drying certificate; reports no such determination</t>
        </is>
      </c>
    </row>
    <row r="25">
      <c r="A25" s="181" t="inlineStr">
        <is>
          <t>J31102501</t>
        </is>
      </c>
      <c r="B25" s="182" t="inlineStr">
        <is>
          <t>P060152</t>
        </is>
      </c>
      <c r="C25" s="182" t="inlineStr">
        <is>
          <t>051-1-K-26</t>
        </is>
      </c>
      <c r="D25" s="183" t="n">
        <v>46085</v>
      </c>
      <c r="E25" s="182" t="inlineStr">
        <is>
          <t>FHM-K</t>
        </is>
      </c>
      <c r="F25" s="182" t="inlineStr">
        <is>
          <t>#8</t>
        </is>
      </c>
      <c r="G25" s="184" t="inlineStr">
        <is>
          <t>#8 Loss on Drying</t>
        </is>
      </c>
      <c r="H25" s="187" t="inlineStr">
        <is>
          <t>credit removed</t>
        </is>
      </c>
      <c r="I25" s="186" t="inlineStr">
        <is>
          <t>R1 Farmahem pair — cannabinoid certificate; loss on drying is on the LoD certificate</t>
        </is>
      </c>
    </row>
    <row r="26">
      <c r="A26" s="181" t="inlineStr">
        <is>
          <t>J31102501</t>
        </is>
      </c>
      <c r="B26" s="182" t="inlineStr">
        <is>
          <t>P060152</t>
        </is>
      </c>
      <c r="C26" s="182" t="inlineStr">
        <is>
          <t>197-16-K-26</t>
        </is>
      </c>
      <c r="D26" s="183" t="n">
        <v>46241</v>
      </c>
      <c r="E26" s="182" t="inlineStr">
        <is>
          <t>FHM-K</t>
        </is>
      </c>
      <c r="F26" s="182" t="inlineStr">
        <is>
          <t>#8</t>
        </is>
      </c>
      <c r="G26" s="184" t="inlineStr">
        <is>
          <t>#8 Loss on Drying</t>
        </is>
      </c>
      <c r="H26" s="187" t="inlineStr">
        <is>
          <t>credit removed</t>
        </is>
      </c>
      <c r="I26" s="186" t="inlineStr">
        <is>
          <t>R1 Farmahem pair — cannabinoid certificate; loss on drying is on the LoD certificate</t>
        </is>
      </c>
    </row>
    <row r="27">
      <c r="A27" s="181" t="inlineStr">
        <is>
          <t>J31112501</t>
        </is>
      </c>
      <c r="B27" s="182" t="inlineStr">
        <is>
          <t>P060202</t>
        </is>
      </c>
      <c r="C27" s="182" t="inlineStr">
        <is>
          <t>051-5-LoD-26</t>
        </is>
      </c>
      <c r="D27" s="183" t="n">
        <v>46083</v>
      </c>
      <c r="E27" s="182" t="inlineStr">
        <is>
          <t>FHM-K</t>
        </is>
      </c>
      <c r="F27" s="182" t="inlineStr">
        <is>
          <t>#3</t>
        </is>
      </c>
      <c r="G27" s="184" t="inlineStr">
        <is>
          <t>#3 Identification C</t>
        </is>
      </c>
      <c r="H27" s="187" t="inlineStr">
        <is>
          <t>credit removed</t>
        </is>
      </c>
      <c r="I27" s="186" t="inlineStr">
        <is>
          <t>R1 Farmahem pair — loss-on-drying certificate; reports no such determination</t>
        </is>
      </c>
    </row>
    <row r="28">
      <c r="A28" s="181" t="inlineStr">
        <is>
          <t>J31112501</t>
        </is>
      </c>
      <c r="B28" s="182" t="inlineStr">
        <is>
          <t>P060202</t>
        </is>
      </c>
      <c r="C28" s="182" t="inlineStr">
        <is>
          <t>100-1-LoD-26</t>
        </is>
      </c>
      <c r="D28" s="183" t="n">
        <v>46121</v>
      </c>
      <c r="E28" s="182" t="inlineStr">
        <is>
          <t>FHM-K</t>
        </is>
      </c>
      <c r="F28" s="182" t="inlineStr">
        <is>
          <t>#3</t>
        </is>
      </c>
      <c r="G28" s="184" t="inlineStr">
        <is>
          <t>#3 Identification C</t>
        </is>
      </c>
      <c r="H28" s="187" t="inlineStr">
        <is>
          <t>credit removed</t>
        </is>
      </c>
      <c r="I28" s="186" t="inlineStr">
        <is>
          <t>R1 Farmahem pair — loss-on-drying certificate; reports no such determination</t>
        </is>
      </c>
    </row>
    <row r="29">
      <c r="A29" s="181" t="inlineStr">
        <is>
          <t>J31112501</t>
        </is>
      </c>
      <c r="B29" s="182" t="inlineStr">
        <is>
          <t>P060202</t>
        </is>
      </c>
      <c r="C29" s="182" t="inlineStr">
        <is>
          <t>100-2-LoD-26</t>
        </is>
      </c>
      <c r="D29" s="183" t="n">
        <v>46121</v>
      </c>
      <c r="E29" s="182" t="inlineStr">
        <is>
          <t>FHM-K</t>
        </is>
      </c>
      <c r="F29" s="182" t="inlineStr">
        <is>
          <t>#3</t>
        </is>
      </c>
      <c r="G29" s="184" t="inlineStr">
        <is>
          <t>#3 Identification C</t>
        </is>
      </c>
      <c r="H29" s="187" t="inlineStr">
        <is>
          <t>credit removed</t>
        </is>
      </c>
      <c r="I29" s="186" t="inlineStr">
        <is>
          <t>R1 Farmahem pair — loss-on-drying certificate; reports no such determination</t>
        </is>
      </c>
    </row>
    <row r="30">
      <c r="A30" s="181" t="inlineStr">
        <is>
          <t>J31112501</t>
        </is>
      </c>
      <c r="B30" s="182" t="inlineStr">
        <is>
          <t>P060202</t>
        </is>
      </c>
      <c r="C30" s="182" t="inlineStr">
        <is>
          <t>100-3-LoD-26</t>
        </is>
      </c>
      <c r="D30" s="183" t="n">
        <v>46121</v>
      </c>
      <c r="E30" s="182" t="inlineStr">
        <is>
          <t>FHM-K</t>
        </is>
      </c>
      <c r="F30" s="182" t="inlineStr">
        <is>
          <t>#3</t>
        </is>
      </c>
      <c r="G30" s="184" t="inlineStr">
        <is>
          <t>#3 Identification C</t>
        </is>
      </c>
      <c r="H30" s="187" t="inlineStr">
        <is>
          <t>credit removed</t>
        </is>
      </c>
      <c r="I30" s="186" t="inlineStr">
        <is>
          <t>R1 Farmahem pair — loss-on-drying certificate; reports no such determination</t>
        </is>
      </c>
    </row>
    <row r="31">
      <c r="A31" s="181" t="inlineStr">
        <is>
          <t>J31112501</t>
        </is>
      </c>
      <c r="B31" s="182" t="inlineStr">
        <is>
          <t>P060202</t>
        </is>
      </c>
      <c r="C31" s="182" t="inlineStr">
        <is>
          <t>051-5-LoD-26</t>
        </is>
      </c>
      <c r="D31" s="183" t="n">
        <v>46083</v>
      </c>
      <c r="E31" s="182" t="inlineStr">
        <is>
          <t>FHM-K</t>
        </is>
      </c>
      <c r="F31" s="182" t="inlineStr">
        <is>
          <t>#4</t>
        </is>
      </c>
      <c r="G31" s="184" t="inlineStr">
        <is>
          <t>#4 Assay — Total Δ⁹-THC*</t>
        </is>
      </c>
      <c r="H31" s="187" t="inlineStr">
        <is>
          <t>credit removed</t>
        </is>
      </c>
      <c r="I31" s="186" t="inlineStr">
        <is>
          <t>R1 Farmahem pair — loss-on-drying certificate; reports no such determination</t>
        </is>
      </c>
    </row>
    <row r="32">
      <c r="A32" s="181" t="inlineStr">
        <is>
          <t>J31112501</t>
        </is>
      </c>
      <c r="B32" s="182" t="inlineStr">
        <is>
          <t>P060202</t>
        </is>
      </c>
      <c r="C32" s="182" t="inlineStr">
        <is>
          <t>100-1-LoD-26</t>
        </is>
      </c>
      <c r="D32" s="183" t="n">
        <v>46121</v>
      </c>
      <c r="E32" s="182" t="inlineStr">
        <is>
          <t>FHM-K</t>
        </is>
      </c>
      <c r="F32" s="182" t="inlineStr">
        <is>
          <t>#4</t>
        </is>
      </c>
      <c r="G32" s="184" t="inlineStr">
        <is>
          <t>#4 Assay — Total Δ⁹-THC*</t>
        </is>
      </c>
      <c r="H32" s="187" t="inlineStr">
        <is>
          <t>credit removed</t>
        </is>
      </c>
      <c r="I32" s="186" t="inlineStr">
        <is>
          <t>R1 Farmahem pair — loss-on-drying certificate; reports no such determination</t>
        </is>
      </c>
    </row>
    <row r="33">
      <c r="A33" s="181" t="inlineStr">
        <is>
          <t>J31112501</t>
        </is>
      </c>
      <c r="B33" s="182" t="inlineStr">
        <is>
          <t>P060202</t>
        </is>
      </c>
      <c r="C33" s="182" t="inlineStr">
        <is>
          <t>100-2-LoD-26</t>
        </is>
      </c>
      <c r="D33" s="183" t="n">
        <v>46121</v>
      </c>
      <c r="E33" s="182" t="inlineStr">
        <is>
          <t>FHM-K</t>
        </is>
      </c>
      <c r="F33" s="182" t="inlineStr">
        <is>
          <t>#4</t>
        </is>
      </c>
      <c r="G33" s="184" t="inlineStr">
        <is>
          <t>#4 Assay — Total Δ⁹-THC*</t>
        </is>
      </c>
      <c r="H33" s="187" t="inlineStr">
        <is>
          <t>credit removed</t>
        </is>
      </c>
      <c r="I33" s="186" t="inlineStr">
        <is>
          <t>R1 Farmahem pair — loss-on-drying certificate; reports no such determination</t>
        </is>
      </c>
    </row>
    <row r="34">
      <c r="A34" s="181" t="inlineStr">
        <is>
          <t>J31112501</t>
        </is>
      </c>
      <c r="B34" s="182" t="inlineStr">
        <is>
          <t>P060202</t>
        </is>
      </c>
      <c r="C34" s="182" t="inlineStr">
        <is>
          <t>100-3-LoD-26</t>
        </is>
      </c>
      <c r="D34" s="183" t="n">
        <v>46121</v>
      </c>
      <c r="E34" s="182" t="inlineStr">
        <is>
          <t>FHM-K</t>
        </is>
      </c>
      <c r="F34" s="182" t="inlineStr">
        <is>
          <t>#4</t>
        </is>
      </c>
      <c r="G34" s="184" t="inlineStr">
        <is>
          <t>#4 Assay — Total Δ⁹-THC*</t>
        </is>
      </c>
      <c r="H34" s="187" t="inlineStr">
        <is>
          <t>credit removed</t>
        </is>
      </c>
      <c r="I34" s="186" t="inlineStr">
        <is>
          <t>R1 Farmahem pair — loss-on-drying certificate; reports no such determination</t>
        </is>
      </c>
    </row>
    <row r="35">
      <c r="A35" s="181" t="inlineStr">
        <is>
          <t>J31112501</t>
        </is>
      </c>
      <c r="B35" s="182" t="inlineStr">
        <is>
          <t>P060202</t>
        </is>
      </c>
      <c r="C35" s="182" t="inlineStr">
        <is>
          <t>051-5-LoD-26</t>
        </is>
      </c>
      <c r="D35" s="183" t="n">
        <v>46083</v>
      </c>
      <c r="E35" s="182" t="inlineStr">
        <is>
          <t>FHM-K</t>
        </is>
      </c>
      <c r="F35" s="182" t="inlineStr">
        <is>
          <t>#5</t>
        </is>
      </c>
      <c r="G35" s="184" t="inlineStr">
        <is>
          <t>#5 Assay — Total CBD</t>
        </is>
      </c>
      <c r="H35" s="187" t="inlineStr">
        <is>
          <t>credit removed</t>
        </is>
      </c>
      <c r="I35" s="186" t="inlineStr">
        <is>
          <t>R1 Farmahem pair — loss-on-drying certificate; reports no such determination</t>
        </is>
      </c>
    </row>
    <row r="36">
      <c r="A36" s="181" t="inlineStr">
        <is>
          <t>J31112501</t>
        </is>
      </c>
      <c r="B36" s="182" t="inlineStr">
        <is>
          <t>P060202</t>
        </is>
      </c>
      <c r="C36" s="182" t="inlineStr">
        <is>
          <t>100-1-LoD-26</t>
        </is>
      </c>
      <c r="D36" s="183" t="n">
        <v>46121</v>
      </c>
      <c r="E36" s="182" t="inlineStr">
        <is>
          <t>FHM-K</t>
        </is>
      </c>
      <c r="F36" s="182" t="inlineStr">
        <is>
          <t>#5</t>
        </is>
      </c>
      <c r="G36" s="184" t="inlineStr">
        <is>
          <t>#5 Assay — Total CBD</t>
        </is>
      </c>
      <c r="H36" s="187" t="inlineStr">
        <is>
          <t>credit removed</t>
        </is>
      </c>
      <c r="I36" s="186" t="inlineStr">
        <is>
          <t>R1 Farmahem pair — loss-on-drying certificate; reports no such determination</t>
        </is>
      </c>
    </row>
    <row r="37">
      <c r="A37" s="181" t="inlineStr">
        <is>
          <t>J31112501</t>
        </is>
      </c>
      <c r="B37" s="182" t="inlineStr">
        <is>
          <t>P060202</t>
        </is>
      </c>
      <c r="C37" s="182" t="inlineStr">
        <is>
          <t>100-2-LoD-26</t>
        </is>
      </c>
      <c r="D37" s="183" t="n">
        <v>46121</v>
      </c>
      <c r="E37" s="182" t="inlineStr">
        <is>
          <t>FHM-K</t>
        </is>
      </c>
      <c r="F37" s="182" t="inlineStr">
        <is>
          <t>#5</t>
        </is>
      </c>
      <c r="G37" s="184" t="inlineStr">
        <is>
          <t>#5 Assay — Total CBD</t>
        </is>
      </c>
      <c r="H37" s="187" t="inlineStr">
        <is>
          <t>credit removed</t>
        </is>
      </c>
      <c r="I37" s="186" t="inlineStr">
        <is>
          <t>R1 Farmahem pair — loss-on-drying certificate; reports no such determination</t>
        </is>
      </c>
    </row>
    <row r="38">
      <c r="A38" s="181" t="inlineStr">
        <is>
          <t>J31112501</t>
        </is>
      </c>
      <c r="B38" s="182" t="inlineStr">
        <is>
          <t>P060202</t>
        </is>
      </c>
      <c r="C38" s="182" t="inlineStr">
        <is>
          <t>100-3-LoD-26</t>
        </is>
      </c>
      <c r="D38" s="183" t="n">
        <v>46121</v>
      </c>
      <c r="E38" s="182" t="inlineStr">
        <is>
          <t>FHM-K</t>
        </is>
      </c>
      <c r="F38" s="182" t="inlineStr">
        <is>
          <t>#5</t>
        </is>
      </c>
      <c r="G38" s="184" t="inlineStr">
        <is>
          <t>#5 Assay — Total CBD</t>
        </is>
      </c>
      <c r="H38" s="187" t="inlineStr">
        <is>
          <t>credit removed</t>
        </is>
      </c>
      <c r="I38" s="186" t="inlineStr">
        <is>
          <t>R1 Farmahem pair — loss-on-drying certificate; reports no such determination</t>
        </is>
      </c>
    </row>
    <row r="39">
      <c r="A39" s="181" t="inlineStr">
        <is>
          <t>J31112501</t>
        </is>
      </c>
      <c r="B39" s="182" t="inlineStr">
        <is>
          <t>P060202</t>
        </is>
      </c>
      <c r="C39" s="182" t="inlineStr">
        <is>
          <t>051-5-LoD-26</t>
        </is>
      </c>
      <c r="D39" s="183" t="n">
        <v>46083</v>
      </c>
      <c r="E39" s="182" t="inlineStr">
        <is>
          <t>FHM-K</t>
        </is>
      </c>
      <c r="F39" s="182" t="inlineStr">
        <is>
          <t>#6</t>
        </is>
      </c>
      <c r="G39" s="184" t="inlineStr">
        <is>
          <t>#6 Total CBN</t>
        </is>
      </c>
      <c r="H39" s="187" t="inlineStr">
        <is>
          <t>credit removed</t>
        </is>
      </c>
      <c r="I39" s="186" t="inlineStr">
        <is>
          <t>R1 Farmahem pair — loss-on-drying certificate; reports no such determination</t>
        </is>
      </c>
    </row>
    <row r="40">
      <c r="A40" s="181" t="inlineStr">
        <is>
          <t>J31112501</t>
        </is>
      </c>
      <c r="B40" s="182" t="inlineStr">
        <is>
          <t>P060202</t>
        </is>
      </c>
      <c r="C40" s="182" t="inlineStr">
        <is>
          <t>100-1-LoD-26</t>
        </is>
      </c>
      <c r="D40" s="183" t="n">
        <v>46121</v>
      </c>
      <c r="E40" s="182" t="inlineStr">
        <is>
          <t>FHM-K</t>
        </is>
      </c>
      <c r="F40" s="182" t="inlineStr">
        <is>
          <t>#6</t>
        </is>
      </c>
      <c r="G40" s="184" t="inlineStr">
        <is>
          <t>#6 Total CBN</t>
        </is>
      </c>
      <c r="H40" s="187" t="inlineStr">
        <is>
          <t>credit removed</t>
        </is>
      </c>
      <c r="I40" s="186" t="inlineStr">
        <is>
          <t>R1 Farmahem pair — loss-on-drying certificate; reports no such determination</t>
        </is>
      </c>
    </row>
    <row r="41">
      <c r="A41" s="181" t="inlineStr">
        <is>
          <t>J31112501</t>
        </is>
      </c>
      <c r="B41" s="182" t="inlineStr">
        <is>
          <t>P060202</t>
        </is>
      </c>
      <c r="C41" s="182" t="inlineStr">
        <is>
          <t>100-2-LoD-26</t>
        </is>
      </c>
      <c r="D41" s="183" t="n">
        <v>46121</v>
      </c>
      <c r="E41" s="182" t="inlineStr">
        <is>
          <t>FHM-K</t>
        </is>
      </c>
      <c r="F41" s="182" t="inlineStr">
        <is>
          <t>#6</t>
        </is>
      </c>
      <c r="G41" s="184" t="inlineStr">
        <is>
          <t>#6 Total CBN</t>
        </is>
      </c>
      <c r="H41" s="187" t="inlineStr">
        <is>
          <t>credit removed</t>
        </is>
      </c>
      <c r="I41" s="186" t="inlineStr">
        <is>
          <t>R1 Farmahem pair — loss-on-drying certificate; reports no such determination</t>
        </is>
      </c>
    </row>
    <row r="42">
      <c r="A42" s="181" t="inlineStr">
        <is>
          <t>J31112501</t>
        </is>
      </c>
      <c r="B42" s="182" t="inlineStr">
        <is>
          <t>P060202</t>
        </is>
      </c>
      <c r="C42" s="182" t="inlineStr">
        <is>
          <t>100-3-LoD-26</t>
        </is>
      </c>
      <c r="D42" s="183" t="n">
        <v>46121</v>
      </c>
      <c r="E42" s="182" t="inlineStr">
        <is>
          <t>FHM-K</t>
        </is>
      </c>
      <c r="F42" s="182" t="inlineStr">
        <is>
          <t>#6</t>
        </is>
      </c>
      <c r="G42" s="184" t="inlineStr">
        <is>
          <t>#6 Total CBN</t>
        </is>
      </c>
      <c r="H42" s="187" t="inlineStr">
        <is>
          <t>credit removed</t>
        </is>
      </c>
      <c r="I42" s="186" t="inlineStr">
        <is>
          <t>R1 Farmahem pair — loss-on-drying certificate; reports no such determination</t>
        </is>
      </c>
    </row>
    <row r="43">
      <c r="A43" s="181" t="inlineStr">
        <is>
          <t>J31112501</t>
        </is>
      </c>
      <c r="B43" s="182" t="inlineStr">
        <is>
          <t>P060202</t>
        </is>
      </c>
      <c r="C43" s="182" t="inlineStr">
        <is>
          <t>051-5-K-26</t>
        </is>
      </c>
      <c r="D43" s="183" t="n">
        <v>46085</v>
      </c>
      <c r="E43" s="182" t="inlineStr">
        <is>
          <t>FHM-K</t>
        </is>
      </c>
      <c r="F43" s="182" t="inlineStr">
        <is>
          <t>#8</t>
        </is>
      </c>
      <c r="G43" s="184" t="inlineStr">
        <is>
          <t>#8 Loss on Drying</t>
        </is>
      </c>
      <c r="H43" s="187" t="inlineStr">
        <is>
          <t>credit removed</t>
        </is>
      </c>
      <c r="I43" s="186" t="inlineStr">
        <is>
          <t>R1 Farmahem pair — cannabinoid certificate; loss on drying is on the LoD certificate</t>
        </is>
      </c>
    </row>
    <row r="44">
      <c r="A44" s="181" t="inlineStr">
        <is>
          <t>J31112501</t>
        </is>
      </c>
      <c r="B44" s="182" t="inlineStr">
        <is>
          <t>P060202</t>
        </is>
      </c>
      <c r="C44" s="182" t="inlineStr">
        <is>
          <t>100-1-K-26</t>
        </is>
      </c>
      <c r="D44" s="183" t="n">
        <v>46121</v>
      </c>
      <c r="E44" s="182" t="inlineStr">
        <is>
          <t>FHM-K</t>
        </is>
      </c>
      <c r="F44" s="182" t="inlineStr">
        <is>
          <t>#8</t>
        </is>
      </c>
      <c r="G44" s="184" t="inlineStr">
        <is>
          <t>#8 Loss on Drying</t>
        </is>
      </c>
      <c r="H44" s="187" t="inlineStr">
        <is>
          <t>credit removed</t>
        </is>
      </c>
      <c r="I44" s="186" t="inlineStr">
        <is>
          <t>R1 Farmahem pair — cannabinoid certificate; loss on drying is on the LoD certificate</t>
        </is>
      </c>
    </row>
    <row r="45">
      <c r="A45" s="181" t="inlineStr">
        <is>
          <t>J31122501</t>
        </is>
      </c>
      <c r="B45" s="182" t="inlineStr">
        <is>
          <t>P060262</t>
        </is>
      </c>
      <c r="C45" s="182" t="inlineStr">
        <is>
          <t>100-2-K-26</t>
        </is>
      </c>
      <c r="D45" s="183" t="n">
        <v>46121</v>
      </c>
      <c r="E45" s="182" t="inlineStr">
        <is>
          <t>FHM-K</t>
        </is>
      </c>
      <c r="F45" s="182" t="inlineStr">
        <is>
          <t>#8</t>
        </is>
      </c>
      <c r="G45" s="184" t="inlineStr">
        <is>
          <t>#8 Loss on Drying</t>
        </is>
      </c>
      <c r="H45" s="187" t="inlineStr">
        <is>
          <t>credit removed</t>
        </is>
      </c>
      <c r="I45" s="186" t="inlineStr">
        <is>
          <t>R1 Farmahem pair — cannabinoid certificate; loss on drying is on the LoD certificate</t>
        </is>
      </c>
    </row>
    <row r="46">
      <c r="A46" s="181" t="inlineStr">
        <is>
          <t>J31122501</t>
        </is>
      </c>
      <c r="B46" s="182" t="inlineStr">
        <is>
          <t>P060262</t>
        </is>
      </c>
      <c r="C46" s="182" t="inlineStr">
        <is>
          <t>100-3-K-26</t>
        </is>
      </c>
      <c r="D46" s="183" t="n">
        <v>46121</v>
      </c>
      <c r="E46" s="182" t="inlineStr">
        <is>
          <t>FHM-K</t>
        </is>
      </c>
      <c r="F46" s="182" t="inlineStr">
        <is>
          <t>#8</t>
        </is>
      </c>
      <c r="G46" s="184" t="inlineStr">
        <is>
          <t>#8 Loss on Drying</t>
        </is>
      </c>
      <c r="H46" s="187" t="inlineStr">
        <is>
          <t>credit removed</t>
        </is>
      </c>
      <c r="I46" s="186" t="inlineStr">
        <is>
          <t>R1 Farmahem pair — cannabinoid certificate; loss on drying is on the LoD certificate</t>
        </is>
      </c>
    </row>
    <row r="47">
      <c r="A47" s="181" t="inlineStr">
        <is>
          <t>JD112501</t>
        </is>
      </c>
      <c r="B47" s="182" t="inlineStr">
        <is>
          <t>P060212</t>
        </is>
      </c>
      <c r="C47" s="182" t="inlineStr">
        <is>
          <t>197-15-K-26</t>
        </is>
      </c>
      <c r="D47" s="183" t="n">
        <v>46241</v>
      </c>
      <c r="E47" s="182" t="inlineStr">
        <is>
          <t>FHM-K</t>
        </is>
      </c>
      <c r="F47" s="182" t="inlineStr">
        <is>
          <t>#8</t>
        </is>
      </c>
      <c r="G47" s="184" t="inlineStr">
        <is>
          <t>#8 Loss on Drying</t>
        </is>
      </c>
      <c r="H47" s="187" t="inlineStr">
        <is>
          <t>credit removed</t>
        </is>
      </c>
      <c r="I47" s="186" t="inlineStr">
        <is>
          <t>R1 Farmahem pair — cannabinoid certificate; loss on drying is on the LoD certificate</t>
        </is>
      </c>
    </row>
    <row r="48">
      <c r="A48" s="181" t="inlineStr">
        <is>
          <t>KC102501</t>
        </is>
      </c>
      <c r="B48" s="182" t="inlineStr">
        <is>
          <t>P060172</t>
        </is>
      </c>
      <c r="C48" s="182" t="inlineStr">
        <is>
          <t>051-4-LoD-26</t>
        </is>
      </c>
      <c r="D48" s="183" t="n">
        <v>46083</v>
      </c>
      <c r="E48" s="182" t="inlineStr">
        <is>
          <t>FHM-K</t>
        </is>
      </c>
      <c r="F48" s="182" t="inlineStr">
        <is>
          <t>#3</t>
        </is>
      </c>
      <c r="G48" s="184" t="inlineStr">
        <is>
          <t>#3 Identification C</t>
        </is>
      </c>
      <c r="H48" s="187" t="inlineStr">
        <is>
          <t>credit removed</t>
        </is>
      </c>
      <c r="I48" s="186" t="inlineStr">
        <is>
          <t>R1 Farmahem pair — loss-on-drying certificate; reports no such determination</t>
        </is>
      </c>
    </row>
    <row r="49">
      <c r="A49" s="181" t="inlineStr">
        <is>
          <t>KC102501</t>
        </is>
      </c>
      <c r="B49" s="182" t="inlineStr">
        <is>
          <t>P060172</t>
        </is>
      </c>
      <c r="C49" s="182" t="inlineStr">
        <is>
          <t>051-4-LoD-26</t>
        </is>
      </c>
      <c r="D49" s="183" t="n">
        <v>46083</v>
      </c>
      <c r="E49" s="182" t="inlineStr">
        <is>
          <t>FHM-K</t>
        </is>
      </c>
      <c r="F49" s="182" t="inlineStr">
        <is>
          <t>#4</t>
        </is>
      </c>
      <c r="G49" s="184" t="inlineStr">
        <is>
          <t>#4 Assay — Total Δ⁹-THC*</t>
        </is>
      </c>
      <c r="H49" s="187" t="inlineStr">
        <is>
          <t>credit removed</t>
        </is>
      </c>
      <c r="I49" s="186" t="inlineStr">
        <is>
          <t>R1 Farmahem pair — loss-on-drying certificate; reports no such determination</t>
        </is>
      </c>
    </row>
    <row r="50">
      <c r="A50" s="181" t="inlineStr">
        <is>
          <t>KC102501</t>
        </is>
      </c>
      <c r="B50" s="182" t="inlineStr">
        <is>
          <t>P060172</t>
        </is>
      </c>
      <c r="C50" s="182" t="inlineStr">
        <is>
          <t>051-4-LoD-26</t>
        </is>
      </c>
      <c r="D50" s="183" t="n">
        <v>46083</v>
      </c>
      <c r="E50" s="182" t="inlineStr">
        <is>
          <t>FHM-K</t>
        </is>
      </c>
      <c r="F50" s="182" t="inlineStr">
        <is>
          <t>#5</t>
        </is>
      </c>
      <c r="G50" s="184" t="inlineStr">
        <is>
          <t>#5 Assay — Total CBD</t>
        </is>
      </c>
      <c r="H50" s="187" t="inlineStr">
        <is>
          <t>credit removed</t>
        </is>
      </c>
      <c r="I50" s="186" t="inlineStr">
        <is>
          <t>R1 Farmahem pair — loss-on-drying certificate; reports no such determination</t>
        </is>
      </c>
    </row>
    <row r="51">
      <c r="A51" s="181" t="inlineStr">
        <is>
          <t>KC102501</t>
        </is>
      </c>
      <c r="B51" s="182" t="inlineStr">
        <is>
          <t>P060172</t>
        </is>
      </c>
      <c r="C51" s="182" t="inlineStr">
        <is>
          <t>051-4-LoD-26</t>
        </is>
      </c>
      <c r="D51" s="183" t="n">
        <v>46083</v>
      </c>
      <c r="E51" s="182" t="inlineStr">
        <is>
          <t>FHM-K</t>
        </is>
      </c>
      <c r="F51" s="182" t="inlineStr">
        <is>
          <t>#6</t>
        </is>
      </c>
      <c r="G51" s="184" t="inlineStr">
        <is>
          <t>#6 Total CBN</t>
        </is>
      </c>
      <c r="H51" s="187" t="inlineStr">
        <is>
          <t>credit removed</t>
        </is>
      </c>
      <c r="I51" s="186" t="inlineStr">
        <is>
          <t>R1 Farmahem pair — loss-on-drying certificate; reports no such determination</t>
        </is>
      </c>
    </row>
    <row r="52">
      <c r="A52" s="181" t="inlineStr">
        <is>
          <t>KC102501</t>
        </is>
      </c>
      <c r="B52" s="182" t="inlineStr">
        <is>
          <t>P060172</t>
        </is>
      </c>
      <c r="C52" s="182" t="inlineStr">
        <is>
          <t>051-4-K-26</t>
        </is>
      </c>
      <c r="D52" s="183" t="n">
        <v>46085</v>
      </c>
      <c r="E52" s="182" t="inlineStr">
        <is>
          <t>FHM-K</t>
        </is>
      </c>
      <c r="F52" s="182" t="inlineStr">
        <is>
          <t>#8</t>
        </is>
      </c>
      <c r="G52" s="184" t="inlineStr">
        <is>
          <t>#8 Loss on Drying</t>
        </is>
      </c>
      <c r="H52" s="187" t="inlineStr">
        <is>
          <t>credit removed</t>
        </is>
      </c>
      <c r="I52" s="186" t="inlineStr">
        <is>
          <t>R1 Farmahem pair — cannabinoid certificate; loss on drying is on the LoD certificate</t>
        </is>
      </c>
    </row>
    <row r="53">
      <c r="A53" s="181" t="inlineStr">
        <is>
          <t>OPM1024</t>
        </is>
      </c>
      <c r="B53" s="182" t="inlineStr">
        <is>
          <t>N/A — no P batch assigned</t>
        </is>
      </c>
      <c r="C53" s="182" t="inlineStr">
        <is>
          <t>197-17-K-26</t>
        </is>
      </c>
      <c r="D53" s="183" t="n">
        <v>46241</v>
      </c>
      <c r="E53" s="182" t="inlineStr">
        <is>
          <t>FHM-K</t>
        </is>
      </c>
      <c r="F53" s="182" t="inlineStr">
        <is>
          <t>#8</t>
        </is>
      </c>
      <c r="G53" s="184" t="inlineStr">
        <is>
          <t>#8 Loss on Drying</t>
        </is>
      </c>
      <c r="H53" s="187" t="inlineStr">
        <is>
          <t>credit removed</t>
        </is>
      </c>
      <c r="I53" s="186" t="inlineStr">
        <is>
          <t>R1 Farmahem pair — cannabinoid certificate; loss on drying is on the LoD certificate</t>
        </is>
      </c>
    </row>
    <row r="54">
      <c r="A54" s="181" t="inlineStr">
        <is>
          <t>OPM1024_02</t>
        </is>
      </c>
      <c r="B54" s="182" t="inlineStr">
        <is>
          <t>P050062</t>
        </is>
      </c>
      <c r="C54" s="182" t="inlineStr">
        <is>
          <t>197-18-K-26</t>
        </is>
      </c>
      <c r="D54" s="183" t="n">
        <v>46241</v>
      </c>
      <c r="E54" s="182" t="inlineStr">
        <is>
          <t>FHM-K</t>
        </is>
      </c>
      <c r="F54" s="182" t="inlineStr">
        <is>
          <t>#8</t>
        </is>
      </c>
      <c r="G54" s="184" t="inlineStr">
        <is>
          <t>#8 Loss on Drying</t>
        </is>
      </c>
      <c r="H54" s="187" t="inlineStr">
        <is>
          <t>credit removed</t>
        </is>
      </c>
      <c r="I54" s="186" t="inlineStr">
        <is>
          <t>R1 Farmahem pair — cannabinoid certificate; loss on drying is on the LoD certificate</t>
        </is>
      </c>
    </row>
    <row r="55">
      <c r="A55" s="181" t="inlineStr">
        <is>
          <t>OPM122501</t>
        </is>
      </c>
      <c r="B55" s="182" t="inlineStr">
        <is>
          <t>P060242</t>
        </is>
      </c>
      <c r="C55" s="182" t="inlineStr">
        <is>
          <t>100-4-LoD-26</t>
        </is>
      </c>
      <c r="D55" s="183" t="n">
        <v>46121</v>
      </c>
      <c r="E55" s="182" t="inlineStr">
        <is>
          <t>FHM-K</t>
        </is>
      </c>
      <c r="F55" s="182" t="inlineStr">
        <is>
          <t>#3</t>
        </is>
      </c>
      <c r="G55" s="184" t="inlineStr">
        <is>
          <t>#3 Identification C</t>
        </is>
      </c>
      <c r="H55" s="187" t="inlineStr">
        <is>
          <t>credit removed</t>
        </is>
      </c>
      <c r="I55" s="186" t="inlineStr">
        <is>
          <t>R1 Farmahem pair — loss-on-drying certificate; reports no such determination</t>
        </is>
      </c>
    </row>
    <row r="56">
      <c r="A56" s="181" t="inlineStr">
        <is>
          <t>OPM122501</t>
        </is>
      </c>
      <c r="B56" s="182" t="inlineStr">
        <is>
          <t>P060242</t>
        </is>
      </c>
      <c r="C56" s="182" t="inlineStr">
        <is>
          <t>100-4-LoD-26</t>
        </is>
      </c>
      <c r="D56" s="183" t="n">
        <v>46121</v>
      </c>
      <c r="E56" s="182" t="inlineStr">
        <is>
          <t>FHM-K</t>
        </is>
      </c>
      <c r="F56" s="182" t="inlineStr">
        <is>
          <t>#4</t>
        </is>
      </c>
      <c r="G56" s="184" t="inlineStr">
        <is>
          <t>#4 Assay — Total Δ⁹-THC*</t>
        </is>
      </c>
      <c r="H56" s="187" t="inlineStr">
        <is>
          <t>credit removed</t>
        </is>
      </c>
      <c r="I56" s="186" t="inlineStr">
        <is>
          <t>R1 Farmahem pair — loss-on-drying certificate; reports no such determination</t>
        </is>
      </c>
    </row>
    <row r="57">
      <c r="A57" s="181" t="inlineStr">
        <is>
          <t>OPM122501</t>
        </is>
      </c>
      <c r="B57" s="182" t="inlineStr">
        <is>
          <t>P060242</t>
        </is>
      </c>
      <c r="C57" s="182" t="inlineStr">
        <is>
          <t>100-4-LoD-26</t>
        </is>
      </c>
      <c r="D57" s="183" t="n">
        <v>46121</v>
      </c>
      <c r="E57" s="182" t="inlineStr">
        <is>
          <t>FHM-K</t>
        </is>
      </c>
      <c r="F57" s="182" t="inlineStr">
        <is>
          <t>#5</t>
        </is>
      </c>
      <c r="G57" s="184" t="inlineStr">
        <is>
          <t>#5 Assay — Total CBD</t>
        </is>
      </c>
      <c r="H57" s="187" t="inlineStr">
        <is>
          <t>credit removed</t>
        </is>
      </c>
      <c r="I57" s="186" t="inlineStr">
        <is>
          <t>R1 Farmahem pair — loss-on-drying certificate; reports no such determination</t>
        </is>
      </c>
    </row>
    <row r="58">
      <c r="A58" s="181" t="inlineStr">
        <is>
          <t>OPM122501</t>
        </is>
      </c>
      <c r="B58" s="182" t="inlineStr">
        <is>
          <t>P060242</t>
        </is>
      </c>
      <c r="C58" s="182" t="inlineStr">
        <is>
          <t>100-4-LoD-26</t>
        </is>
      </c>
      <c r="D58" s="183" t="n">
        <v>46121</v>
      </c>
      <c r="E58" s="182" t="inlineStr">
        <is>
          <t>FHM-K</t>
        </is>
      </c>
      <c r="F58" s="182" t="inlineStr">
        <is>
          <t>#6</t>
        </is>
      </c>
      <c r="G58" s="184" t="inlineStr">
        <is>
          <t>#6 Total CBN</t>
        </is>
      </c>
      <c r="H58" s="187" t="inlineStr">
        <is>
          <t>credit removed</t>
        </is>
      </c>
      <c r="I58" s="186" t="inlineStr">
        <is>
          <t>R1 Farmahem pair — loss-on-drying certificate; reports no such determination</t>
        </is>
      </c>
    </row>
    <row r="59">
      <c r="A59" s="181" t="inlineStr">
        <is>
          <t>OPM122501</t>
        </is>
      </c>
      <c r="B59" s="182" t="inlineStr">
        <is>
          <t>P060242</t>
        </is>
      </c>
      <c r="C59" s="182" t="inlineStr">
        <is>
          <t>100-4-K-26</t>
        </is>
      </c>
      <c r="D59" s="183" t="n">
        <v>46121</v>
      </c>
      <c r="E59" s="182" t="inlineStr">
        <is>
          <t>FHM-K</t>
        </is>
      </c>
      <c r="F59" s="182" t="inlineStr">
        <is>
          <t>#8</t>
        </is>
      </c>
      <c r="G59" s="184" t="inlineStr">
        <is>
          <t>#8 Loss on Drying</t>
        </is>
      </c>
      <c r="H59" s="187" t="inlineStr">
        <is>
          <t>credit removed</t>
        </is>
      </c>
      <c r="I59" s="186" t="inlineStr">
        <is>
          <t>R1 Farmahem pair — cannabinoid certificate; loss on drying is on the LoD certificate</t>
        </is>
      </c>
    </row>
    <row r="60">
      <c r="A60" s="181" t="inlineStr">
        <is>
          <t>OPM122501</t>
        </is>
      </c>
      <c r="B60" s="182" t="inlineStr">
        <is>
          <t>P060242</t>
        </is>
      </c>
      <c r="C60" s="182" t="inlineStr">
        <is>
          <t>197-19-K-26</t>
        </is>
      </c>
      <c r="D60" s="183" t="n">
        <v>46241</v>
      </c>
      <c r="E60" s="182" t="inlineStr">
        <is>
          <t>FHM-K</t>
        </is>
      </c>
      <c r="F60" s="182" t="inlineStr">
        <is>
          <t>#8</t>
        </is>
      </c>
      <c r="G60" s="184" t="inlineStr">
        <is>
          <t>#8 Loss on Drying</t>
        </is>
      </c>
      <c r="H60" s="187" t="inlineStr">
        <is>
          <t>credit removed</t>
        </is>
      </c>
      <c r="I60" s="186" t="inlineStr">
        <is>
          <t>R1 Farmahem pair — cannabinoid certificate; loss on drying is on the LoD certificate</t>
        </is>
      </c>
    </row>
    <row r="61">
      <c r="A61" s="181" t="inlineStr">
        <is>
          <t>PM092501</t>
        </is>
      </c>
      <c r="B61" s="182" t="inlineStr">
        <is>
          <t>P060062</t>
        </is>
      </c>
      <c r="C61" s="182" t="inlineStr">
        <is>
          <t>197-20-K-26</t>
        </is>
      </c>
      <c r="D61" s="183" t="n">
        <v>46241</v>
      </c>
      <c r="E61" s="182" t="inlineStr">
        <is>
          <t>FHM-K</t>
        </is>
      </c>
      <c r="F61" s="182" t="inlineStr">
        <is>
          <t>#8</t>
        </is>
      </c>
      <c r="G61" s="184" t="inlineStr">
        <is>
          <t>#8 Loss on Drying</t>
        </is>
      </c>
      <c r="H61" s="187" t="inlineStr">
        <is>
          <t>credit removed</t>
        </is>
      </c>
      <c r="I61" s="186" t="inlineStr">
        <is>
          <t>R1 Farmahem pair — cannabinoid certificate; loss on drying is on the LoD certificate</t>
        </is>
      </c>
    </row>
    <row r="62">
      <c r="A62" s="181" t="inlineStr">
        <is>
          <t>SCR012603</t>
        </is>
      </c>
      <c r="B62" s="182" t="inlineStr">
        <is>
          <t>P060382</t>
        </is>
      </c>
      <c r="C62" s="182" t="inlineStr">
        <is>
          <t>197-21-K-26</t>
        </is>
      </c>
      <c r="D62" s="183" t="n">
        <v>46241</v>
      </c>
      <c r="E62" s="182" t="inlineStr">
        <is>
          <t>FHM-K</t>
        </is>
      </c>
      <c r="F62" s="182" t="inlineStr">
        <is>
          <t>#8</t>
        </is>
      </c>
      <c r="G62" s="184" t="inlineStr">
        <is>
          <t>#8 Loss on Drying</t>
        </is>
      </c>
      <c r="H62" s="187" t="inlineStr">
        <is>
          <t>credit removed</t>
        </is>
      </c>
      <c r="I62" s="186" t="inlineStr">
        <is>
          <t>R1 Farmahem pair — cannabinoid certificate; loss on drying is on the LoD certificate</t>
        </is>
      </c>
    </row>
    <row r="63">
      <c r="A63" s="181" t="inlineStr">
        <is>
          <t>SJ102501</t>
        </is>
      </c>
      <c r="B63" s="182" t="inlineStr">
        <is>
          <t>P060162</t>
        </is>
      </c>
      <c r="C63" s="182" t="inlineStr">
        <is>
          <t>051-3-LoD-26</t>
        </is>
      </c>
      <c r="D63" s="183" t="n">
        <v>46083</v>
      </c>
      <c r="E63" s="182" t="inlineStr">
        <is>
          <t>FHM-K</t>
        </is>
      </c>
      <c r="F63" s="182" t="inlineStr">
        <is>
          <t>#3</t>
        </is>
      </c>
      <c r="G63" s="184" t="inlineStr">
        <is>
          <t>#3 Identification C</t>
        </is>
      </c>
      <c r="H63" s="187" t="inlineStr">
        <is>
          <t>credit removed</t>
        </is>
      </c>
      <c r="I63" s="186" t="inlineStr">
        <is>
          <t>R1 Farmahem pair — loss-on-drying certificate; reports no such determination</t>
        </is>
      </c>
    </row>
    <row r="64">
      <c r="A64" s="181" t="inlineStr">
        <is>
          <t>SJ102501</t>
        </is>
      </c>
      <c r="B64" s="182" t="inlineStr">
        <is>
          <t>P060162</t>
        </is>
      </c>
      <c r="C64" s="182" t="inlineStr">
        <is>
          <t>051-3-LoD-26</t>
        </is>
      </c>
      <c r="D64" s="183" t="n">
        <v>46083</v>
      </c>
      <c r="E64" s="182" t="inlineStr">
        <is>
          <t>FHM-K</t>
        </is>
      </c>
      <c r="F64" s="182" t="inlineStr">
        <is>
          <t>#4</t>
        </is>
      </c>
      <c r="G64" s="184" t="inlineStr">
        <is>
          <t>#4 Assay — Total Δ⁹-THC*</t>
        </is>
      </c>
      <c r="H64" s="187" t="inlineStr">
        <is>
          <t>credit removed</t>
        </is>
      </c>
      <c r="I64" s="186" t="inlineStr">
        <is>
          <t>R1 Farmahem pair — loss-on-drying certificate; reports no such determination</t>
        </is>
      </c>
    </row>
    <row r="65">
      <c r="A65" s="181" t="inlineStr">
        <is>
          <t>SJ102501</t>
        </is>
      </c>
      <c r="B65" s="182" t="inlineStr">
        <is>
          <t>P060162</t>
        </is>
      </c>
      <c r="C65" s="182" t="inlineStr">
        <is>
          <t>051-3-LoD-26</t>
        </is>
      </c>
      <c r="D65" s="183" t="n">
        <v>46083</v>
      </c>
      <c r="E65" s="182" t="inlineStr">
        <is>
          <t>FHM-K</t>
        </is>
      </c>
      <c r="F65" s="182" t="inlineStr">
        <is>
          <t>#5</t>
        </is>
      </c>
      <c r="G65" s="184" t="inlineStr">
        <is>
          <t>#5 Assay — Total CBD</t>
        </is>
      </c>
      <c r="H65" s="187" t="inlineStr">
        <is>
          <t>credit removed</t>
        </is>
      </c>
      <c r="I65" s="186" t="inlineStr">
        <is>
          <t>R1 Farmahem pair — loss-on-drying certificate; reports no such determination</t>
        </is>
      </c>
    </row>
    <row r="66">
      <c r="A66" s="181" t="inlineStr">
        <is>
          <t>SJ102501</t>
        </is>
      </c>
      <c r="B66" s="182" t="inlineStr">
        <is>
          <t>P060162</t>
        </is>
      </c>
      <c r="C66" s="182" t="inlineStr">
        <is>
          <t>051-3-LoD-26</t>
        </is>
      </c>
      <c r="D66" s="183" t="n">
        <v>46083</v>
      </c>
      <c r="E66" s="182" t="inlineStr">
        <is>
          <t>FHM-K</t>
        </is>
      </c>
      <c r="F66" s="182" t="inlineStr">
        <is>
          <t>#6</t>
        </is>
      </c>
      <c r="G66" s="184" t="inlineStr">
        <is>
          <t>#6 Total CBN</t>
        </is>
      </c>
      <c r="H66" s="187" t="inlineStr">
        <is>
          <t>credit removed</t>
        </is>
      </c>
      <c r="I66" s="186" t="inlineStr">
        <is>
          <t>R1 Farmahem pair — loss-on-drying certificate; reports no such determination</t>
        </is>
      </c>
    </row>
    <row r="67">
      <c r="A67" s="181" t="inlineStr">
        <is>
          <t>SJ102501</t>
        </is>
      </c>
      <c r="B67" s="182" t="inlineStr">
        <is>
          <t>P060162</t>
        </is>
      </c>
      <c r="C67" s="182" t="inlineStr">
        <is>
          <t>051-3-K-26</t>
        </is>
      </c>
      <c r="D67" s="183" t="n">
        <v>46085</v>
      </c>
      <c r="E67" s="182" t="inlineStr">
        <is>
          <t>FHM-K</t>
        </is>
      </c>
      <c r="F67" s="182" t="inlineStr">
        <is>
          <t>#8</t>
        </is>
      </c>
      <c r="G67" s="184" t="inlineStr">
        <is>
          <t>#8 Loss on Drying</t>
        </is>
      </c>
      <c r="H67" s="187" t="inlineStr">
        <is>
          <t>credit removed</t>
        </is>
      </c>
      <c r="I67" s="186" t="inlineStr">
        <is>
          <t>R1 Farmahem pair — cannabinoid certificate; loss on drying is on the LoD certificate</t>
        </is>
      </c>
    </row>
    <row r="68">
      <c r="A68" s="181" t="inlineStr">
        <is>
          <t>SJ112501</t>
        </is>
      </c>
      <c r="B68" s="182" t="inlineStr">
        <is>
          <t>P060192</t>
        </is>
      </c>
      <c r="C68" s="182" t="inlineStr">
        <is>
          <t>051-2-LoD-26</t>
        </is>
      </c>
      <c r="D68" s="183" t="n">
        <v>46083</v>
      </c>
      <c r="E68" s="182" t="inlineStr">
        <is>
          <t>FHM-K</t>
        </is>
      </c>
      <c r="F68" s="182" t="inlineStr">
        <is>
          <t>#3</t>
        </is>
      </c>
      <c r="G68" s="184" t="inlineStr">
        <is>
          <t>#3 Identification C</t>
        </is>
      </c>
      <c r="H68" s="187" t="inlineStr">
        <is>
          <t>credit removed</t>
        </is>
      </c>
      <c r="I68" s="186" t="inlineStr">
        <is>
          <t>R1 Farmahem pair — loss-on-drying certificate; reports no such determination</t>
        </is>
      </c>
    </row>
    <row r="69">
      <c r="A69" s="181" t="inlineStr">
        <is>
          <t>SJ112501</t>
        </is>
      </c>
      <c r="B69" s="182" t="inlineStr">
        <is>
          <t>P060192</t>
        </is>
      </c>
      <c r="C69" s="182" t="inlineStr">
        <is>
          <t>051-2-LoD-26</t>
        </is>
      </c>
      <c r="D69" s="183" t="n">
        <v>46083</v>
      </c>
      <c r="E69" s="182" t="inlineStr">
        <is>
          <t>FHM-K</t>
        </is>
      </c>
      <c r="F69" s="182" t="inlineStr">
        <is>
          <t>#4</t>
        </is>
      </c>
      <c r="G69" s="184" t="inlineStr">
        <is>
          <t>#4 Assay — Total Δ⁹-THC*</t>
        </is>
      </c>
      <c r="H69" s="187" t="inlineStr">
        <is>
          <t>credit removed</t>
        </is>
      </c>
      <c r="I69" s="186" t="inlineStr">
        <is>
          <t>R1 Farmahem pair — loss-on-drying certificate; reports no such determination</t>
        </is>
      </c>
    </row>
    <row r="70">
      <c r="A70" s="181" t="inlineStr">
        <is>
          <t>SJ112501</t>
        </is>
      </c>
      <c r="B70" s="182" t="inlineStr">
        <is>
          <t>P060192</t>
        </is>
      </c>
      <c r="C70" s="182" t="inlineStr">
        <is>
          <t>051-2-LoD-26</t>
        </is>
      </c>
      <c r="D70" s="183" t="n">
        <v>46083</v>
      </c>
      <c r="E70" s="182" t="inlineStr">
        <is>
          <t>FHM-K</t>
        </is>
      </c>
      <c r="F70" s="182" t="inlineStr">
        <is>
          <t>#5</t>
        </is>
      </c>
      <c r="G70" s="184" t="inlineStr">
        <is>
          <t>#5 Assay — Total CBD</t>
        </is>
      </c>
      <c r="H70" s="187" t="inlineStr">
        <is>
          <t>credit removed</t>
        </is>
      </c>
      <c r="I70" s="186" t="inlineStr">
        <is>
          <t>R1 Farmahem pair — loss-on-drying certificate; reports no such determination</t>
        </is>
      </c>
    </row>
    <row r="71">
      <c r="A71" s="181" t="inlineStr">
        <is>
          <t>SJ112501</t>
        </is>
      </c>
      <c r="B71" s="182" t="inlineStr">
        <is>
          <t>P060192</t>
        </is>
      </c>
      <c r="C71" s="182" t="inlineStr">
        <is>
          <t>051-2-LoD-26</t>
        </is>
      </c>
      <c r="D71" s="183" t="n">
        <v>46083</v>
      </c>
      <c r="E71" s="182" t="inlineStr">
        <is>
          <t>FHM-K</t>
        </is>
      </c>
      <c r="F71" s="182" t="inlineStr">
        <is>
          <t>#6</t>
        </is>
      </c>
      <c r="G71" s="184" t="inlineStr">
        <is>
          <t>#6 Total CBN</t>
        </is>
      </c>
      <c r="H71" s="187" t="inlineStr">
        <is>
          <t>credit removed</t>
        </is>
      </c>
      <c r="I71" s="186" t="inlineStr">
        <is>
          <t>R1 Farmahem pair — loss-on-drying certificate; reports no such determination</t>
        </is>
      </c>
    </row>
    <row r="72">
      <c r="A72" s="181" t="inlineStr">
        <is>
          <t>SJ112501</t>
        </is>
      </c>
      <c r="B72" s="182" t="inlineStr">
        <is>
          <t>P060192</t>
        </is>
      </c>
      <c r="C72" s="182" t="inlineStr">
        <is>
          <t>051-2-K-26</t>
        </is>
      </c>
      <c r="D72" s="183" t="n">
        <v>46085</v>
      </c>
      <c r="E72" s="182" t="inlineStr">
        <is>
          <t>FHM-K</t>
        </is>
      </c>
      <c r="F72" s="182" t="inlineStr">
        <is>
          <t>#8</t>
        </is>
      </c>
      <c r="G72" s="184" t="inlineStr">
        <is>
          <t>#8 Loss on Drying</t>
        </is>
      </c>
      <c r="H72" s="187" t="inlineStr">
        <is>
          <t>credit removed</t>
        </is>
      </c>
      <c r="I72" s="186" t="inlineStr">
        <is>
          <t>R1 Farmahem pair — cannabinoid certificate; loss on drying is on the LoD certificate</t>
        </is>
      </c>
    </row>
    <row r="73">
      <c r="A73" s="181" t="inlineStr">
        <is>
          <t>AB092501</t>
        </is>
      </c>
      <c r="B73" s="182" t="inlineStr">
        <is>
          <t>P060052</t>
        </is>
      </c>
      <c r="C73" s="182" t="inlineStr">
        <is>
          <t>ППК26005</t>
        </is>
      </c>
      <c r="D73" s="183" t="n">
        <v>46043</v>
      </c>
      <c r="E73" s="182" t="inlineStr">
        <is>
          <t>CNP</t>
        </is>
      </c>
      <c r="F73" s="182" t="inlineStr">
        <is>
          <t>#2</t>
        </is>
      </c>
      <c r="G73" s="184" t="inlineStr">
        <is>
          <t>#2 Identification B</t>
        </is>
      </c>
      <c r="H73" s="187" t="inlineStr">
        <is>
          <t>credit removed</t>
        </is>
      </c>
      <c r="I73" s="186" t="inlineStr">
        <is>
          <t>R2 CNP identification B — no microscopy row on this certificate</t>
        </is>
      </c>
    </row>
    <row r="74">
      <c r="A74" s="181" t="inlineStr">
        <is>
          <t>BG1024</t>
        </is>
      </c>
      <c r="B74" s="182" t="inlineStr">
        <is>
          <t>N/A — no P batch assigned</t>
        </is>
      </c>
      <c r="C74" s="182" t="inlineStr">
        <is>
          <t>ППК25050</t>
        </is>
      </c>
      <c r="D74" s="183" t="n">
        <v>45714</v>
      </c>
      <c r="E74" s="182" t="inlineStr">
        <is>
          <t>CNP</t>
        </is>
      </c>
      <c r="F74" s="182" t="inlineStr">
        <is>
          <t>#2</t>
        </is>
      </c>
      <c r="G74" s="184" t="inlineStr">
        <is>
          <t>#2 Identification B</t>
        </is>
      </c>
      <c r="H74" s="187" t="inlineStr">
        <is>
          <t>credit removed</t>
        </is>
      </c>
      <c r="I74" s="186" t="inlineStr">
        <is>
          <t>R2 CNP identification B — no microscopy row on this certificate</t>
        </is>
      </c>
    </row>
    <row r="75">
      <c r="A75" s="181" t="inlineStr">
        <is>
          <t>BSS1024</t>
        </is>
      </c>
      <c r="B75" s="182" t="inlineStr">
        <is>
          <t>N/A — no P batch assigned</t>
        </is>
      </c>
      <c r="C75" s="182" t="inlineStr">
        <is>
          <t>ППК25051</t>
        </is>
      </c>
      <c r="D75" s="183" t="n">
        <v>45714</v>
      </c>
      <c r="E75" s="182" t="inlineStr">
        <is>
          <t>CNP</t>
        </is>
      </c>
      <c r="F75" s="182" t="inlineStr">
        <is>
          <t>#2</t>
        </is>
      </c>
      <c r="G75" s="184" t="inlineStr">
        <is>
          <t>#2 Identification B</t>
        </is>
      </c>
      <c r="H75" s="187" t="inlineStr">
        <is>
          <t>credit removed</t>
        </is>
      </c>
      <c r="I75" s="186" t="inlineStr">
        <is>
          <t>R2 CNP identification B — no microscopy row on this certificate</t>
        </is>
      </c>
    </row>
    <row r="76">
      <c r="A76" s="181" t="inlineStr">
        <is>
          <t>BSS1024_01/1</t>
        </is>
      </c>
      <c r="B76" s="182" t="inlineStr">
        <is>
          <t>P050122</t>
        </is>
      </c>
      <c r="C76" s="182" t="inlineStr">
        <is>
          <t>ППК25176</t>
        </is>
      </c>
      <c r="D76" s="183" t="n">
        <v>45848</v>
      </c>
      <c r="E76" s="182" t="inlineStr">
        <is>
          <t>CNP</t>
        </is>
      </c>
      <c r="F76" s="182" t="inlineStr">
        <is>
          <t>#2</t>
        </is>
      </c>
      <c r="G76" s="184" t="inlineStr">
        <is>
          <t>#2 Identification B</t>
        </is>
      </c>
      <c r="H76" s="187" t="inlineStr">
        <is>
          <t>credit removed</t>
        </is>
      </c>
      <c r="I76" s="186" t="inlineStr">
        <is>
          <t>R2 CNP identification B — no microscopy row on this certificate</t>
        </is>
      </c>
    </row>
    <row r="77">
      <c r="A77" s="181" t="inlineStr">
        <is>
          <t>CC112501</t>
        </is>
      </c>
      <c r="B77" s="182" t="inlineStr">
        <is>
          <t>P060272</t>
        </is>
      </c>
      <c r="C77" s="182" t="inlineStr">
        <is>
          <t>ППК26068</t>
        </is>
      </c>
      <c r="D77" s="183" t="n">
        <v>46153</v>
      </c>
      <c r="E77" s="182" t="inlineStr">
        <is>
          <t>CNP</t>
        </is>
      </c>
      <c r="F77" s="182" t="inlineStr">
        <is>
          <t>#2</t>
        </is>
      </c>
      <c r="G77" s="184" t="inlineStr">
        <is>
          <t>#2 Identification B</t>
        </is>
      </c>
      <c r="H77" s="187" t="inlineStr">
        <is>
          <t>credit removed</t>
        </is>
      </c>
      <c r="I77" s="186" t="inlineStr">
        <is>
          <t>R2 CNP identification B — no microscopy row on this certificate</t>
        </is>
      </c>
    </row>
    <row r="78">
      <c r="A78" s="181" t="inlineStr">
        <is>
          <t>CJ052501/01</t>
        </is>
      </c>
      <c r="B78" s="182" t="inlineStr">
        <is>
          <t>P050162</t>
        </is>
      </c>
      <c r="C78" s="182" t="inlineStr">
        <is>
          <t>ППК25280</t>
        </is>
      </c>
      <c r="D78" s="183" t="n">
        <v>45917</v>
      </c>
      <c r="E78" s="182" t="inlineStr">
        <is>
          <t>CNP</t>
        </is>
      </c>
      <c r="F78" s="182" t="inlineStr">
        <is>
          <t>#2</t>
        </is>
      </c>
      <c r="G78" s="184" t="inlineStr">
        <is>
          <t>#2 Identification B</t>
        </is>
      </c>
      <c r="H78" s="187" t="inlineStr">
        <is>
          <t>credit removed</t>
        </is>
      </c>
      <c r="I78" s="186" t="inlineStr">
        <is>
          <t>R2 CNP identification B — no microscopy row on this certificate</t>
        </is>
      </c>
    </row>
    <row r="79">
      <c r="A79" s="181" t="inlineStr">
        <is>
          <t>CJ052501/02</t>
        </is>
      </c>
      <c r="B79" s="182" t="inlineStr">
        <is>
          <t>P050172</t>
        </is>
      </c>
      <c r="C79" s="182" t="inlineStr">
        <is>
          <t>ППК25281</t>
        </is>
      </c>
      <c r="D79" s="183" t="n">
        <v>45917</v>
      </c>
      <c r="E79" s="182" t="inlineStr">
        <is>
          <t>CNP</t>
        </is>
      </c>
      <c r="F79" s="182" t="inlineStr">
        <is>
          <t>#2</t>
        </is>
      </c>
      <c r="G79" s="184" t="inlineStr">
        <is>
          <t>#2 Identification B</t>
        </is>
      </c>
      <c r="H79" s="187" t="inlineStr">
        <is>
          <t>credit removed</t>
        </is>
      </c>
      <c r="I79" s="186" t="inlineStr">
        <is>
          <t>R2 CNP identification B — no microscopy row on this certificate</t>
        </is>
      </c>
    </row>
    <row r="80">
      <c r="A80" s="181" t="inlineStr">
        <is>
          <t>CJ062501/1</t>
        </is>
      </c>
      <c r="B80" s="182" t="inlineStr">
        <is>
          <t>P050222</t>
        </is>
      </c>
      <c r="C80" s="182" t="inlineStr">
        <is>
          <t>ППК25321</t>
        </is>
      </c>
      <c r="D80" s="183" t="n">
        <v>45953</v>
      </c>
      <c r="E80" s="182" t="inlineStr">
        <is>
          <t>CNP</t>
        </is>
      </c>
      <c r="F80" s="182" t="inlineStr">
        <is>
          <t>#2</t>
        </is>
      </c>
      <c r="G80" s="184" t="inlineStr">
        <is>
          <t>#2 Identification B</t>
        </is>
      </c>
      <c r="H80" s="187" t="inlineStr">
        <is>
          <t>credit removed</t>
        </is>
      </c>
      <c r="I80" s="186" t="inlineStr">
        <is>
          <t>R2 CNP identification B — no microscopy row on this certificate</t>
        </is>
      </c>
    </row>
    <row r="81">
      <c r="A81" s="181" t="inlineStr">
        <is>
          <t>CJ062501/2</t>
        </is>
      </c>
      <c r="B81" s="182" t="inlineStr">
        <is>
          <t>P050212</t>
        </is>
      </c>
      <c r="C81" s="182" t="inlineStr">
        <is>
          <t>ППК25322</t>
        </is>
      </c>
      <c r="D81" s="183" t="n">
        <v>45953</v>
      </c>
      <c r="E81" s="182" t="inlineStr">
        <is>
          <t>CNP</t>
        </is>
      </c>
      <c r="F81" s="182" t="inlineStr">
        <is>
          <t>#2</t>
        </is>
      </c>
      <c r="G81" s="184" t="inlineStr">
        <is>
          <t>#2 Identification B</t>
        </is>
      </c>
      <c r="H81" s="187" t="inlineStr">
        <is>
          <t>credit removed</t>
        </is>
      </c>
      <c r="I81" s="186" t="inlineStr">
        <is>
          <t>R2 CNP identification B — no microscopy row on this certificate</t>
        </is>
      </c>
    </row>
    <row r="82">
      <c r="A82" s="181" t="inlineStr">
        <is>
          <t>CJ072501</t>
        </is>
      </c>
      <c r="B82" s="182" t="inlineStr">
        <is>
          <t>P050252</t>
        </is>
      </c>
      <c r="C82" s="182" t="inlineStr">
        <is>
          <t>ППК25367</t>
        </is>
      </c>
      <c r="D82" s="183" t="n">
        <v>45989</v>
      </c>
      <c r="E82" s="182" t="inlineStr">
        <is>
          <t>CNP</t>
        </is>
      </c>
      <c r="F82" s="182" t="inlineStr">
        <is>
          <t>#2</t>
        </is>
      </c>
      <c r="G82" s="184" t="inlineStr">
        <is>
          <t>#2 Identification B</t>
        </is>
      </c>
      <c r="H82" s="187" t="inlineStr">
        <is>
          <t>credit removed</t>
        </is>
      </c>
      <c r="I82" s="186" t="inlineStr">
        <is>
          <t>R2 CNP identification B — no microscopy row on this certificate</t>
        </is>
      </c>
    </row>
    <row r="83">
      <c r="A83" s="181" t="inlineStr">
        <is>
          <t>CJ082501/1</t>
        </is>
      </c>
      <c r="B83" s="182" t="inlineStr">
        <is>
          <t>P060022</t>
        </is>
      </c>
      <c r="C83" s="182" t="inlineStr">
        <is>
          <t>ППК26002</t>
        </is>
      </c>
      <c r="D83" s="183" t="n">
        <v>46043</v>
      </c>
      <c r="E83" s="182" t="inlineStr">
        <is>
          <t>CNP</t>
        </is>
      </c>
      <c r="F83" s="182" t="inlineStr">
        <is>
          <t>#2</t>
        </is>
      </c>
      <c r="G83" s="184" t="inlineStr">
        <is>
          <t>#2 Identification B</t>
        </is>
      </c>
      <c r="H83" s="187" t="inlineStr">
        <is>
          <t>credit removed</t>
        </is>
      </c>
      <c r="I83" s="186" t="inlineStr">
        <is>
          <t>R2 CNP identification B — no microscopy row on this certificate</t>
        </is>
      </c>
    </row>
    <row r="84">
      <c r="A84" s="181" t="inlineStr">
        <is>
          <t>CJ082501/2</t>
        </is>
      </c>
      <c r="B84" s="182" t="inlineStr">
        <is>
          <t>P060032</t>
        </is>
      </c>
      <c r="C84" s="182" t="inlineStr">
        <is>
          <t>ППК26003</t>
        </is>
      </c>
      <c r="D84" s="183" t="n">
        <v>46043</v>
      </c>
      <c r="E84" s="182" t="inlineStr">
        <is>
          <t>CNP</t>
        </is>
      </c>
      <c r="F84" s="182" t="inlineStr">
        <is>
          <t>#2</t>
        </is>
      </c>
      <c r="G84" s="184" t="inlineStr">
        <is>
          <t>#2 Identification B</t>
        </is>
      </c>
      <c r="H84" s="187" t="inlineStr">
        <is>
          <t>credit removed</t>
        </is>
      </c>
      <c r="I84" s="186" t="inlineStr">
        <is>
          <t>R2 CNP identification B — no microscopy row on this certificate</t>
        </is>
      </c>
    </row>
    <row r="85">
      <c r="A85" s="181" t="inlineStr">
        <is>
          <t>CJ092501</t>
        </is>
      </c>
      <c r="B85" s="182" t="inlineStr">
        <is>
          <t>P060072</t>
        </is>
      </c>
      <c r="C85" s="182" t="inlineStr">
        <is>
          <t>ППК26007</t>
        </is>
      </c>
      <c r="D85" s="183" t="n">
        <v>46043</v>
      </c>
      <c r="E85" s="182" t="inlineStr">
        <is>
          <t>CNP</t>
        </is>
      </c>
      <c r="F85" s="182" t="inlineStr">
        <is>
          <t>#2</t>
        </is>
      </c>
      <c r="G85" s="184" t="inlineStr">
        <is>
          <t>#2 Identification B</t>
        </is>
      </c>
      <c r="H85" s="187" t="inlineStr">
        <is>
          <t>credit removed</t>
        </is>
      </c>
      <c r="I85" s="186" t="inlineStr">
        <is>
          <t>R2 CNP identification B — no microscopy row on this certificate</t>
        </is>
      </c>
    </row>
    <row r="86">
      <c r="A86" s="181" t="inlineStr">
        <is>
          <t>CJ1024</t>
        </is>
      </c>
      <c r="B86" s="182" t="inlineStr">
        <is>
          <t>N/A — no P batch assigned</t>
        </is>
      </c>
      <c r="C86" s="182" t="inlineStr">
        <is>
          <t>ППК25052</t>
        </is>
      </c>
      <c r="D86" s="183" t="n">
        <v>45714</v>
      </c>
      <c r="E86" s="182" t="inlineStr">
        <is>
          <t>CNP</t>
        </is>
      </c>
      <c r="F86" s="182" t="inlineStr">
        <is>
          <t>#2</t>
        </is>
      </c>
      <c r="G86" s="184" t="inlineStr">
        <is>
          <t>#2 Identification B</t>
        </is>
      </c>
      <c r="H86" s="187" t="inlineStr">
        <is>
          <t>credit removed</t>
        </is>
      </c>
      <c r="I86" s="186" t="inlineStr">
        <is>
          <t>R2 CNP identification B — no microscopy row on this certificate</t>
        </is>
      </c>
    </row>
    <row r="87">
      <c r="A87" s="181" t="inlineStr">
        <is>
          <t>CLE072501</t>
        </is>
      </c>
      <c r="B87" s="182" t="inlineStr">
        <is>
          <t>P050282</t>
        </is>
      </c>
      <c r="C87" s="182" t="inlineStr">
        <is>
          <t>ППК25370</t>
        </is>
      </c>
      <c r="D87" s="183" t="n">
        <v>45989</v>
      </c>
      <c r="E87" s="182" t="inlineStr">
        <is>
          <t>CNP</t>
        </is>
      </c>
      <c r="F87" s="182" t="inlineStr">
        <is>
          <t>#2</t>
        </is>
      </c>
      <c r="G87" s="184" t="inlineStr">
        <is>
          <t>#2 Identification B</t>
        </is>
      </c>
      <c r="H87" s="187" t="inlineStr">
        <is>
          <t>credit removed</t>
        </is>
      </c>
      <c r="I87" s="186" t="inlineStr">
        <is>
          <t>R2 CNP identification B — no microscopy row on this certificate</t>
        </is>
      </c>
    </row>
    <row r="88">
      <c r="A88" s="181" t="inlineStr">
        <is>
          <t>FB012601_1</t>
        </is>
      </c>
      <c r="B88" s="182" t="inlineStr">
        <is>
          <t>P060322</t>
        </is>
      </c>
      <c r="C88" s="182" t="inlineStr">
        <is>
          <t>ППК26067</t>
        </is>
      </c>
      <c r="D88" s="183" t="n">
        <v>46153</v>
      </c>
      <c r="E88" s="182" t="inlineStr">
        <is>
          <t>CNP</t>
        </is>
      </c>
      <c r="F88" s="182" t="inlineStr">
        <is>
          <t>#2</t>
        </is>
      </c>
      <c r="G88" s="184" t="inlineStr">
        <is>
          <t>#2 Identification B</t>
        </is>
      </c>
      <c r="H88" s="187" t="inlineStr">
        <is>
          <t>credit removed</t>
        </is>
      </c>
      <c r="I88" s="186" t="inlineStr">
        <is>
          <t>R2 CNP identification B — no microscopy row on this certificate</t>
        </is>
      </c>
    </row>
    <row r="89">
      <c r="A89" s="181" t="inlineStr">
        <is>
          <t>FB112501</t>
        </is>
      </c>
      <c r="B89" s="182" t="inlineStr">
        <is>
          <t>P060292</t>
        </is>
      </c>
      <c r="C89" s="182" t="inlineStr">
        <is>
          <t>ППК26066</t>
        </is>
      </c>
      <c r="D89" s="183" t="n">
        <v>46153</v>
      </c>
      <c r="E89" s="182" t="inlineStr">
        <is>
          <t>CNP</t>
        </is>
      </c>
      <c r="F89" s="182" t="inlineStr">
        <is>
          <t>#2</t>
        </is>
      </c>
      <c r="G89" s="184" t="inlineStr">
        <is>
          <t>#2 Identification B</t>
        </is>
      </c>
      <c r="H89" s="187" t="inlineStr">
        <is>
          <t>credit removed</t>
        </is>
      </c>
      <c r="I89" s="186" t="inlineStr">
        <is>
          <t>R2 CNP identification B — no microscopy row on this certificate</t>
        </is>
      </c>
    </row>
    <row r="90">
      <c r="A90" s="181" t="inlineStr">
        <is>
          <t>GG012601＊</t>
        </is>
      </c>
      <c r="B90" s="182" t="inlineStr">
        <is>
          <t>P060302</t>
        </is>
      </c>
      <c r="C90" s="182" t="inlineStr">
        <is>
          <t>ППК26062</t>
        </is>
      </c>
      <c r="D90" s="183" t="n">
        <v>46153</v>
      </c>
      <c r="E90" s="182" t="inlineStr">
        <is>
          <t>CNP</t>
        </is>
      </c>
      <c r="F90" s="182" t="inlineStr">
        <is>
          <t>#2</t>
        </is>
      </c>
      <c r="G90" s="184" t="inlineStr">
        <is>
          <t>#2 Identification B</t>
        </is>
      </c>
      <c r="H90" s="187" t="inlineStr">
        <is>
          <t>credit removed</t>
        </is>
      </c>
      <c r="I90" s="186" t="inlineStr">
        <is>
          <t>R2 CNP identification B — no microscopy row on this certificate</t>
        </is>
      </c>
    </row>
    <row r="91">
      <c r="A91" s="181" t="inlineStr">
        <is>
          <t>GG1024_01</t>
        </is>
      </c>
      <c r="B91" s="182" t="inlineStr">
        <is>
          <t>P050092</t>
        </is>
      </c>
      <c r="C91" s="182" t="inlineStr">
        <is>
          <t>ППК25104</t>
        </is>
      </c>
      <c r="D91" s="183" t="n">
        <v>45764</v>
      </c>
      <c r="E91" s="182" t="inlineStr">
        <is>
          <t>CNP</t>
        </is>
      </c>
      <c r="F91" s="182" t="inlineStr">
        <is>
          <t>#2</t>
        </is>
      </c>
      <c r="G91" s="184" t="inlineStr">
        <is>
          <t>#2 Identification B</t>
        </is>
      </c>
      <c r="H91" s="187" t="inlineStr">
        <is>
          <t>credit removed</t>
        </is>
      </c>
      <c r="I91" s="186" t="inlineStr">
        <is>
          <t>R2 CNP identification B — no microscopy row on this certificate</t>
        </is>
      </c>
    </row>
    <row r="92">
      <c r="A92" s="181" t="inlineStr">
        <is>
          <t>GG1024_02</t>
        </is>
      </c>
      <c r="B92" s="182" t="inlineStr">
        <is>
          <t>P050012</t>
        </is>
      </c>
      <c r="C92" s="182" t="inlineStr">
        <is>
          <t>ППК25140</t>
        </is>
      </c>
      <c r="D92" s="183" t="n">
        <v>45799</v>
      </c>
      <c r="E92" s="182" t="inlineStr">
        <is>
          <t>CNP</t>
        </is>
      </c>
      <c r="F92" s="182" t="inlineStr">
        <is>
          <t>#2</t>
        </is>
      </c>
      <c r="G92" s="184" t="inlineStr">
        <is>
          <t>#2 Identification B</t>
        </is>
      </c>
      <c r="H92" s="187" t="inlineStr">
        <is>
          <t>credit removed</t>
        </is>
      </c>
      <c r="I92" s="186" t="inlineStr">
        <is>
          <t>R2 CNP identification B — no microscopy row on this certificate</t>
        </is>
      </c>
    </row>
    <row r="93">
      <c r="A93" s="181" t="inlineStr">
        <is>
          <t>GG112501</t>
        </is>
      </c>
      <c r="B93" s="182" t="inlineStr">
        <is>
          <t>P060252</t>
        </is>
      </c>
      <c r="C93" s="182" t="inlineStr">
        <is>
          <t>ППК26061</t>
        </is>
      </c>
      <c r="D93" s="183" t="n">
        <v>46153</v>
      </c>
      <c r="E93" s="182" t="inlineStr">
        <is>
          <t>CNP</t>
        </is>
      </c>
      <c r="F93" s="182" t="inlineStr">
        <is>
          <t>#2</t>
        </is>
      </c>
      <c r="G93" s="184" t="inlineStr">
        <is>
          <t>#2 Identification B</t>
        </is>
      </c>
      <c r="H93" s="187" t="inlineStr">
        <is>
          <t>credit removed</t>
        </is>
      </c>
      <c r="I93" s="186" t="inlineStr">
        <is>
          <t>R2 CNP identification B — no microscopy row on this certificate</t>
        </is>
      </c>
    </row>
    <row r="94">
      <c r="A94" s="181" t="inlineStr">
        <is>
          <t>GP052501</t>
        </is>
      </c>
      <c r="B94" s="182" t="inlineStr">
        <is>
          <t>P050152</t>
        </is>
      </c>
      <c r="C94" s="182" t="inlineStr">
        <is>
          <t>ППК25279</t>
        </is>
      </c>
      <c r="D94" s="183" t="n">
        <v>45919</v>
      </c>
      <c r="E94" s="182" t="inlineStr">
        <is>
          <t>CNP</t>
        </is>
      </c>
      <c r="F94" s="182" t="inlineStr">
        <is>
          <t>#2</t>
        </is>
      </c>
      <c r="G94" s="184" t="inlineStr">
        <is>
          <t>#2 Identification B</t>
        </is>
      </c>
      <c r="H94" s="187" t="inlineStr">
        <is>
          <t>credit removed</t>
        </is>
      </c>
      <c r="I94" s="186" t="inlineStr">
        <is>
          <t>R2 CNP identification B — no microscopy row on this certificate</t>
        </is>
      </c>
    </row>
    <row r="95">
      <c r="A95" s="181" t="inlineStr">
        <is>
          <t>GP062501</t>
        </is>
      </c>
      <c r="B95" s="182" t="inlineStr">
        <is>
          <t>P050202</t>
        </is>
      </c>
      <c r="C95" s="182" t="inlineStr">
        <is>
          <t>ППК26036</t>
        </is>
      </c>
      <c r="D95" s="183" t="n">
        <v>46086</v>
      </c>
      <c r="E95" s="182" t="inlineStr">
        <is>
          <t>CNP</t>
        </is>
      </c>
      <c r="F95" s="182" t="inlineStr">
        <is>
          <t>#2</t>
        </is>
      </c>
      <c r="G95" s="184" t="inlineStr">
        <is>
          <t>#2 Identification B</t>
        </is>
      </c>
      <c r="H95" s="187" t="inlineStr">
        <is>
          <t>credit removed</t>
        </is>
      </c>
      <c r="I95" s="186" t="inlineStr">
        <is>
          <t>R2 CNP identification B — no microscopy row on this certificate</t>
        </is>
      </c>
    </row>
    <row r="96">
      <c r="A96" s="181" t="inlineStr">
        <is>
          <t>GP062501</t>
        </is>
      </c>
      <c r="B96" s="182" t="inlineStr">
        <is>
          <t>P050202</t>
        </is>
      </c>
      <c r="C96" s="182" t="inlineStr">
        <is>
          <t>ППК26037</t>
        </is>
      </c>
      <c r="D96" s="183" t="n">
        <v>46086</v>
      </c>
      <c r="E96" s="182" t="inlineStr">
        <is>
          <t>CNP</t>
        </is>
      </c>
      <c r="F96" s="182" t="inlineStr">
        <is>
          <t>#2</t>
        </is>
      </c>
      <c r="G96" s="184" t="inlineStr">
        <is>
          <t>#2 Identification B</t>
        </is>
      </c>
      <c r="H96" s="187" t="inlineStr">
        <is>
          <t>credit removed</t>
        </is>
      </c>
      <c r="I96" s="186" t="inlineStr">
        <is>
          <t>R2 CNP identification B — no microscopy row on this certificate</t>
        </is>
      </c>
    </row>
    <row r="97">
      <c r="A97" s="181" t="inlineStr">
        <is>
          <t>GP062501</t>
        </is>
      </c>
      <c r="B97" s="182" t="inlineStr">
        <is>
          <t>P050202</t>
        </is>
      </c>
      <c r="C97" s="182" t="inlineStr">
        <is>
          <t>ППК26057</t>
        </is>
      </c>
      <c r="D97" s="183" t="n">
        <v>46153</v>
      </c>
      <c r="E97" s="182" t="inlineStr">
        <is>
          <t>CNP</t>
        </is>
      </c>
      <c r="F97" s="182" t="inlineStr">
        <is>
          <t>#2</t>
        </is>
      </c>
      <c r="G97" s="184" t="inlineStr">
        <is>
          <t>#2 Identification B</t>
        </is>
      </c>
      <c r="H97" s="187" t="inlineStr">
        <is>
          <t>credit removed</t>
        </is>
      </c>
      <c r="I97" s="186" t="inlineStr">
        <is>
          <t>R2 CNP identification B — no microscopy row on this certificate</t>
        </is>
      </c>
    </row>
    <row r="98">
      <c r="A98" s="181" t="inlineStr">
        <is>
          <t>GP062501</t>
        </is>
      </c>
      <c r="B98" s="182" t="inlineStr">
        <is>
          <t>P050202</t>
        </is>
      </c>
      <c r="C98" s="182" t="inlineStr">
        <is>
          <t>ППК26058</t>
        </is>
      </c>
      <c r="D98" s="183" t="n">
        <v>46153</v>
      </c>
      <c r="E98" s="182" t="inlineStr">
        <is>
          <t>CNP</t>
        </is>
      </c>
      <c r="F98" s="182" t="inlineStr">
        <is>
          <t>#2</t>
        </is>
      </c>
      <c r="G98" s="184" t="inlineStr">
        <is>
          <t>#2 Identification B</t>
        </is>
      </c>
      <c r="H98" s="187" t="inlineStr">
        <is>
          <t>credit removed</t>
        </is>
      </c>
      <c r="I98" s="186" t="inlineStr">
        <is>
          <t>R2 CNP identification B — no microscopy row on this certificate</t>
        </is>
      </c>
    </row>
    <row r="99">
      <c r="A99" s="181" t="inlineStr">
        <is>
          <t>GP072501/1</t>
        </is>
      </c>
      <c r="B99" s="182" t="inlineStr">
        <is>
          <t>P050292</t>
        </is>
      </c>
      <c r="C99" s="182" t="inlineStr">
        <is>
          <t>ППК25378</t>
        </is>
      </c>
      <c r="D99" s="183" t="n">
        <v>46003</v>
      </c>
      <c r="E99" s="182" t="inlineStr">
        <is>
          <t>CNP</t>
        </is>
      </c>
      <c r="F99" s="182" t="inlineStr">
        <is>
          <t>#2</t>
        </is>
      </c>
      <c r="G99" s="184" t="inlineStr">
        <is>
          <t>#2 Identification B</t>
        </is>
      </c>
      <c r="H99" s="187" t="inlineStr">
        <is>
          <t>credit removed</t>
        </is>
      </c>
      <c r="I99" s="186" t="inlineStr">
        <is>
          <t>R2 CNP identification B — no microscopy row on this certificate</t>
        </is>
      </c>
    </row>
    <row r="100">
      <c r="A100" s="181" t="inlineStr">
        <is>
          <t>GP072501/2</t>
        </is>
      </c>
      <c r="B100" s="182" t="inlineStr">
        <is>
          <t>P050302</t>
        </is>
      </c>
      <c r="C100" s="182" t="inlineStr">
        <is>
          <t>ППК25379</t>
        </is>
      </c>
      <c r="D100" s="183" t="n">
        <v>46003</v>
      </c>
      <c r="E100" s="182" t="inlineStr">
        <is>
          <t>CNP</t>
        </is>
      </c>
      <c r="F100" s="182" t="inlineStr">
        <is>
          <t>#2</t>
        </is>
      </c>
      <c r="G100" s="184" t="inlineStr">
        <is>
          <t>#2 Identification B</t>
        </is>
      </c>
      <c r="H100" s="187" t="inlineStr">
        <is>
          <t>credit removed</t>
        </is>
      </c>
      <c r="I100" s="186" t="inlineStr">
        <is>
          <t>R2 CNP identification B — no microscopy row on this certificate</t>
        </is>
      </c>
    </row>
    <row r="101">
      <c r="A101" s="181" t="inlineStr">
        <is>
          <t>GP0824_01</t>
        </is>
      </c>
      <c r="B101" s="182" t="inlineStr">
        <is>
          <t>P050102</t>
        </is>
      </c>
      <c r="C101" s="182" t="inlineStr">
        <is>
          <t>ППК25105</t>
        </is>
      </c>
      <c r="D101" s="183" t="n">
        <v>45764</v>
      </c>
      <c r="E101" s="182" t="inlineStr">
        <is>
          <t>CNP</t>
        </is>
      </c>
      <c r="F101" s="182" t="inlineStr">
        <is>
          <t>#2</t>
        </is>
      </c>
      <c r="G101" s="184" t="inlineStr">
        <is>
          <t>#2 Identification B</t>
        </is>
      </c>
      <c r="H101" s="187" t="inlineStr">
        <is>
          <t>credit removed</t>
        </is>
      </c>
      <c r="I101" s="186" t="inlineStr">
        <is>
          <t>R2 CNP identification B — no microscopy row on this certificate</t>
        </is>
      </c>
    </row>
    <row r="102">
      <c r="A102" s="181" t="inlineStr">
        <is>
          <t>GP0824_02</t>
        </is>
      </c>
      <c r="B102" s="182" t="inlineStr">
        <is>
          <t>P050022</t>
        </is>
      </c>
      <c r="C102" s="182" t="inlineStr">
        <is>
          <t>ППК25139</t>
        </is>
      </c>
      <c r="D102" s="183" t="n">
        <v>45799</v>
      </c>
      <c r="E102" s="182" t="inlineStr">
        <is>
          <t>CNP</t>
        </is>
      </c>
      <c r="F102" s="182" t="inlineStr">
        <is>
          <t>#2</t>
        </is>
      </c>
      <c r="G102" s="184" t="inlineStr">
        <is>
          <t>#2 Identification B</t>
        </is>
      </c>
      <c r="H102" s="187" t="inlineStr">
        <is>
          <t>credit removed</t>
        </is>
      </c>
      <c r="I102" s="186" t="inlineStr">
        <is>
          <t>R2 CNP identification B — no microscopy row on this certificate</t>
        </is>
      </c>
    </row>
    <row r="103">
      <c r="A103" s="181" t="inlineStr">
        <is>
          <t>GP0824_02</t>
        </is>
      </c>
      <c r="B103" s="182" t="inlineStr">
        <is>
          <t>P050022</t>
        </is>
      </c>
      <c r="C103" s="182" t="inlineStr">
        <is>
          <t>ППК25174</t>
        </is>
      </c>
      <c r="D103" s="183" t="n">
        <v>45848</v>
      </c>
      <c r="E103" s="182" t="inlineStr">
        <is>
          <t>CNP</t>
        </is>
      </c>
      <c r="F103" s="182" t="inlineStr">
        <is>
          <t>#2</t>
        </is>
      </c>
      <c r="G103" s="184" t="inlineStr">
        <is>
          <t>#2 Identification B</t>
        </is>
      </c>
      <c r="H103" s="187" t="inlineStr">
        <is>
          <t>credit removed</t>
        </is>
      </c>
      <c r="I103" s="186" t="inlineStr">
        <is>
          <t>R2 CNP identification B — no microscopy row on this certificate</t>
        </is>
      </c>
    </row>
    <row r="104">
      <c r="A104" s="181" t="inlineStr">
        <is>
          <t>GP0824_02</t>
        </is>
      </c>
      <c r="B104" s="182" t="inlineStr">
        <is>
          <t>P050022</t>
        </is>
      </c>
      <c r="C104" s="182" t="inlineStr">
        <is>
          <t>ППК26032</t>
        </is>
      </c>
      <c r="D104" s="183" t="n">
        <v>46086</v>
      </c>
      <c r="E104" s="182" t="inlineStr">
        <is>
          <t>CNP</t>
        </is>
      </c>
      <c r="F104" s="182" t="inlineStr">
        <is>
          <t>#2</t>
        </is>
      </c>
      <c r="G104" s="184" t="inlineStr">
        <is>
          <t>#2 Identification B</t>
        </is>
      </c>
      <c r="H104" s="187" t="inlineStr">
        <is>
          <t>credit removed</t>
        </is>
      </c>
      <c r="I104" s="186" t="inlineStr">
        <is>
          <t>R2 CNP identification B — no microscopy row on this certificate</t>
        </is>
      </c>
    </row>
    <row r="105">
      <c r="A105" s="181" t="inlineStr">
        <is>
          <t>GP0824_02</t>
        </is>
      </c>
      <c r="B105" s="182" t="inlineStr">
        <is>
          <t>P050022</t>
        </is>
      </c>
      <c r="C105" s="182" t="inlineStr">
        <is>
          <t>ППК26033</t>
        </is>
      </c>
      <c r="D105" s="183" t="n">
        <v>46086</v>
      </c>
      <c r="E105" s="182" t="inlineStr">
        <is>
          <t>CNP</t>
        </is>
      </c>
      <c r="F105" s="182" t="inlineStr">
        <is>
          <t>#2</t>
        </is>
      </c>
      <c r="G105" s="184" t="inlineStr">
        <is>
          <t>#2 Identification B</t>
        </is>
      </c>
      <c r="H105" s="187" t="inlineStr">
        <is>
          <t>credit removed</t>
        </is>
      </c>
      <c r="I105" s="186" t="inlineStr">
        <is>
          <t>R2 CNP identification B — no microscopy row on this certificate</t>
        </is>
      </c>
    </row>
    <row r="106">
      <c r="A106" s="181" t="inlineStr">
        <is>
          <t>GP0824_02</t>
        </is>
      </c>
      <c r="B106" s="182" t="inlineStr">
        <is>
          <t>P050022</t>
        </is>
      </c>
      <c r="C106" s="182" t="inlineStr">
        <is>
          <t>ППК26059</t>
        </is>
      </c>
      <c r="D106" s="183" t="n">
        <v>46153</v>
      </c>
      <c r="E106" s="182" t="inlineStr">
        <is>
          <t>CNP</t>
        </is>
      </c>
      <c r="F106" s="182" t="inlineStr">
        <is>
          <t>#2</t>
        </is>
      </c>
      <c r="G106" s="184" t="inlineStr">
        <is>
          <t>#2 Identification B</t>
        </is>
      </c>
      <c r="H106" s="187" t="inlineStr">
        <is>
          <t>credit removed</t>
        </is>
      </c>
      <c r="I106" s="186" t="inlineStr">
        <is>
          <t>R2 CNP identification B — no microscopy row on this certificate</t>
        </is>
      </c>
    </row>
    <row r="107">
      <c r="A107" s="181" t="inlineStr">
        <is>
          <t>GP0824_03</t>
        </is>
      </c>
      <c r="B107" s="182" t="inlineStr">
        <is>
          <t>P050072</t>
        </is>
      </c>
      <c r="C107" s="182" t="inlineStr">
        <is>
          <t>ППК25175</t>
        </is>
      </c>
      <c r="D107" s="183" t="n">
        <v>45848</v>
      </c>
      <c r="E107" s="182" t="inlineStr">
        <is>
          <t>CNP</t>
        </is>
      </c>
      <c r="F107" s="182" t="inlineStr">
        <is>
          <t>#2</t>
        </is>
      </c>
      <c r="G107" s="184" t="inlineStr">
        <is>
          <t>#2 Identification B</t>
        </is>
      </c>
      <c r="H107" s="187" t="inlineStr">
        <is>
          <t>credit removed</t>
        </is>
      </c>
      <c r="I107" s="186" t="inlineStr">
        <is>
          <t>R2 CNP identification B — no microscopy row on this certificate</t>
        </is>
      </c>
    </row>
    <row r="108">
      <c r="A108" s="181" t="inlineStr">
        <is>
          <t>GP0824_03</t>
        </is>
      </c>
      <c r="B108" s="182" t="inlineStr">
        <is>
          <t>P050072</t>
        </is>
      </c>
      <c r="C108" s="182" t="inlineStr">
        <is>
          <t>ППК26034</t>
        </is>
      </c>
      <c r="D108" s="183" t="n">
        <v>46086</v>
      </c>
      <c r="E108" s="182" t="inlineStr">
        <is>
          <t>CNP</t>
        </is>
      </c>
      <c r="F108" s="182" t="inlineStr">
        <is>
          <t>#2</t>
        </is>
      </c>
      <c r="G108" s="184" t="inlineStr">
        <is>
          <t>#2 Identification B</t>
        </is>
      </c>
      <c r="H108" s="187" t="inlineStr">
        <is>
          <t>credit removed</t>
        </is>
      </c>
      <c r="I108" s="186" t="inlineStr">
        <is>
          <t>R2 CNP identification B — no microscopy row on this certificate</t>
        </is>
      </c>
    </row>
    <row r="109">
      <c r="A109" s="181" t="inlineStr">
        <is>
          <t>GP0824_03</t>
        </is>
      </c>
      <c r="B109" s="182" t="inlineStr">
        <is>
          <t>P050072</t>
        </is>
      </c>
      <c r="C109" s="182" t="inlineStr">
        <is>
          <t>ППК26035</t>
        </is>
      </c>
      <c r="D109" s="183" t="n">
        <v>46086</v>
      </c>
      <c r="E109" s="182" t="inlineStr">
        <is>
          <t>CNP</t>
        </is>
      </c>
      <c r="F109" s="182" t="inlineStr">
        <is>
          <t>#2</t>
        </is>
      </c>
      <c r="G109" s="184" t="inlineStr">
        <is>
          <t>#2 Identification B</t>
        </is>
      </c>
      <c r="H109" s="187" t="inlineStr">
        <is>
          <t>credit removed</t>
        </is>
      </c>
      <c r="I109" s="186" t="inlineStr">
        <is>
          <t>R2 CNP identification B — no microscopy row on this certificate</t>
        </is>
      </c>
    </row>
    <row r="110">
      <c r="A110" s="181" t="inlineStr">
        <is>
          <t>GP0824_03</t>
        </is>
      </c>
      <c r="B110" s="182" t="inlineStr">
        <is>
          <t>P050072</t>
        </is>
      </c>
      <c r="C110" s="182" t="inlineStr">
        <is>
          <t>ППК26060</t>
        </is>
      </c>
      <c r="D110" s="183" t="n">
        <v>46153</v>
      </c>
      <c r="E110" s="182" t="inlineStr">
        <is>
          <t>CNP</t>
        </is>
      </c>
      <c r="F110" s="182" t="inlineStr">
        <is>
          <t>#2</t>
        </is>
      </c>
      <c r="G110" s="184" t="inlineStr">
        <is>
          <t>#2 Identification B</t>
        </is>
      </c>
      <c r="H110" s="187" t="inlineStr">
        <is>
          <t>credit removed</t>
        </is>
      </c>
      <c r="I110" s="186" t="inlineStr">
        <is>
          <t>R2 CNP identification B — no microscopy row on this certificate</t>
        </is>
      </c>
    </row>
    <row r="111">
      <c r="A111" s="181" t="inlineStr">
        <is>
          <t>GP082501/1</t>
        </is>
      </c>
      <c r="B111" s="182" t="inlineStr">
        <is>
          <t>P050312</t>
        </is>
      </c>
      <c r="C111" s="182" t="inlineStr">
        <is>
          <t>ППК25380</t>
        </is>
      </c>
      <c r="D111" s="183" t="n">
        <v>46003</v>
      </c>
      <c r="E111" s="182" t="inlineStr">
        <is>
          <t>CNP</t>
        </is>
      </c>
      <c r="F111" s="182" t="inlineStr">
        <is>
          <t>#2</t>
        </is>
      </c>
      <c r="G111" s="184" t="inlineStr">
        <is>
          <t>#2 Identification B</t>
        </is>
      </c>
      <c r="H111" s="187" t="inlineStr">
        <is>
          <t>credit removed</t>
        </is>
      </c>
      <c r="I111" s="186" t="inlineStr">
        <is>
          <t>R2 CNP identification B — no microscopy row on this certificate</t>
        </is>
      </c>
    </row>
    <row r="112">
      <c r="A112" s="181" t="inlineStr">
        <is>
          <t>GP082501/2</t>
        </is>
      </c>
      <c r="B112" s="182" t="inlineStr">
        <is>
          <t>P050322</t>
        </is>
      </c>
      <c r="C112" s="182" t="inlineStr">
        <is>
          <t>ППК25381</t>
        </is>
      </c>
      <c r="D112" s="183" t="n">
        <v>46003</v>
      </c>
      <c r="E112" s="182" t="inlineStr">
        <is>
          <t>CNP</t>
        </is>
      </c>
      <c r="F112" s="182" t="inlineStr">
        <is>
          <t>#2</t>
        </is>
      </c>
      <c r="G112" s="184" t="inlineStr">
        <is>
          <t>#2 Identification B</t>
        </is>
      </c>
      <c r="H112" s="187" t="inlineStr">
        <is>
          <t>credit removed</t>
        </is>
      </c>
      <c r="I112" s="186" t="inlineStr">
        <is>
          <t>R2 CNP identification B — no microscopy row on this certificate</t>
        </is>
      </c>
    </row>
    <row r="113">
      <c r="A113" s="181" t="inlineStr">
        <is>
          <t>GP092501</t>
        </is>
      </c>
      <c r="B113" s="182" t="inlineStr">
        <is>
          <t>P060092</t>
        </is>
      </c>
      <c r="C113" s="182" t="inlineStr">
        <is>
          <t>ППК26009</t>
        </is>
      </c>
      <c r="D113" s="183" t="n">
        <v>46043</v>
      </c>
      <c r="E113" s="182" t="inlineStr">
        <is>
          <t>CNP</t>
        </is>
      </c>
      <c r="F113" s="182" t="inlineStr">
        <is>
          <t>#2</t>
        </is>
      </c>
      <c r="G113" s="184" t="inlineStr">
        <is>
          <t>#2 Identification B</t>
        </is>
      </c>
      <c r="H113" s="187" t="inlineStr">
        <is>
          <t>credit removed</t>
        </is>
      </c>
      <c r="I113" s="186" t="inlineStr">
        <is>
          <t>R2 CNP identification B — no microscopy row on this certificate</t>
        </is>
      </c>
    </row>
    <row r="114">
      <c r="A114" s="181" t="inlineStr">
        <is>
          <t>HPA052501</t>
        </is>
      </c>
      <c r="B114" s="182" t="inlineStr">
        <is>
          <t>P050182</t>
        </is>
      </c>
      <c r="C114" s="182" t="inlineStr">
        <is>
          <t>ППК25278</t>
        </is>
      </c>
      <c r="D114" s="183" t="n">
        <v>45919</v>
      </c>
      <c r="E114" s="182" t="inlineStr">
        <is>
          <t>CNP</t>
        </is>
      </c>
      <c r="F114" s="182" t="inlineStr">
        <is>
          <t>#2</t>
        </is>
      </c>
      <c r="G114" s="184" t="inlineStr">
        <is>
          <t>#2 Identification B</t>
        </is>
      </c>
      <c r="H114" s="187" t="inlineStr">
        <is>
          <t>credit removed</t>
        </is>
      </c>
      <c r="I114" s="186" t="inlineStr">
        <is>
          <t>R2 CNP identification B — no microscopy row on this certificate</t>
        </is>
      </c>
    </row>
    <row r="115">
      <c r="A115" s="181" t="inlineStr">
        <is>
          <t>HPA1024_01</t>
        </is>
      </c>
      <c r="B115" s="182" t="inlineStr">
        <is>
          <t>P050052</t>
        </is>
      </c>
      <c r="C115" s="182" t="inlineStr">
        <is>
          <t>ППК25155</t>
        </is>
      </c>
      <c r="D115" s="183" t="n">
        <v>45832</v>
      </c>
      <c r="E115" s="182" t="inlineStr">
        <is>
          <t>CNP</t>
        </is>
      </c>
      <c r="F115" s="182" t="inlineStr">
        <is>
          <t>#2</t>
        </is>
      </c>
      <c r="G115" s="184" t="inlineStr">
        <is>
          <t>#2 Identification B</t>
        </is>
      </c>
      <c r="H115" s="187" t="inlineStr">
        <is>
          <t>credit removed</t>
        </is>
      </c>
      <c r="I115" s="186" t="inlineStr">
        <is>
          <t>R2 CNP identification B — no microscopy row on this certificate</t>
        </is>
      </c>
    </row>
    <row r="116">
      <c r="A116" s="181" t="inlineStr">
        <is>
          <t>JD012601＊</t>
        </is>
      </c>
      <c r="B116" s="182" t="inlineStr">
        <is>
          <t>P060312</t>
        </is>
      </c>
      <c r="C116" s="182" t="inlineStr">
        <is>
          <t>ППК26064</t>
        </is>
      </c>
      <c r="D116" s="183" t="n">
        <v>46153</v>
      </c>
      <c r="E116" s="182" t="inlineStr">
        <is>
          <t>CNP</t>
        </is>
      </c>
      <c r="F116" s="182" t="inlineStr">
        <is>
          <t>#2</t>
        </is>
      </c>
      <c r="G116" s="184" t="inlineStr">
        <is>
          <t>#2 Identification B</t>
        </is>
      </c>
      <c r="H116" s="187" t="inlineStr">
        <is>
          <t>credit removed</t>
        </is>
      </c>
      <c r="I116" s="186" t="inlineStr">
        <is>
          <t>R2 CNP identification B — no microscopy row on this certificate</t>
        </is>
      </c>
    </row>
    <row r="117">
      <c r="A117" s="181" t="inlineStr">
        <is>
          <t>JD112501</t>
        </is>
      </c>
      <c r="B117" s="182" t="inlineStr">
        <is>
          <t>P060212</t>
        </is>
      </c>
      <c r="C117" s="182" t="inlineStr">
        <is>
          <t>ППК26063</t>
        </is>
      </c>
      <c r="D117" s="183" t="n">
        <v>46153</v>
      </c>
      <c r="E117" s="182" t="inlineStr">
        <is>
          <t>CNP</t>
        </is>
      </c>
      <c r="F117" s="182" t="inlineStr">
        <is>
          <t>#2</t>
        </is>
      </c>
      <c r="G117" s="184" t="inlineStr">
        <is>
          <t>#2 Identification B</t>
        </is>
      </c>
      <c r="H117" s="187" t="inlineStr">
        <is>
          <t>credit removed</t>
        </is>
      </c>
      <c r="I117" s="186" t="inlineStr">
        <is>
          <t>R2 CNP identification B — no microscopy row on this certificate</t>
        </is>
      </c>
    </row>
    <row r="118">
      <c r="A118" s="181" t="inlineStr">
        <is>
          <t>JD112501＊</t>
        </is>
      </c>
      <c r="B118" s="182" t="inlineStr">
        <is>
          <t>N/A — no P batch assigned</t>
        </is>
      </c>
      <c r="C118" s="182" t="inlineStr">
        <is>
          <t>ППК26065</t>
        </is>
      </c>
      <c r="D118" s="183" t="n">
        <v>46153</v>
      </c>
      <c r="E118" s="182" t="inlineStr">
        <is>
          <t>CNP</t>
        </is>
      </c>
      <c r="F118" s="182" t="inlineStr">
        <is>
          <t>#2</t>
        </is>
      </c>
      <c r="G118" s="184" t="inlineStr">
        <is>
          <t>#2 Identification B</t>
        </is>
      </c>
      <c r="H118" s="187" t="inlineStr">
        <is>
          <t>credit removed</t>
        </is>
      </c>
      <c r="I118" s="186" t="inlineStr">
        <is>
          <t>R2 CNP identification B — no microscopy row on this certificate</t>
        </is>
      </c>
    </row>
    <row r="119">
      <c r="A119" s="181" t="inlineStr">
        <is>
          <t>MB0824_04</t>
        </is>
      </c>
      <c r="B119" s="182" t="inlineStr">
        <is>
          <t>P050032</t>
        </is>
      </c>
      <c r="C119" s="182" t="inlineStr">
        <is>
          <t>ППК25118</t>
        </is>
      </c>
      <c r="D119" s="183" t="n">
        <v>45783</v>
      </c>
      <c r="E119" s="182" t="inlineStr">
        <is>
          <t>CNP</t>
        </is>
      </c>
      <c r="F119" s="182" t="inlineStr">
        <is>
          <t>#2</t>
        </is>
      </c>
      <c r="G119" s="184" t="inlineStr">
        <is>
          <t>#2 Identification B</t>
        </is>
      </c>
      <c r="H119" s="187" t="inlineStr">
        <is>
          <t>credit removed</t>
        </is>
      </c>
      <c r="I119" s="186" t="inlineStr">
        <is>
          <t>R2 CNP identification B — no microscopy row on this certificate</t>
        </is>
      </c>
    </row>
    <row r="120">
      <c r="A120" s="181" t="inlineStr">
        <is>
          <t>MB0824_05</t>
        </is>
      </c>
      <c r="B120" s="182" t="inlineStr">
        <is>
          <t>P050112</t>
        </is>
      </c>
      <c r="C120" s="182" t="inlineStr">
        <is>
          <t>ППК25211</t>
        </is>
      </c>
      <c r="D120" s="183" t="n">
        <v>45866</v>
      </c>
      <c r="E120" s="182" t="inlineStr">
        <is>
          <t>CNP</t>
        </is>
      </c>
      <c r="F120" s="182" t="inlineStr">
        <is>
          <t>#2</t>
        </is>
      </c>
      <c r="G120" s="184" t="inlineStr">
        <is>
          <t>#2 Identification B</t>
        </is>
      </c>
      <c r="H120" s="187" t="inlineStr">
        <is>
          <t>credit removed</t>
        </is>
      </c>
      <c r="I120" s="186" t="inlineStr">
        <is>
          <t>R2 CNP identification B — no microscopy row on this certificate</t>
        </is>
      </c>
    </row>
    <row r="121">
      <c r="A121" s="181" t="inlineStr">
        <is>
          <t>OMP1024_01</t>
        </is>
      </c>
      <c r="B121" s="182" t="inlineStr">
        <is>
          <t>P050042</t>
        </is>
      </c>
      <c r="C121" s="182" t="inlineStr">
        <is>
          <t>ППК25117</t>
        </is>
      </c>
      <c r="D121" s="183" t="n">
        <v>45783</v>
      </c>
      <c r="E121" s="182" t="inlineStr">
        <is>
          <t>CNP</t>
        </is>
      </c>
      <c r="F121" s="182" t="inlineStr">
        <is>
          <t>#2</t>
        </is>
      </c>
      <c r="G121" s="184" t="inlineStr">
        <is>
          <t>#2 Identification B</t>
        </is>
      </c>
      <c r="H121" s="187" t="inlineStr">
        <is>
          <t>credit removed</t>
        </is>
      </c>
      <c r="I121" s="186" t="inlineStr">
        <is>
          <t>R2 CNP identification B — no microscopy row on this certificate</t>
        </is>
      </c>
    </row>
    <row r="122">
      <c r="A122" s="181" t="inlineStr">
        <is>
          <t>OPM052501</t>
        </is>
      </c>
      <c r="B122" s="182" t="inlineStr">
        <is>
          <t>P050132</t>
        </is>
      </c>
      <c r="C122" s="182" t="inlineStr">
        <is>
          <t>ППК25257</t>
        </is>
      </c>
      <c r="D122" s="183" t="n">
        <v>45905</v>
      </c>
      <c r="E122" s="182" t="inlineStr">
        <is>
          <t>CNP</t>
        </is>
      </c>
      <c r="F122" s="182" t="inlineStr">
        <is>
          <t>#2</t>
        </is>
      </c>
      <c r="G122" s="184" t="inlineStr">
        <is>
          <t>#2 Identification B</t>
        </is>
      </c>
      <c r="H122" s="187" t="inlineStr">
        <is>
          <t>credit removed</t>
        </is>
      </c>
      <c r="I122" s="186" t="inlineStr">
        <is>
          <t>R2 CNP identification B — no microscopy row on this certificate</t>
        </is>
      </c>
    </row>
    <row r="123">
      <c r="A123" s="181" t="inlineStr">
        <is>
          <t>OPM092501</t>
        </is>
      </c>
      <c r="B123" s="182" t="inlineStr">
        <is>
          <t>P060042</t>
        </is>
      </c>
      <c r="C123" s="182" t="inlineStr">
        <is>
          <t>ППК26008</t>
        </is>
      </c>
      <c r="D123" s="183" t="n">
        <v>46043</v>
      </c>
      <c r="E123" s="182" t="inlineStr">
        <is>
          <t>CNP</t>
        </is>
      </c>
      <c r="F123" s="182" t="inlineStr">
        <is>
          <t>#2</t>
        </is>
      </c>
      <c r="G123" s="184" t="inlineStr">
        <is>
          <t>#2 Identification B</t>
        </is>
      </c>
      <c r="H123" s="187" t="inlineStr">
        <is>
          <t>credit removed</t>
        </is>
      </c>
      <c r="I123" s="186" t="inlineStr">
        <is>
          <t>R2 CNP identification B — no microscopy row on this certificate</t>
        </is>
      </c>
    </row>
    <row r="124">
      <c r="A124" s="181" t="inlineStr">
        <is>
          <t>OPM1024_02</t>
        </is>
      </c>
      <c r="B124" s="182" t="inlineStr">
        <is>
          <t>P050062</t>
        </is>
      </c>
      <c r="C124" s="182" t="inlineStr">
        <is>
          <t>ППК25154</t>
        </is>
      </c>
      <c r="D124" s="183" t="n">
        <v>45832</v>
      </c>
      <c r="E124" s="182" t="inlineStr">
        <is>
          <t>CNP</t>
        </is>
      </c>
      <c r="F124" s="182" t="inlineStr">
        <is>
          <t>#2</t>
        </is>
      </c>
      <c r="G124" s="184" t="inlineStr">
        <is>
          <t>#2 Identification B</t>
        </is>
      </c>
      <c r="H124" s="187" t="inlineStr">
        <is>
          <t>credit removed</t>
        </is>
      </c>
      <c r="I124" s="186" t="inlineStr">
        <is>
          <t>R2 CNP identification B — no microscopy row on this certificate</t>
        </is>
      </c>
    </row>
    <row r="125">
      <c r="A125" s="181" t="inlineStr">
        <is>
          <t>OPM1024_03</t>
        </is>
      </c>
      <c r="B125" s="182" t="inlineStr">
        <is>
          <t>P050082</t>
        </is>
      </c>
      <c r="C125" s="182" t="inlineStr">
        <is>
          <t>ППК25210</t>
        </is>
      </c>
      <c r="D125" s="183" t="n">
        <v>45866</v>
      </c>
      <c r="E125" s="182" t="inlineStr">
        <is>
          <t>CNP</t>
        </is>
      </c>
      <c r="F125" s="182" t="inlineStr">
        <is>
          <t>#2</t>
        </is>
      </c>
      <c r="G125" s="184" t="inlineStr">
        <is>
          <t>#2 Identification B</t>
        </is>
      </c>
      <c r="H125" s="187" t="inlineStr">
        <is>
          <t>credit removed</t>
        </is>
      </c>
      <c r="I125" s="186" t="inlineStr">
        <is>
          <t>R2 CNP identification B — no microscopy row on this certificate</t>
        </is>
      </c>
    </row>
    <row r="126">
      <c r="A126" s="181" t="inlineStr">
        <is>
          <t>OPM112501</t>
        </is>
      </c>
      <c r="B126" s="182" t="inlineStr">
        <is>
          <t>P060222</t>
        </is>
      </c>
      <c r="C126" s="182" t="inlineStr">
        <is>
          <t>ППК26031</t>
        </is>
      </c>
      <c r="D126" s="183" t="n">
        <v>46086</v>
      </c>
      <c r="E126" s="182" t="inlineStr">
        <is>
          <t>CNP</t>
        </is>
      </c>
      <c r="F126" s="182" t="inlineStr">
        <is>
          <t>#2</t>
        </is>
      </c>
      <c r="G126" s="184" t="inlineStr">
        <is>
          <t>#2 Identification B</t>
        </is>
      </c>
      <c r="H126" s="187" t="inlineStr">
        <is>
          <t>credit removed</t>
        </is>
      </c>
      <c r="I126" s="186" t="inlineStr">
        <is>
          <t>R2 CNP identification B — no microscopy row on this certificate</t>
        </is>
      </c>
    </row>
    <row r="127">
      <c r="A127" s="181" t="inlineStr">
        <is>
          <t>PM072501</t>
        </is>
      </c>
      <c r="B127" s="182" t="inlineStr">
        <is>
          <t>P050272</t>
        </is>
      </c>
      <c r="C127" s="182" t="inlineStr">
        <is>
          <t>ППК25368</t>
        </is>
      </c>
      <c r="D127" s="183" t="n">
        <v>45989</v>
      </c>
      <c r="E127" s="182" t="inlineStr">
        <is>
          <t>CNP</t>
        </is>
      </c>
      <c r="F127" s="182" t="inlineStr">
        <is>
          <t>#2</t>
        </is>
      </c>
      <c r="G127" s="184" t="inlineStr">
        <is>
          <t>#2 Identification B</t>
        </is>
      </c>
      <c r="H127" s="187" t="inlineStr">
        <is>
          <t>credit removed</t>
        </is>
      </c>
      <c r="I127" s="186" t="inlineStr">
        <is>
          <t>R2 CNP identification B — no microscopy row on this certificate</t>
        </is>
      </c>
    </row>
    <row r="128">
      <c r="A128" s="181" t="inlineStr">
        <is>
          <t>PM092501</t>
        </is>
      </c>
      <c r="B128" s="182" t="inlineStr">
        <is>
          <t>P060062</t>
        </is>
      </c>
      <c r="C128" s="182" t="inlineStr">
        <is>
          <t>ППК26004</t>
        </is>
      </c>
      <c r="D128" s="183" t="n">
        <v>46043</v>
      </c>
      <c r="E128" s="182" t="inlineStr">
        <is>
          <t>CNP</t>
        </is>
      </c>
      <c r="F128" s="182" t="inlineStr">
        <is>
          <t>#2</t>
        </is>
      </c>
      <c r="G128" s="184" t="inlineStr">
        <is>
          <t>#2 Identification B</t>
        </is>
      </c>
      <c r="H128" s="187" t="inlineStr">
        <is>
          <t>credit removed</t>
        </is>
      </c>
      <c r="I128" s="186" t="inlineStr">
        <is>
          <t>R2 CNP identification B — no microscopy row on this certificate</t>
        </is>
      </c>
    </row>
    <row r="129">
      <c r="A129" s="181" t="inlineStr">
        <is>
          <t>PM112501</t>
        </is>
      </c>
      <c r="B129" s="182" t="inlineStr">
        <is>
          <t>P060232</t>
        </is>
      </c>
      <c r="C129" s="182" t="inlineStr">
        <is>
          <t>ППК26030</t>
        </is>
      </c>
      <c r="D129" s="183" t="n">
        <v>46086</v>
      </c>
      <c r="E129" s="182" t="inlineStr">
        <is>
          <t>CNP</t>
        </is>
      </c>
      <c r="F129" s="182" t="inlineStr">
        <is>
          <t>#2</t>
        </is>
      </c>
      <c r="G129" s="184" t="inlineStr">
        <is>
          <t>#2 Identification B</t>
        </is>
      </c>
      <c r="H129" s="187" t="inlineStr">
        <is>
          <t>credit removed</t>
        </is>
      </c>
      <c r="I129" s="186" t="inlineStr">
        <is>
          <t>R2 CNP identification B — no microscopy row on this certificate</t>
        </is>
      </c>
    </row>
    <row r="130">
      <c r="A130" s="181" t="inlineStr">
        <is>
          <t>SCR112501</t>
        </is>
      </c>
      <c r="B130" s="182" t="inlineStr">
        <is>
          <t>P060282</t>
        </is>
      </c>
      <c r="C130" s="182" t="inlineStr">
        <is>
          <t>ППК26069</t>
        </is>
      </c>
      <c r="D130" s="183" t="n">
        <v>46153</v>
      </c>
      <c r="E130" s="182" t="inlineStr">
        <is>
          <t>CNP</t>
        </is>
      </c>
      <c r="F130" s="182" t="inlineStr">
        <is>
          <t>#2</t>
        </is>
      </c>
      <c r="G130" s="184" t="inlineStr">
        <is>
          <t>#2 Identification B</t>
        </is>
      </c>
      <c r="H130" s="187" t="inlineStr">
        <is>
          <t>credit removed</t>
        </is>
      </c>
      <c r="I130" s="186" t="inlineStr">
        <is>
          <t>R2 CNP identification B — no microscopy row on this certificate</t>
        </is>
      </c>
    </row>
    <row r="131">
      <c r="A131" s="181" t="inlineStr">
        <is>
          <t>SJ0925021</t>
        </is>
      </c>
      <c r="B131" s="182" t="inlineStr">
        <is>
          <t>P060082</t>
        </is>
      </c>
      <c r="C131" s="182" t="inlineStr">
        <is>
          <t>ППК26006</t>
        </is>
      </c>
      <c r="D131" s="183" t="n">
        <v>46043</v>
      </c>
      <c r="E131" s="182" t="inlineStr">
        <is>
          <t>CNP</t>
        </is>
      </c>
      <c r="F131" s="182" t="inlineStr">
        <is>
          <t>#2</t>
        </is>
      </c>
      <c r="G131" s="184" t="inlineStr">
        <is>
          <t>#2 Identification B</t>
        </is>
      </c>
      <c r="H131" s="187" t="inlineStr">
        <is>
          <t>credit removed</t>
        </is>
      </c>
      <c r="I131" s="186" t="inlineStr">
        <is>
          <t>R2 CNP identification B — no microscopy row on this certificate</t>
        </is>
      </c>
    </row>
    <row r="132">
      <c r="A132" s="181" t="inlineStr">
        <is>
          <t>WC072501</t>
        </is>
      </c>
      <c r="B132" s="182" t="inlineStr">
        <is>
          <t>P050262</t>
        </is>
      </c>
      <c r="C132" s="182" t="inlineStr">
        <is>
          <t>ППК25369</t>
        </is>
      </c>
      <c r="D132" s="183" t="n">
        <v>45989</v>
      </c>
      <c r="E132" s="182" t="inlineStr">
        <is>
          <t>CNP</t>
        </is>
      </c>
      <c r="F132" s="182" t="inlineStr">
        <is>
          <t>#2</t>
        </is>
      </c>
      <c r="G132" s="184" t="inlineStr">
        <is>
          <t>#2 Identification B</t>
        </is>
      </c>
      <c r="H132" s="187" t="inlineStr">
        <is>
          <t>credit removed</t>
        </is>
      </c>
      <c r="I132" s="186" t="inlineStr">
        <is>
          <t>R2 CNP identification B — no microscopy row on this certificate</t>
        </is>
      </c>
    </row>
    <row r="133">
      <c r="A133" s="181" t="inlineStr">
        <is>
          <t>WC082501</t>
        </is>
      </c>
      <c r="B133" s="182" t="inlineStr">
        <is>
          <t>P060012</t>
        </is>
      </c>
      <c r="C133" s="182" t="inlineStr">
        <is>
          <t>ППК26001</t>
        </is>
      </c>
      <c r="D133" s="183" t="n">
        <v>46043</v>
      </c>
      <c r="E133" s="182" t="inlineStr">
        <is>
          <t>CNP</t>
        </is>
      </c>
      <c r="F133" s="182" t="inlineStr">
        <is>
          <t>#2</t>
        </is>
      </c>
      <c r="G133" s="184" t="inlineStr">
        <is>
          <t>#2 Identification B</t>
        </is>
      </c>
      <c r="H133" s="187" t="inlineStr">
        <is>
          <t>credit removed</t>
        </is>
      </c>
      <c r="I133" s="186" t="inlineStr">
        <is>
          <t>R2 CNP identification B — no microscopy row on this certificate</t>
        </is>
      </c>
    </row>
    <row r="135" ht="58" customHeight="1" s="70">
      <c r="A135" s="17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19" t="inlineStr">
        <is>
          <t>Task</t>
        </is>
      </c>
      <c r="B1" s="119" t="inlineStr">
        <is>
          <t>CU Batch</t>
        </is>
      </c>
      <c r="C1" s="119" t="inlineStr">
        <is>
          <t>P Batch</t>
        </is>
      </c>
      <c r="D1" s="119" t="inlineStr">
        <is>
          <t>Certificate</t>
        </is>
      </c>
      <c r="E1" s="119" t="inlineStr">
        <is>
          <t>Date</t>
        </is>
      </c>
      <c r="F1" s="119" t="inlineStr">
        <is>
          <t>Lab</t>
        </is>
      </c>
      <c r="G1" s="119" t="inlineStr">
        <is>
          <t>Parameters affected</t>
        </is>
      </c>
      <c r="H1" s="119" t="inlineStr">
        <is>
          <t>What is needed</t>
        </is>
      </c>
    </row>
    <row r="2">
      <c r="A2" s="187" t="inlineStr">
        <is>
          <t>held for review</t>
        </is>
      </c>
      <c r="B2" s="181" t="inlineStr">
        <is>
          <t>BSS052501</t>
        </is>
      </c>
      <c r="C2" s="182" t="inlineStr">
        <is>
          <t>P050192</t>
        </is>
      </c>
      <c r="D2" s="182" t="inlineStr">
        <is>
          <t>NGP-QCG-SOP-024 F3</t>
        </is>
      </c>
      <c r="E2" s="183" t="n">
        <v>45989</v>
      </c>
      <c r="F2" s="182" t="inlineStr">
        <is>
          <t>NGP</t>
        </is>
      </c>
      <c r="G2" s="182" t="inlineStr">
        <is>
          <t>#6</t>
        </is>
      </c>
      <c r="H2" s="186" t="inlineStr">
        <is>
          <t>The two independent reads disagreed. A person must read the figure from the page and confirm it.</t>
        </is>
      </c>
    </row>
    <row r="3">
      <c r="A3" s="187" t="inlineStr">
        <is>
          <t>held for review</t>
        </is>
      </c>
      <c r="B3" s="181" t="inlineStr">
        <is>
          <t>GP062501</t>
        </is>
      </c>
      <c r="C3" s="182" t="inlineStr">
        <is>
          <t>P050202</t>
        </is>
      </c>
      <c r="D3" s="182" t="inlineStr">
        <is>
          <t>NGP-QCG-SOP-024 F3</t>
        </is>
      </c>
      <c r="E3" s="183" t="n">
        <v>45989</v>
      </c>
      <c r="F3" s="182" t="inlineStr">
        <is>
          <t>NGP</t>
        </is>
      </c>
      <c r="G3" s="182" t="inlineStr">
        <is>
          <t>#6</t>
        </is>
      </c>
      <c r="H3" s="186" t="inlineStr">
        <is>
          <t>The two independent reads disagreed. A person must read the figure from the page and confirm it.</t>
        </is>
      </c>
    </row>
    <row r="4">
      <c r="A4" s="187" t="inlineStr">
        <is>
          <t>held for review</t>
        </is>
      </c>
      <c r="B4" s="181" t="inlineStr">
        <is>
          <t>J31112501</t>
        </is>
      </c>
      <c r="C4" s="182" t="inlineStr">
        <is>
          <t>P060202</t>
        </is>
      </c>
      <c r="D4" s="182" t="inlineStr">
        <is>
          <t>100-1-K-26</t>
        </is>
      </c>
      <c r="E4" s="183" t="n">
        <v>46121</v>
      </c>
      <c r="F4" s="182" t="inlineStr">
        <is>
          <t>FHM-K</t>
        </is>
      </c>
      <c r="G4" s="182" t="inlineStr">
        <is>
          <t>#3</t>
        </is>
      </c>
      <c r="H4" s="186" t="inlineStr">
        <is>
          <t>The two independent reads disagreed. A person must read the figure from the page and confirm it.</t>
        </is>
      </c>
    </row>
    <row r="5">
      <c r="A5" s="187" t="inlineStr">
        <is>
          <t>lot not on tracker</t>
        </is>
      </c>
      <c r="B5" s="181" t="inlineStr">
        <is>
          <t>P050142</t>
        </is>
      </c>
      <c r="C5" s="182" t="inlineStr">
        <is>
          <t>P050142</t>
        </is>
      </c>
      <c r="D5" s="182" t="inlineStr">
        <is>
          <t>559-1090-26</t>
        </is>
      </c>
      <c r="E5" s="183" t="n">
        <v>46266</v>
      </c>
      <c r="F5" s="182" t="inlineStr">
        <is>
          <t>IJZ-MB</t>
        </is>
      </c>
      <c r="G5" s="182" t="inlineStr">
        <is>
          <t>#9</t>
        </is>
      </c>
      <c r="H5" s="186" t="inlineStr">
        <is>
          <t>The certificate names a P batch the owner's tracker does not carry. Record the lot (cultivation batch code, strain) on the tracker so the certificate is credited under its batch.</t>
        </is>
      </c>
    </row>
    <row r="6">
      <c r="A6" s="187" t="inlineStr">
        <is>
          <t>lot not on tracker</t>
        </is>
      </c>
      <c r="B6" s="181" t="inlineStr">
        <is>
          <t>P060102</t>
        </is>
      </c>
      <c r="C6" s="182" t="inlineStr">
        <is>
          <t>P060102</t>
        </is>
      </c>
      <c r="D6" s="182" t="inlineStr">
        <is>
          <t>551-1082-26</t>
        </is>
      </c>
      <c r="E6" s="183" t="n">
        <v>46266</v>
      </c>
      <c r="F6" s="182" t="inlineStr">
        <is>
          <t>IJZ-MB</t>
        </is>
      </c>
      <c r="G6" s="182" t="inlineStr">
        <is>
          <t>#9</t>
        </is>
      </c>
      <c r="H6" s="186" t="inlineStr">
        <is>
          <t>The certificate names a P batch the owner's tracker does not carry. Record the lot (cultivation batch code, strain) on the tracker so the certificate is credited under its batch.</t>
        </is>
      </c>
    </row>
    <row r="7">
      <c r="A7" s="187" t="inlineStr">
        <is>
          <t>lot not on tracker</t>
        </is>
      </c>
      <c r="B7" s="181" t="inlineStr">
        <is>
          <t>P060342</t>
        </is>
      </c>
      <c r="C7" s="182" t="inlineStr">
        <is>
          <t>P060342</t>
        </is>
      </c>
      <c r="D7" s="182" t="inlineStr">
        <is>
          <t>539-1070-26</t>
        </is>
      </c>
      <c r="E7" s="183" t="n">
        <v>46265</v>
      </c>
      <c r="F7" s="182" t="inlineStr">
        <is>
          <t>IJZ-MB</t>
        </is>
      </c>
      <c r="G7" s="182" t="inlineStr">
        <is>
          <t>#9</t>
        </is>
      </c>
      <c r="H7" s="186" t="inlineStr">
        <is>
          <t>The certificate names a P batch the owner's tracker does not carry. Record the lot (cultivation batch code, strain) on the tracker so the certificate is credited under its batch.</t>
        </is>
      </c>
    </row>
    <row r="8">
      <c r="A8" s="187" t="inlineStr">
        <is>
          <t>non-conformance reported</t>
        </is>
      </c>
      <c r="B8" s="181" t="inlineStr">
        <is>
          <t>FB032601</t>
        </is>
      </c>
      <c r="C8" s="182" t="inlineStr">
        <is>
          <t>P060452</t>
        </is>
      </c>
      <c r="D8" s="182" t="inlineStr">
        <is>
          <t>ППК26127</t>
        </is>
      </c>
      <c r="E8" s="183" t="n">
        <v>46224</v>
      </c>
      <c r="F8" s="182" t="inlineStr">
        <is>
          <t>CNP</t>
        </is>
      </c>
      <c r="G8" s="182" t="inlineStr">
        <is>
          <t>#7</t>
        </is>
      </c>
      <c r="H8" s="186" t="inlineStr">
        <is>
          <t>The laboratory reports the result as not conforming (Не одговара). A deviation / OOS record is needed before this lot's CoQ can issue.</t>
        </is>
      </c>
    </row>
    <row r="9">
      <c r="A9" s="185" t="inlineStr">
        <is>
          <t>not ingested</t>
        </is>
      </c>
      <c r="B9" s="181" t="inlineStr">
        <is>
          <t>J31122501</t>
        </is>
      </c>
      <c r="C9" s="182" t="inlineStr">
        <is>
          <t>P060262</t>
        </is>
      </c>
      <c r="D9" s="182" t="inlineStr">
        <is>
          <t>1625-2026</t>
        </is>
      </c>
      <c r="E9" s="183" t="n">
        <v>46135</v>
      </c>
      <c r="F9" s="182" t="inlineStr">
        <is>
          <t>IJZ</t>
        </is>
      </c>
      <c r="G9" s="182" t="inlineStr">
        <is>
          <t>#11</t>
        </is>
      </c>
      <c r="H9" s="186" t="inlineStr">
        <is>
          <t>Re-extract the document into the eCoA database (two independent reads, 300 DPI). Until then the lot cannot reach a CoQ on these parameters.</t>
        </is>
      </c>
    </row>
    <row r="10">
      <c r="A10" s="185" t="inlineStr">
        <is>
          <t>not ingested</t>
        </is>
      </c>
      <c r="B10" s="181" t="inlineStr">
        <is>
          <t>J31122501</t>
        </is>
      </c>
      <c r="C10" s="182" t="inlineStr">
        <is>
          <t>P060262</t>
        </is>
      </c>
      <c r="D10" s="182" t="inlineStr">
        <is>
          <t>100-3-K-26</t>
        </is>
      </c>
      <c r="E10" s="183" t="n">
        <v>46121</v>
      </c>
      <c r="F10" s="182" t="inlineStr">
        <is>
          <t>FHM-K</t>
        </is>
      </c>
      <c r="G10" s="182" t="inlineStr">
        <is>
          <t>#3</t>
        </is>
      </c>
      <c r="H10" s="186" t="inlineStr">
        <is>
          <t>Re-extract the document into the eCoA database (two independent reads, 300 DPI). Until then the lot cannot reach a CoQ on these parameters.</t>
        </is>
      </c>
    </row>
    <row r="11">
      <c r="A11" s="185" t="inlineStr">
        <is>
          <t>not ingested</t>
        </is>
      </c>
      <c r="B11" s="181" t="inlineStr">
        <is>
          <t>MB0824_04</t>
        </is>
      </c>
      <c r="C11" s="182" t="inlineStr">
        <is>
          <t>P050032</t>
        </is>
      </c>
      <c r="D11" s="182" t="inlineStr">
        <is>
          <t>ППК25118</t>
        </is>
      </c>
      <c r="E11" s="183" t="n">
        <v>45783</v>
      </c>
      <c r="F11" s="182" t="inlineStr">
        <is>
          <t>CNP</t>
        </is>
      </c>
      <c r="G11" s="182" t="inlineStr">
        <is>
          <t>#6</t>
        </is>
      </c>
      <c r="H11" s="186" t="inlineStr">
        <is>
          <t>Re-extract the document into the eCoA database (two independent reads, 300 DPI). Until then the lot cannot reach a CoQ on these parameters.</t>
        </is>
      </c>
    </row>
    <row r="12">
      <c r="A12" s="185" t="inlineStr">
        <is>
          <t>not ingested</t>
        </is>
      </c>
      <c r="B12" s="181" t="inlineStr">
        <is>
          <t>OPM052501</t>
        </is>
      </c>
      <c r="C12" s="182" t="inlineStr">
        <is>
          <t>P050132</t>
        </is>
      </c>
      <c r="D12" s="182" t="inlineStr">
        <is>
          <t>ППК25257</t>
        </is>
      </c>
      <c r="E12" s="183" t="n">
        <v>45905</v>
      </c>
      <c r="F12" s="182" t="inlineStr">
        <is>
          <t>CNP</t>
        </is>
      </c>
      <c r="G12" s="182" t="inlineStr">
        <is>
          <t>#6</t>
        </is>
      </c>
      <c r="H12" s="186" t="inlineStr">
        <is>
          <t>Re-extract the document into the eCoA database (two independent reads, 300 DPI). Until then the lot cannot reach a CoQ on these parameters.</t>
        </is>
      </c>
    </row>
    <row r="13">
      <c r="A13" s="185" t="inlineStr">
        <is>
          <t>not ingested</t>
        </is>
      </c>
      <c r="B13" s="181" t="inlineStr">
        <is>
          <t>OPM112501</t>
        </is>
      </c>
      <c r="C13" s="182" t="inlineStr">
        <is>
          <t>P060222</t>
        </is>
      </c>
      <c r="D13" s="182" t="inlineStr">
        <is>
          <t>ППК26031</t>
        </is>
      </c>
      <c r="E13" s="183" t="n">
        <v>46086</v>
      </c>
      <c r="F13" s="182" t="inlineStr">
        <is>
          <t>CNP</t>
        </is>
      </c>
      <c r="G13" s="182" t="inlineStr">
        <is>
          <t>#6</t>
        </is>
      </c>
      <c r="H13" s="186" t="inlineStr">
        <is>
          <t>Re-extract the document into the eCoA database (two independent reads, 300 DPI). Until then the lot cannot reach a CoQ on these parameters.</t>
        </is>
      </c>
    </row>
    <row r="14">
      <c r="A14" s="185" t="inlineStr">
        <is>
          <t>not ingested</t>
        </is>
      </c>
      <c r="B14" s="181" t="inlineStr">
        <is>
          <t>PM072501</t>
        </is>
      </c>
      <c r="C14" s="182" t="inlineStr">
        <is>
          <t>P050272</t>
        </is>
      </c>
      <c r="D14" s="182" t="inlineStr">
        <is>
          <t>ППК25368</t>
        </is>
      </c>
      <c r="E14" s="183" t="n">
        <v>45989</v>
      </c>
      <c r="F14" s="182" t="inlineStr">
        <is>
          <t>CNP</t>
        </is>
      </c>
      <c r="G14" s="182" t="inlineStr">
        <is>
          <t>#6</t>
        </is>
      </c>
      <c r="H14" s="186"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W317"/>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2" customWidth="1" style="70" min="3" max="3"/>
    <col width="22" customWidth="1" style="70" min="4" max="4"/>
    <col width="30" customWidth="1" style="70" min="5" max="5"/>
    <col width="12" customWidth="1" style="70" min="6" max="6"/>
    <col width="24" customWidth="1" style="70" min="7" max="7"/>
    <col width="14" customWidth="1" style="70" min="8" max="8"/>
    <col width="22" customWidth="1" style="70" min="9" max="9"/>
    <col width="20" customWidth="1" style="70" min="10" max="10"/>
    <col width="24" customWidth="1" style="70" min="11" max="11"/>
    <col width="28" customWidth="1" style="70" min="12" max="12"/>
    <col width="18" customWidth="1" style="70" min="13" max="13"/>
    <col width="30" customWidth="1" style="70" min="14" max="14"/>
    <col width="34" customWidth="1" style="70" min="15" max="15"/>
    <col width="14" customWidth="1" style="70" min="16" max="16"/>
    <col width="14" customWidth="1" style="70" min="17" max="17"/>
    <col width="16" customWidth="1" style="70" min="18" max="18"/>
    <col width="34" customWidth="1" style="70" min="19" max="19"/>
    <col width="34" customWidth="1" style="70" min="20" max="20"/>
    <col width="34" customWidth="1" style="70" min="21" max="21"/>
    <col width="30" customWidth="1" style="70" min="22" max="22"/>
    <col width="44" customWidth="1" style="70" min="23" max="23"/>
  </cols>
  <sheetData>
    <row r="1" ht="22" customHeight="1" s="70">
      <c r="A1" s="119" t="inlineStr">
        <is>
          <t>Seq</t>
        </is>
      </c>
      <c r="B1" s="119" t="inlineStr">
        <is>
          <t>Series</t>
        </is>
      </c>
      <c r="C1" s="119" t="inlineStr">
        <is>
          <t>iCoA</t>
        </is>
      </c>
      <c r="D1" s="119" t="inlineStr">
        <is>
          <t>Plan reference (31.08.2026)</t>
        </is>
      </c>
      <c r="E1" s="119" t="inlineStr">
        <is>
          <t>CoQ</t>
        </is>
      </c>
      <c r="F1" s="119" t="inlineStr">
        <is>
          <t>Basis date</t>
        </is>
      </c>
      <c r="G1" s="119" t="inlineStr">
        <is>
          <t>Issue date (preliminary)</t>
        </is>
      </c>
      <c r="H1" s="119" t="inlineStr">
        <is>
          <t>CU Batch</t>
        </is>
      </c>
      <c r="I1" s="119" t="inlineStr">
        <is>
          <t>P Batch</t>
        </is>
      </c>
      <c r="J1" s="119" t="inlineStr">
        <is>
          <t>Strain</t>
        </is>
      </c>
      <c r="K1" s="119" t="inlineStr">
        <is>
          <t>Harvest</t>
        </is>
      </c>
      <c r="L1" s="119" t="inlineStr">
        <is>
          <t>Packaging</t>
        </is>
      </c>
      <c r="M1" s="119" t="inlineStr">
        <is>
          <t>Packaging complete</t>
        </is>
      </c>
      <c r="N1" s="119" t="inlineStr">
        <is>
          <t>iCoA scope</t>
        </is>
      </c>
      <c r="O1" s="119" t="inlineStr">
        <is>
          <t>Master</t>
        </is>
      </c>
      <c r="P1" s="119" t="inlineStr">
        <is>
          <t>#1 Ident. A</t>
        </is>
      </c>
      <c r="Q1" s="119" t="inlineStr">
        <is>
          <t>#2 Ident. B</t>
        </is>
      </c>
      <c r="R1" s="119" t="inlineStr">
        <is>
          <t>#7 Foreign matter</t>
        </is>
      </c>
      <c r="S1" s="119" t="inlineStr">
        <is>
          <t>Ident C — covered by (eCoA)</t>
        </is>
      </c>
      <c r="T1" s="119" t="inlineStr">
        <is>
          <t>Retest assay #4–#6 (eCoA)</t>
        </is>
      </c>
      <c r="U1" s="119" t="inlineStr">
        <is>
          <t>Retest mycotoxins #10 (eCoA)</t>
        </is>
      </c>
      <c r="V1" s="119" t="inlineStr">
        <is>
          <t>Carried forward</t>
        </is>
      </c>
      <c r="W1" s="119" t="inlineStr">
        <is>
          <t>Status</t>
        </is>
      </c>
    </row>
    <row r="2">
      <c r="A2" s="182" t="n">
        <v>1</v>
      </c>
      <c r="B2" s="182" t="inlineStr">
        <is>
          <t>initial release</t>
        </is>
      </c>
      <c r="C2" s="181">
        <f>IFERROR(INDEX('iCoA Register'!$B:$B,MATCH("CJ1024|AB|I",'iCoA Register'!$R:$R,0)),"— at issue —")</f>
        <v/>
      </c>
      <c r="D2" s="182" t="inlineStr"/>
      <c r="E2" s="182" t="inlineStr">
        <is>
          <t>(assigned on issue)</t>
        </is>
      </c>
      <c r="F2" s="182" t="inlineStr">
        <is>
          <t>27.02.2025</t>
        </is>
      </c>
      <c r="G2" s="183">
        <f>IFERROR(INDEX('iCoA Register'!$D:$D,MATCH("CJ1024|AB|I",'iCoA Register'!$R:$R,0)),"")</f>
        <v/>
      </c>
      <c r="H2" s="181" t="inlineStr">
        <is>
          <t>CJ1024</t>
        </is>
      </c>
      <c r="I2" s="182" t="inlineStr">
        <is>
          <t>N/A — no P batch assigned</t>
        </is>
      </c>
      <c r="J2" s="182" t="inlineStr">
        <is>
          <t>Cap Junky</t>
        </is>
      </c>
      <c r="K2" s="182" t="inlineStr">
        <is>
          <t>20.01.2025</t>
        </is>
      </c>
      <c r="L2" s="182" t="inlineStr">
        <is>
          <t>03.03.2025 (the issuance plan's basis: 27.02.2025)</t>
        </is>
      </c>
      <c r="M2" s="182" t="inlineStr">
        <is>
          <t>03.03.2025</t>
        </is>
      </c>
      <c r="N2" s="182" t="inlineStr">
        <is>
          <t>Ident A + Ident B</t>
        </is>
      </c>
      <c r="O2" s="182" t="inlineStr">
        <is>
          <t>iCoA_P01-02 · Appearance &amp; Identification A/B</t>
        </is>
      </c>
      <c r="P2" s="182" t="inlineStr">
        <is>
          <t>Conforms</t>
        </is>
      </c>
      <c r="Q2" s="182" t="inlineStr">
        <is>
          <t>Conforms</t>
        </is>
      </c>
      <c r="R2" s="182" t="inlineStr">
        <is>
          <t>n/a</t>
        </is>
      </c>
      <c r="S2" s="182" t="inlineStr">
        <is>
          <t>ППК25052, (26.02.2025) [CNP]</t>
        </is>
      </c>
      <c r="T2" s="182" t="inlineStr"/>
      <c r="U2" s="182" t="inlineStr"/>
      <c r="V2" s="182" t="inlineStr"/>
      <c r="W2" s="188" t="inlineStr">
        <is>
          <t>registered — preliminary date, QC sets the real date at issue</t>
        </is>
      </c>
    </row>
    <row r="3">
      <c r="A3" s="182" t="n">
        <v>2</v>
      </c>
      <c r="B3" s="182" t="inlineStr">
        <is>
          <t>initial release</t>
        </is>
      </c>
      <c r="C3" s="181">
        <f>IFERROR(INDEX('iCoA Register'!$B:$B,MATCH("CJ1024|FM|I",'iCoA Register'!$R:$R,0)),"— at issue —")</f>
        <v/>
      </c>
      <c r="D3" s="182" t="inlineStr"/>
      <c r="E3" s="182" t="inlineStr">
        <is>
          <t>(assigned on issue)</t>
        </is>
      </c>
      <c r="F3" s="182" t="inlineStr">
        <is>
          <t>27.02.2025</t>
        </is>
      </c>
      <c r="G3" s="183">
        <f>IFERROR(INDEX('iCoA Register'!$D:$D,MATCH("CJ1024|FM|I",'iCoA Register'!$R:$R,0)),"")</f>
        <v/>
      </c>
      <c r="H3" s="181" t="inlineStr">
        <is>
          <t>CJ1024</t>
        </is>
      </c>
      <c r="I3" s="182" t="inlineStr">
        <is>
          <t>N/A — no P batch assigned</t>
        </is>
      </c>
      <c r="J3" s="182" t="inlineStr">
        <is>
          <t>Cap Junky</t>
        </is>
      </c>
      <c r="K3" s="182" t="inlineStr">
        <is>
          <t>20.01.2025</t>
        </is>
      </c>
      <c r="L3" s="182" t="inlineStr">
        <is>
          <t>03.03.2025 (the issuance plan's basis: 27.02.2025)</t>
        </is>
      </c>
      <c r="M3" s="182" t="inlineStr">
        <is>
          <t>03.03.2025</t>
        </is>
      </c>
      <c r="N3" s="182" t="inlineStr">
        <is>
          <t>Foreign matter</t>
        </is>
      </c>
      <c r="O3" s="182" t="inlineStr">
        <is>
          <t>iCoA_P07 · Foreign matter</t>
        </is>
      </c>
      <c r="P3" s="182" t="inlineStr">
        <is>
          <t>n/a</t>
        </is>
      </c>
      <c r="Q3" s="182" t="inlineStr">
        <is>
          <t>n/a</t>
        </is>
      </c>
      <c r="R3" s="182" t="inlineStr">
        <is>
          <t>Conforms</t>
        </is>
      </c>
      <c r="S3" s="182" t="inlineStr">
        <is>
          <t>ППК25052, (26.02.2025) [CNP]</t>
        </is>
      </c>
      <c r="T3" s="182" t="inlineStr"/>
      <c r="U3" s="182" t="inlineStr"/>
      <c r="V3" s="182" t="inlineStr"/>
      <c r="W3" s="188" t="inlineStr">
        <is>
          <t>registered — preliminary date, QC sets the real date at issue</t>
        </is>
      </c>
    </row>
    <row r="4">
      <c r="A4" s="182" t="n">
        <v>3</v>
      </c>
      <c r="B4" s="182" t="inlineStr">
        <is>
          <t>initial release</t>
        </is>
      </c>
      <c r="C4" s="181">
        <f>IFERROR(INDEX('iCoA Register'!$B:$B,MATCH("BSS1024|AB|I",'iCoA Register'!$R:$R,0)),"— at issue —")</f>
        <v/>
      </c>
      <c r="D4" s="182" t="inlineStr">
        <is>
          <t>iCoA-PP-2025-0001</t>
        </is>
      </c>
      <c r="E4" s="182" t="inlineStr">
        <is>
          <t>CoQ-PP-2025-0001</t>
        </is>
      </c>
      <c r="F4" s="182" t="inlineStr">
        <is>
          <t>04.03.2025</t>
        </is>
      </c>
      <c r="G4" s="183">
        <f>IFERROR(INDEX('iCoA Register'!$D:$D,MATCH("BSS1024|AB|I",'iCoA Register'!$R:$R,0)),"")</f>
        <v/>
      </c>
      <c r="H4" s="181" t="inlineStr">
        <is>
          <t>BSS1024</t>
        </is>
      </c>
      <c r="I4" s="182" t="inlineStr">
        <is>
          <t>N/A — no P batch assigned</t>
        </is>
      </c>
      <c r="J4" s="182" t="inlineStr">
        <is>
          <t>Blue Sunset Sherbet</t>
        </is>
      </c>
      <c r="K4" s="182" t="inlineStr">
        <is>
          <t>22.01.2025</t>
        </is>
      </c>
      <c r="L4" s="182" t="inlineStr">
        <is>
          <t>04.03.2025</t>
        </is>
      </c>
      <c r="M4" s="182" t="inlineStr">
        <is>
          <t>04.03.2025</t>
        </is>
      </c>
      <c r="N4" s="182" t="inlineStr">
        <is>
          <t>Ident A + Ident B</t>
        </is>
      </c>
      <c r="O4" s="182" t="inlineStr">
        <is>
          <t>iCoA_P01-02 · Appearance &amp; Identification A/B</t>
        </is>
      </c>
      <c r="P4" s="182" t="inlineStr">
        <is>
          <t>Conforms</t>
        </is>
      </c>
      <c r="Q4" s="182" t="inlineStr">
        <is>
          <t>Conforms</t>
        </is>
      </c>
      <c r="R4" s="182" t="inlineStr">
        <is>
          <t>n/a</t>
        </is>
      </c>
      <c r="S4" s="182" t="inlineStr">
        <is>
          <t>ППК25051, (26.02.2025) [CNP]</t>
        </is>
      </c>
      <c r="T4" s="182" t="inlineStr"/>
      <c r="U4" s="182" t="inlineStr"/>
      <c r="V4" s="182" t="inlineStr"/>
      <c r="W4" s="188" t="inlineStr">
        <is>
          <t>registered — preliminary date, QC sets the real date at issue</t>
        </is>
      </c>
    </row>
    <row r="5">
      <c r="A5" s="182" t="n">
        <v>4</v>
      </c>
      <c r="B5" s="182" t="inlineStr">
        <is>
          <t>initial release</t>
        </is>
      </c>
      <c r="C5" s="181">
        <f>IFERROR(INDEX('iCoA Register'!$B:$B,MATCH("BSS1024|FM|I",'iCoA Register'!$R:$R,0)),"— at issue —")</f>
        <v/>
      </c>
      <c r="D5" s="182" t="inlineStr">
        <is>
          <t>iCoA-PP-2025-0001</t>
        </is>
      </c>
      <c r="E5" s="182" t="inlineStr">
        <is>
          <t>CoQ-PP-2025-0001</t>
        </is>
      </c>
      <c r="F5" s="182" t="inlineStr">
        <is>
          <t>04.03.2025</t>
        </is>
      </c>
      <c r="G5" s="183">
        <f>IFERROR(INDEX('iCoA Register'!$D:$D,MATCH("BSS1024|FM|I",'iCoA Register'!$R:$R,0)),"")</f>
        <v/>
      </c>
      <c r="H5" s="181" t="inlineStr">
        <is>
          <t>BSS1024</t>
        </is>
      </c>
      <c r="I5" s="182" t="inlineStr">
        <is>
          <t>N/A — no P batch assigned</t>
        </is>
      </c>
      <c r="J5" s="182" t="inlineStr">
        <is>
          <t>Blue Sunset Sherbet</t>
        </is>
      </c>
      <c r="K5" s="182" t="inlineStr">
        <is>
          <t>22.01.2025</t>
        </is>
      </c>
      <c r="L5" s="182" t="inlineStr">
        <is>
          <t>04.03.2025</t>
        </is>
      </c>
      <c r="M5" s="182" t="inlineStr">
        <is>
          <t>04.03.2025</t>
        </is>
      </c>
      <c r="N5" s="182" t="inlineStr">
        <is>
          <t>Foreign matter</t>
        </is>
      </c>
      <c r="O5" s="182" t="inlineStr">
        <is>
          <t>iCoA_P07 · Foreign matter</t>
        </is>
      </c>
      <c r="P5" s="182" t="inlineStr">
        <is>
          <t>n/a</t>
        </is>
      </c>
      <c r="Q5" s="182" t="inlineStr">
        <is>
          <t>n/a</t>
        </is>
      </c>
      <c r="R5" s="182" t="inlineStr">
        <is>
          <t>Conforms</t>
        </is>
      </c>
      <c r="S5" s="182" t="inlineStr">
        <is>
          <t>ППК25051, (26.02.2025) [CNP]</t>
        </is>
      </c>
      <c r="T5" s="182" t="inlineStr"/>
      <c r="U5" s="182" t="inlineStr"/>
      <c r="V5" s="182" t="inlineStr"/>
      <c r="W5" s="188" t="inlineStr">
        <is>
          <t>registered — preliminary date, QC sets the real date at issue</t>
        </is>
      </c>
    </row>
    <row r="6">
      <c r="A6" s="182" t="n">
        <v>5</v>
      </c>
      <c r="B6" s="182" t="inlineStr">
        <is>
          <t>initial release</t>
        </is>
      </c>
      <c r="C6" s="181">
        <f>IFERROR(INDEX('iCoA Register'!$B:$B,MATCH("BG1024|AB|I",'iCoA Register'!$R:$R,0)),"— at issue —")</f>
        <v/>
      </c>
      <c r="D6" s="182" t="inlineStr">
        <is>
          <t>iCoA-PP-2025-0002</t>
        </is>
      </c>
      <c r="E6" s="182" t="inlineStr">
        <is>
          <t>CoQ-PP-2025-0002</t>
        </is>
      </c>
      <c r="F6" s="182" t="inlineStr">
        <is>
          <t>07.03.2025</t>
        </is>
      </c>
      <c r="G6" s="183">
        <f>IFERROR(INDEX('iCoA Register'!$D:$D,MATCH("BG1024|AB|I",'iCoA Register'!$R:$R,0)),"")</f>
        <v/>
      </c>
      <c r="H6" s="181" t="inlineStr">
        <is>
          <t>BG1024</t>
        </is>
      </c>
      <c r="I6" s="182" t="inlineStr">
        <is>
          <t>N/A — no P batch assigned</t>
        </is>
      </c>
      <c r="J6" s="182" t="inlineStr">
        <is>
          <t>Blue Gelato</t>
        </is>
      </c>
      <c r="K6" s="182" t="inlineStr">
        <is>
          <t>21.01.2025</t>
        </is>
      </c>
      <c r="L6" s="182" t="inlineStr">
        <is>
          <t>07.03.2025</t>
        </is>
      </c>
      <c r="M6" s="182" t="inlineStr">
        <is>
          <t>07.03.2025</t>
        </is>
      </c>
      <c r="N6" s="182" t="inlineStr">
        <is>
          <t>Ident A + Ident B</t>
        </is>
      </c>
      <c r="O6" s="182" t="inlineStr">
        <is>
          <t>iCoA_P01-02 · Appearance &amp; Identification A/B</t>
        </is>
      </c>
      <c r="P6" s="182" t="inlineStr">
        <is>
          <t>Conforms</t>
        </is>
      </c>
      <c r="Q6" s="182" t="inlineStr">
        <is>
          <t>Conforms</t>
        </is>
      </c>
      <c r="R6" s="182" t="inlineStr">
        <is>
          <t>n/a</t>
        </is>
      </c>
      <c r="S6" s="182" t="inlineStr">
        <is>
          <t>ППК25050, (26.02.2025) [CNP]</t>
        </is>
      </c>
      <c r="T6" s="182" t="inlineStr"/>
      <c r="U6" s="182" t="inlineStr"/>
      <c r="V6" s="182" t="inlineStr"/>
      <c r="W6" s="188" t="inlineStr">
        <is>
          <t>registered — preliminary date, QC sets the real date at issue</t>
        </is>
      </c>
    </row>
    <row r="7">
      <c r="A7" s="182" t="n">
        <v>6</v>
      </c>
      <c r="B7" s="182" t="inlineStr">
        <is>
          <t>initial release</t>
        </is>
      </c>
      <c r="C7" s="181">
        <f>IFERROR(INDEX('iCoA Register'!$B:$B,MATCH("BG1024|FM|I",'iCoA Register'!$R:$R,0)),"— at issue —")</f>
        <v/>
      </c>
      <c r="D7" s="182" t="inlineStr">
        <is>
          <t>iCoA-PP-2025-0002</t>
        </is>
      </c>
      <c r="E7" s="182" t="inlineStr">
        <is>
          <t>CoQ-PP-2025-0002</t>
        </is>
      </c>
      <c r="F7" s="182" t="inlineStr">
        <is>
          <t>07.03.2025</t>
        </is>
      </c>
      <c r="G7" s="183">
        <f>IFERROR(INDEX('iCoA Register'!$D:$D,MATCH("BG1024|FM|I",'iCoA Register'!$R:$R,0)),"")</f>
        <v/>
      </c>
      <c r="H7" s="181" t="inlineStr">
        <is>
          <t>BG1024</t>
        </is>
      </c>
      <c r="I7" s="182" t="inlineStr">
        <is>
          <t>N/A — no P batch assigned</t>
        </is>
      </c>
      <c r="J7" s="182" t="inlineStr">
        <is>
          <t>Blue Gelato</t>
        </is>
      </c>
      <c r="K7" s="182" t="inlineStr">
        <is>
          <t>21.01.2025</t>
        </is>
      </c>
      <c r="L7" s="182" t="inlineStr">
        <is>
          <t>07.03.2025</t>
        </is>
      </c>
      <c r="M7" s="182" t="inlineStr">
        <is>
          <t>07.03.2025</t>
        </is>
      </c>
      <c r="N7" s="182" t="inlineStr">
        <is>
          <t>Foreign matter</t>
        </is>
      </c>
      <c r="O7" s="182" t="inlineStr">
        <is>
          <t>iCoA_P07 · Foreign matter</t>
        </is>
      </c>
      <c r="P7" s="182" t="inlineStr">
        <is>
          <t>n/a</t>
        </is>
      </c>
      <c r="Q7" s="182" t="inlineStr">
        <is>
          <t>n/a</t>
        </is>
      </c>
      <c r="R7" s="182" t="inlineStr">
        <is>
          <t>Conforms</t>
        </is>
      </c>
      <c r="S7" s="182" t="inlineStr">
        <is>
          <t>ППК25050, (26.02.2025) [CNP]</t>
        </is>
      </c>
      <c r="T7" s="182" t="inlineStr"/>
      <c r="U7" s="182" t="inlineStr"/>
      <c r="V7" s="182" t="inlineStr"/>
      <c r="W7" s="188" t="inlineStr">
        <is>
          <t>registered — preliminary date, QC sets the real date at issue</t>
        </is>
      </c>
    </row>
    <row r="8">
      <c r="A8" s="182" t="n">
        <v>7</v>
      </c>
      <c r="B8" s="182" t="inlineStr">
        <is>
          <t>initial release</t>
        </is>
      </c>
      <c r="C8" s="181">
        <f>IFERROR(INDEX('iCoA Register'!$B:$B,MATCH("GG1024|AB|I",'iCoA Register'!$R:$R,0)),"— at issue —")</f>
        <v/>
      </c>
      <c r="D8" s="182" t="inlineStr">
        <is>
          <t>iCoA-PP-2025-0003</t>
        </is>
      </c>
      <c r="E8" s="182" t="inlineStr">
        <is>
          <t>CoQ-PP-2025-0003</t>
        </is>
      </c>
      <c r="F8" s="182" t="inlineStr">
        <is>
          <t>11.03.2025</t>
        </is>
      </c>
      <c r="G8" s="183">
        <f>IFERROR(INDEX('iCoA Register'!$D:$D,MATCH("GG1024|AB|I",'iCoA Register'!$R:$R,0)),"")</f>
        <v/>
      </c>
      <c r="H8" s="181" t="inlineStr">
        <is>
          <t>GG1024</t>
        </is>
      </c>
      <c r="I8" s="182" t="inlineStr">
        <is>
          <t>N/A — no P batch assigned</t>
        </is>
      </c>
      <c r="J8" s="182" t="inlineStr">
        <is>
          <t>Gorilla Glue</t>
        </is>
      </c>
      <c r="K8" s="182" t="inlineStr">
        <is>
          <t>20.01.2025</t>
        </is>
      </c>
      <c r="L8" s="182" t="inlineStr">
        <is>
          <t>11.03.2025</t>
        </is>
      </c>
      <c r="M8" s="182" t="inlineStr">
        <is>
          <t>11.03.2025</t>
        </is>
      </c>
      <c r="N8" s="182" t="inlineStr">
        <is>
          <t>Ident A + Ident B</t>
        </is>
      </c>
      <c r="O8" s="182" t="inlineStr">
        <is>
          <t>iCoA_P01-02 · Appearance &amp; Identification A/B</t>
        </is>
      </c>
      <c r="P8" s="182" t="inlineStr">
        <is>
          <t>Conforms</t>
        </is>
      </c>
      <c r="Q8" s="182" t="inlineStr">
        <is>
          <t>Conforms</t>
        </is>
      </c>
      <c r="R8" s="182" t="inlineStr">
        <is>
          <t>n/a</t>
        </is>
      </c>
      <c r="S8" s="189" t="inlineStr">
        <is>
          <t>— no cannabinoid certificate —</t>
        </is>
      </c>
      <c r="T8" s="182" t="inlineStr"/>
      <c r="U8" s="182" t="inlineStr"/>
      <c r="V8" s="182" t="inlineStr"/>
      <c r="W8" s="188" t="inlineStr">
        <is>
          <t>registered — preliminary date, QC sets the real date at issue</t>
        </is>
      </c>
    </row>
    <row r="9">
      <c r="A9" s="182" t="n">
        <v>8</v>
      </c>
      <c r="B9" s="182" t="inlineStr">
        <is>
          <t>initial release</t>
        </is>
      </c>
      <c r="C9" s="181">
        <f>IFERROR(INDEX('iCoA Register'!$B:$B,MATCH("GG1024|FM|I",'iCoA Register'!$R:$R,0)),"— at issue —")</f>
        <v/>
      </c>
      <c r="D9" s="182" t="inlineStr">
        <is>
          <t>iCoA-PP-2025-0003</t>
        </is>
      </c>
      <c r="E9" s="182" t="inlineStr">
        <is>
          <t>CoQ-PP-2025-0003</t>
        </is>
      </c>
      <c r="F9" s="182" t="inlineStr">
        <is>
          <t>11.03.2025</t>
        </is>
      </c>
      <c r="G9" s="183">
        <f>IFERROR(INDEX('iCoA Register'!$D:$D,MATCH("GG1024|FM|I",'iCoA Register'!$R:$R,0)),"")</f>
        <v/>
      </c>
      <c r="H9" s="181" t="inlineStr">
        <is>
          <t>GG1024</t>
        </is>
      </c>
      <c r="I9" s="182" t="inlineStr">
        <is>
          <t>N/A — no P batch assigned</t>
        </is>
      </c>
      <c r="J9" s="182" t="inlineStr">
        <is>
          <t>Gorilla Glue</t>
        </is>
      </c>
      <c r="K9" s="182" t="inlineStr">
        <is>
          <t>20.01.2025</t>
        </is>
      </c>
      <c r="L9" s="182" t="inlineStr">
        <is>
          <t>11.03.2025</t>
        </is>
      </c>
      <c r="M9" s="182" t="inlineStr">
        <is>
          <t>11.03.2025</t>
        </is>
      </c>
      <c r="N9" s="182" t="inlineStr">
        <is>
          <t>Foreign matter</t>
        </is>
      </c>
      <c r="O9" s="182" t="inlineStr">
        <is>
          <t>iCoA_P07 · Foreign matter</t>
        </is>
      </c>
      <c r="P9" s="182" t="inlineStr">
        <is>
          <t>n/a</t>
        </is>
      </c>
      <c r="Q9" s="182" t="inlineStr">
        <is>
          <t>n/a</t>
        </is>
      </c>
      <c r="R9" s="182" t="inlineStr">
        <is>
          <t>Confirms</t>
        </is>
      </c>
      <c r="S9" s="189" t="inlineStr">
        <is>
          <t>— no cannabinoid certificate —</t>
        </is>
      </c>
      <c r="T9" s="182" t="inlineStr"/>
      <c r="U9" s="182" t="inlineStr"/>
      <c r="V9" s="182" t="inlineStr"/>
      <c r="W9" s="188" t="inlineStr">
        <is>
          <t>registered — preliminary date, QC sets the real date at issue</t>
        </is>
      </c>
    </row>
    <row r="10">
      <c r="A10" s="182" t="n">
        <v>9</v>
      </c>
      <c r="B10" s="182" t="inlineStr">
        <is>
          <t>initial release</t>
        </is>
      </c>
      <c r="C10" s="181">
        <f>IFERROR(INDEX('iCoA Register'!$B:$B,MATCH("HPA1024|AB|I",'iCoA Register'!$R:$R,0)),"— at issue —")</f>
        <v/>
      </c>
      <c r="D10" s="182" t="inlineStr">
        <is>
          <t>iCoA-PP-2025-0004</t>
        </is>
      </c>
      <c r="E10" s="182" t="inlineStr">
        <is>
          <t>CoQ-PP-2025-0004</t>
        </is>
      </c>
      <c r="F10" s="182" t="inlineStr">
        <is>
          <t>11.04.2025</t>
        </is>
      </c>
      <c r="G10" s="183">
        <f>IFERROR(INDEX('iCoA Register'!$D:$D,MATCH("HPA1024|AB|I",'iCoA Register'!$R:$R,0)),"")</f>
        <v/>
      </c>
      <c r="H10" s="181" t="inlineStr">
        <is>
          <t>HPA1024</t>
        </is>
      </c>
      <c r="I10" s="182" t="inlineStr">
        <is>
          <t>N/A — no P batch assigned</t>
        </is>
      </c>
      <c r="J10" s="182" t="inlineStr">
        <is>
          <t>HighProAmnesia</t>
        </is>
      </c>
      <c r="K10" s="182" t="inlineStr">
        <is>
          <t>22.01.2025</t>
        </is>
      </c>
      <c r="L10" s="182" t="inlineStr">
        <is>
          <t>11.04.2025</t>
        </is>
      </c>
      <c r="M10" s="182" t="inlineStr">
        <is>
          <t>11.04.2025</t>
        </is>
      </c>
      <c r="N10" s="182" t="inlineStr">
        <is>
          <t>Ident A + Ident B</t>
        </is>
      </c>
      <c r="O10" s="182" t="inlineStr">
        <is>
          <t>iCoA_P01-02 · Appearance &amp; Identification A/B</t>
        </is>
      </c>
      <c r="P10" s="182" t="inlineStr">
        <is>
          <t>Conforms</t>
        </is>
      </c>
      <c r="Q10" s="182" t="inlineStr">
        <is>
          <t>Conforms</t>
        </is>
      </c>
      <c r="R10" s="182" t="inlineStr">
        <is>
          <t>n/a</t>
        </is>
      </c>
      <c r="S10" s="182" t="inlineStr">
        <is>
          <t>197-13-K-26, (07.08.2026) [FHM-K]</t>
        </is>
      </c>
      <c r="T10" s="182" t="inlineStr"/>
      <c r="U10" s="182" t="inlineStr"/>
      <c r="V10" s="182" t="inlineStr"/>
      <c r="W10" s="188" t="inlineStr">
        <is>
          <t>registered — preliminary date, QC sets the real date at issue</t>
        </is>
      </c>
    </row>
    <row r="11">
      <c r="A11" s="182" t="n">
        <v>10</v>
      </c>
      <c r="B11" s="182" t="inlineStr">
        <is>
          <t>initial release</t>
        </is>
      </c>
      <c r="C11" s="181">
        <f>IFERROR(INDEX('iCoA Register'!$B:$B,MATCH("HPA1024|FM|I",'iCoA Register'!$R:$R,0)),"— at issue —")</f>
        <v/>
      </c>
      <c r="D11" s="182" t="inlineStr">
        <is>
          <t>iCoA-PP-2025-0004</t>
        </is>
      </c>
      <c r="E11" s="182" t="inlineStr">
        <is>
          <t>CoQ-PP-2025-0004</t>
        </is>
      </c>
      <c r="F11" s="182" t="inlineStr">
        <is>
          <t>11.04.2025</t>
        </is>
      </c>
      <c r="G11" s="183">
        <f>IFERROR(INDEX('iCoA Register'!$D:$D,MATCH("HPA1024|FM|I",'iCoA Register'!$R:$R,0)),"")</f>
        <v/>
      </c>
      <c r="H11" s="181" t="inlineStr">
        <is>
          <t>HPA1024</t>
        </is>
      </c>
      <c r="I11" s="182" t="inlineStr">
        <is>
          <t>N/A — no P batch assigned</t>
        </is>
      </c>
      <c r="J11" s="182" t="inlineStr">
        <is>
          <t>HighProAmnesia</t>
        </is>
      </c>
      <c r="K11" s="182" t="inlineStr">
        <is>
          <t>22.01.2025</t>
        </is>
      </c>
      <c r="L11" s="182" t="inlineStr">
        <is>
          <t>11.04.2025</t>
        </is>
      </c>
      <c r="M11" s="182" t="inlineStr">
        <is>
          <t>11.04.2025</t>
        </is>
      </c>
      <c r="N11" s="182" t="inlineStr">
        <is>
          <t>Foreign matter</t>
        </is>
      </c>
      <c r="O11" s="182" t="inlineStr">
        <is>
          <t>iCoA_P07 · Foreign matter</t>
        </is>
      </c>
      <c r="P11" s="182" t="inlineStr">
        <is>
          <t>n/a</t>
        </is>
      </c>
      <c r="Q11" s="182" t="inlineStr">
        <is>
          <t>n/a</t>
        </is>
      </c>
      <c r="R11" s="182" t="inlineStr">
        <is>
          <t>Conforms</t>
        </is>
      </c>
      <c r="S11" s="182" t="inlineStr">
        <is>
          <t>197-13-K-26, (07.08.2026) [FHM-K]</t>
        </is>
      </c>
      <c r="T11" s="182" t="inlineStr"/>
      <c r="U11" s="182" t="inlineStr"/>
      <c r="V11" s="182" t="inlineStr"/>
      <c r="W11" s="188" t="inlineStr">
        <is>
          <t>registered — preliminary date, QC sets the real date at issue</t>
        </is>
      </c>
    </row>
    <row r="12">
      <c r="A12" s="182" t="n">
        <v>11</v>
      </c>
      <c r="B12" s="182" t="inlineStr">
        <is>
          <t>initial release</t>
        </is>
      </c>
      <c r="C12" s="181">
        <f>IFERROR(INDEX('iCoA Register'!$B:$B,MATCH("OPM1024|AB|I",'iCoA Register'!$R:$R,0)),"— at issue —")</f>
        <v/>
      </c>
      <c r="D12" s="182" t="inlineStr">
        <is>
          <t>iCoA-PP-2025-0005</t>
        </is>
      </c>
      <c r="E12" s="182" t="inlineStr">
        <is>
          <t>CoQ-PP-2025-0005</t>
        </is>
      </c>
      <c r="F12" s="182" t="inlineStr">
        <is>
          <t>24.04.2025</t>
        </is>
      </c>
      <c r="G12" s="183">
        <f>IFERROR(INDEX('iCoA Register'!$D:$D,MATCH("OPM1024|AB|I",'iCoA Register'!$R:$R,0)),"")</f>
        <v/>
      </c>
      <c r="H12" s="181" t="inlineStr">
        <is>
          <t>OPM1024</t>
        </is>
      </c>
      <c r="I12" s="182" t="inlineStr">
        <is>
          <t>N/A — no P batch assigned</t>
        </is>
      </c>
      <c r="J12" s="182" t="inlineStr">
        <is>
          <t>OrangePunchMimosa</t>
        </is>
      </c>
      <c r="K12" s="182" t="inlineStr">
        <is>
          <t>21.01.2025</t>
        </is>
      </c>
      <c r="L12" s="182" t="inlineStr">
        <is>
          <t>24.04.2025 – 25.04.2025</t>
        </is>
      </c>
      <c r="M12" s="182" t="inlineStr">
        <is>
          <t>25.04.2025</t>
        </is>
      </c>
      <c r="N12" s="182" t="inlineStr">
        <is>
          <t>Ident A + Ident B</t>
        </is>
      </c>
      <c r="O12" s="182" t="inlineStr">
        <is>
          <t>iCoA_P01-02 · Appearance &amp; Identification A/B</t>
        </is>
      </c>
      <c r="P12" s="182" t="inlineStr">
        <is>
          <t>Conforms</t>
        </is>
      </c>
      <c r="Q12" s="182" t="inlineStr">
        <is>
          <t>Conforms</t>
        </is>
      </c>
      <c r="R12" s="182" t="inlineStr">
        <is>
          <t>n/a</t>
        </is>
      </c>
      <c r="S12" s="182" t="inlineStr">
        <is>
          <t>197-17-K-26, (07.08.2026) [FHM-K]</t>
        </is>
      </c>
      <c r="T12" s="182" t="inlineStr"/>
      <c r="U12" s="182" t="inlineStr"/>
      <c r="V12" s="182" t="inlineStr"/>
      <c r="W12" s="188" t="inlineStr">
        <is>
          <t>registered — preliminary date, QC sets the real date at issue</t>
        </is>
      </c>
    </row>
    <row r="13">
      <c r="A13" s="182" t="n">
        <v>12</v>
      </c>
      <c r="B13" s="182" t="inlineStr">
        <is>
          <t>initial release</t>
        </is>
      </c>
      <c r="C13" s="181">
        <f>IFERROR(INDEX('iCoA Register'!$B:$B,MATCH("OPM1024|FM|I",'iCoA Register'!$R:$R,0)),"— at issue —")</f>
        <v/>
      </c>
      <c r="D13" s="182" t="inlineStr">
        <is>
          <t>iCoA-PP-2025-0005</t>
        </is>
      </c>
      <c r="E13" s="182" t="inlineStr">
        <is>
          <t>CoQ-PP-2025-0005</t>
        </is>
      </c>
      <c r="F13" s="182" t="inlineStr">
        <is>
          <t>24.04.2025</t>
        </is>
      </c>
      <c r="G13" s="183">
        <f>IFERROR(INDEX('iCoA Register'!$D:$D,MATCH("OPM1024|FM|I",'iCoA Register'!$R:$R,0)),"")</f>
        <v/>
      </c>
      <c r="H13" s="181" t="inlineStr">
        <is>
          <t>OPM1024</t>
        </is>
      </c>
      <c r="I13" s="182" t="inlineStr">
        <is>
          <t>N/A — no P batch assigned</t>
        </is>
      </c>
      <c r="J13" s="182" t="inlineStr">
        <is>
          <t>OrangePunchMimosa</t>
        </is>
      </c>
      <c r="K13" s="182" t="inlineStr">
        <is>
          <t>21.01.2025</t>
        </is>
      </c>
      <c r="L13" s="182" t="inlineStr">
        <is>
          <t>24.04.2025 – 25.04.2025</t>
        </is>
      </c>
      <c r="M13" s="182" t="inlineStr">
        <is>
          <t>25.04.2025</t>
        </is>
      </c>
      <c r="N13" s="182" t="inlineStr">
        <is>
          <t>Foreign matter</t>
        </is>
      </c>
      <c r="O13" s="182" t="inlineStr">
        <is>
          <t>iCoA_P07 · Foreign matter</t>
        </is>
      </c>
      <c r="P13" s="182" t="inlineStr">
        <is>
          <t>n/a</t>
        </is>
      </c>
      <c r="Q13" s="182" t="inlineStr">
        <is>
          <t>n/a</t>
        </is>
      </c>
      <c r="R13" s="182" t="inlineStr">
        <is>
          <t>Conforms</t>
        </is>
      </c>
      <c r="S13" s="182" t="inlineStr">
        <is>
          <t>197-17-K-26, (07.08.2026) [FHM-K]</t>
        </is>
      </c>
      <c r="T13" s="182" t="inlineStr"/>
      <c r="U13" s="182" t="inlineStr"/>
      <c r="V13" s="182" t="inlineStr"/>
      <c r="W13" s="188" t="inlineStr">
        <is>
          <t>registered — preliminary date, QC sets the real date at issue</t>
        </is>
      </c>
    </row>
    <row r="14">
      <c r="A14" s="182" t="n">
        <v>13</v>
      </c>
      <c r="B14" s="182" t="inlineStr">
        <is>
          <t>initial release</t>
        </is>
      </c>
      <c r="C14" s="181">
        <f>IFERROR(INDEX('iCoA Register'!$B:$B,MATCH("P050022|AB|I",'iCoA Register'!$R:$R,0)),"— at issue —")</f>
        <v/>
      </c>
      <c r="D14" s="182" t="inlineStr">
        <is>
          <t>iCoA-PP-2025-0006</t>
        </is>
      </c>
      <c r="E14" s="182" t="inlineStr">
        <is>
          <t>CoQ-PP-2025-0006</t>
        </is>
      </c>
      <c r="F14" s="182" t="inlineStr">
        <is>
          <t>03.06.2025</t>
        </is>
      </c>
      <c r="G14" s="183">
        <f>IFERROR(INDEX('iCoA Register'!$D:$D,MATCH("P050022|AB|I",'iCoA Register'!$R:$R,0)),"")</f>
        <v/>
      </c>
      <c r="H14" s="181" t="inlineStr">
        <is>
          <t>GP0824_02</t>
        </is>
      </c>
      <c r="I14" s="182" t="inlineStr">
        <is>
          <t>P050022</t>
        </is>
      </c>
      <c r="J14" s="182" t="inlineStr">
        <is>
          <t>Grape Pie</t>
        </is>
      </c>
      <c r="K14" s="182" t="inlineStr">
        <is>
          <t>22.04.2025 – 23.04.2025</t>
        </is>
      </c>
      <c r="L14" s="182" t="inlineStr">
        <is>
          <t>03.06.2025 – 11.06.2025</t>
        </is>
      </c>
      <c r="M14" s="182" t="inlineStr">
        <is>
          <t>11.06.2025</t>
        </is>
      </c>
      <c r="N14" s="182" t="inlineStr">
        <is>
          <t>Ident A + Ident B</t>
        </is>
      </c>
      <c r="O14" s="182" t="inlineStr">
        <is>
          <t>iCoA_P01-02 · Appearance &amp; Identification A/B</t>
        </is>
      </c>
      <c r="P14" s="182" t="inlineStr">
        <is>
          <t>Conforms</t>
        </is>
      </c>
      <c r="Q14" s="182" t="inlineStr">
        <is>
          <t>Conforms</t>
        </is>
      </c>
      <c r="R14" s="182" t="inlineStr">
        <is>
          <t>n/a</t>
        </is>
      </c>
      <c r="S14" s="182" t="inlineStr">
        <is>
          <t>ППК25139, (22.05.2025) [CNP]</t>
        </is>
      </c>
      <c r="T14" s="182" t="inlineStr"/>
      <c r="U14" s="182" t="inlineStr"/>
      <c r="V14" s="182" t="inlineStr"/>
      <c r="W14" s="188" t="inlineStr">
        <is>
          <t>registered — preliminary date, QC sets the real date at issue</t>
        </is>
      </c>
    </row>
    <row r="15">
      <c r="A15" s="182" t="n">
        <v>14</v>
      </c>
      <c r="B15" s="182" t="inlineStr">
        <is>
          <t>initial release</t>
        </is>
      </c>
      <c r="C15" s="181">
        <f>IFERROR(INDEX('iCoA Register'!$B:$B,MATCH("P050022|FM|I",'iCoA Register'!$R:$R,0)),"— at issue —")</f>
        <v/>
      </c>
      <c r="D15" s="182" t="inlineStr">
        <is>
          <t>iCoA-PP-2025-0006</t>
        </is>
      </c>
      <c r="E15" s="182" t="inlineStr">
        <is>
          <t>CoQ-PP-2025-0006</t>
        </is>
      </c>
      <c r="F15" s="182" t="inlineStr">
        <is>
          <t>03.06.2025</t>
        </is>
      </c>
      <c r="G15" s="183">
        <f>IFERROR(INDEX('iCoA Register'!$D:$D,MATCH("P050022|FM|I",'iCoA Register'!$R:$R,0)),"")</f>
        <v/>
      </c>
      <c r="H15" s="181" t="inlineStr">
        <is>
          <t>GP0824_02</t>
        </is>
      </c>
      <c r="I15" s="182" t="inlineStr">
        <is>
          <t>P050022</t>
        </is>
      </c>
      <c r="J15" s="182" t="inlineStr">
        <is>
          <t>Grape Pie</t>
        </is>
      </c>
      <c r="K15" s="182" t="inlineStr">
        <is>
          <t>22.04.2025 – 23.04.2025</t>
        </is>
      </c>
      <c r="L15" s="182" t="inlineStr">
        <is>
          <t>03.06.2025 – 11.06.2025</t>
        </is>
      </c>
      <c r="M15" s="182" t="inlineStr">
        <is>
          <t>11.06.2025</t>
        </is>
      </c>
      <c r="N15" s="182" t="inlineStr">
        <is>
          <t>Foreign matter</t>
        </is>
      </c>
      <c r="O15" s="182" t="inlineStr">
        <is>
          <t>iCoA_P07 · Foreign matter</t>
        </is>
      </c>
      <c r="P15" s="182" t="inlineStr">
        <is>
          <t>n/a</t>
        </is>
      </c>
      <c r="Q15" s="182" t="inlineStr">
        <is>
          <t>n/a</t>
        </is>
      </c>
      <c r="R15" s="182" t="inlineStr">
        <is>
          <t>Conforms</t>
        </is>
      </c>
      <c r="S15" s="182" t="inlineStr">
        <is>
          <t>ППК25139, (22.05.2025) [CNP]</t>
        </is>
      </c>
      <c r="T15" s="182" t="inlineStr"/>
      <c r="U15" s="182" t="inlineStr"/>
      <c r="V15" s="182" t="inlineStr"/>
      <c r="W15" s="188" t="inlineStr">
        <is>
          <t>registered — preliminary date, QC sets the real date at issue</t>
        </is>
      </c>
    </row>
    <row r="16">
      <c r="A16" s="182" t="n">
        <v>15</v>
      </c>
      <c r="B16" s="182" t="inlineStr">
        <is>
          <t>initial release</t>
        </is>
      </c>
      <c r="C16" s="181">
        <f>IFERROR(INDEX('iCoA Register'!$B:$B,MATCH("P050012|AB|I",'iCoA Register'!$R:$R,0)),"— at issue —")</f>
        <v/>
      </c>
      <c r="D16" s="182" t="inlineStr"/>
      <c r="E16" s="182" t="inlineStr">
        <is>
          <t>(assigned on issue)</t>
        </is>
      </c>
      <c r="F16" s="182" t="inlineStr">
        <is>
          <t>30.05.2025</t>
        </is>
      </c>
      <c r="G16" s="183">
        <f>IFERROR(INDEX('iCoA Register'!$D:$D,MATCH("P050012|AB|I",'iCoA Register'!$R:$R,0)),"")</f>
        <v/>
      </c>
      <c r="H16" s="181" t="inlineStr">
        <is>
          <t>GG1024_02</t>
        </is>
      </c>
      <c r="I16" s="182" t="inlineStr">
        <is>
          <t>P050012</t>
        </is>
      </c>
      <c r="J16" s="182" t="inlineStr">
        <is>
          <t>Gorilla Glue</t>
        </is>
      </c>
      <c r="K16" s="182" t="inlineStr">
        <is>
          <t>14.04.2025 – 15.04.2025</t>
        </is>
      </c>
      <c r="L16" s="182" t="inlineStr">
        <is>
          <t>11.06.2025 – 16.06.2025 (the issuance plan's basis: 30.05.2025)</t>
        </is>
      </c>
      <c r="M16" s="182" t="inlineStr">
        <is>
          <t>16.06.2025</t>
        </is>
      </c>
      <c r="N16" s="182" t="inlineStr">
        <is>
          <t>Ident A + Ident B</t>
        </is>
      </c>
      <c r="O16" s="182" t="inlineStr">
        <is>
          <t>iCoA_P01-02 · Appearance &amp; Identification A/B</t>
        </is>
      </c>
      <c r="P16" s="182" t="inlineStr">
        <is>
          <t>Conforms</t>
        </is>
      </c>
      <c r="Q16" s="182" t="inlineStr">
        <is>
          <t>Conforms</t>
        </is>
      </c>
      <c r="R16" s="182" t="inlineStr">
        <is>
          <t>n/a</t>
        </is>
      </c>
      <c r="S16" s="182" t="inlineStr">
        <is>
          <t>ППК25140, (22.05.2025) [CNP]</t>
        </is>
      </c>
      <c r="T16" s="182" t="inlineStr"/>
      <c r="U16" s="182" t="inlineStr"/>
      <c r="V16" s="182" t="inlineStr"/>
      <c r="W16" s="188" t="inlineStr">
        <is>
          <t>registered — preliminary date, QC sets the real date at issue</t>
        </is>
      </c>
    </row>
    <row r="17">
      <c r="A17" s="182" t="n">
        <v>16</v>
      </c>
      <c r="B17" s="182" t="inlineStr">
        <is>
          <t>initial release</t>
        </is>
      </c>
      <c r="C17" s="181">
        <f>IFERROR(INDEX('iCoA Register'!$B:$B,MATCH("P050012|FM|I",'iCoA Register'!$R:$R,0)),"— at issue —")</f>
        <v/>
      </c>
      <c r="D17" s="182" t="inlineStr"/>
      <c r="E17" s="182" t="inlineStr">
        <is>
          <t>(assigned on issue)</t>
        </is>
      </c>
      <c r="F17" s="182" t="inlineStr">
        <is>
          <t>30.05.2025</t>
        </is>
      </c>
      <c r="G17" s="183">
        <f>IFERROR(INDEX('iCoA Register'!$D:$D,MATCH("P050012|FM|I",'iCoA Register'!$R:$R,0)),"")</f>
        <v/>
      </c>
      <c r="H17" s="181" t="inlineStr">
        <is>
          <t>GG1024_02</t>
        </is>
      </c>
      <c r="I17" s="182" t="inlineStr">
        <is>
          <t>P050012</t>
        </is>
      </c>
      <c r="J17" s="182" t="inlineStr">
        <is>
          <t>Gorilla Glue</t>
        </is>
      </c>
      <c r="K17" s="182" t="inlineStr">
        <is>
          <t>14.04.2025 – 15.04.2025</t>
        </is>
      </c>
      <c r="L17" s="182" t="inlineStr">
        <is>
          <t>11.06.2025 – 16.06.2025 (the issuance plan's basis: 30.05.2025)</t>
        </is>
      </c>
      <c r="M17" s="182" t="inlineStr">
        <is>
          <t>16.06.2025</t>
        </is>
      </c>
      <c r="N17" s="182" t="inlineStr">
        <is>
          <t>Foreign matter</t>
        </is>
      </c>
      <c r="O17" s="182" t="inlineStr">
        <is>
          <t>iCoA_P07 · Foreign matter</t>
        </is>
      </c>
      <c r="P17" s="182" t="inlineStr">
        <is>
          <t>n/a</t>
        </is>
      </c>
      <c r="Q17" s="182" t="inlineStr">
        <is>
          <t>n/a</t>
        </is>
      </c>
      <c r="R17" s="182" t="inlineStr">
        <is>
          <t>Conforms</t>
        </is>
      </c>
      <c r="S17" s="182" t="inlineStr">
        <is>
          <t>ППК25140, (22.05.2025) [CNP]</t>
        </is>
      </c>
      <c r="T17" s="182" t="inlineStr"/>
      <c r="U17" s="182" t="inlineStr"/>
      <c r="V17" s="182" t="inlineStr"/>
      <c r="W17" s="188" t="inlineStr">
        <is>
          <t>registered — preliminary date, QC sets the real date at issue</t>
        </is>
      </c>
    </row>
    <row r="18">
      <c r="A18" s="182" t="n">
        <v>17</v>
      </c>
      <c r="B18" s="182" t="inlineStr">
        <is>
          <t>initial release</t>
        </is>
      </c>
      <c r="C18" s="181">
        <f>IFERROR(INDEX('iCoA Register'!$B:$B,MATCH("P050032|AB|I",'iCoA Register'!$R:$R,0)),"— at issue —")</f>
        <v/>
      </c>
      <c r="D18" s="182" t="inlineStr"/>
      <c r="E18" s="182" t="inlineStr">
        <is>
          <t>(assigned on issue)</t>
        </is>
      </c>
      <c r="F18" s="182" t="inlineStr">
        <is>
          <t>07.05.2025</t>
        </is>
      </c>
      <c r="G18" s="183">
        <f>IFERROR(INDEX('iCoA Register'!$D:$D,MATCH("P050032|AB|I",'iCoA Register'!$R:$R,0)),"")</f>
        <v/>
      </c>
      <c r="H18" s="181" t="inlineStr">
        <is>
          <t>MB0824_04</t>
        </is>
      </c>
      <c r="I18" s="182" t="inlineStr">
        <is>
          <t>P050032</t>
        </is>
      </c>
      <c r="J18" s="182" t="inlineStr">
        <is>
          <t>Motor Breath</t>
        </is>
      </c>
      <c r="K18" s="182" t="inlineStr">
        <is>
          <t>02.04.2025 – 03.04.2025</t>
        </is>
      </c>
      <c r="L18" s="182" t="inlineStr">
        <is>
          <t>16.06.2025 – 19.06.2025 (the issuance plan's basis: 07.05.2025)</t>
        </is>
      </c>
      <c r="M18" s="182" t="inlineStr">
        <is>
          <t>19.06.2025</t>
        </is>
      </c>
      <c r="N18" s="182" t="inlineStr">
        <is>
          <t>Ident A + Ident B</t>
        </is>
      </c>
      <c r="O18" s="182" t="inlineStr">
        <is>
          <t>iCoA_P01-02 · Appearance &amp; Identification A/B</t>
        </is>
      </c>
      <c r="P18" s="182" t="inlineStr">
        <is>
          <t>Conforms</t>
        </is>
      </c>
      <c r="Q18" s="182" t="inlineStr">
        <is>
          <t>Conforms</t>
        </is>
      </c>
      <c r="R18" s="182" t="inlineStr">
        <is>
          <t>n/a</t>
        </is>
      </c>
      <c r="S18" s="182" t="inlineStr">
        <is>
          <t>ППК25118, (06.05.2025) [CNP]</t>
        </is>
      </c>
      <c r="T18" s="182" t="inlineStr"/>
      <c r="U18" s="182" t="inlineStr"/>
      <c r="V18" s="182" t="inlineStr"/>
      <c r="W18" s="188" t="inlineStr">
        <is>
          <t>registered — preliminary date, QC sets the real date at issue</t>
        </is>
      </c>
    </row>
    <row r="19">
      <c r="A19" s="182" t="n">
        <v>18</v>
      </c>
      <c r="B19" s="182" t="inlineStr">
        <is>
          <t>initial release</t>
        </is>
      </c>
      <c r="C19" s="181">
        <f>IFERROR(INDEX('iCoA Register'!$B:$B,MATCH("P050032|FM|I",'iCoA Register'!$R:$R,0)),"— at issue —")</f>
        <v/>
      </c>
      <c r="D19" s="182" t="inlineStr"/>
      <c r="E19" s="182" t="inlineStr">
        <is>
          <t>(assigned on issue)</t>
        </is>
      </c>
      <c r="F19" s="182" t="inlineStr">
        <is>
          <t>07.05.2025</t>
        </is>
      </c>
      <c r="G19" s="183">
        <f>IFERROR(INDEX('iCoA Register'!$D:$D,MATCH("P050032|FM|I",'iCoA Register'!$R:$R,0)),"")</f>
        <v/>
      </c>
      <c r="H19" s="181" t="inlineStr">
        <is>
          <t>MB0824_04</t>
        </is>
      </c>
      <c r="I19" s="182" t="inlineStr">
        <is>
          <t>P050032</t>
        </is>
      </c>
      <c r="J19" s="182" t="inlineStr">
        <is>
          <t>Motor Breath</t>
        </is>
      </c>
      <c r="K19" s="182" t="inlineStr">
        <is>
          <t>02.04.2025 – 03.04.2025</t>
        </is>
      </c>
      <c r="L19" s="182" t="inlineStr">
        <is>
          <t>16.06.2025 – 19.06.2025 (the issuance plan's basis: 07.05.2025)</t>
        </is>
      </c>
      <c r="M19" s="182" t="inlineStr">
        <is>
          <t>19.06.2025</t>
        </is>
      </c>
      <c r="N19" s="182" t="inlineStr">
        <is>
          <t>Foreign matter</t>
        </is>
      </c>
      <c r="O19" s="182" t="inlineStr">
        <is>
          <t>iCoA_P07 · Foreign matter</t>
        </is>
      </c>
      <c r="P19" s="182" t="inlineStr">
        <is>
          <t>n/a</t>
        </is>
      </c>
      <c r="Q19" s="182" t="inlineStr">
        <is>
          <t>n/a</t>
        </is>
      </c>
      <c r="R19" s="182" t="inlineStr">
        <is>
          <t>Conforms</t>
        </is>
      </c>
      <c r="S19" s="182" t="inlineStr">
        <is>
          <t>ППК25118, (06.05.2025) [CNP]</t>
        </is>
      </c>
      <c r="T19" s="182" t="inlineStr"/>
      <c r="U19" s="182" t="inlineStr"/>
      <c r="V19" s="182" t="inlineStr"/>
      <c r="W19" s="188" t="inlineStr">
        <is>
          <t>registered — preliminary date, QC sets the real date at issue</t>
        </is>
      </c>
    </row>
    <row r="20">
      <c r="A20" s="182" t="n">
        <v>19</v>
      </c>
      <c r="B20" s="182" t="inlineStr">
        <is>
          <t>initial release</t>
        </is>
      </c>
      <c r="C20" s="181">
        <f>IFERROR(INDEX('iCoA Register'!$B:$B,MATCH("P050042|AB|I",'iCoA Register'!$R:$R,0)),"— at issue —")</f>
        <v/>
      </c>
      <c r="D20" s="182" t="inlineStr">
        <is>
          <t>iCoA-PP-2025-0007</t>
        </is>
      </c>
      <c r="E20" s="182" t="inlineStr">
        <is>
          <t>CoQ-PP-2025-0007</t>
        </is>
      </c>
      <c r="F20" s="182" t="inlineStr">
        <is>
          <t>20.06.2025</t>
        </is>
      </c>
      <c r="G20" s="183">
        <f>IFERROR(INDEX('iCoA Register'!$D:$D,MATCH("P050042|AB|I",'iCoA Register'!$R:$R,0)),"")</f>
        <v/>
      </c>
      <c r="H20" s="181" t="inlineStr">
        <is>
          <t>OMP1024_01</t>
        </is>
      </c>
      <c r="I20" s="182" t="inlineStr">
        <is>
          <t>P050042</t>
        </is>
      </c>
      <c r="J20" s="182" t="inlineStr">
        <is>
          <t>Orange Punch Mimosa</t>
        </is>
      </c>
      <c r="K20" s="182" t="inlineStr">
        <is>
          <t>26.03.2025 – 27.03.2025</t>
        </is>
      </c>
      <c r="L20" s="182" t="inlineStr">
        <is>
          <t>20.06.2025</t>
        </is>
      </c>
      <c r="M20" s="182" t="inlineStr">
        <is>
          <t>20.06.2025</t>
        </is>
      </c>
      <c r="N20" s="182" t="inlineStr">
        <is>
          <t>Ident A + Ident B</t>
        </is>
      </c>
      <c r="O20" s="182" t="inlineStr">
        <is>
          <t>iCoA_P01-02 · Appearance &amp; Identification A/B</t>
        </is>
      </c>
      <c r="P20" s="182" t="inlineStr">
        <is>
          <t>Conforms</t>
        </is>
      </c>
      <c r="Q20" s="182" t="inlineStr">
        <is>
          <t>Conforms</t>
        </is>
      </c>
      <c r="R20" s="182" t="inlineStr">
        <is>
          <t>n/a</t>
        </is>
      </c>
      <c r="S20" s="182" t="inlineStr">
        <is>
          <t>ППК25117, (06.05.2025) [CNP]</t>
        </is>
      </c>
      <c r="T20" s="182" t="inlineStr"/>
      <c r="U20" s="182" t="inlineStr"/>
      <c r="V20" s="182" t="inlineStr"/>
      <c r="W20" s="188" t="inlineStr">
        <is>
          <t>registered — preliminary date, QC sets the real date at issue</t>
        </is>
      </c>
    </row>
    <row r="21">
      <c r="A21" s="182" t="n">
        <v>20</v>
      </c>
      <c r="B21" s="182" t="inlineStr">
        <is>
          <t>initial release</t>
        </is>
      </c>
      <c r="C21" s="181">
        <f>IFERROR(INDEX('iCoA Register'!$B:$B,MATCH("P050042|FM|I",'iCoA Register'!$R:$R,0)),"— at issue —")</f>
        <v/>
      </c>
      <c r="D21" s="182" t="inlineStr">
        <is>
          <t>iCoA-PP-2025-0007</t>
        </is>
      </c>
      <c r="E21" s="182" t="inlineStr">
        <is>
          <t>CoQ-PP-2025-0007</t>
        </is>
      </c>
      <c r="F21" s="182" t="inlineStr">
        <is>
          <t>20.06.2025</t>
        </is>
      </c>
      <c r="G21" s="183">
        <f>IFERROR(INDEX('iCoA Register'!$D:$D,MATCH("P050042|FM|I",'iCoA Register'!$R:$R,0)),"")</f>
        <v/>
      </c>
      <c r="H21" s="181" t="inlineStr">
        <is>
          <t>OMP1024_01</t>
        </is>
      </c>
      <c r="I21" s="182" t="inlineStr">
        <is>
          <t>P050042</t>
        </is>
      </c>
      <c r="J21" s="182" t="inlineStr">
        <is>
          <t>Orange Punch Mimosa</t>
        </is>
      </c>
      <c r="K21" s="182" t="inlineStr">
        <is>
          <t>26.03.2025 – 27.03.2025</t>
        </is>
      </c>
      <c r="L21" s="182" t="inlineStr">
        <is>
          <t>20.06.2025</t>
        </is>
      </c>
      <c r="M21" s="182" t="inlineStr">
        <is>
          <t>20.06.2025</t>
        </is>
      </c>
      <c r="N21" s="182" t="inlineStr">
        <is>
          <t>Foreign matter</t>
        </is>
      </c>
      <c r="O21" s="182" t="inlineStr">
        <is>
          <t>iCoA_P07 · Foreign matter</t>
        </is>
      </c>
      <c r="P21" s="182" t="inlineStr">
        <is>
          <t>n/a</t>
        </is>
      </c>
      <c r="Q21" s="182" t="inlineStr">
        <is>
          <t>n/a</t>
        </is>
      </c>
      <c r="R21" s="182" t="inlineStr">
        <is>
          <t>Conforms</t>
        </is>
      </c>
      <c r="S21" s="182" t="inlineStr">
        <is>
          <t>ППК25117, (06.05.2025) [CNP]</t>
        </is>
      </c>
      <c r="T21" s="182" t="inlineStr"/>
      <c r="U21" s="182" t="inlineStr"/>
      <c r="V21" s="182" t="inlineStr"/>
      <c r="W21" s="188" t="inlineStr">
        <is>
          <t>registered — preliminary date, QC sets the real date at issue</t>
        </is>
      </c>
    </row>
    <row r="22">
      <c r="A22" s="182" t="n">
        <v>21</v>
      </c>
      <c r="B22" s="182" t="inlineStr">
        <is>
          <t>initial release</t>
        </is>
      </c>
      <c r="C22" s="181">
        <f>IFERROR(INDEX('iCoA Register'!$B:$B,MATCH("P050052|AB|I",'iCoA Register'!$R:$R,0)),"— at issue —")</f>
        <v/>
      </c>
      <c r="D22" s="182" t="inlineStr">
        <is>
          <t>iCoA-PP-2025-0008</t>
        </is>
      </c>
      <c r="E22" s="182" t="inlineStr">
        <is>
          <t>CoQ-PP-2025-0008</t>
        </is>
      </c>
      <c r="F22" s="182" t="inlineStr">
        <is>
          <t>27.06.2025</t>
        </is>
      </c>
      <c r="G22" s="183">
        <f>IFERROR(INDEX('iCoA Register'!$D:$D,MATCH("P050052|AB|I",'iCoA Register'!$R:$R,0)),"")</f>
        <v/>
      </c>
      <c r="H22" s="181" t="inlineStr">
        <is>
          <t>HPA1024_01</t>
        </is>
      </c>
      <c r="I22" s="182" t="inlineStr">
        <is>
          <t>P050052</t>
        </is>
      </c>
      <c r="J22" s="182" t="inlineStr">
        <is>
          <t>High Pro Amnesia</t>
        </is>
      </c>
      <c r="K22" s="182" t="inlineStr">
        <is>
          <t>27.05.2025 – 28.05.2025</t>
        </is>
      </c>
      <c r="L22" s="182" t="inlineStr">
        <is>
          <t>27.06.2025 – 04.07.2025</t>
        </is>
      </c>
      <c r="M22" s="182" t="inlineStr">
        <is>
          <t>04.07.2025</t>
        </is>
      </c>
      <c r="N22" s="182" t="inlineStr">
        <is>
          <t>Ident A + Ident B</t>
        </is>
      </c>
      <c r="O22" s="182" t="inlineStr">
        <is>
          <t>iCoA_P01-02 · Appearance &amp; Identification A/B</t>
        </is>
      </c>
      <c r="P22" s="182" t="inlineStr">
        <is>
          <t>Conforms</t>
        </is>
      </c>
      <c r="Q22" s="182" t="inlineStr">
        <is>
          <t>Conforms</t>
        </is>
      </c>
      <c r="R22" s="182" t="inlineStr">
        <is>
          <t>n/a</t>
        </is>
      </c>
      <c r="S22" s="182" t="inlineStr">
        <is>
          <t>ППК25155, (24.06.2025) [CNP]</t>
        </is>
      </c>
      <c r="T22" s="182" t="inlineStr"/>
      <c r="U22" s="182" t="inlineStr"/>
      <c r="V22" s="182" t="inlineStr"/>
      <c r="W22" s="188" t="inlineStr">
        <is>
          <t>registered — preliminary date, QC sets the real date at issue</t>
        </is>
      </c>
    </row>
    <row r="23">
      <c r="A23" s="182" t="n">
        <v>22</v>
      </c>
      <c r="B23" s="182" t="inlineStr">
        <is>
          <t>initial release</t>
        </is>
      </c>
      <c r="C23" s="181">
        <f>IFERROR(INDEX('iCoA Register'!$B:$B,MATCH("P050052|FM|I",'iCoA Register'!$R:$R,0)),"— at issue —")</f>
        <v/>
      </c>
      <c r="D23" s="182" t="inlineStr">
        <is>
          <t>iCoA-PP-2025-0008</t>
        </is>
      </c>
      <c r="E23" s="182" t="inlineStr">
        <is>
          <t>CoQ-PP-2025-0008</t>
        </is>
      </c>
      <c r="F23" s="182" t="inlineStr">
        <is>
          <t>27.06.2025</t>
        </is>
      </c>
      <c r="G23" s="183">
        <f>IFERROR(INDEX('iCoA Register'!$D:$D,MATCH("P050052|FM|I",'iCoA Register'!$R:$R,0)),"")</f>
        <v/>
      </c>
      <c r="H23" s="181" t="inlineStr">
        <is>
          <t>HPA1024_01</t>
        </is>
      </c>
      <c r="I23" s="182" t="inlineStr">
        <is>
          <t>P050052</t>
        </is>
      </c>
      <c r="J23" s="182" t="inlineStr">
        <is>
          <t>High Pro Amnesia</t>
        </is>
      </c>
      <c r="K23" s="182" t="inlineStr">
        <is>
          <t>27.05.2025 – 28.05.2025</t>
        </is>
      </c>
      <c r="L23" s="182" t="inlineStr">
        <is>
          <t>27.06.2025 – 04.07.2025</t>
        </is>
      </c>
      <c r="M23" s="182" t="inlineStr">
        <is>
          <t>04.07.2025</t>
        </is>
      </c>
      <c r="N23" s="182" t="inlineStr">
        <is>
          <t>Foreign matter</t>
        </is>
      </c>
      <c r="O23" s="182" t="inlineStr">
        <is>
          <t>iCoA_P07 · Foreign matter</t>
        </is>
      </c>
      <c r="P23" s="182" t="inlineStr">
        <is>
          <t>n/a</t>
        </is>
      </c>
      <c r="Q23" s="182" t="inlineStr">
        <is>
          <t>n/a</t>
        </is>
      </c>
      <c r="R23" s="182" t="inlineStr">
        <is>
          <t>Conforms</t>
        </is>
      </c>
      <c r="S23" s="182" t="inlineStr">
        <is>
          <t>ППК25155, (24.06.2025) [CNP]</t>
        </is>
      </c>
      <c r="T23" s="182" t="inlineStr"/>
      <c r="U23" s="182" t="inlineStr"/>
      <c r="V23" s="182" t="inlineStr"/>
      <c r="W23" s="188" t="inlineStr">
        <is>
          <t>registered — preliminary date, QC sets the real date at issue</t>
        </is>
      </c>
    </row>
    <row r="24">
      <c r="A24" s="182" t="n">
        <v>23</v>
      </c>
      <c r="B24" s="182" t="inlineStr">
        <is>
          <t>initial release</t>
        </is>
      </c>
      <c r="C24" s="181">
        <f>IFERROR(INDEX('iCoA Register'!$B:$B,MATCH("P050062|AB|I",'iCoA Register'!$R:$R,0)),"— at issue —")</f>
        <v/>
      </c>
      <c r="D24" s="182" t="inlineStr">
        <is>
          <t>iCoA-PP-2025-0009</t>
        </is>
      </c>
      <c r="E24" s="182" t="inlineStr">
        <is>
          <t>CoQ-PP-2025-0009</t>
        </is>
      </c>
      <c r="F24" s="182" t="inlineStr">
        <is>
          <t>04.07.2025</t>
        </is>
      </c>
      <c r="G24" s="183">
        <f>IFERROR(INDEX('iCoA Register'!$D:$D,MATCH("P050062|AB|I",'iCoA Register'!$R:$R,0)),"")</f>
        <v/>
      </c>
      <c r="H24" s="181" t="inlineStr">
        <is>
          <t>OPM1024_02</t>
        </is>
      </c>
      <c r="I24" s="182" t="inlineStr">
        <is>
          <t>P050062</t>
        </is>
      </c>
      <c r="J24" s="182" t="inlineStr">
        <is>
          <t>Orange Punch Mimosa</t>
        </is>
      </c>
      <c r="K24" s="182" t="inlineStr">
        <is>
          <t>29.05.2025 – 30.05.2025</t>
        </is>
      </c>
      <c r="L24" s="182" t="inlineStr">
        <is>
          <t>04.07.2025 – 10.07.2025</t>
        </is>
      </c>
      <c r="M24" s="182" t="inlineStr">
        <is>
          <t>10.07.2025</t>
        </is>
      </c>
      <c r="N24" s="182" t="inlineStr">
        <is>
          <t>Ident A + Ident B</t>
        </is>
      </c>
      <c r="O24" s="182" t="inlineStr">
        <is>
          <t>iCoA_P01-02 · Appearance &amp; Identification A/B</t>
        </is>
      </c>
      <c r="P24" s="182" t="inlineStr">
        <is>
          <t>Conforms</t>
        </is>
      </c>
      <c r="Q24" s="182" t="inlineStr">
        <is>
          <t>Conforms</t>
        </is>
      </c>
      <c r="R24" s="182" t="inlineStr">
        <is>
          <t>n/a</t>
        </is>
      </c>
      <c r="S24" s="182" t="inlineStr">
        <is>
          <t>ППК25154, (24.06.2025) [CNP]</t>
        </is>
      </c>
      <c r="T24" s="182" t="inlineStr"/>
      <c r="U24" s="182" t="inlineStr"/>
      <c r="V24" s="182" t="inlineStr"/>
      <c r="W24" s="188" t="inlineStr">
        <is>
          <t>registered — preliminary date, QC sets the real date at issue</t>
        </is>
      </c>
    </row>
    <row r="25">
      <c r="A25" s="182" t="n">
        <v>24</v>
      </c>
      <c r="B25" s="182" t="inlineStr">
        <is>
          <t>initial release</t>
        </is>
      </c>
      <c r="C25" s="181">
        <f>IFERROR(INDEX('iCoA Register'!$B:$B,MATCH("P050062|FM|I",'iCoA Register'!$R:$R,0)),"— at issue —")</f>
        <v/>
      </c>
      <c r="D25" s="182" t="inlineStr">
        <is>
          <t>iCoA-PP-2025-0009</t>
        </is>
      </c>
      <c r="E25" s="182" t="inlineStr">
        <is>
          <t>CoQ-PP-2025-0009</t>
        </is>
      </c>
      <c r="F25" s="182" t="inlineStr">
        <is>
          <t>04.07.2025</t>
        </is>
      </c>
      <c r="G25" s="183">
        <f>IFERROR(INDEX('iCoA Register'!$D:$D,MATCH("P050062|FM|I",'iCoA Register'!$R:$R,0)),"")</f>
        <v/>
      </c>
      <c r="H25" s="181" t="inlineStr">
        <is>
          <t>OPM1024_02</t>
        </is>
      </c>
      <c r="I25" s="182" t="inlineStr">
        <is>
          <t>P050062</t>
        </is>
      </c>
      <c r="J25" s="182" t="inlineStr">
        <is>
          <t>Orange Punch Mimosa</t>
        </is>
      </c>
      <c r="K25" s="182" t="inlineStr">
        <is>
          <t>29.05.2025 – 30.05.2025</t>
        </is>
      </c>
      <c r="L25" s="182" t="inlineStr">
        <is>
          <t>04.07.2025 – 10.07.2025</t>
        </is>
      </c>
      <c r="M25" s="182" t="inlineStr">
        <is>
          <t>10.07.2025</t>
        </is>
      </c>
      <c r="N25" s="182" t="inlineStr">
        <is>
          <t>Foreign matter</t>
        </is>
      </c>
      <c r="O25" s="182" t="inlineStr">
        <is>
          <t>iCoA_P07 · Foreign matter</t>
        </is>
      </c>
      <c r="P25" s="182" t="inlineStr">
        <is>
          <t>n/a</t>
        </is>
      </c>
      <c r="Q25" s="182" t="inlineStr">
        <is>
          <t>n/a</t>
        </is>
      </c>
      <c r="R25" s="182" t="inlineStr">
        <is>
          <t>Conforms</t>
        </is>
      </c>
      <c r="S25" s="182" t="inlineStr">
        <is>
          <t>ППК25154, (24.06.2025) [CNP]</t>
        </is>
      </c>
      <c r="T25" s="182" t="inlineStr"/>
      <c r="U25" s="182" t="inlineStr"/>
      <c r="V25" s="182" t="inlineStr"/>
      <c r="W25" s="188" t="inlineStr">
        <is>
          <t>registered — preliminary date, QC sets the real date at issue</t>
        </is>
      </c>
    </row>
    <row r="26">
      <c r="A26" s="182" t="n">
        <v>25</v>
      </c>
      <c r="B26" s="182" t="inlineStr">
        <is>
          <t>initial release</t>
        </is>
      </c>
      <c r="C26" s="181">
        <f>IFERROR(INDEX('iCoA Register'!$B:$B,MATCH("P050072|AB|I",'iCoA Register'!$R:$R,0)),"— at issue —")</f>
        <v/>
      </c>
      <c r="D26" s="182" t="inlineStr">
        <is>
          <t>iCoA-PP-2025-0010</t>
        </is>
      </c>
      <c r="E26" s="182" t="inlineStr">
        <is>
          <t>CoQ-PP-2025-0010</t>
        </is>
      </c>
      <c r="F26" s="182" t="inlineStr">
        <is>
          <t>14.07.2025</t>
        </is>
      </c>
      <c r="G26" s="183">
        <f>IFERROR(INDEX('iCoA Register'!$D:$D,MATCH("P050072|AB|I",'iCoA Register'!$R:$R,0)),"")</f>
        <v/>
      </c>
      <c r="H26" s="181" t="inlineStr">
        <is>
          <t>GP0824_03</t>
        </is>
      </c>
      <c r="I26" s="182" t="inlineStr">
        <is>
          <t>P050072</t>
        </is>
      </c>
      <c r="J26" s="182" t="inlineStr">
        <is>
          <t>Grape Pie</t>
        </is>
      </c>
      <c r="K26" s="182" t="inlineStr">
        <is>
          <t>09.06.2025 – 10.06.2025</t>
        </is>
      </c>
      <c r="L26" s="182" t="inlineStr">
        <is>
          <t>14.07.2025 – 17.07.2025</t>
        </is>
      </c>
      <c r="M26" s="182" t="inlineStr">
        <is>
          <t>17.07.2025</t>
        </is>
      </c>
      <c r="N26" s="182" t="inlineStr">
        <is>
          <t>Ident A + Ident B</t>
        </is>
      </c>
      <c r="O26" s="182" t="inlineStr">
        <is>
          <t>iCoA_P01-02 · Appearance &amp; Identification A/B</t>
        </is>
      </c>
      <c r="P26" s="182" t="inlineStr">
        <is>
          <t>Conforms</t>
        </is>
      </c>
      <c r="Q26" s="182" t="inlineStr">
        <is>
          <t>Conforms</t>
        </is>
      </c>
      <c r="R26" s="182" t="inlineStr">
        <is>
          <t>n/a</t>
        </is>
      </c>
      <c r="S26" s="182" t="inlineStr">
        <is>
          <t>ППК25175, (10.07.2025) [CNP]</t>
        </is>
      </c>
      <c r="T26" s="182" t="inlineStr"/>
      <c r="U26" s="182" t="inlineStr"/>
      <c r="V26" s="182" t="inlineStr"/>
      <c r="W26" s="188" t="inlineStr">
        <is>
          <t>registered — preliminary date, QC sets the real date at issue</t>
        </is>
      </c>
    </row>
    <row r="27">
      <c r="A27" s="182" t="n">
        <v>26</v>
      </c>
      <c r="B27" s="182" t="inlineStr">
        <is>
          <t>initial release</t>
        </is>
      </c>
      <c r="C27" s="181">
        <f>IFERROR(INDEX('iCoA Register'!$B:$B,MATCH("P050072|FM|I",'iCoA Register'!$R:$R,0)),"— at issue —")</f>
        <v/>
      </c>
      <c r="D27" s="182" t="inlineStr">
        <is>
          <t>iCoA-PP-2025-0010</t>
        </is>
      </c>
      <c r="E27" s="182" t="inlineStr">
        <is>
          <t>CoQ-PP-2025-0010</t>
        </is>
      </c>
      <c r="F27" s="182" t="inlineStr">
        <is>
          <t>14.07.2025</t>
        </is>
      </c>
      <c r="G27" s="183">
        <f>IFERROR(INDEX('iCoA Register'!$D:$D,MATCH("P050072|FM|I",'iCoA Register'!$R:$R,0)),"")</f>
        <v/>
      </c>
      <c r="H27" s="181" t="inlineStr">
        <is>
          <t>GP0824_03</t>
        </is>
      </c>
      <c r="I27" s="182" t="inlineStr">
        <is>
          <t>P050072</t>
        </is>
      </c>
      <c r="J27" s="182" t="inlineStr">
        <is>
          <t>Grape Pie</t>
        </is>
      </c>
      <c r="K27" s="182" t="inlineStr">
        <is>
          <t>09.06.2025 – 10.06.2025</t>
        </is>
      </c>
      <c r="L27" s="182" t="inlineStr">
        <is>
          <t>14.07.2025 – 17.07.2025</t>
        </is>
      </c>
      <c r="M27" s="182" t="inlineStr">
        <is>
          <t>17.07.2025</t>
        </is>
      </c>
      <c r="N27" s="182" t="inlineStr">
        <is>
          <t>Foreign matter</t>
        </is>
      </c>
      <c r="O27" s="182" t="inlineStr">
        <is>
          <t>iCoA_P07 · Foreign matter</t>
        </is>
      </c>
      <c r="P27" s="182" t="inlineStr">
        <is>
          <t>n/a</t>
        </is>
      </c>
      <c r="Q27" s="182" t="inlineStr">
        <is>
          <t>n/a</t>
        </is>
      </c>
      <c r="R27" s="182" t="inlineStr">
        <is>
          <t>Conforms</t>
        </is>
      </c>
      <c r="S27" s="182" t="inlineStr">
        <is>
          <t>ППК25175, (10.07.2025) [CNP]</t>
        </is>
      </c>
      <c r="T27" s="182" t="inlineStr"/>
      <c r="U27" s="182" t="inlineStr"/>
      <c r="V27" s="182" t="inlineStr"/>
      <c r="W27" s="188" t="inlineStr">
        <is>
          <t>registered — preliminary date, QC sets the real date at issue</t>
        </is>
      </c>
    </row>
    <row r="28">
      <c r="A28" s="182" t="n">
        <v>27</v>
      </c>
      <c r="B28" s="182" t="inlineStr">
        <is>
          <t>initial release</t>
        </is>
      </c>
      <c r="C28" s="181">
        <f>IFERROR(INDEX('iCoA Register'!$B:$B,MATCH("P050082|AB|I",'iCoA Register'!$R:$R,0)),"— at issue —")</f>
        <v/>
      </c>
      <c r="D28" s="182" t="inlineStr">
        <is>
          <t>iCoA-PP-2025-0011</t>
        </is>
      </c>
      <c r="E28" s="182" t="inlineStr">
        <is>
          <t>CoQ-PP-2025-0011</t>
        </is>
      </c>
      <c r="F28" s="182" t="inlineStr">
        <is>
          <t>22.07.2025</t>
        </is>
      </c>
      <c r="G28" s="183">
        <f>IFERROR(INDEX('iCoA Register'!$D:$D,MATCH("P050082|AB|I",'iCoA Register'!$R:$R,0)),"")</f>
        <v/>
      </c>
      <c r="H28" s="181" t="inlineStr">
        <is>
          <t>OPM1024_03</t>
        </is>
      </c>
      <c r="I28" s="182" t="inlineStr">
        <is>
          <t>P050082</t>
        </is>
      </c>
      <c r="J28" s="182" t="inlineStr">
        <is>
          <t>Orange Punch Mimosa</t>
        </is>
      </c>
      <c r="K28" s="182" t="inlineStr">
        <is>
          <t>01.07.2025 – 02.07.2025</t>
        </is>
      </c>
      <c r="L28" s="182" t="inlineStr">
        <is>
          <t>22.07.2025 – 30.07.2025</t>
        </is>
      </c>
      <c r="M28" s="182" t="inlineStr">
        <is>
          <t>30.07.2025</t>
        </is>
      </c>
      <c r="N28" s="182" t="inlineStr">
        <is>
          <t>Ident A + Ident B</t>
        </is>
      </c>
      <c r="O28" s="182" t="inlineStr">
        <is>
          <t>iCoA_P01-02 · Appearance &amp; Identification A/B</t>
        </is>
      </c>
      <c r="P28" s="182" t="inlineStr">
        <is>
          <t>Conforms</t>
        </is>
      </c>
      <c r="Q28" s="182" t="inlineStr">
        <is>
          <t>Conforms</t>
        </is>
      </c>
      <c r="R28" s="182" t="inlineStr">
        <is>
          <t>n/a</t>
        </is>
      </c>
      <c r="S28" s="182" t="inlineStr">
        <is>
          <t>ППК25210, (28.07.2025) [CNP]</t>
        </is>
      </c>
      <c r="T28" s="182" t="inlineStr"/>
      <c r="U28" s="182" t="inlineStr"/>
      <c r="V28" s="182" t="inlineStr"/>
      <c r="W28" s="188" t="inlineStr">
        <is>
          <t>registered — preliminary date, QC sets the real date at issue</t>
        </is>
      </c>
    </row>
    <row r="29">
      <c r="A29" s="182" t="n">
        <v>28</v>
      </c>
      <c r="B29" s="182" t="inlineStr">
        <is>
          <t>initial release</t>
        </is>
      </c>
      <c r="C29" s="181">
        <f>IFERROR(INDEX('iCoA Register'!$B:$B,MATCH("P050082|FM|I",'iCoA Register'!$R:$R,0)),"— at issue —")</f>
        <v/>
      </c>
      <c r="D29" s="182" t="inlineStr">
        <is>
          <t>iCoA-PP-2025-0011</t>
        </is>
      </c>
      <c r="E29" s="182" t="inlineStr">
        <is>
          <t>CoQ-PP-2025-0011</t>
        </is>
      </c>
      <c r="F29" s="182" t="inlineStr">
        <is>
          <t>22.07.2025</t>
        </is>
      </c>
      <c r="G29" s="183">
        <f>IFERROR(INDEX('iCoA Register'!$D:$D,MATCH("P050082|FM|I",'iCoA Register'!$R:$R,0)),"")</f>
        <v/>
      </c>
      <c r="H29" s="181" t="inlineStr">
        <is>
          <t>OPM1024_03</t>
        </is>
      </c>
      <c r="I29" s="182" t="inlineStr">
        <is>
          <t>P050082</t>
        </is>
      </c>
      <c r="J29" s="182" t="inlineStr">
        <is>
          <t>Orange Punch Mimosa</t>
        </is>
      </c>
      <c r="K29" s="182" t="inlineStr">
        <is>
          <t>01.07.2025 – 02.07.2025</t>
        </is>
      </c>
      <c r="L29" s="182" t="inlineStr">
        <is>
          <t>22.07.2025 – 30.07.2025</t>
        </is>
      </c>
      <c r="M29" s="182" t="inlineStr">
        <is>
          <t>30.07.2025</t>
        </is>
      </c>
      <c r="N29" s="182" t="inlineStr">
        <is>
          <t>Foreign matter</t>
        </is>
      </c>
      <c r="O29" s="182" t="inlineStr">
        <is>
          <t>iCoA_P07 · Foreign matter</t>
        </is>
      </c>
      <c r="P29" s="182" t="inlineStr">
        <is>
          <t>n/a</t>
        </is>
      </c>
      <c r="Q29" s="182" t="inlineStr">
        <is>
          <t>n/a</t>
        </is>
      </c>
      <c r="R29" s="182" t="inlineStr">
        <is>
          <t>Conforms</t>
        </is>
      </c>
      <c r="S29" s="182" t="inlineStr">
        <is>
          <t>ППК25210, (28.07.2025) [CNP]</t>
        </is>
      </c>
      <c r="T29" s="182" t="inlineStr"/>
      <c r="U29" s="182" t="inlineStr"/>
      <c r="V29" s="182" t="inlineStr"/>
      <c r="W29" s="188" t="inlineStr">
        <is>
          <t>registered — preliminary date, QC sets the real date at issue</t>
        </is>
      </c>
    </row>
    <row r="30">
      <c r="A30" s="182" t="n">
        <v>29</v>
      </c>
      <c r="B30" s="182" t="inlineStr">
        <is>
          <t>initial release</t>
        </is>
      </c>
      <c r="C30" s="181">
        <f>IFERROR(INDEX('iCoA Register'!$B:$B,MATCH("P050092|AB|I",'iCoA Register'!$R:$R,0)),"— at issue —")</f>
        <v/>
      </c>
      <c r="D30" s="182" t="inlineStr">
        <is>
          <t>iCoA-PP-2025-0012</t>
        </is>
      </c>
      <c r="E30" s="182" t="inlineStr">
        <is>
          <t>CoQ-PP-2025-0012</t>
        </is>
      </c>
      <c r="F30" s="182" t="inlineStr">
        <is>
          <t>31.07.2025</t>
        </is>
      </c>
      <c r="G30" s="183">
        <f>IFERROR(INDEX('iCoA Register'!$D:$D,MATCH("P050092|AB|I",'iCoA Register'!$R:$R,0)),"")</f>
        <v/>
      </c>
      <c r="H30" s="181" t="inlineStr">
        <is>
          <t>GG1024_01</t>
        </is>
      </c>
      <c r="I30" s="182" t="inlineStr">
        <is>
          <t>P050092</t>
        </is>
      </c>
      <c r="J30" s="182" t="inlineStr">
        <is>
          <t>Gorilla Glue</t>
        </is>
      </c>
      <c r="K30" s="182" t="inlineStr">
        <is>
          <t>17.03.2025 – 18.03.2025</t>
        </is>
      </c>
      <c r="L30" s="182" t="inlineStr">
        <is>
          <t>31.07.2025 – 05.08.2025</t>
        </is>
      </c>
      <c r="M30" s="182" t="inlineStr">
        <is>
          <t>05.08.2025</t>
        </is>
      </c>
      <c r="N30" s="182" t="inlineStr">
        <is>
          <t>Ident A + Ident B</t>
        </is>
      </c>
      <c r="O30" s="182" t="inlineStr">
        <is>
          <t>iCoA_P01-02 · Appearance &amp; Identification A/B</t>
        </is>
      </c>
      <c r="P30" s="182" t="inlineStr">
        <is>
          <t>Conforms</t>
        </is>
      </c>
      <c r="Q30" s="182" t="inlineStr">
        <is>
          <t>Conforms</t>
        </is>
      </c>
      <c r="R30" s="182" t="inlineStr">
        <is>
          <t>n/a</t>
        </is>
      </c>
      <c r="S30" s="182" t="inlineStr">
        <is>
          <t>ППК25104, (17.04.2025) [CNP]</t>
        </is>
      </c>
      <c r="T30" s="182" t="inlineStr"/>
      <c r="U30" s="182" t="inlineStr"/>
      <c r="V30" s="182" t="inlineStr"/>
      <c r="W30" s="188" t="inlineStr">
        <is>
          <t>registered — preliminary date, QC sets the real date at issue</t>
        </is>
      </c>
    </row>
    <row r="31">
      <c r="A31" s="182" t="n">
        <v>30</v>
      </c>
      <c r="B31" s="182" t="inlineStr">
        <is>
          <t>initial release</t>
        </is>
      </c>
      <c r="C31" s="181">
        <f>IFERROR(INDEX('iCoA Register'!$B:$B,MATCH("P050092|FM|I",'iCoA Register'!$R:$R,0)),"— at issue —")</f>
        <v/>
      </c>
      <c r="D31" s="182" t="inlineStr">
        <is>
          <t>iCoA-PP-2025-0012</t>
        </is>
      </c>
      <c r="E31" s="182" t="inlineStr">
        <is>
          <t>CoQ-PP-2025-0012</t>
        </is>
      </c>
      <c r="F31" s="182" t="inlineStr">
        <is>
          <t>31.07.2025</t>
        </is>
      </c>
      <c r="G31" s="183">
        <f>IFERROR(INDEX('iCoA Register'!$D:$D,MATCH("P050092|FM|I",'iCoA Register'!$R:$R,0)),"")</f>
        <v/>
      </c>
      <c r="H31" s="181" t="inlineStr">
        <is>
          <t>GG1024_01</t>
        </is>
      </c>
      <c r="I31" s="182" t="inlineStr">
        <is>
          <t>P050092</t>
        </is>
      </c>
      <c r="J31" s="182" t="inlineStr">
        <is>
          <t>Gorilla Glue</t>
        </is>
      </c>
      <c r="K31" s="182" t="inlineStr">
        <is>
          <t>17.03.2025 – 18.03.2025</t>
        </is>
      </c>
      <c r="L31" s="182" t="inlineStr">
        <is>
          <t>31.07.2025 – 05.08.2025</t>
        </is>
      </c>
      <c r="M31" s="182" t="inlineStr">
        <is>
          <t>05.08.2025</t>
        </is>
      </c>
      <c r="N31" s="182" t="inlineStr">
        <is>
          <t>Foreign matter</t>
        </is>
      </c>
      <c r="O31" s="182" t="inlineStr">
        <is>
          <t>iCoA_P07 · Foreign matter</t>
        </is>
      </c>
      <c r="P31" s="182" t="inlineStr">
        <is>
          <t>n/a</t>
        </is>
      </c>
      <c r="Q31" s="182" t="inlineStr">
        <is>
          <t>n/a</t>
        </is>
      </c>
      <c r="R31" s="182" t="inlineStr">
        <is>
          <t>Conforms</t>
        </is>
      </c>
      <c r="S31" s="182" t="inlineStr">
        <is>
          <t>ППК25104, (17.04.2025) [CNP]</t>
        </is>
      </c>
      <c r="T31" s="182" t="inlineStr"/>
      <c r="U31" s="182" t="inlineStr"/>
      <c r="V31" s="182" t="inlineStr"/>
      <c r="W31" s="188" t="inlineStr">
        <is>
          <t>registered — preliminary date, QC sets the real date at issue</t>
        </is>
      </c>
    </row>
    <row r="32">
      <c r="A32" s="182" t="n">
        <v>31</v>
      </c>
      <c r="B32" s="182" t="inlineStr">
        <is>
          <t>initial release</t>
        </is>
      </c>
      <c r="C32" s="181">
        <f>IFERROR(INDEX('iCoA Register'!$B:$B,MATCH("P050102|AB|I",'iCoA Register'!$R:$R,0)),"— at issue —")</f>
        <v/>
      </c>
      <c r="D32" s="182" t="inlineStr"/>
      <c r="E32" s="182" t="inlineStr">
        <is>
          <t>(assigned on issue)</t>
        </is>
      </c>
      <c r="F32" s="182" t="inlineStr">
        <is>
          <t>17.04.2025</t>
        </is>
      </c>
      <c r="G32" s="183">
        <f>IFERROR(INDEX('iCoA Register'!$D:$D,MATCH("P050102|AB|I",'iCoA Register'!$R:$R,0)),"")</f>
        <v/>
      </c>
      <c r="H32" s="181" t="inlineStr">
        <is>
          <t>GP0824_01</t>
        </is>
      </c>
      <c r="I32" s="182" t="inlineStr">
        <is>
          <t>P050102</t>
        </is>
      </c>
      <c r="J32" s="182" t="inlineStr">
        <is>
          <t>Grape Pie</t>
        </is>
      </c>
      <c r="K32" s="182" t="inlineStr">
        <is>
          <t>20.03.2025 – 21.03.2025</t>
        </is>
      </c>
      <c r="L32" s="182" t="inlineStr">
        <is>
          <t>05.08.2025 – 07.08.2025 (the issuance plan's basis: 17.04.2025)</t>
        </is>
      </c>
      <c r="M32" s="182" t="inlineStr">
        <is>
          <t>07.08.2025</t>
        </is>
      </c>
      <c r="N32" s="182" t="inlineStr">
        <is>
          <t>Ident A + Ident B</t>
        </is>
      </c>
      <c r="O32" s="182" t="inlineStr">
        <is>
          <t>iCoA_P01-02 · Appearance &amp; Identification A/B</t>
        </is>
      </c>
      <c r="P32" s="182" t="inlineStr">
        <is>
          <t>Conforms</t>
        </is>
      </c>
      <c r="Q32" s="182" t="inlineStr">
        <is>
          <t>Conforms</t>
        </is>
      </c>
      <c r="R32" s="182" t="inlineStr">
        <is>
          <t>n/a</t>
        </is>
      </c>
      <c r="S32" s="182" t="inlineStr">
        <is>
          <t>ППК25105, (17.04.2025) [CNP]</t>
        </is>
      </c>
      <c r="T32" s="182" t="inlineStr"/>
      <c r="U32" s="182" t="inlineStr"/>
      <c r="V32" s="182" t="inlineStr"/>
      <c r="W32" s="188" t="inlineStr">
        <is>
          <t>registered — preliminary date, QC sets the real date at issue</t>
        </is>
      </c>
    </row>
    <row r="33">
      <c r="A33" s="182" t="n">
        <v>32</v>
      </c>
      <c r="B33" s="182" t="inlineStr">
        <is>
          <t>initial release</t>
        </is>
      </c>
      <c r="C33" s="181">
        <f>IFERROR(INDEX('iCoA Register'!$B:$B,MATCH("P050102|FM|I",'iCoA Register'!$R:$R,0)),"— at issue —")</f>
        <v/>
      </c>
      <c r="D33" s="182" t="inlineStr"/>
      <c r="E33" s="182" t="inlineStr">
        <is>
          <t>(assigned on issue)</t>
        </is>
      </c>
      <c r="F33" s="182" t="inlineStr">
        <is>
          <t>17.04.2025</t>
        </is>
      </c>
      <c r="G33" s="183">
        <f>IFERROR(INDEX('iCoA Register'!$D:$D,MATCH("P050102|FM|I",'iCoA Register'!$R:$R,0)),"")</f>
        <v/>
      </c>
      <c r="H33" s="181" t="inlineStr">
        <is>
          <t>GP0824_01</t>
        </is>
      </c>
      <c r="I33" s="182" t="inlineStr">
        <is>
          <t>P050102</t>
        </is>
      </c>
      <c r="J33" s="182" t="inlineStr">
        <is>
          <t>Grape Pie</t>
        </is>
      </c>
      <c r="K33" s="182" t="inlineStr">
        <is>
          <t>20.03.2025 – 21.03.2025</t>
        </is>
      </c>
      <c r="L33" s="182" t="inlineStr">
        <is>
          <t>05.08.2025 – 07.08.2025 (the issuance plan's basis: 17.04.2025)</t>
        </is>
      </c>
      <c r="M33" s="182" t="inlineStr">
        <is>
          <t>07.08.2025</t>
        </is>
      </c>
      <c r="N33" s="182" t="inlineStr">
        <is>
          <t>Foreign matter</t>
        </is>
      </c>
      <c r="O33" s="182" t="inlineStr">
        <is>
          <t>iCoA_P07 · Foreign matter</t>
        </is>
      </c>
      <c r="P33" s="182" t="inlineStr">
        <is>
          <t>n/a</t>
        </is>
      </c>
      <c r="Q33" s="182" t="inlineStr">
        <is>
          <t>n/a</t>
        </is>
      </c>
      <c r="R33" s="182" t="inlineStr">
        <is>
          <t>Conforms</t>
        </is>
      </c>
      <c r="S33" s="182" t="inlineStr">
        <is>
          <t>ППК25105, (17.04.2025) [CNP]</t>
        </is>
      </c>
      <c r="T33" s="182" t="inlineStr"/>
      <c r="U33" s="182" t="inlineStr"/>
      <c r="V33" s="182" t="inlineStr"/>
      <c r="W33" s="188" t="inlineStr">
        <is>
          <t>registered — preliminary date, QC sets the real date at issue</t>
        </is>
      </c>
    </row>
    <row r="34">
      <c r="A34" s="182" t="n">
        <v>33</v>
      </c>
      <c r="B34" s="182" t="inlineStr">
        <is>
          <t>initial release</t>
        </is>
      </c>
      <c r="C34" s="181">
        <f>IFERROR(INDEX('iCoA Register'!$B:$B,MATCH("P050112|AB|I",'iCoA Register'!$R:$R,0)),"— at issue —")</f>
        <v/>
      </c>
      <c r="D34" s="182" t="inlineStr">
        <is>
          <t>iCoA-PP-2025-0013</t>
        </is>
      </c>
      <c r="E34" s="182" t="inlineStr">
        <is>
          <t>CoQ-PP-2025-0013</t>
        </is>
      </c>
      <c r="F34" s="182" t="inlineStr">
        <is>
          <t>25.08.2025</t>
        </is>
      </c>
      <c r="G34" s="183">
        <f>IFERROR(INDEX('iCoA Register'!$D:$D,MATCH("P050112|AB|I",'iCoA Register'!$R:$R,0)),"")</f>
        <v/>
      </c>
      <c r="H34" s="181" t="inlineStr">
        <is>
          <t>MB0824_05</t>
        </is>
      </c>
      <c r="I34" s="182" t="inlineStr">
        <is>
          <t>P050112</t>
        </is>
      </c>
      <c r="J34" s="182" t="inlineStr">
        <is>
          <t>Motor Breath</t>
        </is>
      </c>
      <c r="K34" s="182" t="inlineStr">
        <is>
          <t>08.07.2025 – 09.07.2025</t>
        </is>
      </c>
      <c r="L34" s="182" t="inlineStr">
        <is>
          <t>25.08.2025 – 31.08.2025</t>
        </is>
      </c>
      <c r="M34" s="182" t="inlineStr">
        <is>
          <t>31.08.2025</t>
        </is>
      </c>
      <c r="N34" s="182" t="inlineStr">
        <is>
          <t>Ident A + Ident B</t>
        </is>
      </c>
      <c r="O34" s="182" t="inlineStr">
        <is>
          <t>iCoA_P01-02 · Appearance &amp; Identification A/B</t>
        </is>
      </c>
      <c r="P34" s="182" t="inlineStr">
        <is>
          <t>Conforms</t>
        </is>
      </c>
      <c r="Q34" s="182" t="inlineStr">
        <is>
          <t>Conforms</t>
        </is>
      </c>
      <c r="R34" s="182" t="inlineStr">
        <is>
          <t>n/a</t>
        </is>
      </c>
      <c r="S34" s="182" t="inlineStr">
        <is>
          <t>ППК25211, (28.07.2025) [CNP]</t>
        </is>
      </c>
      <c r="T34" s="182" t="inlineStr"/>
      <c r="U34" s="182" t="inlineStr"/>
      <c r="V34" s="182" t="inlineStr"/>
      <c r="W34" s="188" t="inlineStr">
        <is>
          <t>registered — preliminary date, QC sets the real date at issue</t>
        </is>
      </c>
    </row>
    <row r="35">
      <c r="A35" s="182" t="n">
        <v>34</v>
      </c>
      <c r="B35" s="182" t="inlineStr">
        <is>
          <t>initial release</t>
        </is>
      </c>
      <c r="C35" s="181">
        <f>IFERROR(INDEX('iCoA Register'!$B:$B,MATCH("P050112|FM|I",'iCoA Register'!$R:$R,0)),"— at issue —")</f>
        <v/>
      </c>
      <c r="D35" s="182" t="inlineStr">
        <is>
          <t>iCoA-PP-2025-0013</t>
        </is>
      </c>
      <c r="E35" s="182" t="inlineStr">
        <is>
          <t>CoQ-PP-2025-0013</t>
        </is>
      </c>
      <c r="F35" s="182" t="inlineStr">
        <is>
          <t>25.08.2025</t>
        </is>
      </c>
      <c r="G35" s="183">
        <f>IFERROR(INDEX('iCoA Register'!$D:$D,MATCH("P050112|FM|I",'iCoA Register'!$R:$R,0)),"")</f>
        <v/>
      </c>
      <c r="H35" s="181" t="inlineStr">
        <is>
          <t>MB0824_05</t>
        </is>
      </c>
      <c r="I35" s="182" t="inlineStr">
        <is>
          <t>P050112</t>
        </is>
      </c>
      <c r="J35" s="182" t="inlineStr">
        <is>
          <t>Motor Breath</t>
        </is>
      </c>
      <c r="K35" s="182" t="inlineStr">
        <is>
          <t>08.07.2025 – 09.07.2025</t>
        </is>
      </c>
      <c r="L35" s="182" t="inlineStr">
        <is>
          <t>25.08.2025 – 31.08.2025</t>
        </is>
      </c>
      <c r="M35" s="182" t="inlineStr">
        <is>
          <t>31.08.2025</t>
        </is>
      </c>
      <c r="N35" s="182" t="inlineStr">
        <is>
          <t>Foreign matter</t>
        </is>
      </c>
      <c r="O35" s="182" t="inlineStr">
        <is>
          <t>iCoA_P07 · Foreign matter</t>
        </is>
      </c>
      <c r="P35" s="182" t="inlineStr">
        <is>
          <t>n/a</t>
        </is>
      </c>
      <c r="Q35" s="182" t="inlineStr">
        <is>
          <t>n/a</t>
        </is>
      </c>
      <c r="R35" s="182" t="inlineStr">
        <is>
          <t>Conforms</t>
        </is>
      </c>
      <c r="S35" s="182" t="inlineStr">
        <is>
          <t>ППК25211, (28.07.2025) [CNP]</t>
        </is>
      </c>
      <c r="T35" s="182" t="inlineStr"/>
      <c r="U35" s="182" t="inlineStr"/>
      <c r="V35" s="182" t="inlineStr"/>
      <c r="W35" s="188" t="inlineStr">
        <is>
          <t>registered — preliminary date, QC sets the real date at issue</t>
        </is>
      </c>
    </row>
    <row r="36">
      <c r="A36" s="182" t="n">
        <v>35</v>
      </c>
      <c r="B36" s="182" t="inlineStr">
        <is>
          <t>initial release</t>
        </is>
      </c>
      <c r="C36" s="181">
        <f>IFERROR(INDEX('iCoA Register'!$B:$B,MATCH("P050122|AB|I",'iCoA Register'!$R:$R,0)),"— at issue —")</f>
        <v/>
      </c>
      <c r="D36" s="182" t="inlineStr"/>
      <c r="E36" s="182" t="inlineStr">
        <is>
          <t>— not in the issuance plan —</t>
        </is>
      </c>
      <c r="F36" s="182" t="inlineStr">
        <is>
          <t>01.09.2025</t>
        </is>
      </c>
      <c r="G36" s="183">
        <f>IFERROR(INDEX('iCoA Register'!$D:$D,MATCH("P050122|AB|I",'iCoA Register'!$R:$R,0)),"")</f>
        <v/>
      </c>
      <c r="H36" s="181" t="inlineStr">
        <is>
          <t>BSS1024_01/1</t>
        </is>
      </c>
      <c r="I36" s="182" t="inlineStr">
        <is>
          <t>P050122</t>
        </is>
      </c>
      <c r="J36" s="182" t="inlineStr">
        <is>
          <t>Blue Sunset Sherbet</t>
        </is>
      </c>
      <c r="K36" s="182" t="inlineStr">
        <is>
          <t>04.06.2025 – 05.06.2025</t>
        </is>
      </c>
      <c r="L36" s="182" t="inlineStr">
        <is>
          <t>01.09.2025 – 09.09.2025</t>
        </is>
      </c>
      <c r="M36" s="182" t="inlineStr">
        <is>
          <t>09.09.2025</t>
        </is>
      </c>
      <c r="N36" s="182" t="inlineStr">
        <is>
          <t>Ident A + Ident B</t>
        </is>
      </c>
      <c r="O36" s="182" t="inlineStr">
        <is>
          <t>iCoA_P01-02 · Appearance &amp; Identification A/B</t>
        </is>
      </c>
      <c r="P36" s="182" t="inlineStr">
        <is>
          <t>Conforms</t>
        </is>
      </c>
      <c r="Q36" s="182" t="inlineStr">
        <is>
          <t>Conforms</t>
        </is>
      </c>
      <c r="R36" s="182" t="inlineStr">
        <is>
          <t>n/a</t>
        </is>
      </c>
      <c r="S36" s="182" t="inlineStr">
        <is>
          <t>ППК25176, (10.07.2025) [CNP]</t>
        </is>
      </c>
      <c r="T36" s="182" t="inlineStr"/>
      <c r="U36" s="182" t="inlineStr"/>
      <c r="V36" s="182" t="inlineStr"/>
      <c r="W36" s="188" t="inlineStr">
        <is>
          <t>registered — preliminary date, QC sets the real date at issue</t>
        </is>
      </c>
    </row>
    <row r="37">
      <c r="A37" s="182" t="n">
        <v>36</v>
      </c>
      <c r="B37" s="182" t="inlineStr">
        <is>
          <t>initial release</t>
        </is>
      </c>
      <c r="C37" s="181">
        <f>IFERROR(INDEX('iCoA Register'!$B:$B,MATCH("P050122|FM|I",'iCoA Register'!$R:$R,0)),"— at issue —")</f>
        <v/>
      </c>
      <c r="D37" s="182" t="inlineStr"/>
      <c r="E37" s="182" t="inlineStr">
        <is>
          <t>— not in the issuance plan —</t>
        </is>
      </c>
      <c r="F37" s="182" t="inlineStr">
        <is>
          <t>01.09.2025</t>
        </is>
      </c>
      <c r="G37" s="183">
        <f>IFERROR(INDEX('iCoA Register'!$D:$D,MATCH("P050122|FM|I",'iCoA Register'!$R:$R,0)),"")</f>
        <v/>
      </c>
      <c r="H37" s="181" t="inlineStr">
        <is>
          <t>BSS1024_01/1</t>
        </is>
      </c>
      <c r="I37" s="182" t="inlineStr">
        <is>
          <t>P050122</t>
        </is>
      </c>
      <c r="J37" s="182" t="inlineStr">
        <is>
          <t>Blue Sunset Sherbet</t>
        </is>
      </c>
      <c r="K37" s="182" t="inlineStr">
        <is>
          <t>04.06.2025 – 05.06.2025</t>
        </is>
      </c>
      <c r="L37" s="182" t="inlineStr">
        <is>
          <t>01.09.2025 – 09.09.2025</t>
        </is>
      </c>
      <c r="M37" s="182" t="inlineStr">
        <is>
          <t>09.09.2025</t>
        </is>
      </c>
      <c r="N37" s="182" t="inlineStr">
        <is>
          <t>Foreign matter</t>
        </is>
      </c>
      <c r="O37" s="182" t="inlineStr">
        <is>
          <t>iCoA_P07 · Foreign matter</t>
        </is>
      </c>
      <c r="P37" s="182" t="inlineStr">
        <is>
          <t>n/a</t>
        </is>
      </c>
      <c r="Q37" s="182" t="inlineStr">
        <is>
          <t>n/a</t>
        </is>
      </c>
      <c r="R37" s="182" t="inlineStr">
        <is>
          <t>Conforms</t>
        </is>
      </c>
      <c r="S37" s="182" t="inlineStr">
        <is>
          <t>ППК25176, (10.07.2025) [CNP]</t>
        </is>
      </c>
      <c r="T37" s="182" t="inlineStr"/>
      <c r="U37" s="182" t="inlineStr"/>
      <c r="V37" s="182" t="inlineStr"/>
      <c r="W37" s="188" t="inlineStr">
        <is>
          <t>registered — preliminary date, QC sets the real date at issue</t>
        </is>
      </c>
    </row>
    <row r="38">
      <c r="A38" s="182" t="n">
        <v>37</v>
      </c>
      <c r="B38" s="182" t="inlineStr">
        <is>
          <t>initial release</t>
        </is>
      </c>
      <c r="C38" s="181">
        <f>IFERROR(INDEX('iCoA Register'!$B:$B,MATCH("P050132|AB|I",'iCoA Register'!$R:$R,0)),"— at issue —")</f>
        <v/>
      </c>
      <c r="D38" s="182" t="inlineStr"/>
      <c r="E38" s="182" t="inlineStr">
        <is>
          <t>(assigned on issue)</t>
        </is>
      </c>
      <c r="F38" s="182" t="inlineStr">
        <is>
          <t>05.09.2025</t>
        </is>
      </c>
      <c r="G38" s="183">
        <f>IFERROR(INDEX('iCoA Register'!$D:$D,MATCH("P050132|AB|I",'iCoA Register'!$R:$R,0)),"")</f>
        <v/>
      </c>
      <c r="H38" s="181" t="inlineStr">
        <is>
          <t>OPM052501</t>
        </is>
      </c>
      <c r="I38" s="182" t="inlineStr">
        <is>
          <t>P050132</t>
        </is>
      </c>
      <c r="J38" s="182" t="inlineStr">
        <is>
          <t>Orange Punch Mimosa</t>
        </is>
      </c>
      <c r="K38" s="182" t="inlineStr">
        <is>
          <t>11.08.2025 – 13.08.2025</t>
        </is>
      </c>
      <c r="L38" s="182" t="inlineStr">
        <is>
          <t>09.09.2025 – 15.09.2025 (the issuance plan's basis: 05.09.2025)</t>
        </is>
      </c>
      <c r="M38" s="182" t="inlineStr">
        <is>
          <t>15.09.2025</t>
        </is>
      </c>
      <c r="N38" s="182" t="inlineStr">
        <is>
          <t>Ident A + Ident B</t>
        </is>
      </c>
      <c r="O38" s="182" t="inlineStr">
        <is>
          <t>iCoA_P01-02 · Appearance &amp; Identification A/B</t>
        </is>
      </c>
      <c r="P38" s="182" t="inlineStr">
        <is>
          <t>Conforms</t>
        </is>
      </c>
      <c r="Q38" s="182" t="inlineStr">
        <is>
          <t>Conforms</t>
        </is>
      </c>
      <c r="R38" s="182" t="inlineStr">
        <is>
          <t>n/a</t>
        </is>
      </c>
      <c r="S38" s="182" t="inlineStr">
        <is>
          <t>ППК25257, (05.09.2025) [CNP]</t>
        </is>
      </c>
      <c r="T38" s="182" t="inlineStr"/>
      <c r="U38" s="182" t="inlineStr"/>
      <c r="V38" s="182" t="inlineStr"/>
      <c r="W38" s="188" t="inlineStr">
        <is>
          <t>registered — preliminary date, QC sets the real date at issue</t>
        </is>
      </c>
    </row>
    <row r="39">
      <c r="A39" s="182" t="n">
        <v>38</v>
      </c>
      <c r="B39" s="182" t="inlineStr">
        <is>
          <t>initial release</t>
        </is>
      </c>
      <c r="C39" s="181">
        <f>IFERROR(INDEX('iCoA Register'!$B:$B,MATCH("P050132|FM|I",'iCoA Register'!$R:$R,0)),"— at issue —")</f>
        <v/>
      </c>
      <c r="D39" s="182" t="inlineStr"/>
      <c r="E39" s="182" t="inlineStr">
        <is>
          <t>(assigned on issue)</t>
        </is>
      </c>
      <c r="F39" s="182" t="inlineStr">
        <is>
          <t>05.09.2025</t>
        </is>
      </c>
      <c r="G39" s="183">
        <f>IFERROR(INDEX('iCoA Register'!$D:$D,MATCH("P050132|FM|I",'iCoA Register'!$R:$R,0)),"")</f>
        <v/>
      </c>
      <c r="H39" s="181" t="inlineStr">
        <is>
          <t>OPM052501</t>
        </is>
      </c>
      <c r="I39" s="182" t="inlineStr">
        <is>
          <t>P050132</t>
        </is>
      </c>
      <c r="J39" s="182" t="inlineStr">
        <is>
          <t>Orange Punch Mimosa</t>
        </is>
      </c>
      <c r="K39" s="182" t="inlineStr">
        <is>
          <t>11.08.2025 – 13.08.2025</t>
        </is>
      </c>
      <c r="L39" s="182" t="inlineStr">
        <is>
          <t>09.09.2025 – 15.09.2025 (the issuance plan's basis: 05.09.2025)</t>
        </is>
      </c>
      <c r="M39" s="182" t="inlineStr">
        <is>
          <t>15.09.2025</t>
        </is>
      </c>
      <c r="N39" s="182" t="inlineStr">
        <is>
          <t>Foreign matter</t>
        </is>
      </c>
      <c r="O39" s="182" t="inlineStr">
        <is>
          <t>iCoA_P07 · Foreign matter</t>
        </is>
      </c>
      <c r="P39" s="182" t="inlineStr">
        <is>
          <t>n/a</t>
        </is>
      </c>
      <c r="Q39" s="182" t="inlineStr">
        <is>
          <t>n/a</t>
        </is>
      </c>
      <c r="R39" s="182" t="inlineStr">
        <is>
          <t>Conforms</t>
        </is>
      </c>
      <c r="S39" s="182" t="inlineStr">
        <is>
          <t>ППК25257, (05.09.2025) [CNP]</t>
        </is>
      </c>
      <c r="T39" s="182" t="inlineStr"/>
      <c r="U39" s="182" t="inlineStr"/>
      <c r="V39" s="182" t="inlineStr"/>
      <c r="W39" s="188" t="inlineStr">
        <is>
          <t>registered — preliminary date, QC sets the real date at issue</t>
        </is>
      </c>
    </row>
    <row r="40">
      <c r="A40" s="182" t="n">
        <v>39</v>
      </c>
      <c r="B40" s="182" t="inlineStr">
        <is>
          <t>initial release</t>
        </is>
      </c>
      <c r="C40" s="181">
        <f>IFERROR(INDEX('iCoA Register'!$B:$B,MATCH("P050152|AB|I",'iCoA Register'!$R:$R,0)),"— at issue —")</f>
        <v/>
      </c>
      <c r="D40" s="182" t="inlineStr">
        <is>
          <t>iCoA-PP-2025-0014</t>
        </is>
      </c>
      <c r="E40" s="182" t="inlineStr">
        <is>
          <t>CoQ-PP-2025-0014</t>
        </is>
      </c>
      <c r="F40" s="182" t="inlineStr">
        <is>
          <t>25.09.2025</t>
        </is>
      </c>
      <c r="G40" s="183">
        <f>IFERROR(INDEX('iCoA Register'!$D:$D,MATCH("P050152|AB|I",'iCoA Register'!$R:$R,0)),"")</f>
        <v/>
      </c>
      <c r="H40" s="181" t="inlineStr">
        <is>
          <t>GP052501</t>
        </is>
      </c>
      <c r="I40" s="182" t="inlineStr">
        <is>
          <t>P050152</t>
        </is>
      </c>
      <c r="J40" s="182" t="inlineStr">
        <is>
          <t>Grape Pie</t>
        </is>
      </c>
      <c r="K40" s="189" t="inlineStr">
        <is>
          <t>— not given —</t>
        </is>
      </c>
      <c r="L40" s="182" t="inlineStr">
        <is>
          <t>25.09.2025</t>
        </is>
      </c>
      <c r="M40" s="182" t="inlineStr">
        <is>
          <t>25.09.2025</t>
        </is>
      </c>
      <c r="N40" s="182" t="inlineStr">
        <is>
          <t>Ident A + Ident B</t>
        </is>
      </c>
      <c r="O40" s="182" t="inlineStr">
        <is>
          <t>iCoA_P01-02 · Appearance &amp; Identification A/B</t>
        </is>
      </c>
      <c r="P40" s="182" t="inlineStr">
        <is>
          <t>Conforms</t>
        </is>
      </c>
      <c r="Q40" s="182" t="inlineStr">
        <is>
          <t>Conforms</t>
        </is>
      </c>
      <c r="R40" s="182" t="inlineStr">
        <is>
          <t>n/a</t>
        </is>
      </c>
      <c r="S40" s="182" t="inlineStr">
        <is>
          <t>ППК25279, (19.09.2025) [CNP]</t>
        </is>
      </c>
      <c r="T40" s="182" t="inlineStr"/>
      <c r="U40" s="182" t="inlineStr"/>
      <c r="V40" s="182" t="inlineStr"/>
      <c r="W40" s="188" t="inlineStr">
        <is>
          <t>registered — preliminary date, QC sets the real date at issue</t>
        </is>
      </c>
    </row>
    <row r="41">
      <c r="A41" s="182" t="n">
        <v>40</v>
      </c>
      <c r="B41" s="182" t="inlineStr">
        <is>
          <t>initial release</t>
        </is>
      </c>
      <c r="C41" s="181">
        <f>IFERROR(INDEX('iCoA Register'!$B:$B,MATCH("P050152|FM|I",'iCoA Register'!$R:$R,0)),"— at issue —")</f>
        <v/>
      </c>
      <c r="D41" s="182" t="inlineStr">
        <is>
          <t>iCoA-PP-2025-0014</t>
        </is>
      </c>
      <c r="E41" s="182" t="inlineStr">
        <is>
          <t>CoQ-PP-2025-0014</t>
        </is>
      </c>
      <c r="F41" s="182" t="inlineStr">
        <is>
          <t>25.09.2025</t>
        </is>
      </c>
      <c r="G41" s="183">
        <f>IFERROR(INDEX('iCoA Register'!$D:$D,MATCH("P050152|FM|I",'iCoA Register'!$R:$R,0)),"")</f>
        <v/>
      </c>
      <c r="H41" s="181" t="inlineStr">
        <is>
          <t>GP052501</t>
        </is>
      </c>
      <c r="I41" s="182" t="inlineStr">
        <is>
          <t>P050152</t>
        </is>
      </c>
      <c r="J41" s="182" t="inlineStr">
        <is>
          <t>Grape Pie</t>
        </is>
      </c>
      <c r="K41" s="189" t="inlineStr">
        <is>
          <t>— not given —</t>
        </is>
      </c>
      <c r="L41" s="182" t="inlineStr">
        <is>
          <t>25.09.2025</t>
        </is>
      </c>
      <c r="M41" s="182" t="inlineStr">
        <is>
          <t>25.09.2025</t>
        </is>
      </c>
      <c r="N41" s="182" t="inlineStr">
        <is>
          <t>Foreign matter</t>
        </is>
      </c>
      <c r="O41" s="182" t="inlineStr">
        <is>
          <t>iCoA_P07 · Foreign matter</t>
        </is>
      </c>
      <c r="P41" s="182" t="inlineStr">
        <is>
          <t>n/a</t>
        </is>
      </c>
      <c r="Q41" s="182" t="inlineStr">
        <is>
          <t>n/a</t>
        </is>
      </c>
      <c r="R41" s="182" t="inlineStr">
        <is>
          <t>Conforms</t>
        </is>
      </c>
      <c r="S41" s="182" t="inlineStr">
        <is>
          <t>ППК25279, (19.09.2025) [CNP]</t>
        </is>
      </c>
      <c r="T41" s="182" t="inlineStr"/>
      <c r="U41" s="182" t="inlineStr"/>
      <c r="V41" s="182" t="inlineStr"/>
      <c r="W41" s="188" t="inlineStr">
        <is>
          <t>registered — preliminary date, QC sets the real date at issue</t>
        </is>
      </c>
    </row>
    <row r="42">
      <c r="A42" s="182" t="n">
        <v>41</v>
      </c>
      <c r="B42" s="182" t="inlineStr">
        <is>
          <t>initial release</t>
        </is>
      </c>
      <c r="C42" s="181">
        <f>IFERROR(INDEX('iCoA Register'!$B:$B,MATCH("P050142|AB|I",'iCoA Register'!$R:$R,0)),"— at issue —")</f>
        <v/>
      </c>
      <c r="D42" s="182" t="inlineStr"/>
      <c r="E42" s="182" t="inlineStr">
        <is>
          <t>— not in the issuance plan —</t>
        </is>
      </c>
      <c r="F42" s="182" t="inlineStr">
        <is>
          <t>30.09.2025</t>
        </is>
      </c>
      <c r="G42" s="183">
        <f>IFERROR(INDEX('iCoA Register'!$D:$D,MATCH("P050142|AB|I",'iCoA Register'!$R:$R,0)),"")</f>
        <v/>
      </c>
      <c r="H42" s="181" t="inlineStr">
        <is>
          <t>BSS1024_01/2 (from the list)</t>
        </is>
      </c>
      <c r="I42" s="182" t="inlineStr">
        <is>
          <t>P050142</t>
        </is>
      </c>
      <c r="J42" s="182" t="inlineStr">
        <is>
          <t>Blue Sunset Sherbet</t>
        </is>
      </c>
      <c r="K42" s="189" t="inlineStr">
        <is>
          <t>— not given —</t>
        </is>
      </c>
      <c r="L42" s="182" t="inlineStr">
        <is>
          <t>30.09.2025</t>
        </is>
      </c>
      <c r="M42" s="182" t="inlineStr">
        <is>
          <t>30.09.2025</t>
        </is>
      </c>
      <c r="N42" s="182" t="inlineStr">
        <is>
          <t>Ident A + Ident B</t>
        </is>
      </c>
      <c r="O42" s="182" t="inlineStr">
        <is>
          <t>iCoA_P01-02 · Appearance &amp; Identification A/B</t>
        </is>
      </c>
      <c r="P42" s="182" t="inlineStr">
        <is>
          <t>Conforms</t>
        </is>
      </c>
      <c r="Q42" s="182" t="inlineStr">
        <is>
          <t>Conforms</t>
        </is>
      </c>
      <c r="R42" s="182" t="inlineStr">
        <is>
          <t>n/a</t>
        </is>
      </c>
      <c r="S42" s="189" t="inlineStr">
        <is>
          <t>— no cannabinoid certificate —</t>
        </is>
      </c>
      <c r="T42" s="182" t="inlineStr"/>
      <c r="U42" s="182" t="inlineStr"/>
      <c r="V42" s="182" t="inlineStr"/>
      <c r="W42" s="188" t="inlineStr">
        <is>
          <t>registered — preliminary date, QC sets the real date at issue</t>
        </is>
      </c>
    </row>
    <row r="43">
      <c r="A43" s="182" t="n">
        <v>42</v>
      </c>
      <c r="B43" s="182" t="inlineStr">
        <is>
          <t>initial release</t>
        </is>
      </c>
      <c r="C43" s="181">
        <f>IFERROR(INDEX('iCoA Register'!$B:$B,MATCH("P050142|FM|I",'iCoA Register'!$R:$R,0)),"— at issue —")</f>
        <v/>
      </c>
      <c r="D43" s="182" t="inlineStr"/>
      <c r="E43" s="182" t="inlineStr">
        <is>
          <t>— not in the issuance plan —</t>
        </is>
      </c>
      <c r="F43" s="182" t="inlineStr">
        <is>
          <t>30.09.2025</t>
        </is>
      </c>
      <c r="G43" s="183">
        <f>IFERROR(INDEX('iCoA Register'!$D:$D,MATCH("P050142|FM|I",'iCoA Register'!$R:$R,0)),"")</f>
        <v/>
      </c>
      <c r="H43" s="181" t="inlineStr">
        <is>
          <t>BSS1024_01/2 (from the list)</t>
        </is>
      </c>
      <c r="I43" s="182" t="inlineStr">
        <is>
          <t>P050142</t>
        </is>
      </c>
      <c r="J43" s="182" t="inlineStr">
        <is>
          <t>Blue Sunset Sherbet</t>
        </is>
      </c>
      <c r="K43" s="189" t="inlineStr">
        <is>
          <t>— not given —</t>
        </is>
      </c>
      <c r="L43" s="182" t="inlineStr">
        <is>
          <t>30.09.2025</t>
        </is>
      </c>
      <c r="M43" s="182" t="inlineStr">
        <is>
          <t>30.09.2025</t>
        </is>
      </c>
      <c r="N43" s="182" t="inlineStr">
        <is>
          <t>Foreign matter</t>
        </is>
      </c>
      <c r="O43" s="182" t="inlineStr">
        <is>
          <t>iCoA_P07 · Foreign matter</t>
        </is>
      </c>
      <c r="P43" s="182" t="inlineStr">
        <is>
          <t>n/a</t>
        </is>
      </c>
      <c r="Q43" s="182" t="inlineStr">
        <is>
          <t>n/a</t>
        </is>
      </c>
      <c r="R43" s="182" t="inlineStr">
        <is>
          <t>Conforms</t>
        </is>
      </c>
      <c r="S43" s="189" t="inlineStr">
        <is>
          <t>— no cannabinoid certificate —</t>
        </is>
      </c>
      <c r="T43" s="182" t="inlineStr"/>
      <c r="U43" s="182" t="inlineStr"/>
      <c r="V43" s="182" t="inlineStr"/>
      <c r="W43" s="188" t="inlineStr">
        <is>
          <t>registered — preliminary date, QC sets the real date at issue</t>
        </is>
      </c>
    </row>
    <row r="44">
      <c r="A44" s="182" t="n">
        <v>43</v>
      </c>
      <c r="B44" s="182" t="inlineStr">
        <is>
          <t>initial release</t>
        </is>
      </c>
      <c r="C44" s="181">
        <f>IFERROR(INDEX('iCoA Register'!$B:$B,MATCH("P050162|AB|I",'iCoA Register'!$R:$R,0)),"— at issue —")</f>
        <v/>
      </c>
      <c r="D44" s="182" t="inlineStr">
        <is>
          <t>iCoA-PP-2025-0015</t>
        </is>
      </c>
      <c r="E44" s="182" t="inlineStr">
        <is>
          <t>CoQ-PP-2025-0015</t>
        </is>
      </c>
      <c r="F44" s="182" t="inlineStr">
        <is>
          <t>30.09.2025</t>
        </is>
      </c>
      <c r="G44" s="183">
        <f>IFERROR(INDEX('iCoA Register'!$D:$D,MATCH("P050162|AB|I",'iCoA Register'!$R:$R,0)),"")</f>
        <v/>
      </c>
      <c r="H44" s="181" t="inlineStr">
        <is>
          <t>CJ052501/01</t>
        </is>
      </c>
      <c r="I44" s="182" t="inlineStr">
        <is>
          <t>P050162</t>
        </is>
      </c>
      <c r="J44" s="182" t="inlineStr">
        <is>
          <t>Cup Junky</t>
        </is>
      </c>
      <c r="K44" s="182" t="inlineStr">
        <is>
          <t>20.08.2025</t>
        </is>
      </c>
      <c r="L44" s="182" t="inlineStr">
        <is>
          <t>30.09.2025 – 01.10.2025</t>
        </is>
      </c>
      <c r="M44" s="182" t="inlineStr">
        <is>
          <t>01.10.2025</t>
        </is>
      </c>
      <c r="N44" s="182" t="inlineStr">
        <is>
          <t>Ident A + Ident B</t>
        </is>
      </c>
      <c r="O44" s="182" t="inlineStr">
        <is>
          <t>iCoA_P01-02 · Appearance &amp; Identification A/B</t>
        </is>
      </c>
      <c r="P44" s="182" t="inlineStr">
        <is>
          <t>Conforms</t>
        </is>
      </c>
      <c r="Q44" s="182" t="inlineStr">
        <is>
          <t>Conforms</t>
        </is>
      </c>
      <c r="R44" s="182" t="inlineStr">
        <is>
          <t>n/a</t>
        </is>
      </c>
      <c r="S44" s="182" t="inlineStr">
        <is>
          <t>ППК25280, (17.09.2025) [CNP]</t>
        </is>
      </c>
      <c r="T44" s="182" t="inlineStr"/>
      <c r="U44" s="182" t="inlineStr"/>
      <c r="V44" s="182" t="inlineStr"/>
      <c r="W44" s="188" t="inlineStr">
        <is>
          <t>registered — preliminary date, QC sets the real date at issue</t>
        </is>
      </c>
    </row>
    <row r="45">
      <c r="A45" s="182" t="n">
        <v>44</v>
      </c>
      <c r="B45" s="182" t="inlineStr">
        <is>
          <t>initial release</t>
        </is>
      </c>
      <c r="C45" s="181">
        <f>IFERROR(INDEX('iCoA Register'!$B:$B,MATCH("P050162|FM|I",'iCoA Register'!$R:$R,0)),"— at issue —")</f>
        <v/>
      </c>
      <c r="D45" s="182" t="inlineStr">
        <is>
          <t>iCoA-PP-2025-0015</t>
        </is>
      </c>
      <c r="E45" s="182" t="inlineStr">
        <is>
          <t>CoQ-PP-2025-0015</t>
        </is>
      </c>
      <c r="F45" s="182" t="inlineStr">
        <is>
          <t>30.09.2025</t>
        </is>
      </c>
      <c r="G45" s="183">
        <f>IFERROR(INDEX('iCoA Register'!$D:$D,MATCH("P050162|FM|I",'iCoA Register'!$R:$R,0)),"")</f>
        <v/>
      </c>
      <c r="H45" s="181" t="inlineStr">
        <is>
          <t>CJ052501/01</t>
        </is>
      </c>
      <c r="I45" s="182" t="inlineStr">
        <is>
          <t>P050162</t>
        </is>
      </c>
      <c r="J45" s="182" t="inlineStr">
        <is>
          <t>Cup Junky</t>
        </is>
      </c>
      <c r="K45" s="182" t="inlineStr">
        <is>
          <t>20.08.2025</t>
        </is>
      </c>
      <c r="L45" s="182" t="inlineStr">
        <is>
          <t>30.09.2025 – 01.10.2025</t>
        </is>
      </c>
      <c r="M45" s="182" t="inlineStr">
        <is>
          <t>01.10.2025</t>
        </is>
      </c>
      <c r="N45" s="182" t="inlineStr">
        <is>
          <t>Foreign matter</t>
        </is>
      </c>
      <c r="O45" s="182" t="inlineStr">
        <is>
          <t>iCoA_P07 · Foreign matter</t>
        </is>
      </c>
      <c r="P45" s="182" t="inlineStr">
        <is>
          <t>n/a</t>
        </is>
      </c>
      <c r="Q45" s="182" t="inlineStr">
        <is>
          <t>n/a</t>
        </is>
      </c>
      <c r="R45" s="182" t="inlineStr">
        <is>
          <t>Conforms</t>
        </is>
      </c>
      <c r="S45" s="182" t="inlineStr">
        <is>
          <t>ППК25280, (17.09.2025) [CNP]</t>
        </is>
      </c>
      <c r="T45" s="182" t="inlineStr"/>
      <c r="U45" s="182" t="inlineStr"/>
      <c r="V45" s="182" t="inlineStr"/>
      <c r="W45" s="188" t="inlineStr">
        <is>
          <t>registered — preliminary date, QC sets the real date at issue</t>
        </is>
      </c>
    </row>
    <row r="46">
      <c r="A46" s="182" t="n">
        <v>45</v>
      </c>
      <c r="B46" s="182" t="inlineStr">
        <is>
          <t>initial release</t>
        </is>
      </c>
      <c r="C46" s="181">
        <f>IFERROR(INDEX('iCoA Register'!$B:$B,MATCH("P050172|AB|I",'iCoA Register'!$R:$R,0)),"— at issue —")</f>
        <v/>
      </c>
      <c r="D46" s="182" t="inlineStr"/>
      <c r="E46" s="182" t="inlineStr">
        <is>
          <t>(assigned on issue)</t>
        </is>
      </c>
      <c r="F46" s="182" t="inlineStr">
        <is>
          <t>17.09.2025</t>
        </is>
      </c>
      <c r="G46" s="183">
        <f>IFERROR(INDEX('iCoA Register'!$D:$D,MATCH("P050172|AB|I",'iCoA Register'!$R:$R,0)),"")</f>
        <v/>
      </c>
      <c r="H46" s="181" t="inlineStr">
        <is>
          <t>CJ052501/02</t>
        </is>
      </c>
      <c r="I46" s="182" t="inlineStr">
        <is>
          <t>P050172</t>
        </is>
      </c>
      <c r="J46" s="182" t="inlineStr">
        <is>
          <t>Cap Junky</t>
        </is>
      </c>
      <c r="K46" s="182" t="inlineStr">
        <is>
          <t>20.08.2025</t>
        </is>
      </c>
      <c r="L46" s="182" t="inlineStr">
        <is>
          <t>01.10.2025 – 02.10.2025 (the issuance plan's basis: 17.09.2025)</t>
        </is>
      </c>
      <c r="M46" s="182" t="inlineStr">
        <is>
          <t>02.10.2025</t>
        </is>
      </c>
      <c r="N46" s="182" t="inlineStr">
        <is>
          <t>Ident A + Ident B</t>
        </is>
      </c>
      <c r="O46" s="182" t="inlineStr">
        <is>
          <t>iCoA_P01-02 · Appearance &amp; Identification A/B</t>
        </is>
      </c>
      <c r="P46" s="182" t="inlineStr">
        <is>
          <t>Conforms</t>
        </is>
      </c>
      <c r="Q46" s="182" t="inlineStr">
        <is>
          <t>Conforms</t>
        </is>
      </c>
      <c r="R46" s="182" t="inlineStr">
        <is>
          <t>n/a</t>
        </is>
      </c>
      <c r="S46" s="182" t="inlineStr">
        <is>
          <t>ППК25281, (17.09.2025) [CNP]</t>
        </is>
      </c>
      <c r="T46" s="182" t="inlineStr"/>
      <c r="U46" s="182" t="inlineStr"/>
      <c r="V46" s="182" t="inlineStr"/>
      <c r="W46" s="188" t="inlineStr">
        <is>
          <t>registered — preliminary date, QC sets the real date at issue</t>
        </is>
      </c>
    </row>
    <row r="47">
      <c r="A47" s="182" t="n">
        <v>46</v>
      </c>
      <c r="B47" s="182" t="inlineStr">
        <is>
          <t>initial release</t>
        </is>
      </c>
      <c r="C47" s="181">
        <f>IFERROR(INDEX('iCoA Register'!$B:$B,MATCH("P050172|FM|I",'iCoA Register'!$R:$R,0)),"— at issue —")</f>
        <v/>
      </c>
      <c r="D47" s="182" t="inlineStr"/>
      <c r="E47" s="182" t="inlineStr">
        <is>
          <t>(assigned on issue)</t>
        </is>
      </c>
      <c r="F47" s="182" t="inlineStr">
        <is>
          <t>17.09.2025</t>
        </is>
      </c>
      <c r="G47" s="183">
        <f>IFERROR(INDEX('iCoA Register'!$D:$D,MATCH("P050172|FM|I",'iCoA Register'!$R:$R,0)),"")</f>
        <v/>
      </c>
      <c r="H47" s="181" t="inlineStr">
        <is>
          <t>CJ052501/02</t>
        </is>
      </c>
      <c r="I47" s="182" t="inlineStr">
        <is>
          <t>P050172</t>
        </is>
      </c>
      <c r="J47" s="182" t="inlineStr">
        <is>
          <t>Cap Junky</t>
        </is>
      </c>
      <c r="K47" s="182" t="inlineStr">
        <is>
          <t>20.08.2025</t>
        </is>
      </c>
      <c r="L47" s="182" t="inlineStr">
        <is>
          <t>01.10.2025 – 02.10.2025 (the issuance plan's basis: 17.09.2025)</t>
        </is>
      </c>
      <c r="M47" s="182" t="inlineStr">
        <is>
          <t>02.10.2025</t>
        </is>
      </c>
      <c r="N47" s="182" t="inlineStr">
        <is>
          <t>Foreign matter</t>
        </is>
      </c>
      <c r="O47" s="182" t="inlineStr">
        <is>
          <t>iCoA_P07 · Foreign matter</t>
        </is>
      </c>
      <c r="P47" s="182" t="inlineStr">
        <is>
          <t>n/a</t>
        </is>
      </c>
      <c r="Q47" s="182" t="inlineStr">
        <is>
          <t>n/a</t>
        </is>
      </c>
      <c r="R47" s="182" t="inlineStr">
        <is>
          <t>Conforms</t>
        </is>
      </c>
      <c r="S47" s="182" t="inlineStr">
        <is>
          <t>ППК25281, (17.09.2025) [CNP]</t>
        </is>
      </c>
      <c r="T47" s="182" t="inlineStr"/>
      <c r="U47" s="182" t="inlineStr"/>
      <c r="V47" s="182" t="inlineStr"/>
      <c r="W47" s="188" t="inlineStr">
        <is>
          <t>registered — preliminary date, QC sets the real date at issue</t>
        </is>
      </c>
    </row>
    <row r="48">
      <c r="A48" s="182" t="n">
        <v>47</v>
      </c>
      <c r="B48" s="182" t="inlineStr">
        <is>
          <t>initial release</t>
        </is>
      </c>
      <c r="C48" s="181">
        <f>IFERROR(INDEX('iCoA Register'!$B:$B,MATCH("P050182|AB|I",'iCoA Register'!$R:$R,0)),"— at issue —")</f>
        <v/>
      </c>
      <c r="D48" s="182" t="inlineStr">
        <is>
          <t>iCoA-PP-2025-0016</t>
        </is>
      </c>
      <c r="E48" s="182" t="inlineStr">
        <is>
          <t>CoQ-PP-2025-0016</t>
        </is>
      </c>
      <c r="F48" s="182" t="inlineStr">
        <is>
          <t>03.10.2025</t>
        </is>
      </c>
      <c r="G48" s="183">
        <f>IFERROR(INDEX('iCoA Register'!$D:$D,MATCH("P050182|AB|I",'iCoA Register'!$R:$R,0)),"")</f>
        <v/>
      </c>
      <c r="H48" s="181" t="inlineStr">
        <is>
          <t>HPA052501</t>
        </is>
      </c>
      <c r="I48" s="182" t="inlineStr">
        <is>
          <t>P050182</t>
        </is>
      </c>
      <c r="J48" s="182" t="inlineStr">
        <is>
          <t>High Pro Amnesia</t>
        </is>
      </c>
      <c r="K48" s="182" t="inlineStr">
        <is>
          <t>21.08.2025 – 23.08.2025</t>
        </is>
      </c>
      <c r="L48" s="182" t="inlineStr">
        <is>
          <t>03.10.2025 – 09.10.2025</t>
        </is>
      </c>
      <c r="M48" s="182" t="inlineStr">
        <is>
          <t>09.10.2025</t>
        </is>
      </c>
      <c r="N48" s="182" t="inlineStr">
        <is>
          <t>Ident A + Ident B</t>
        </is>
      </c>
      <c r="O48" s="182" t="inlineStr">
        <is>
          <t>iCoA_P01-02 · Appearance &amp; Identification A/B</t>
        </is>
      </c>
      <c r="P48" s="182" t="inlineStr">
        <is>
          <t>Conforms</t>
        </is>
      </c>
      <c r="Q48" s="182" t="inlineStr">
        <is>
          <t>Conforms</t>
        </is>
      </c>
      <c r="R48" s="182" t="inlineStr">
        <is>
          <t>n/a</t>
        </is>
      </c>
      <c r="S48" s="182" t="inlineStr">
        <is>
          <t>ППК25278, (19.09.2025) [CNP]</t>
        </is>
      </c>
      <c r="T48" s="182" t="inlineStr"/>
      <c r="U48" s="182" t="inlineStr"/>
      <c r="V48" s="182" t="inlineStr"/>
      <c r="W48" s="188" t="inlineStr">
        <is>
          <t>registered — preliminary date, QC sets the real date at issue</t>
        </is>
      </c>
    </row>
    <row r="49">
      <c r="A49" s="182" t="n">
        <v>48</v>
      </c>
      <c r="B49" s="182" t="inlineStr">
        <is>
          <t>initial release</t>
        </is>
      </c>
      <c r="C49" s="181">
        <f>IFERROR(INDEX('iCoA Register'!$B:$B,MATCH("P050182|FM|I",'iCoA Register'!$R:$R,0)),"— at issue —")</f>
        <v/>
      </c>
      <c r="D49" s="182" t="inlineStr">
        <is>
          <t>iCoA-PP-2025-0016</t>
        </is>
      </c>
      <c r="E49" s="182" t="inlineStr">
        <is>
          <t>CoQ-PP-2025-0016</t>
        </is>
      </c>
      <c r="F49" s="182" t="inlineStr">
        <is>
          <t>03.10.2025</t>
        </is>
      </c>
      <c r="G49" s="183">
        <f>IFERROR(INDEX('iCoA Register'!$D:$D,MATCH("P050182|FM|I",'iCoA Register'!$R:$R,0)),"")</f>
        <v/>
      </c>
      <c r="H49" s="181" t="inlineStr">
        <is>
          <t>HPA052501</t>
        </is>
      </c>
      <c r="I49" s="182" t="inlineStr">
        <is>
          <t>P050182</t>
        </is>
      </c>
      <c r="J49" s="182" t="inlineStr">
        <is>
          <t>High Pro Amnesia</t>
        </is>
      </c>
      <c r="K49" s="182" t="inlineStr">
        <is>
          <t>21.08.2025 – 23.08.2025</t>
        </is>
      </c>
      <c r="L49" s="182" t="inlineStr">
        <is>
          <t>03.10.2025 – 09.10.2025</t>
        </is>
      </c>
      <c r="M49" s="182" t="inlineStr">
        <is>
          <t>09.10.2025</t>
        </is>
      </c>
      <c r="N49" s="182" t="inlineStr">
        <is>
          <t>Foreign matter</t>
        </is>
      </c>
      <c r="O49" s="182" t="inlineStr">
        <is>
          <t>iCoA_P07 · Foreign matter</t>
        </is>
      </c>
      <c r="P49" s="182" t="inlineStr">
        <is>
          <t>n/a</t>
        </is>
      </c>
      <c r="Q49" s="182" t="inlineStr">
        <is>
          <t>n/a</t>
        </is>
      </c>
      <c r="R49" s="182" t="inlineStr">
        <is>
          <t>Conforms</t>
        </is>
      </c>
      <c r="S49" s="182" t="inlineStr">
        <is>
          <t>ППК25278, (19.09.2025) [CNP]</t>
        </is>
      </c>
      <c r="T49" s="182" t="inlineStr"/>
      <c r="U49" s="182" t="inlineStr"/>
      <c r="V49" s="182" t="inlineStr"/>
      <c r="W49" s="188" t="inlineStr">
        <is>
          <t>registered — preliminary date, QC sets the real date at issue</t>
        </is>
      </c>
    </row>
    <row r="50">
      <c r="A50" s="182" t="n">
        <v>49</v>
      </c>
      <c r="B50" s="182" t="inlineStr">
        <is>
          <t>initial release</t>
        </is>
      </c>
      <c r="C50" s="181">
        <f>IFERROR(INDEX('iCoA Register'!$B:$B,MATCH("P050192|AB|I",'iCoA Register'!$R:$R,0)),"— at issue —")</f>
        <v/>
      </c>
      <c r="D50" s="182" t="inlineStr">
        <is>
          <t>iCoA-PP-2025-0017</t>
        </is>
      </c>
      <c r="E50" s="182" t="inlineStr">
        <is>
          <t>CoQ-PP-2025-0017</t>
        </is>
      </c>
      <c r="F50" s="182" t="inlineStr">
        <is>
          <t>10.10.2025</t>
        </is>
      </c>
      <c r="G50" s="183">
        <f>IFERROR(INDEX('iCoA Register'!$D:$D,MATCH("P050192|AB|I",'iCoA Register'!$R:$R,0)),"")</f>
        <v/>
      </c>
      <c r="H50" s="181" t="inlineStr">
        <is>
          <t>BSS052501</t>
        </is>
      </c>
      <c r="I50" s="182" t="inlineStr">
        <is>
          <t>P050192</t>
        </is>
      </c>
      <c r="J50" s="182" t="inlineStr">
        <is>
          <t>Sleepy Joe</t>
        </is>
      </c>
      <c r="K50" s="182" t="inlineStr">
        <is>
          <t>01.09.2025 – 03.09.2025</t>
        </is>
      </c>
      <c r="L50" s="182" t="inlineStr">
        <is>
          <t>10.10.2025 – 21.10.2025</t>
        </is>
      </c>
      <c r="M50" s="182" t="inlineStr">
        <is>
          <t>21.10.2025</t>
        </is>
      </c>
      <c r="N50" s="182" t="inlineStr">
        <is>
          <t>Ident A + Ident B</t>
        </is>
      </c>
      <c r="O50" s="182" t="inlineStr">
        <is>
          <t>iCoA_P01-02 · Appearance &amp; Identification A/B</t>
        </is>
      </c>
      <c r="P50" s="182" t="inlineStr">
        <is>
          <t>Conforms</t>
        </is>
      </c>
      <c r="Q50" s="182" t="inlineStr">
        <is>
          <t>Conforms</t>
        </is>
      </c>
      <c r="R50" s="182" t="inlineStr">
        <is>
          <t>n/a</t>
        </is>
      </c>
      <c r="S50" s="182" t="inlineStr">
        <is>
          <t>NGP-QCG-SOP-024 F3, (28.11.2025) [NGP]</t>
        </is>
      </c>
      <c r="T50" s="182" t="inlineStr"/>
      <c r="U50" s="182" t="inlineStr"/>
      <c r="V50" s="182" t="inlineStr"/>
      <c r="W50" s="188" t="inlineStr">
        <is>
          <t>registered — preliminary date, QC sets the real date at issue</t>
        </is>
      </c>
    </row>
    <row r="51">
      <c r="A51" s="182" t="n">
        <v>50</v>
      </c>
      <c r="B51" s="182" t="inlineStr">
        <is>
          <t>initial release</t>
        </is>
      </c>
      <c r="C51" s="181">
        <f>IFERROR(INDEX('iCoA Register'!$B:$B,MATCH("P050192|FM|I",'iCoA Register'!$R:$R,0)),"— at issue —")</f>
        <v/>
      </c>
      <c r="D51" s="182" t="inlineStr">
        <is>
          <t>iCoA-PP-2025-0017</t>
        </is>
      </c>
      <c r="E51" s="182" t="inlineStr">
        <is>
          <t>CoQ-PP-2025-0017</t>
        </is>
      </c>
      <c r="F51" s="182" t="inlineStr">
        <is>
          <t>10.10.2025</t>
        </is>
      </c>
      <c r="G51" s="183">
        <f>IFERROR(INDEX('iCoA Register'!$D:$D,MATCH("P050192|FM|I",'iCoA Register'!$R:$R,0)),"")</f>
        <v/>
      </c>
      <c r="H51" s="181" t="inlineStr">
        <is>
          <t>BSS052501</t>
        </is>
      </c>
      <c r="I51" s="182" t="inlineStr">
        <is>
          <t>P050192</t>
        </is>
      </c>
      <c r="J51" s="182" t="inlineStr">
        <is>
          <t>Sleepy Joe</t>
        </is>
      </c>
      <c r="K51" s="182" t="inlineStr">
        <is>
          <t>01.09.2025 – 03.09.2025</t>
        </is>
      </c>
      <c r="L51" s="182" t="inlineStr">
        <is>
          <t>10.10.2025 – 21.10.2025</t>
        </is>
      </c>
      <c r="M51" s="182" t="inlineStr">
        <is>
          <t>21.10.2025</t>
        </is>
      </c>
      <c r="N51" s="182" t="inlineStr">
        <is>
          <t>Foreign matter</t>
        </is>
      </c>
      <c r="O51" s="182" t="inlineStr">
        <is>
          <t>iCoA_P07 · Foreign matter</t>
        </is>
      </c>
      <c r="P51" s="182" t="inlineStr">
        <is>
          <t>n/a</t>
        </is>
      </c>
      <c r="Q51" s="182" t="inlineStr">
        <is>
          <t>n/a</t>
        </is>
      </c>
      <c r="R51" s="182" t="inlineStr">
        <is>
          <t>Conforms</t>
        </is>
      </c>
      <c r="S51" s="182" t="inlineStr">
        <is>
          <t>NGP-QCG-SOP-024 F3, (28.11.2025) [NGP]</t>
        </is>
      </c>
      <c r="T51" s="182" t="inlineStr"/>
      <c r="U51" s="182" t="inlineStr"/>
      <c r="V51" s="182" t="inlineStr"/>
      <c r="W51" s="188" t="inlineStr">
        <is>
          <t>registered — preliminary date, QC sets the real date at issue</t>
        </is>
      </c>
    </row>
    <row r="52">
      <c r="A52" s="182" t="n">
        <v>51</v>
      </c>
      <c r="B52" s="182" t="inlineStr">
        <is>
          <t>initial release</t>
        </is>
      </c>
      <c r="C52" s="181">
        <f>IFERROR(INDEX('iCoA Register'!$B:$B,MATCH("P050202|AB|I",'iCoA Register'!$R:$R,0)),"— at issue —")</f>
        <v/>
      </c>
      <c r="D52" s="182" t="inlineStr"/>
      <c r="E52" s="182" t="inlineStr">
        <is>
          <t>(assigned on issue)</t>
        </is>
      </c>
      <c r="F52" s="182" t="inlineStr">
        <is>
          <t>11.05.2026</t>
        </is>
      </c>
      <c r="G52" s="183">
        <f>IFERROR(INDEX('iCoA Register'!$D:$D,MATCH("P050202|AB|I",'iCoA Register'!$R:$R,0)),"")</f>
        <v/>
      </c>
      <c r="H52" s="181" t="inlineStr">
        <is>
          <t>GP062501</t>
        </is>
      </c>
      <c r="I52" s="182" t="inlineStr">
        <is>
          <t>P050202</t>
        </is>
      </c>
      <c r="J52" s="182" t="inlineStr">
        <is>
          <t>Grape Pie</t>
        </is>
      </c>
      <c r="K52" s="182" t="inlineStr">
        <is>
          <t>15.09.2025 – 17.09.2025</t>
        </is>
      </c>
      <c r="L52" s="182" t="inlineStr">
        <is>
          <t>30.10.2025 – 07.11.2025 (the issuance plan's basis: 11.05.2026)</t>
        </is>
      </c>
      <c r="M52" s="182" t="inlineStr">
        <is>
          <t>07.11.2025</t>
        </is>
      </c>
      <c r="N52" s="182" t="inlineStr">
        <is>
          <t>Ident A + Ident B</t>
        </is>
      </c>
      <c r="O52" s="182" t="inlineStr">
        <is>
          <t>iCoA_P01-02 · Appearance &amp; Identification A/B</t>
        </is>
      </c>
      <c r="P52" s="182" t="inlineStr">
        <is>
          <t>Conforms</t>
        </is>
      </c>
      <c r="Q52" s="182" t="inlineStr">
        <is>
          <t>Conforms</t>
        </is>
      </c>
      <c r="R52" s="182" t="inlineStr">
        <is>
          <t>n/a</t>
        </is>
      </c>
      <c r="S52" s="182" t="inlineStr">
        <is>
          <t>NGP-QCG-SOP-024 F3, (28.11.2025) [NGP]</t>
        </is>
      </c>
      <c r="T52" s="182" t="inlineStr"/>
      <c r="U52" s="182" t="inlineStr"/>
      <c r="V52" s="182" t="inlineStr"/>
      <c r="W52" s="188" t="inlineStr">
        <is>
          <t>registered — preliminary date, QC sets the real date at issue</t>
        </is>
      </c>
    </row>
    <row r="53">
      <c r="A53" s="182" t="n">
        <v>52</v>
      </c>
      <c r="B53" s="182" t="inlineStr">
        <is>
          <t>initial release</t>
        </is>
      </c>
      <c r="C53" s="181">
        <f>IFERROR(INDEX('iCoA Register'!$B:$B,MATCH("P050202|FM|I",'iCoA Register'!$R:$R,0)),"— at issue —")</f>
        <v/>
      </c>
      <c r="D53" s="182" t="inlineStr"/>
      <c r="E53" s="182" t="inlineStr">
        <is>
          <t>(assigned on issue)</t>
        </is>
      </c>
      <c r="F53" s="182" t="inlineStr">
        <is>
          <t>11.05.2026</t>
        </is>
      </c>
      <c r="G53" s="183">
        <f>IFERROR(INDEX('iCoA Register'!$D:$D,MATCH("P050202|FM|I",'iCoA Register'!$R:$R,0)),"")</f>
        <v/>
      </c>
      <c r="H53" s="181" t="inlineStr">
        <is>
          <t>GP062501</t>
        </is>
      </c>
      <c r="I53" s="182" t="inlineStr">
        <is>
          <t>P050202</t>
        </is>
      </c>
      <c r="J53" s="182" t="inlineStr">
        <is>
          <t>Grape Pie</t>
        </is>
      </c>
      <c r="K53" s="182" t="inlineStr">
        <is>
          <t>15.09.2025 – 17.09.2025</t>
        </is>
      </c>
      <c r="L53" s="182" t="inlineStr">
        <is>
          <t>30.10.2025 – 07.11.2025 (the issuance plan's basis: 11.05.2026)</t>
        </is>
      </c>
      <c r="M53" s="182" t="inlineStr">
        <is>
          <t>07.11.2025</t>
        </is>
      </c>
      <c r="N53" s="182" t="inlineStr">
        <is>
          <t>Foreign matter</t>
        </is>
      </c>
      <c r="O53" s="182" t="inlineStr">
        <is>
          <t>iCoA_P07 · Foreign matter</t>
        </is>
      </c>
      <c r="P53" s="182" t="inlineStr">
        <is>
          <t>n/a</t>
        </is>
      </c>
      <c r="Q53" s="182" t="inlineStr">
        <is>
          <t>n/a</t>
        </is>
      </c>
      <c r="R53" s="182" t="inlineStr">
        <is>
          <t>Conforms</t>
        </is>
      </c>
      <c r="S53" s="182" t="inlineStr">
        <is>
          <t>NGP-QCG-SOP-024 F3, (28.11.2025) [NGP]</t>
        </is>
      </c>
      <c r="T53" s="182" t="inlineStr"/>
      <c r="U53" s="182" t="inlineStr"/>
      <c r="V53" s="182" t="inlineStr"/>
      <c r="W53" s="188" t="inlineStr">
        <is>
          <t>registered — preliminary date, QC sets the real date at issue</t>
        </is>
      </c>
    </row>
    <row r="54">
      <c r="A54" s="182" t="n">
        <v>53</v>
      </c>
      <c r="B54" s="182" t="inlineStr">
        <is>
          <t>initial release</t>
        </is>
      </c>
      <c r="C54" s="181">
        <f>IFERROR(INDEX('iCoA Register'!$B:$B,MATCH("P050212|AB|I",'iCoA Register'!$R:$R,0)),"— at issue —")</f>
        <v/>
      </c>
      <c r="D54" s="182" t="inlineStr"/>
      <c r="E54" s="182" t="inlineStr">
        <is>
          <t>(assigned on issue)</t>
        </is>
      </c>
      <c r="F54" s="182" t="inlineStr">
        <is>
          <t>24.01.2026</t>
        </is>
      </c>
      <c r="G54" s="183">
        <f>IFERROR(INDEX('iCoA Register'!$D:$D,MATCH("P050212|AB|I",'iCoA Register'!$R:$R,0)),"")</f>
        <v/>
      </c>
      <c r="H54" s="181" t="inlineStr">
        <is>
          <t>CJ062501/2</t>
        </is>
      </c>
      <c r="I54" s="182" t="inlineStr">
        <is>
          <t>P050212</t>
        </is>
      </c>
      <c r="J54" s="182" t="inlineStr">
        <is>
          <t>Cap Junkie</t>
        </is>
      </c>
      <c r="K54" s="182" t="inlineStr">
        <is>
          <t>23.09.2025 – 24.09.2025</t>
        </is>
      </c>
      <c r="L54" s="182" t="inlineStr">
        <is>
          <t>18.11.2025 – 24.11.2025 (the issuance plan's basis: 24.01.2026)</t>
        </is>
      </c>
      <c r="M54" s="182" t="inlineStr">
        <is>
          <t>24.11.2025</t>
        </is>
      </c>
      <c r="N54" s="182" t="inlineStr">
        <is>
          <t>Ident A + Ident B</t>
        </is>
      </c>
      <c r="O54" s="182" t="inlineStr">
        <is>
          <t>iCoA_P01-02 · Appearance &amp; Identification A/B</t>
        </is>
      </c>
      <c r="P54" s="182" t="inlineStr">
        <is>
          <t>Conforms</t>
        </is>
      </c>
      <c r="Q54" s="182" t="inlineStr">
        <is>
          <t>Conforms</t>
        </is>
      </c>
      <c r="R54" s="182" t="inlineStr">
        <is>
          <t>n/a</t>
        </is>
      </c>
      <c r="S54" s="182" t="inlineStr">
        <is>
          <t>ППК25322, (23.10.2025) [CNP]</t>
        </is>
      </c>
      <c r="T54" s="182" t="inlineStr"/>
      <c r="U54" s="182" t="inlineStr"/>
      <c r="V54" s="182" t="inlineStr"/>
      <c r="W54" s="188" t="inlineStr">
        <is>
          <t>registered — preliminary date, QC sets the real date at issue</t>
        </is>
      </c>
    </row>
    <row r="55">
      <c r="A55" s="182" t="n">
        <v>54</v>
      </c>
      <c r="B55" s="182" t="inlineStr">
        <is>
          <t>initial release</t>
        </is>
      </c>
      <c r="C55" s="181">
        <f>IFERROR(INDEX('iCoA Register'!$B:$B,MATCH("P050212|FM|I",'iCoA Register'!$R:$R,0)),"— at issue —")</f>
        <v/>
      </c>
      <c r="D55" s="182" t="inlineStr"/>
      <c r="E55" s="182" t="inlineStr">
        <is>
          <t>(assigned on issue)</t>
        </is>
      </c>
      <c r="F55" s="182" t="inlineStr">
        <is>
          <t>24.01.2026</t>
        </is>
      </c>
      <c r="G55" s="183">
        <f>IFERROR(INDEX('iCoA Register'!$D:$D,MATCH("P050212|FM|I",'iCoA Register'!$R:$R,0)),"")</f>
        <v/>
      </c>
      <c r="H55" s="181" t="inlineStr">
        <is>
          <t>CJ062501/2</t>
        </is>
      </c>
      <c r="I55" s="182" t="inlineStr">
        <is>
          <t>P050212</t>
        </is>
      </c>
      <c r="J55" s="182" t="inlineStr">
        <is>
          <t>Cap Junkie</t>
        </is>
      </c>
      <c r="K55" s="182" t="inlineStr">
        <is>
          <t>23.09.2025 – 24.09.2025</t>
        </is>
      </c>
      <c r="L55" s="182" t="inlineStr">
        <is>
          <t>18.11.2025 – 24.11.2025 (the issuance plan's basis: 24.01.2026)</t>
        </is>
      </c>
      <c r="M55" s="182" t="inlineStr">
        <is>
          <t>24.11.2025</t>
        </is>
      </c>
      <c r="N55" s="182" t="inlineStr">
        <is>
          <t>Foreign matter</t>
        </is>
      </c>
      <c r="O55" s="182" t="inlineStr">
        <is>
          <t>iCoA_P07 · Foreign matter</t>
        </is>
      </c>
      <c r="P55" s="182" t="inlineStr">
        <is>
          <t>n/a</t>
        </is>
      </c>
      <c r="Q55" s="182" t="inlineStr">
        <is>
          <t>n/a</t>
        </is>
      </c>
      <c r="R55" s="182" t="inlineStr">
        <is>
          <t>Conforms</t>
        </is>
      </c>
      <c r="S55" s="182" t="inlineStr">
        <is>
          <t>ППК25322, (23.10.2025) [CNP]</t>
        </is>
      </c>
      <c r="T55" s="182" t="inlineStr"/>
      <c r="U55" s="182" t="inlineStr"/>
      <c r="V55" s="182" t="inlineStr"/>
      <c r="W55" s="188" t="inlineStr">
        <is>
          <t>registered — preliminary date, QC sets the real date at issue</t>
        </is>
      </c>
    </row>
    <row r="56">
      <c r="A56" s="182" t="n">
        <v>55</v>
      </c>
      <c r="B56" s="182" t="inlineStr">
        <is>
          <t>initial release</t>
        </is>
      </c>
      <c r="C56" s="181">
        <f>IFERROR(INDEX('iCoA Register'!$B:$B,MATCH("P050222|AB|I",'iCoA Register'!$R:$R,0)),"— at issue —")</f>
        <v/>
      </c>
      <c r="D56" s="182" t="inlineStr">
        <is>
          <t>iCoA-PP-2025-0018</t>
        </is>
      </c>
      <c r="E56" s="182" t="inlineStr">
        <is>
          <t>CoQ-PP-2025-0018</t>
        </is>
      </c>
      <c r="F56" s="182" t="inlineStr">
        <is>
          <t>24.11.2025</t>
        </is>
      </c>
      <c r="G56" s="183">
        <f>IFERROR(INDEX('iCoA Register'!$D:$D,MATCH("P050222|AB|I",'iCoA Register'!$R:$R,0)),"")</f>
        <v/>
      </c>
      <c r="H56" s="181" t="inlineStr">
        <is>
          <t>CJ062501/1</t>
        </is>
      </c>
      <c r="I56" s="182" t="inlineStr">
        <is>
          <t>P050222</t>
        </is>
      </c>
      <c r="J56" s="182" t="inlineStr">
        <is>
          <t>Cap Junkie</t>
        </is>
      </c>
      <c r="K56" s="182" t="inlineStr">
        <is>
          <t>23.09.2025</t>
        </is>
      </c>
      <c r="L56" s="182" t="inlineStr">
        <is>
          <t>24.11.2025 – 25.11.2025</t>
        </is>
      </c>
      <c r="M56" s="182" t="inlineStr">
        <is>
          <t>25.11.2025</t>
        </is>
      </c>
      <c r="N56" s="182" t="inlineStr">
        <is>
          <t>Ident A + Ident B</t>
        </is>
      </c>
      <c r="O56" s="182" t="inlineStr">
        <is>
          <t>iCoA_P01-02 · Appearance &amp; Identification A/B</t>
        </is>
      </c>
      <c r="P56" s="182" t="inlineStr">
        <is>
          <t>Conforms</t>
        </is>
      </c>
      <c r="Q56" s="182" t="inlineStr">
        <is>
          <t>Conforms</t>
        </is>
      </c>
      <c r="R56" s="182" t="inlineStr">
        <is>
          <t>n/a</t>
        </is>
      </c>
      <c r="S56" s="182" t="inlineStr">
        <is>
          <t>ППК25321, (23.10.2025) [CNP]</t>
        </is>
      </c>
      <c r="T56" s="182" t="inlineStr"/>
      <c r="U56" s="182" t="inlineStr"/>
      <c r="V56" s="182" t="inlineStr"/>
      <c r="W56" s="188" t="inlineStr">
        <is>
          <t>registered — preliminary date, QC sets the real date at issue</t>
        </is>
      </c>
    </row>
    <row r="57">
      <c r="A57" s="182" t="n">
        <v>56</v>
      </c>
      <c r="B57" s="182" t="inlineStr">
        <is>
          <t>initial release</t>
        </is>
      </c>
      <c r="C57" s="181">
        <f>IFERROR(INDEX('iCoA Register'!$B:$B,MATCH("P050222|FM|I",'iCoA Register'!$R:$R,0)),"— at issue —")</f>
        <v/>
      </c>
      <c r="D57" s="182" t="inlineStr">
        <is>
          <t>iCoA-PP-2025-0018</t>
        </is>
      </c>
      <c r="E57" s="182" t="inlineStr">
        <is>
          <t>CoQ-PP-2025-0018</t>
        </is>
      </c>
      <c r="F57" s="182" t="inlineStr">
        <is>
          <t>24.11.2025</t>
        </is>
      </c>
      <c r="G57" s="183">
        <f>IFERROR(INDEX('iCoA Register'!$D:$D,MATCH("P050222|FM|I",'iCoA Register'!$R:$R,0)),"")</f>
        <v/>
      </c>
      <c r="H57" s="181" t="inlineStr">
        <is>
          <t>CJ062501/1</t>
        </is>
      </c>
      <c r="I57" s="182" t="inlineStr">
        <is>
          <t>P050222</t>
        </is>
      </c>
      <c r="J57" s="182" t="inlineStr">
        <is>
          <t>Cap Junkie</t>
        </is>
      </c>
      <c r="K57" s="182" t="inlineStr">
        <is>
          <t>23.09.2025</t>
        </is>
      </c>
      <c r="L57" s="182" t="inlineStr">
        <is>
          <t>24.11.2025 – 25.11.2025</t>
        </is>
      </c>
      <c r="M57" s="182" t="inlineStr">
        <is>
          <t>25.11.2025</t>
        </is>
      </c>
      <c r="N57" s="182" t="inlineStr">
        <is>
          <t>Foreign matter</t>
        </is>
      </c>
      <c r="O57" s="182" t="inlineStr">
        <is>
          <t>iCoA_P07 · Foreign matter</t>
        </is>
      </c>
      <c r="P57" s="182" t="inlineStr">
        <is>
          <t>n/a</t>
        </is>
      </c>
      <c r="Q57" s="182" t="inlineStr">
        <is>
          <t>n/a</t>
        </is>
      </c>
      <c r="R57" s="182" t="inlineStr">
        <is>
          <t>Conforms</t>
        </is>
      </c>
      <c r="S57" s="182" t="inlineStr">
        <is>
          <t>ППК25321, (23.10.2025) [CNP]</t>
        </is>
      </c>
      <c r="T57" s="182" t="inlineStr"/>
      <c r="U57" s="182" t="inlineStr"/>
      <c r="V57" s="182" t="inlineStr"/>
      <c r="W57" s="188" t="inlineStr">
        <is>
          <t>registered — preliminary date, QC sets the real date at issue</t>
        </is>
      </c>
    </row>
    <row r="58">
      <c r="A58" s="182" t="n">
        <v>57</v>
      </c>
      <c r="B58" s="182" t="inlineStr">
        <is>
          <t>initial release</t>
        </is>
      </c>
      <c r="C58" s="181">
        <f>IFERROR(INDEX('iCoA Register'!$B:$B,MATCH("P050252|AB|I",'iCoA Register'!$R:$R,0)),"— at issue —")</f>
        <v/>
      </c>
      <c r="D58" s="182" t="inlineStr"/>
      <c r="E58" s="182" t="inlineStr">
        <is>
          <t>(assigned on issue)</t>
        </is>
      </c>
      <c r="F58" s="182" t="inlineStr">
        <is>
          <t>02.12.2025</t>
        </is>
      </c>
      <c r="G58" s="183">
        <f>IFERROR(INDEX('iCoA Register'!$D:$D,MATCH("P050252|AB|I",'iCoA Register'!$R:$R,0)),"")</f>
        <v/>
      </c>
      <c r="H58" s="181" t="inlineStr">
        <is>
          <t>CJ072501</t>
        </is>
      </c>
      <c r="I58" s="182" t="inlineStr">
        <is>
          <t>P050252</t>
        </is>
      </c>
      <c r="J58" s="182" t="inlineStr">
        <is>
          <t>Cap Junky</t>
        </is>
      </c>
      <c r="K58" s="182" t="inlineStr">
        <is>
          <t>27.10.2025</t>
        </is>
      </c>
      <c r="L58" s="182" t="inlineStr">
        <is>
          <t>27.11.2025 – 28.11.2025 (the issuance plan's basis: 02.12.2025)</t>
        </is>
      </c>
      <c r="M58" s="182" t="inlineStr">
        <is>
          <t>28.11.2025</t>
        </is>
      </c>
      <c r="N58" s="182" t="inlineStr">
        <is>
          <t>Ident A + Ident B</t>
        </is>
      </c>
      <c r="O58" s="182" t="inlineStr">
        <is>
          <t>iCoA_P01-02 · Appearance &amp; Identification A/B</t>
        </is>
      </c>
      <c r="P58" s="182" t="inlineStr">
        <is>
          <t>Conforms</t>
        </is>
      </c>
      <c r="Q58" s="182" t="inlineStr">
        <is>
          <t>Conforms</t>
        </is>
      </c>
      <c r="R58" s="182" t="inlineStr">
        <is>
          <t>n/a</t>
        </is>
      </c>
      <c r="S58" s="182" t="inlineStr">
        <is>
          <t>ППК25367, (28.11.2025) [CNP]</t>
        </is>
      </c>
      <c r="T58" s="182" t="inlineStr"/>
      <c r="U58" s="182" t="inlineStr"/>
      <c r="V58" s="182" t="inlineStr"/>
      <c r="W58" s="188" t="inlineStr">
        <is>
          <t>registered — preliminary date, QC sets the real date at issue</t>
        </is>
      </c>
    </row>
    <row r="59">
      <c r="A59" s="182" t="n">
        <v>58</v>
      </c>
      <c r="B59" s="182" t="inlineStr">
        <is>
          <t>initial release</t>
        </is>
      </c>
      <c r="C59" s="181">
        <f>IFERROR(INDEX('iCoA Register'!$B:$B,MATCH("P050252|FM|I",'iCoA Register'!$R:$R,0)),"— at issue —")</f>
        <v/>
      </c>
      <c r="D59" s="182" t="inlineStr"/>
      <c r="E59" s="182" t="inlineStr">
        <is>
          <t>(assigned on issue)</t>
        </is>
      </c>
      <c r="F59" s="182" t="inlineStr">
        <is>
          <t>02.12.2025</t>
        </is>
      </c>
      <c r="G59" s="183">
        <f>IFERROR(INDEX('iCoA Register'!$D:$D,MATCH("P050252|FM|I",'iCoA Register'!$R:$R,0)),"")</f>
        <v/>
      </c>
      <c r="H59" s="181" t="inlineStr">
        <is>
          <t>CJ072501</t>
        </is>
      </c>
      <c r="I59" s="182" t="inlineStr">
        <is>
          <t>P050252</t>
        </is>
      </c>
      <c r="J59" s="182" t="inlineStr">
        <is>
          <t>Cap Junky</t>
        </is>
      </c>
      <c r="K59" s="182" t="inlineStr">
        <is>
          <t>27.10.2025</t>
        </is>
      </c>
      <c r="L59" s="182" t="inlineStr">
        <is>
          <t>27.11.2025 – 28.11.2025 (the issuance plan's basis: 02.12.2025)</t>
        </is>
      </c>
      <c r="M59" s="182" t="inlineStr">
        <is>
          <t>28.11.2025</t>
        </is>
      </c>
      <c r="N59" s="182" t="inlineStr">
        <is>
          <t>Foreign matter</t>
        </is>
      </c>
      <c r="O59" s="182" t="inlineStr">
        <is>
          <t>iCoA_P07 · Foreign matter</t>
        </is>
      </c>
      <c r="P59" s="182" t="inlineStr">
        <is>
          <t>n/a</t>
        </is>
      </c>
      <c r="Q59" s="182" t="inlineStr">
        <is>
          <t>n/a</t>
        </is>
      </c>
      <c r="R59" s="182" t="inlineStr">
        <is>
          <t>Conforms</t>
        </is>
      </c>
      <c r="S59" s="182" t="inlineStr">
        <is>
          <t>ППК25367, (28.11.2025) [CNP]</t>
        </is>
      </c>
      <c r="T59" s="182" t="inlineStr"/>
      <c r="U59" s="182" t="inlineStr"/>
      <c r="V59" s="182" t="inlineStr"/>
      <c r="W59" s="188" t="inlineStr">
        <is>
          <t>registered — preliminary date, QC sets the real date at issue</t>
        </is>
      </c>
    </row>
    <row r="60">
      <c r="A60" s="182" t="n">
        <v>59</v>
      </c>
      <c r="B60" s="182" t="inlineStr">
        <is>
          <t>initial release</t>
        </is>
      </c>
      <c r="C60" s="181">
        <f>IFERROR(INDEX('iCoA Register'!$B:$B,MATCH("P050262|AB|I",'iCoA Register'!$R:$R,0)),"— at issue —")</f>
        <v/>
      </c>
      <c r="D60" s="182" t="inlineStr"/>
      <c r="E60" s="182" t="inlineStr">
        <is>
          <t>(assigned on issue)</t>
        </is>
      </c>
      <c r="F60" s="182" t="inlineStr">
        <is>
          <t>02.12.2025</t>
        </is>
      </c>
      <c r="G60" s="183">
        <f>IFERROR(INDEX('iCoA Register'!$D:$D,MATCH("P050262|AB|I",'iCoA Register'!$R:$R,0)),"")</f>
        <v/>
      </c>
      <c r="H60" s="181" t="inlineStr">
        <is>
          <t>WC072501</t>
        </is>
      </c>
      <c r="I60" s="182" t="inlineStr">
        <is>
          <t>P050262</t>
        </is>
      </c>
      <c r="J60" s="182" t="inlineStr">
        <is>
          <t>Wedding Crusher</t>
        </is>
      </c>
      <c r="K60" s="182" t="inlineStr">
        <is>
          <t>27.10.2025 – 28.10.2025</t>
        </is>
      </c>
      <c r="L60" s="182" t="inlineStr">
        <is>
          <t>01.12.2025 (the issuance plan's basis: 02.12.2025)</t>
        </is>
      </c>
      <c r="M60" s="182" t="inlineStr">
        <is>
          <t>01.12.2025</t>
        </is>
      </c>
      <c r="N60" s="182" t="inlineStr">
        <is>
          <t>Ident A + Ident B</t>
        </is>
      </c>
      <c r="O60" s="182" t="inlineStr">
        <is>
          <t>iCoA_P01-02 · Appearance &amp; Identification A/B</t>
        </is>
      </c>
      <c r="P60" s="182" t="inlineStr">
        <is>
          <t>Conforms</t>
        </is>
      </c>
      <c r="Q60" s="182" t="inlineStr">
        <is>
          <t>Conforms</t>
        </is>
      </c>
      <c r="R60" s="182" t="inlineStr">
        <is>
          <t>n/a</t>
        </is>
      </c>
      <c r="S60" s="182" t="inlineStr">
        <is>
          <t>ППК25369, (28.11.2025) [CNP]</t>
        </is>
      </c>
      <c r="T60" s="182" t="inlineStr"/>
      <c r="U60" s="182" t="inlineStr"/>
      <c r="V60" s="182" t="inlineStr"/>
      <c r="W60" s="188" t="inlineStr">
        <is>
          <t>registered — preliminary date, QC sets the real date at issue</t>
        </is>
      </c>
    </row>
    <row r="61">
      <c r="A61" s="182" t="n">
        <v>60</v>
      </c>
      <c r="B61" s="182" t="inlineStr">
        <is>
          <t>initial release</t>
        </is>
      </c>
      <c r="C61" s="181">
        <f>IFERROR(INDEX('iCoA Register'!$B:$B,MATCH("P050262|FM|I",'iCoA Register'!$R:$R,0)),"— at issue —")</f>
        <v/>
      </c>
      <c r="D61" s="182" t="inlineStr"/>
      <c r="E61" s="182" t="inlineStr">
        <is>
          <t>(assigned on issue)</t>
        </is>
      </c>
      <c r="F61" s="182" t="inlineStr">
        <is>
          <t>02.12.2025</t>
        </is>
      </c>
      <c r="G61" s="183">
        <f>IFERROR(INDEX('iCoA Register'!$D:$D,MATCH("P050262|FM|I",'iCoA Register'!$R:$R,0)),"")</f>
        <v/>
      </c>
      <c r="H61" s="181" t="inlineStr">
        <is>
          <t>WC072501</t>
        </is>
      </c>
      <c r="I61" s="182" t="inlineStr">
        <is>
          <t>P050262</t>
        </is>
      </c>
      <c r="J61" s="182" t="inlineStr">
        <is>
          <t>Wedding Crusher</t>
        </is>
      </c>
      <c r="K61" s="182" t="inlineStr">
        <is>
          <t>27.10.2025 – 28.10.2025</t>
        </is>
      </c>
      <c r="L61" s="182" t="inlineStr">
        <is>
          <t>01.12.2025 (the issuance plan's basis: 02.12.2025)</t>
        </is>
      </c>
      <c r="M61" s="182" t="inlineStr">
        <is>
          <t>01.12.2025</t>
        </is>
      </c>
      <c r="N61" s="182" t="inlineStr">
        <is>
          <t>Foreign matter</t>
        </is>
      </c>
      <c r="O61" s="182" t="inlineStr">
        <is>
          <t>iCoA_P07 · Foreign matter</t>
        </is>
      </c>
      <c r="P61" s="182" t="inlineStr">
        <is>
          <t>n/a</t>
        </is>
      </c>
      <c r="Q61" s="182" t="inlineStr">
        <is>
          <t>n/a</t>
        </is>
      </c>
      <c r="R61" s="182" t="inlineStr">
        <is>
          <t>Conforms</t>
        </is>
      </c>
      <c r="S61" s="182" t="inlineStr">
        <is>
          <t>ППК25369, (28.11.2025) [CNP]</t>
        </is>
      </c>
      <c r="T61" s="182" t="inlineStr"/>
      <c r="U61" s="182" t="inlineStr"/>
      <c r="V61" s="182" t="inlineStr"/>
      <c r="W61" s="188" t="inlineStr">
        <is>
          <t>registered — preliminary date, QC sets the real date at issue</t>
        </is>
      </c>
    </row>
    <row r="62">
      <c r="A62" s="182" t="n">
        <v>61</v>
      </c>
      <c r="B62" s="182" t="inlineStr">
        <is>
          <t>initial release</t>
        </is>
      </c>
      <c r="C62" s="181">
        <f>IFERROR(INDEX('iCoA Register'!$B:$B,MATCH("P050272|AB|I",'iCoA Register'!$R:$R,0)),"— at issue —")</f>
        <v/>
      </c>
      <c r="D62" s="182" t="inlineStr"/>
      <c r="E62" s="182" t="inlineStr">
        <is>
          <t>(assigned on issue)</t>
        </is>
      </c>
      <c r="F62" s="182" t="inlineStr">
        <is>
          <t>21.01.2026</t>
        </is>
      </c>
      <c r="G62" s="183">
        <f>IFERROR(INDEX('iCoA Register'!$D:$D,MATCH("P050272|AB|I",'iCoA Register'!$R:$R,0)),"")</f>
        <v/>
      </c>
      <c r="H62" s="181" t="inlineStr">
        <is>
          <t>PM072501</t>
        </is>
      </c>
      <c r="I62" s="182" t="inlineStr">
        <is>
          <t>P050272</t>
        </is>
      </c>
      <c r="J62" s="182" t="inlineStr">
        <is>
          <t>Permanent Marker</t>
        </is>
      </c>
      <c r="K62" s="182" t="inlineStr">
        <is>
          <t>27.10.2025</t>
        </is>
      </c>
      <c r="L62" s="182" t="inlineStr">
        <is>
          <t>02.12.2025 – 03.12.2025 (the issuance plan's basis: 21.01.2026)</t>
        </is>
      </c>
      <c r="M62" s="182" t="inlineStr">
        <is>
          <t>03.12.2025</t>
        </is>
      </c>
      <c r="N62" s="182" t="inlineStr">
        <is>
          <t>Ident A + Ident B</t>
        </is>
      </c>
      <c r="O62" s="182" t="inlineStr">
        <is>
          <t>iCoA_P01-02 · Appearance &amp; Identification A/B</t>
        </is>
      </c>
      <c r="P62" s="182" t="inlineStr">
        <is>
          <t>Conforms</t>
        </is>
      </c>
      <c r="Q62" s="182" t="inlineStr">
        <is>
          <t>Conforms</t>
        </is>
      </c>
      <c r="R62" s="182" t="inlineStr">
        <is>
          <t>n/a</t>
        </is>
      </c>
      <c r="S62" s="182" t="inlineStr">
        <is>
          <t>ППК25368, (28.11.2025) [CNP]</t>
        </is>
      </c>
      <c r="T62" s="182" t="inlineStr"/>
      <c r="U62" s="182" t="inlineStr"/>
      <c r="V62" s="182" t="inlineStr"/>
      <c r="W62" s="188" t="inlineStr">
        <is>
          <t>registered — preliminary date, QC sets the real date at issue</t>
        </is>
      </c>
    </row>
    <row r="63">
      <c r="A63" s="182" t="n">
        <v>62</v>
      </c>
      <c r="B63" s="182" t="inlineStr">
        <is>
          <t>initial release</t>
        </is>
      </c>
      <c r="C63" s="181">
        <f>IFERROR(INDEX('iCoA Register'!$B:$B,MATCH("P050272|FM|I",'iCoA Register'!$R:$R,0)),"— at issue —")</f>
        <v/>
      </c>
      <c r="D63" s="182" t="inlineStr"/>
      <c r="E63" s="182" t="inlineStr">
        <is>
          <t>(assigned on issue)</t>
        </is>
      </c>
      <c r="F63" s="182" t="inlineStr">
        <is>
          <t>21.01.2026</t>
        </is>
      </c>
      <c r="G63" s="183">
        <f>IFERROR(INDEX('iCoA Register'!$D:$D,MATCH("P050272|FM|I",'iCoA Register'!$R:$R,0)),"")</f>
        <v/>
      </c>
      <c r="H63" s="181" t="inlineStr">
        <is>
          <t>PM072501</t>
        </is>
      </c>
      <c r="I63" s="182" t="inlineStr">
        <is>
          <t>P050272</t>
        </is>
      </c>
      <c r="J63" s="182" t="inlineStr">
        <is>
          <t>Permanent Marker</t>
        </is>
      </c>
      <c r="K63" s="182" t="inlineStr">
        <is>
          <t>27.10.2025</t>
        </is>
      </c>
      <c r="L63" s="182" t="inlineStr">
        <is>
          <t>02.12.2025 – 03.12.2025 (the issuance plan's basis: 21.01.2026)</t>
        </is>
      </c>
      <c r="M63" s="182" t="inlineStr">
        <is>
          <t>03.12.2025</t>
        </is>
      </c>
      <c r="N63" s="182" t="inlineStr">
        <is>
          <t>Foreign matter</t>
        </is>
      </c>
      <c r="O63" s="182" t="inlineStr">
        <is>
          <t>iCoA_P07 · Foreign matter</t>
        </is>
      </c>
      <c r="P63" s="182" t="inlineStr">
        <is>
          <t>n/a</t>
        </is>
      </c>
      <c r="Q63" s="182" t="inlineStr">
        <is>
          <t>n/a</t>
        </is>
      </c>
      <c r="R63" s="182" t="inlineStr">
        <is>
          <t>Conforms</t>
        </is>
      </c>
      <c r="S63" s="182" t="inlineStr">
        <is>
          <t>ППК25368, (28.11.2025) [CNP]</t>
        </is>
      </c>
      <c r="T63" s="182" t="inlineStr"/>
      <c r="U63" s="182" t="inlineStr"/>
      <c r="V63" s="182" t="inlineStr"/>
      <c r="W63" s="188" t="inlineStr">
        <is>
          <t>registered — preliminary date, QC sets the real date at issue</t>
        </is>
      </c>
    </row>
    <row r="64">
      <c r="A64" s="182" t="n">
        <v>63</v>
      </c>
      <c r="B64" s="182" t="inlineStr">
        <is>
          <t>initial release</t>
        </is>
      </c>
      <c r="C64" s="181">
        <f>IFERROR(INDEX('iCoA Register'!$B:$B,MATCH("P050282|AB|I",'iCoA Register'!$R:$R,0)),"— at issue —")</f>
        <v/>
      </c>
      <c r="D64" s="182" t="inlineStr">
        <is>
          <t>iCoA-PP-2025-0019</t>
        </is>
      </c>
      <c r="E64" s="182" t="inlineStr">
        <is>
          <t>CoQ-PP-2025-0019</t>
        </is>
      </c>
      <c r="F64" s="182" t="inlineStr">
        <is>
          <t>03.12.2025</t>
        </is>
      </c>
      <c r="G64" s="183">
        <f>IFERROR(INDEX('iCoA Register'!$D:$D,MATCH("P050282|AB|I",'iCoA Register'!$R:$R,0)),"")</f>
        <v/>
      </c>
      <c r="H64" s="181" t="inlineStr">
        <is>
          <t>CLE072501</t>
        </is>
      </c>
      <c r="I64" s="182" t="inlineStr">
        <is>
          <t>P050282</t>
        </is>
      </c>
      <c r="J64" s="182" t="inlineStr">
        <is>
          <t>Clemosa a bud</t>
        </is>
      </c>
      <c r="K64" s="182" t="inlineStr">
        <is>
          <t>28.10.2025</t>
        </is>
      </c>
      <c r="L64" s="182" t="inlineStr">
        <is>
          <t>03.12.2025 – 04.12.2025</t>
        </is>
      </c>
      <c r="M64" s="182" t="inlineStr">
        <is>
          <t>04.12.2025</t>
        </is>
      </c>
      <c r="N64" s="182" t="inlineStr">
        <is>
          <t>Ident A + Ident B</t>
        </is>
      </c>
      <c r="O64" s="182" t="inlineStr">
        <is>
          <t>iCoA_P01-02 · Appearance &amp; Identification A/B</t>
        </is>
      </c>
      <c r="P64" s="182" t="inlineStr">
        <is>
          <t>Conforms</t>
        </is>
      </c>
      <c r="Q64" s="182" t="inlineStr">
        <is>
          <t>Conforms</t>
        </is>
      </c>
      <c r="R64" s="182" t="inlineStr">
        <is>
          <t>n/a</t>
        </is>
      </c>
      <c r="S64" s="182" t="inlineStr">
        <is>
          <t>ППК25370, (28.11.2025) [CNP]</t>
        </is>
      </c>
      <c r="T64" s="182" t="inlineStr"/>
      <c r="U64" s="182" t="inlineStr"/>
      <c r="V64" s="182" t="inlineStr"/>
      <c r="W64" s="188" t="inlineStr">
        <is>
          <t>registered — preliminary date, QC sets the real date at issue</t>
        </is>
      </c>
    </row>
    <row r="65">
      <c r="A65" s="182" t="n">
        <v>64</v>
      </c>
      <c r="B65" s="182" t="inlineStr">
        <is>
          <t>initial release</t>
        </is>
      </c>
      <c r="C65" s="181">
        <f>IFERROR(INDEX('iCoA Register'!$B:$B,MATCH("P050282|FM|I",'iCoA Register'!$R:$R,0)),"— at issue —")</f>
        <v/>
      </c>
      <c r="D65" s="182" t="inlineStr">
        <is>
          <t>iCoA-PP-2025-0019</t>
        </is>
      </c>
      <c r="E65" s="182" t="inlineStr">
        <is>
          <t>CoQ-PP-2025-0019</t>
        </is>
      </c>
      <c r="F65" s="182" t="inlineStr">
        <is>
          <t>03.12.2025</t>
        </is>
      </c>
      <c r="G65" s="183">
        <f>IFERROR(INDEX('iCoA Register'!$D:$D,MATCH("P050282|FM|I",'iCoA Register'!$R:$R,0)),"")</f>
        <v/>
      </c>
      <c r="H65" s="181" t="inlineStr">
        <is>
          <t>CLE072501</t>
        </is>
      </c>
      <c r="I65" s="182" t="inlineStr">
        <is>
          <t>P050282</t>
        </is>
      </c>
      <c r="J65" s="182" t="inlineStr">
        <is>
          <t>Clemosa a bud</t>
        </is>
      </c>
      <c r="K65" s="182" t="inlineStr">
        <is>
          <t>28.10.2025</t>
        </is>
      </c>
      <c r="L65" s="182" t="inlineStr">
        <is>
          <t>03.12.2025 – 04.12.2025</t>
        </is>
      </c>
      <c r="M65" s="182" t="inlineStr">
        <is>
          <t>04.12.2025</t>
        </is>
      </c>
      <c r="N65" s="182" t="inlineStr">
        <is>
          <t>Foreign matter</t>
        </is>
      </c>
      <c r="O65" s="182" t="inlineStr">
        <is>
          <t>iCoA_P07 · Foreign matter</t>
        </is>
      </c>
      <c r="P65" s="182" t="inlineStr">
        <is>
          <t>n/a</t>
        </is>
      </c>
      <c r="Q65" s="182" t="inlineStr">
        <is>
          <t>n/a</t>
        </is>
      </c>
      <c r="R65" s="182" t="inlineStr">
        <is>
          <t>Conforms</t>
        </is>
      </c>
      <c r="S65" s="182" t="inlineStr">
        <is>
          <t>ППК25370, (28.11.2025) [CNP]</t>
        </is>
      </c>
      <c r="T65" s="182" t="inlineStr"/>
      <c r="U65" s="182" t="inlineStr"/>
      <c r="V65" s="182" t="inlineStr"/>
      <c r="W65" s="188" t="inlineStr">
        <is>
          <t>registered — preliminary date, QC sets the real date at issue</t>
        </is>
      </c>
    </row>
    <row r="66">
      <c r="A66" s="182" t="n">
        <v>65</v>
      </c>
      <c r="B66" s="182" t="inlineStr">
        <is>
          <t>initial release</t>
        </is>
      </c>
      <c r="C66" s="181">
        <f>IFERROR(INDEX('iCoA Register'!$B:$B,MATCH("P050292|AB|I",'iCoA Register'!$R:$R,0)),"— at issue —")</f>
        <v/>
      </c>
      <c r="D66" s="182" t="inlineStr"/>
      <c r="E66" s="182" t="inlineStr">
        <is>
          <t>(assigned on issue)</t>
        </is>
      </c>
      <c r="F66" s="182" t="inlineStr">
        <is>
          <t>21.01.2026</t>
        </is>
      </c>
      <c r="G66" s="183">
        <f>IFERROR(INDEX('iCoA Register'!$D:$D,MATCH("P050292|AB|I",'iCoA Register'!$R:$R,0)),"")</f>
        <v/>
      </c>
      <c r="H66" s="181" t="inlineStr">
        <is>
          <t>GP072501/1</t>
        </is>
      </c>
      <c r="I66" s="182" t="inlineStr">
        <is>
          <t>P050292</t>
        </is>
      </c>
      <c r="J66" s="182" t="inlineStr">
        <is>
          <t>Grape Pie</t>
        </is>
      </c>
      <c r="K66" s="182" t="inlineStr">
        <is>
          <t>11.11.2025 – 13.11.2025</t>
        </is>
      </c>
      <c r="L66" s="182" t="inlineStr">
        <is>
          <t>15.12.2025 – 21.12.2025 (the issuance plan's basis: 21.01.2026)</t>
        </is>
      </c>
      <c r="M66" s="182" t="inlineStr">
        <is>
          <t>21.12.2025</t>
        </is>
      </c>
      <c r="N66" s="182" t="inlineStr">
        <is>
          <t>Ident A + Ident B</t>
        </is>
      </c>
      <c r="O66" s="182" t="inlineStr">
        <is>
          <t>iCoA_P01-02 · Appearance &amp; Identification A/B</t>
        </is>
      </c>
      <c r="P66" s="182" t="inlineStr">
        <is>
          <t>Conforms</t>
        </is>
      </c>
      <c r="Q66" s="182" t="inlineStr">
        <is>
          <t>Conforms</t>
        </is>
      </c>
      <c r="R66" s="182" t="inlineStr">
        <is>
          <t>n/a</t>
        </is>
      </c>
      <c r="S66" s="182" t="inlineStr">
        <is>
          <t>ППК25378, (12.12.2025) [CNP]</t>
        </is>
      </c>
      <c r="T66" s="182" t="inlineStr"/>
      <c r="U66" s="182" t="inlineStr"/>
      <c r="V66" s="182" t="inlineStr"/>
      <c r="W66" s="188" t="inlineStr">
        <is>
          <t>registered — preliminary date, QC sets the real date at issue</t>
        </is>
      </c>
    </row>
    <row r="67">
      <c r="A67" s="182" t="n">
        <v>66</v>
      </c>
      <c r="B67" s="182" t="inlineStr">
        <is>
          <t>initial release</t>
        </is>
      </c>
      <c r="C67" s="181">
        <f>IFERROR(INDEX('iCoA Register'!$B:$B,MATCH("P050292|FM|I",'iCoA Register'!$R:$R,0)),"— at issue —")</f>
        <v/>
      </c>
      <c r="D67" s="182" t="inlineStr"/>
      <c r="E67" s="182" t="inlineStr">
        <is>
          <t>(assigned on issue)</t>
        </is>
      </c>
      <c r="F67" s="182" t="inlineStr">
        <is>
          <t>21.01.2026</t>
        </is>
      </c>
      <c r="G67" s="183">
        <f>IFERROR(INDEX('iCoA Register'!$D:$D,MATCH("P050292|FM|I",'iCoA Register'!$R:$R,0)),"")</f>
        <v/>
      </c>
      <c r="H67" s="181" t="inlineStr">
        <is>
          <t>GP072501/1</t>
        </is>
      </c>
      <c r="I67" s="182" t="inlineStr">
        <is>
          <t>P050292</t>
        </is>
      </c>
      <c r="J67" s="182" t="inlineStr">
        <is>
          <t>Grape Pie</t>
        </is>
      </c>
      <c r="K67" s="182" t="inlineStr">
        <is>
          <t>11.11.2025 – 13.11.2025</t>
        </is>
      </c>
      <c r="L67" s="182" t="inlineStr">
        <is>
          <t>15.12.2025 – 21.12.2025 (the issuance plan's basis: 21.01.2026)</t>
        </is>
      </c>
      <c r="M67" s="182" t="inlineStr">
        <is>
          <t>21.12.2025</t>
        </is>
      </c>
      <c r="N67" s="182" t="inlineStr">
        <is>
          <t>Foreign matter</t>
        </is>
      </c>
      <c r="O67" s="182" t="inlineStr">
        <is>
          <t>iCoA_P07 · Foreign matter</t>
        </is>
      </c>
      <c r="P67" s="182" t="inlineStr">
        <is>
          <t>n/a</t>
        </is>
      </c>
      <c r="Q67" s="182" t="inlineStr">
        <is>
          <t>n/a</t>
        </is>
      </c>
      <c r="R67" s="182" t="inlineStr">
        <is>
          <t>Conforms</t>
        </is>
      </c>
      <c r="S67" s="182" t="inlineStr">
        <is>
          <t>ППК25378, (12.12.2025) [CNP]</t>
        </is>
      </c>
      <c r="T67" s="182" t="inlineStr"/>
      <c r="U67" s="182" t="inlineStr"/>
      <c r="V67" s="182" t="inlineStr"/>
      <c r="W67" s="188" t="inlineStr">
        <is>
          <t>registered — preliminary date, QC sets the real date at issue</t>
        </is>
      </c>
    </row>
    <row r="68">
      <c r="A68" s="182" t="n">
        <v>67</v>
      </c>
      <c r="B68" s="182" t="inlineStr">
        <is>
          <t>initial release</t>
        </is>
      </c>
      <c r="C68" s="181">
        <f>IFERROR(INDEX('iCoA Register'!$B:$B,MATCH("P050302|AB|I",'iCoA Register'!$R:$R,0)),"— at issue —")</f>
        <v/>
      </c>
      <c r="D68" s="182" t="inlineStr">
        <is>
          <t>iCoA-PP-2025-0020</t>
        </is>
      </c>
      <c r="E68" s="182" t="inlineStr">
        <is>
          <t>CoQ-PP-2025-0020</t>
        </is>
      </c>
      <c r="F68" s="182" t="inlineStr">
        <is>
          <t>22.12.2025</t>
        </is>
      </c>
      <c r="G68" s="183">
        <f>IFERROR(INDEX('iCoA Register'!$D:$D,MATCH("P050302|AB|I",'iCoA Register'!$R:$R,0)),"")</f>
        <v/>
      </c>
      <c r="H68" s="181" t="inlineStr">
        <is>
          <t>GP072501/2</t>
        </is>
      </c>
      <c r="I68" s="182" t="inlineStr">
        <is>
          <t>P050302</t>
        </is>
      </c>
      <c r="J68" s="182" t="inlineStr">
        <is>
          <t>Grape Pie</t>
        </is>
      </c>
      <c r="K68" s="182" t="inlineStr">
        <is>
          <t>13.11.2025</t>
        </is>
      </c>
      <c r="L68" s="182" t="inlineStr">
        <is>
          <t>22.12.2025</t>
        </is>
      </c>
      <c r="M68" s="182" t="inlineStr">
        <is>
          <t>22.12.2025</t>
        </is>
      </c>
      <c r="N68" s="182" t="inlineStr">
        <is>
          <t>Ident A + Ident B</t>
        </is>
      </c>
      <c r="O68" s="182" t="inlineStr">
        <is>
          <t>iCoA_P01-02 · Appearance &amp; Identification A/B</t>
        </is>
      </c>
      <c r="P68" s="182" t="inlineStr">
        <is>
          <t>Conforms</t>
        </is>
      </c>
      <c r="Q68" s="182" t="inlineStr">
        <is>
          <t>Conforms</t>
        </is>
      </c>
      <c r="R68" s="182" t="inlineStr">
        <is>
          <t>n/a</t>
        </is>
      </c>
      <c r="S68" s="182" t="inlineStr">
        <is>
          <t>ППК25379, (12.12.2025) [CNP]</t>
        </is>
      </c>
      <c r="T68" s="182" t="inlineStr"/>
      <c r="U68" s="182" t="inlineStr"/>
      <c r="V68" s="182" t="inlineStr"/>
      <c r="W68" s="188" t="inlineStr">
        <is>
          <t>registered — preliminary date, QC sets the real date at issue</t>
        </is>
      </c>
    </row>
    <row r="69">
      <c r="A69" s="182" t="n">
        <v>68</v>
      </c>
      <c r="B69" s="182" t="inlineStr">
        <is>
          <t>initial release</t>
        </is>
      </c>
      <c r="C69" s="181">
        <f>IFERROR(INDEX('iCoA Register'!$B:$B,MATCH("P050302|FM|I",'iCoA Register'!$R:$R,0)),"— at issue —")</f>
        <v/>
      </c>
      <c r="D69" s="182" t="inlineStr">
        <is>
          <t>iCoA-PP-2025-0020</t>
        </is>
      </c>
      <c r="E69" s="182" t="inlineStr">
        <is>
          <t>CoQ-PP-2025-0020</t>
        </is>
      </c>
      <c r="F69" s="182" t="inlineStr">
        <is>
          <t>22.12.2025</t>
        </is>
      </c>
      <c r="G69" s="183">
        <f>IFERROR(INDEX('iCoA Register'!$D:$D,MATCH("P050302|FM|I",'iCoA Register'!$R:$R,0)),"")</f>
        <v/>
      </c>
      <c r="H69" s="181" t="inlineStr">
        <is>
          <t>GP072501/2</t>
        </is>
      </c>
      <c r="I69" s="182" t="inlineStr">
        <is>
          <t>P050302</t>
        </is>
      </c>
      <c r="J69" s="182" t="inlineStr">
        <is>
          <t>Grape Pie</t>
        </is>
      </c>
      <c r="K69" s="182" t="inlineStr">
        <is>
          <t>13.11.2025</t>
        </is>
      </c>
      <c r="L69" s="182" t="inlineStr">
        <is>
          <t>22.12.2025</t>
        </is>
      </c>
      <c r="M69" s="182" t="inlineStr">
        <is>
          <t>22.12.2025</t>
        </is>
      </c>
      <c r="N69" s="182" t="inlineStr">
        <is>
          <t>Foreign matter</t>
        </is>
      </c>
      <c r="O69" s="182" t="inlineStr">
        <is>
          <t>iCoA_P07 · Foreign matter</t>
        </is>
      </c>
      <c r="P69" s="182" t="inlineStr">
        <is>
          <t>n/a</t>
        </is>
      </c>
      <c r="Q69" s="182" t="inlineStr">
        <is>
          <t>n/a</t>
        </is>
      </c>
      <c r="R69" s="182" t="inlineStr">
        <is>
          <t>Conforms</t>
        </is>
      </c>
      <c r="S69" s="182" t="inlineStr">
        <is>
          <t>ППК25379, (12.12.2025) [CNP]</t>
        </is>
      </c>
      <c r="T69" s="182" t="inlineStr"/>
      <c r="U69" s="182" t="inlineStr"/>
      <c r="V69" s="182" t="inlineStr"/>
      <c r="W69" s="188" t="inlineStr">
        <is>
          <t>registered — preliminary date, QC sets the real date at issue</t>
        </is>
      </c>
    </row>
    <row r="70">
      <c r="A70" s="182" t="n">
        <v>69</v>
      </c>
      <c r="B70" s="182" t="inlineStr">
        <is>
          <t>initial release</t>
        </is>
      </c>
      <c r="C70" s="181">
        <f>IFERROR(INDEX('iCoA Register'!$B:$B,MATCH("P050312|AB|I",'iCoA Register'!$R:$R,0)),"— at issue —")</f>
        <v/>
      </c>
      <c r="D70" s="182" t="inlineStr">
        <is>
          <t>iCoA-PP-2025-0021</t>
        </is>
      </c>
      <c r="E70" s="182" t="inlineStr">
        <is>
          <t>CoQ-PP-2025-0021</t>
        </is>
      </c>
      <c r="F70" s="182" t="inlineStr">
        <is>
          <t>23.12.2025</t>
        </is>
      </c>
      <c r="G70" s="183">
        <f>IFERROR(INDEX('iCoA Register'!$D:$D,MATCH("P050312|AB|I",'iCoA Register'!$R:$R,0)),"")</f>
        <v/>
      </c>
      <c r="H70" s="181" t="inlineStr">
        <is>
          <t>GP082501/1</t>
        </is>
      </c>
      <c r="I70" s="182" t="inlineStr">
        <is>
          <t>P050312</t>
        </is>
      </c>
      <c r="J70" s="182" t="inlineStr">
        <is>
          <t>Grape Pie</t>
        </is>
      </c>
      <c r="K70" s="182" t="inlineStr">
        <is>
          <t>19.11.2025 – 20.11.2025</t>
        </is>
      </c>
      <c r="L70" s="182" t="inlineStr">
        <is>
          <t>23.12.2025 – 26.12.2025</t>
        </is>
      </c>
      <c r="M70" s="182" t="inlineStr">
        <is>
          <t>26.12.2025</t>
        </is>
      </c>
      <c r="N70" s="182" t="inlineStr">
        <is>
          <t>Ident A + Ident B</t>
        </is>
      </c>
      <c r="O70" s="182" t="inlineStr">
        <is>
          <t>iCoA_P01-02 · Appearance &amp; Identification A/B</t>
        </is>
      </c>
      <c r="P70" s="182" t="inlineStr">
        <is>
          <t>Conforms</t>
        </is>
      </c>
      <c r="Q70" s="182" t="inlineStr">
        <is>
          <t>Conforms</t>
        </is>
      </c>
      <c r="R70" s="182" t="inlineStr">
        <is>
          <t>n/a</t>
        </is>
      </c>
      <c r="S70" s="182" t="inlineStr">
        <is>
          <t>ППК25380, (12.12.2025) [CNP]</t>
        </is>
      </c>
      <c r="T70" s="182" t="inlineStr"/>
      <c r="U70" s="182" t="inlineStr"/>
      <c r="V70" s="182" t="inlineStr"/>
      <c r="W70" s="188" t="inlineStr">
        <is>
          <t>registered — preliminary date, QC sets the real date at issue</t>
        </is>
      </c>
    </row>
    <row r="71">
      <c r="A71" s="182" t="n">
        <v>70</v>
      </c>
      <c r="B71" s="182" t="inlineStr">
        <is>
          <t>initial release</t>
        </is>
      </c>
      <c r="C71" s="181">
        <f>IFERROR(INDEX('iCoA Register'!$B:$B,MATCH("P050312|FM|I",'iCoA Register'!$R:$R,0)),"— at issue —")</f>
        <v/>
      </c>
      <c r="D71" s="182" t="inlineStr">
        <is>
          <t>iCoA-PP-2025-0021</t>
        </is>
      </c>
      <c r="E71" s="182" t="inlineStr">
        <is>
          <t>CoQ-PP-2025-0021</t>
        </is>
      </c>
      <c r="F71" s="182" t="inlineStr">
        <is>
          <t>23.12.2025</t>
        </is>
      </c>
      <c r="G71" s="183">
        <f>IFERROR(INDEX('iCoA Register'!$D:$D,MATCH("P050312|FM|I",'iCoA Register'!$R:$R,0)),"")</f>
        <v/>
      </c>
      <c r="H71" s="181" t="inlineStr">
        <is>
          <t>GP082501/1</t>
        </is>
      </c>
      <c r="I71" s="182" t="inlineStr">
        <is>
          <t>P050312</t>
        </is>
      </c>
      <c r="J71" s="182" t="inlineStr">
        <is>
          <t>Grape Pie</t>
        </is>
      </c>
      <c r="K71" s="182" t="inlineStr">
        <is>
          <t>19.11.2025 – 20.11.2025</t>
        </is>
      </c>
      <c r="L71" s="182" t="inlineStr">
        <is>
          <t>23.12.2025 – 26.12.2025</t>
        </is>
      </c>
      <c r="M71" s="182" t="inlineStr">
        <is>
          <t>26.12.2025</t>
        </is>
      </c>
      <c r="N71" s="182" t="inlineStr">
        <is>
          <t>Foreign matter</t>
        </is>
      </c>
      <c r="O71" s="182" t="inlineStr">
        <is>
          <t>iCoA_P07 · Foreign matter</t>
        </is>
      </c>
      <c r="P71" s="182" t="inlineStr">
        <is>
          <t>n/a</t>
        </is>
      </c>
      <c r="Q71" s="182" t="inlineStr">
        <is>
          <t>n/a</t>
        </is>
      </c>
      <c r="R71" s="182" t="inlineStr">
        <is>
          <t>Conforms</t>
        </is>
      </c>
      <c r="S71" s="182" t="inlineStr">
        <is>
          <t>ППК25380, (12.12.2025) [CNP]</t>
        </is>
      </c>
      <c r="T71" s="182" t="inlineStr"/>
      <c r="U71" s="182" t="inlineStr"/>
      <c r="V71" s="182" t="inlineStr"/>
      <c r="W71" s="188" t="inlineStr">
        <is>
          <t>registered — preliminary date, QC sets the real date at issue</t>
        </is>
      </c>
    </row>
    <row r="72">
      <c r="A72" s="182" t="n">
        <v>71</v>
      </c>
      <c r="B72" s="182" t="inlineStr">
        <is>
          <t>initial release</t>
        </is>
      </c>
      <c r="C72" s="181">
        <f>IFERROR(INDEX('iCoA Register'!$B:$B,MATCH("P050322|AB|I",'iCoA Register'!$R:$R,0)),"— at issue —")</f>
        <v/>
      </c>
      <c r="D72" s="182" t="inlineStr">
        <is>
          <t>iCoA-PP-2025-0022</t>
        </is>
      </c>
      <c r="E72" s="182" t="inlineStr">
        <is>
          <t>CoQ-PP-2025-0022</t>
        </is>
      </c>
      <c r="F72" s="182" t="inlineStr">
        <is>
          <t>26.12.2025</t>
        </is>
      </c>
      <c r="G72" s="183">
        <f>IFERROR(INDEX('iCoA Register'!$D:$D,MATCH("P050322|AB|I",'iCoA Register'!$R:$R,0)),"")</f>
        <v/>
      </c>
      <c r="H72" s="181" t="inlineStr">
        <is>
          <t>GP082501/2</t>
        </is>
      </c>
      <c r="I72" s="182" t="inlineStr">
        <is>
          <t>P050322</t>
        </is>
      </c>
      <c r="J72" s="182" t="inlineStr">
        <is>
          <t>Grape Pie</t>
        </is>
      </c>
      <c r="K72" s="182" t="inlineStr">
        <is>
          <t>20.11.2025</t>
        </is>
      </c>
      <c r="L72" s="182" t="inlineStr">
        <is>
          <t>26.12.2025</t>
        </is>
      </c>
      <c r="M72" s="182" t="inlineStr">
        <is>
          <t>26.12.2025</t>
        </is>
      </c>
      <c r="N72" s="182" t="inlineStr">
        <is>
          <t>Ident A + Ident B</t>
        </is>
      </c>
      <c r="O72" s="182" t="inlineStr">
        <is>
          <t>iCoA_P01-02 · Appearance &amp; Identification A/B</t>
        </is>
      </c>
      <c r="P72" s="182" t="inlineStr">
        <is>
          <t>Conforms</t>
        </is>
      </c>
      <c r="Q72" s="182" t="inlineStr">
        <is>
          <t>Conforms</t>
        </is>
      </c>
      <c r="R72" s="182" t="inlineStr">
        <is>
          <t>n/a</t>
        </is>
      </c>
      <c r="S72" s="182" t="inlineStr">
        <is>
          <t>ППК25381, (12.12.2025) [CNP]</t>
        </is>
      </c>
      <c r="T72" s="182" t="inlineStr"/>
      <c r="U72" s="182" t="inlineStr"/>
      <c r="V72" s="182" t="inlineStr"/>
      <c r="W72" s="188" t="inlineStr">
        <is>
          <t>registered — preliminary date, QC sets the real date at issue</t>
        </is>
      </c>
    </row>
    <row r="73">
      <c r="A73" s="182" t="n">
        <v>72</v>
      </c>
      <c r="B73" s="182" t="inlineStr">
        <is>
          <t>initial release</t>
        </is>
      </c>
      <c r="C73" s="181">
        <f>IFERROR(INDEX('iCoA Register'!$B:$B,MATCH("P050322|FM|I",'iCoA Register'!$R:$R,0)),"— at issue —")</f>
        <v/>
      </c>
      <c r="D73" s="182" t="inlineStr">
        <is>
          <t>iCoA-PP-2025-0022</t>
        </is>
      </c>
      <c r="E73" s="182" t="inlineStr">
        <is>
          <t>CoQ-PP-2025-0022</t>
        </is>
      </c>
      <c r="F73" s="182" t="inlineStr">
        <is>
          <t>26.12.2025</t>
        </is>
      </c>
      <c r="G73" s="183">
        <f>IFERROR(INDEX('iCoA Register'!$D:$D,MATCH("P050322|FM|I",'iCoA Register'!$R:$R,0)),"")</f>
        <v/>
      </c>
      <c r="H73" s="181" t="inlineStr">
        <is>
          <t>GP082501/2</t>
        </is>
      </c>
      <c r="I73" s="182" t="inlineStr">
        <is>
          <t>P050322</t>
        </is>
      </c>
      <c r="J73" s="182" t="inlineStr">
        <is>
          <t>Grape Pie</t>
        </is>
      </c>
      <c r="K73" s="182" t="inlineStr">
        <is>
          <t>20.11.2025</t>
        </is>
      </c>
      <c r="L73" s="182" t="inlineStr">
        <is>
          <t>26.12.2025</t>
        </is>
      </c>
      <c r="M73" s="182" t="inlineStr">
        <is>
          <t>26.12.2025</t>
        </is>
      </c>
      <c r="N73" s="182" t="inlineStr">
        <is>
          <t>Foreign matter</t>
        </is>
      </c>
      <c r="O73" s="182" t="inlineStr">
        <is>
          <t>iCoA_P07 · Foreign matter</t>
        </is>
      </c>
      <c r="P73" s="182" t="inlineStr">
        <is>
          <t>n/a</t>
        </is>
      </c>
      <c r="Q73" s="182" t="inlineStr">
        <is>
          <t>n/a</t>
        </is>
      </c>
      <c r="R73" s="182" t="inlineStr">
        <is>
          <t>Conforms</t>
        </is>
      </c>
      <c r="S73" s="182" t="inlineStr">
        <is>
          <t>ППК25381, (12.12.2025) [CNP]</t>
        </is>
      </c>
      <c r="T73" s="182" t="inlineStr"/>
      <c r="U73" s="182" t="inlineStr"/>
      <c r="V73" s="182" t="inlineStr"/>
      <c r="W73" s="188" t="inlineStr">
        <is>
          <t>registered — preliminary date, QC sets the real date at issue</t>
        </is>
      </c>
    </row>
    <row r="74">
      <c r="A74" s="182" t="n">
        <v>73</v>
      </c>
      <c r="B74" s="182" t="inlineStr">
        <is>
          <t>initial release</t>
        </is>
      </c>
      <c r="C74" s="181">
        <f>IFERROR(INDEX('iCoA Register'!$B:$B,MATCH("P060012|AB|I",'iCoA Register'!$R:$R,0)),"— at issue —")</f>
        <v/>
      </c>
      <c r="D74" s="182" t="inlineStr">
        <is>
          <t>iCoA-PP-2026-0001</t>
        </is>
      </c>
      <c r="E74" s="182" t="inlineStr">
        <is>
          <t>CoQ-PP-2026-0001</t>
        </is>
      </c>
      <c r="F74" s="182" t="inlineStr">
        <is>
          <t>13.01.2026</t>
        </is>
      </c>
      <c r="G74" s="183">
        <f>IFERROR(INDEX('iCoA Register'!$D:$D,MATCH("P060012|AB|I",'iCoA Register'!$R:$R,0)),"")</f>
        <v/>
      </c>
      <c r="H74" s="181" t="inlineStr">
        <is>
          <t>WC082501</t>
        </is>
      </c>
      <c r="I74" s="182" t="inlineStr">
        <is>
          <t>P060012</t>
        </is>
      </c>
      <c r="J74" s="182" t="inlineStr">
        <is>
          <t>Wedding Crasher</t>
        </is>
      </c>
      <c r="K74" s="182" t="inlineStr">
        <is>
          <t>09.12.2025</t>
        </is>
      </c>
      <c r="L74" s="182" t="inlineStr">
        <is>
          <t>13.01.2026 – 14.01.2026</t>
        </is>
      </c>
      <c r="M74" s="182" t="inlineStr">
        <is>
          <t>14.01.2026</t>
        </is>
      </c>
      <c r="N74" s="182" t="inlineStr">
        <is>
          <t>Ident A + Ident B</t>
        </is>
      </c>
      <c r="O74" s="182" t="inlineStr">
        <is>
          <t>iCoA_P01-02 · Appearance &amp; Identification A/B</t>
        </is>
      </c>
      <c r="P74" s="182" t="inlineStr">
        <is>
          <t>Conforms</t>
        </is>
      </c>
      <c r="Q74" s="182" t="inlineStr">
        <is>
          <t>Conforms</t>
        </is>
      </c>
      <c r="R74" s="182" t="inlineStr">
        <is>
          <t>n/a</t>
        </is>
      </c>
      <c r="S74" s="182" t="inlineStr">
        <is>
          <t>ППК26001, (21.01.2026) [CNP]</t>
        </is>
      </c>
      <c r="T74" s="182" t="inlineStr"/>
      <c r="U74" s="182" t="inlineStr"/>
      <c r="V74" s="182" t="inlineStr"/>
      <c r="W74" s="188" t="inlineStr">
        <is>
          <t>registered — preliminary date, QC sets the real date at issue</t>
        </is>
      </c>
    </row>
    <row r="75">
      <c r="A75" s="182" t="n">
        <v>74</v>
      </c>
      <c r="B75" s="182" t="inlineStr">
        <is>
          <t>initial release</t>
        </is>
      </c>
      <c r="C75" s="181">
        <f>IFERROR(INDEX('iCoA Register'!$B:$B,MATCH("P060012|FM|I",'iCoA Register'!$R:$R,0)),"— at issue —")</f>
        <v/>
      </c>
      <c r="D75" s="182" t="inlineStr">
        <is>
          <t>iCoA-PP-2026-0001</t>
        </is>
      </c>
      <c r="E75" s="182" t="inlineStr">
        <is>
          <t>CoQ-PP-2026-0001</t>
        </is>
      </c>
      <c r="F75" s="182" t="inlineStr">
        <is>
          <t>13.01.2026</t>
        </is>
      </c>
      <c r="G75" s="183">
        <f>IFERROR(INDEX('iCoA Register'!$D:$D,MATCH("P060012|FM|I",'iCoA Register'!$R:$R,0)),"")</f>
        <v/>
      </c>
      <c r="H75" s="181" t="inlineStr">
        <is>
          <t>WC082501</t>
        </is>
      </c>
      <c r="I75" s="182" t="inlineStr">
        <is>
          <t>P060012</t>
        </is>
      </c>
      <c r="J75" s="182" t="inlineStr">
        <is>
          <t>Wedding Crasher</t>
        </is>
      </c>
      <c r="K75" s="182" t="inlineStr">
        <is>
          <t>09.12.2025</t>
        </is>
      </c>
      <c r="L75" s="182" t="inlineStr">
        <is>
          <t>13.01.2026 – 14.01.2026</t>
        </is>
      </c>
      <c r="M75" s="182" t="inlineStr">
        <is>
          <t>14.01.2026</t>
        </is>
      </c>
      <c r="N75" s="182" t="inlineStr">
        <is>
          <t>Foreign matter</t>
        </is>
      </c>
      <c r="O75" s="182" t="inlineStr">
        <is>
          <t>iCoA_P07 · Foreign matter</t>
        </is>
      </c>
      <c r="P75" s="182" t="inlineStr">
        <is>
          <t>n/a</t>
        </is>
      </c>
      <c r="Q75" s="182" t="inlineStr">
        <is>
          <t>n/a</t>
        </is>
      </c>
      <c r="R75" s="182" t="inlineStr">
        <is>
          <t>Conforms</t>
        </is>
      </c>
      <c r="S75" s="182" t="inlineStr">
        <is>
          <t>ППК26001, (21.01.2026) [CNP]</t>
        </is>
      </c>
      <c r="T75" s="182" t="inlineStr"/>
      <c r="U75" s="182" t="inlineStr"/>
      <c r="V75" s="182" t="inlineStr"/>
      <c r="W75" s="188" t="inlineStr">
        <is>
          <t>registered — preliminary date, QC sets the real date at issue</t>
        </is>
      </c>
    </row>
    <row r="76">
      <c r="A76" s="182" t="n">
        <v>75</v>
      </c>
      <c r="B76" s="182" t="inlineStr">
        <is>
          <t>initial release</t>
        </is>
      </c>
      <c r="C76" s="181">
        <f>IFERROR(INDEX('iCoA Register'!$B:$B,MATCH("P060022|AB|I",'iCoA Register'!$R:$R,0)),"— at issue —")</f>
        <v/>
      </c>
      <c r="D76" s="182" t="inlineStr">
        <is>
          <t>iCoA-PP-2026-0002</t>
        </is>
      </c>
      <c r="E76" s="182" t="inlineStr">
        <is>
          <t>CoQ-PP-2026-0002</t>
        </is>
      </c>
      <c r="F76" s="182" t="inlineStr">
        <is>
          <t>16.01.2026</t>
        </is>
      </c>
      <c r="G76" s="183">
        <f>IFERROR(INDEX('iCoA Register'!$D:$D,MATCH("P060022|AB|I",'iCoA Register'!$R:$R,0)),"")</f>
        <v/>
      </c>
      <c r="H76" s="181" t="inlineStr">
        <is>
          <t>CJ082501/1</t>
        </is>
      </c>
      <c r="I76" s="182" t="inlineStr">
        <is>
          <t>P060022</t>
        </is>
      </c>
      <c r="J76" s="182" t="inlineStr">
        <is>
          <t>Cap Junky</t>
        </is>
      </c>
      <c r="K76" s="182" t="inlineStr">
        <is>
          <t>09.12.2025 – 10.12.2025</t>
        </is>
      </c>
      <c r="L76" s="182" t="inlineStr">
        <is>
          <t>16.01.2026</t>
        </is>
      </c>
      <c r="M76" s="182" t="inlineStr">
        <is>
          <t>16.01.2026</t>
        </is>
      </c>
      <c r="N76" s="182" t="inlineStr">
        <is>
          <t>Ident A + Ident B</t>
        </is>
      </c>
      <c r="O76" s="182" t="inlineStr">
        <is>
          <t>iCoA_P01-02 · Appearance &amp; Identification A/B</t>
        </is>
      </c>
      <c r="P76" s="182" t="inlineStr">
        <is>
          <t>Conforms</t>
        </is>
      </c>
      <c r="Q76" s="182" t="inlineStr">
        <is>
          <t>Conforms</t>
        </is>
      </c>
      <c r="R76" s="182" t="inlineStr">
        <is>
          <t>n/a</t>
        </is>
      </c>
      <c r="S76" s="182" t="inlineStr">
        <is>
          <t>ППК26002, (21.01.2026) [CNP]</t>
        </is>
      </c>
      <c r="T76" s="182" t="inlineStr"/>
      <c r="U76" s="182" t="inlineStr"/>
      <c r="V76" s="182" t="inlineStr"/>
      <c r="W76" s="188" t="inlineStr">
        <is>
          <t>registered — preliminary date, QC sets the real date at issue</t>
        </is>
      </c>
    </row>
    <row r="77">
      <c r="A77" s="182" t="n">
        <v>76</v>
      </c>
      <c r="B77" s="182" t="inlineStr">
        <is>
          <t>initial release</t>
        </is>
      </c>
      <c r="C77" s="181">
        <f>IFERROR(INDEX('iCoA Register'!$B:$B,MATCH("P060022|FM|I",'iCoA Register'!$R:$R,0)),"— at issue —")</f>
        <v/>
      </c>
      <c r="D77" s="182" t="inlineStr">
        <is>
          <t>iCoA-PP-2026-0002</t>
        </is>
      </c>
      <c r="E77" s="182" t="inlineStr">
        <is>
          <t>CoQ-PP-2026-0002</t>
        </is>
      </c>
      <c r="F77" s="182" t="inlineStr">
        <is>
          <t>16.01.2026</t>
        </is>
      </c>
      <c r="G77" s="183">
        <f>IFERROR(INDEX('iCoA Register'!$D:$D,MATCH("P060022|FM|I",'iCoA Register'!$R:$R,0)),"")</f>
        <v/>
      </c>
      <c r="H77" s="181" t="inlineStr">
        <is>
          <t>CJ082501/1</t>
        </is>
      </c>
      <c r="I77" s="182" t="inlineStr">
        <is>
          <t>P060022</t>
        </is>
      </c>
      <c r="J77" s="182" t="inlineStr">
        <is>
          <t>Cap Junky</t>
        </is>
      </c>
      <c r="K77" s="182" t="inlineStr">
        <is>
          <t>09.12.2025 – 10.12.2025</t>
        </is>
      </c>
      <c r="L77" s="182" t="inlineStr">
        <is>
          <t>16.01.2026</t>
        </is>
      </c>
      <c r="M77" s="182" t="inlineStr">
        <is>
          <t>16.01.2026</t>
        </is>
      </c>
      <c r="N77" s="182" t="inlineStr">
        <is>
          <t>Foreign matter</t>
        </is>
      </c>
      <c r="O77" s="182" t="inlineStr">
        <is>
          <t>iCoA_P07 · Foreign matter</t>
        </is>
      </c>
      <c r="P77" s="182" t="inlineStr">
        <is>
          <t>n/a</t>
        </is>
      </c>
      <c r="Q77" s="182" t="inlineStr">
        <is>
          <t>n/a</t>
        </is>
      </c>
      <c r="R77" s="182" t="inlineStr">
        <is>
          <t>Conforms</t>
        </is>
      </c>
      <c r="S77" s="182" t="inlineStr">
        <is>
          <t>ППК26002, (21.01.2026) [CNP]</t>
        </is>
      </c>
      <c r="T77" s="182" t="inlineStr"/>
      <c r="U77" s="182" t="inlineStr"/>
      <c r="V77" s="182" t="inlineStr"/>
      <c r="W77" s="188" t="inlineStr">
        <is>
          <t>registered — preliminary date, QC sets the real date at issue</t>
        </is>
      </c>
    </row>
    <row r="78">
      <c r="A78" s="182" t="n">
        <v>77</v>
      </c>
      <c r="B78" s="182" t="inlineStr">
        <is>
          <t>initial release</t>
        </is>
      </c>
      <c r="C78" s="181">
        <f>IFERROR(INDEX('iCoA Register'!$B:$B,MATCH("P060032|AB|I",'iCoA Register'!$R:$R,0)),"— at issue —")</f>
        <v/>
      </c>
      <c r="D78" s="182" t="inlineStr">
        <is>
          <t>iCoA-PP-2026-0003</t>
        </is>
      </c>
      <c r="E78" s="182" t="inlineStr">
        <is>
          <t>CoQ-PP-2026-0003</t>
        </is>
      </c>
      <c r="F78" s="182" t="inlineStr">
        <is>
          <t>29.01.2026</t>
        </is>
      </c>
      <c r="G78" s="183">
        <f>IFERROR(INDEX('iCoA Register'!$D:$D,MATCH("P060032|AB|I",'iCoA Register'!$R:$R,0)),"")</f>
        <v/>
      </c>
      <c r="H78" s="181" t="inlineStr">
        <is>
          <t>CJ082501/2</t>
        </is>
      </c>
      <c r="I78" s="182" t="inlineStr">
        <is>
          <t>P060032</t>
        </is>
      </c>
      <c r="J78" s="182" t="inlineStr">
        <is>
          <t>Cap Junky</t>
        </is>
      </c>
      <c r="K78" s="182" t="inlineStr">
        <is>
          <t>10.12.2025</t>
        </is>
      </c>
      <c r="L78" s="182" t="inlineStr">
        <is>
          <t>29.01.2026</t>
        </is>
      </c>
      <c r="M78" s="182" t="inlineStr">
        <is>
          <t>29.01.2026</t>
        </is>
      </c>
      <c r="N78" s="182" t="inlineStr">
        <is>
          <t>Ident A + Ident B</t>
        </is>
      </c>
      <c r="O78" s="182" t="inlineStr">
        <is>
          <t>iCoA_P01-02 · Appearance &amp; Identification A/B</t>
        </is>
      </c>
      <c r="P78" s="182" t="inlineStr">
        <is>
          <t>Conforms</t>
        </is>
      </c>
      <c r="Q78" s="182" t="inlineStr">
        <is>
          <t>Conforms</t>
        </is>
      </c>
      <c r="R78" s="182" t="inlineStr">
        <is>
          <t>n/a</t>
        </is>
      </c>
      <c r="S78" s="182" t="inlineStr">
        <is>
          <t>ППК26003, (21.01.2026) [CNP]</t>
        </is>
      </c>
      <c r="T78" s="182" t="inlineStr"/>
      <c r="U78" s="182" t="inlineStr"/>
      <c r="V78" s="182" t="inlineStr"/>
      <c r="W78" s="188" t="inlineStr">
        <is>
          <t>registered — preliminary date, QC sets the real date at issue</t>
        </is>
      </c>
    </row>
    <row r="79">
      <c r="A79" s="182" t="n">
        <v>78</v>
      </c>
      <c r="B79" s="182" t="inlineStr">
        <is>
          <t>initial release</t>
        </is>
      </c>
      <c r="C79" s="181">
        <f>IFERROR(INDEX('iCoA Register'!$B:$B,MATCH("P060032|FM|I",'iCoA Register'!$R:$R,0)),"— at issue —")</f>
        <v/>
      </c>
      <c r="D79" s="182" t="inlineStr">
        <is>
          <t>iCoA-PP-2026-0003</t>
        </is>
      </c>
      <c r="E79" s="182" t="inlineStr">
        <is>
          <t>CoQ-PP-2026-0003</t>
        </is>
      </c>
      <c r="F79" s="182" t="inlineStr">
        <is>
          <t>29.01.2026</t>
        </is>
      </c>
      <c r="G79" s="183">
        <f>IFERROR(INDEX('iCoA Register'!$D:$D,MATCH("P060032|FM|I",'iCoA Register'!$R:$R,0)),"")</f>
        <v/>
      </c>
      <c r="H79" s="181" t="inlineStr">
        <is>
          <t>CJ082501/2</t>
        </is>
      </c>
      <c r="I79" s="182" t="inlineStr">
        <is>
          <t>P060032</t>
        </is>
      </c>
      <c r="J79" s="182" t="inlineStr">
        <is>
          <t>Cap Junky</t>
        </is>
      </c>
      <c r="K79" s="182" t="inlineStr">
        <is>
          <t>10.12.2025</t>
        </is>
      </c>
      <c r="L79" s="182" t="inlineStr">
        <is>
          <t>29.01.2026</t>
        </is>
      </c>
      <c r="M79" s="182" t="inlineStr">
        <is>
          <t>29.01.2026</t>
        </is>
      </c>
      <c r="N79" s="182" t="inlineStr">
        <is>
          <t>Foreign matter</t>
        </is>
      </c>
      <c r="O79" s="182" t="inlineStr">
        <is>
          <t>iCoA_P07 · Foreign matter</t>
        </is>
      </c>
      <c r="P79" s="182" t="inlineStr">
        <is>
          <t>n/a</t>
        </is>
      </c>
      <c r="Q79" s="182" t="inlineStr">
        <is>
          <t>n/a</t>
        </is>
      </c>
      <c r="R79" s="182" t="inlineStr">
        <is>
          <t>Conforms</t>
        </is>
      </c>
      <c r="S79" s="182" t="inlineStr">
        <is>
          <t>ППК26003, (21.01.2026) [CNP]</t>
        </is>
      </c>
      <c r="T79" s="182" t="inlineStr"/>
      <c r="U79" s="182" t="inlineStr"/>
      <c r="V79" s="182" t="inlineStr"/>
      <c r="W79" s="188" t="inlineStr">
        <is>
          <t>registered — preliminary date, QC sets the real date at issue</t>
        </is>
      </c>
    </row>
    <row r="80">
      <c r="A80" s="182" t="n">
        <v>79</v>
      </c>
      <c r="B80" s="182" t="inlineStr">
        <is>
          <t>initial release</t>
        </is>
      </c>
      <c r="C80" s="181">
        <f>IFERROR(INDEX('iCoA Register'!$B:$B,MATCH("P060042|AB|I",'iCoA Register'!$R:$R,0)),"— at issue —")</f>
        <v/>
      </c>
      <c r="D80" s="182" t="inlineStr">
        <is>
          <t>iCoA-PP-2026-0004</t>
        </is>
      </c>
      <c r="E80" s="182" t="inlineStr">
        <is>
          <t>CoQ-PP-2026-0004</t>
        </is>
      </c>
      <c r="F80" s="182" t="inlineStr">
        <is>
          <t>29.01.2026</t>
        </is>
      </c>
      <c r="G80" s="183">
        <f>IFERROR(INDEX('iCoA Register'!$D:$D,MATCH("P060042|AB|I",'iCoA Register'!$R:$R,0)),"")</f>
        <v/>
      </c>
      <c r="H80" s="181" t="inlineStr">
        <is>
          <t>OPM092501</t>
        </is>
      </c>
      <c r="I80" s="182" t="inlineStr">
        <is>
          <t>P060042</t>
        </is>
      </c>
      <c r="J80" s="182" t="inlineStr">
        <is>
          <t>Orange Punch Mimosa</t>
        </is>
      </c>
      <c r="K80" s="182" t="inlineStr">
        <is>
          <t>12.12.2025</t>
        </is>
      </c>
      <c r="L80" s="182" t="inlineStr">
        <is>
          <t>29.01.2026</t>
        </is>
      </c>
      <c r="M80" s="182" t="inlineStr">
        <is>
          <t>29.01.2026</t>
        </is>
      </c>
      <c r="N80" s="182" t="inlineStr">
        <is>
          <t>Ident A + Ident B</t>
        </is>
      </c>
      <c r="O80" s="182" t="inlineStr">
        <is>
          <t>iCoA_P01-02 · Appearance &amp; Identification A/B</t>
        </is>
      </c>
      <c r="P80" s="182" t="inlineStr">
        <is>
          <t>Conforms</t>
        </is>
      </c>
      <c r="Q80" s="182" t="inlineStr">
        <is>
          <t>Conforms</t>
        </is>
      </c>
      <c r="R80" s="182" t="inlineStr">
        <is>
          <t>n/a</t>
        </is>
      </c>
      <c r="S80" s="182" t="inlineStr">
        <is>
          <t>ППК26008, (21.01.2026) [CNP]</t>
        </is>
      </c>
      <c r="T80" s="182" t="inlineStr"/>
      <c r="U80" s="182" t="inlineStr"/>
      <c r="V80" s="182" t="inlineStr"/>
      <c r="W80" s="188" t="inlineStr">
        <is>
          <t>registered — preliminary date, QC sets the real date at issue</t>
        </is>
      </c>
    </row>
    <row r="81">
      <c r="A81" s="182" t="n">
        <v>80</v>
      </c>
      <c r="B81" s="182" t="inlineStr">
        <is>
          <t>initial release</t>
        </is>
      </c>
      <c r="C81" s="181">
        <f>IFERROR(INDEX('iCoA Register'!$B:$B,MATCH("P060042|FM|I",'iCoA Register'!$R:$R,0)),"— at issue —")</f>
        <v/>
      </c>
      <c r="D81" s="182" t="inlineStr">
        <is>
          <t>iCoA-PP-2026-0004</t>
        </is>
      </c>
      <c r="E81" s="182" t="inlineStr">
        <is>
          <t>CoQ-PP-2026-0004</t>
        </is>
      </c>
      <c r="F81" s="182" t="inlineStr">
        <is>
          <t>29.01.2026</t>
        </is>
      </c>
      <c r="G81" s="183">
        <f>IFERROR(INDEX('iCoA Register'!$D:$D,MATCH("P060042|FM|I",'iCoA Register'!$R:$R,0)),"")</f>
        <v/>
      </c>
      <c r="H81" s="181" t="inlineStr">
        <is>
          <t>OPM092501</t>
        </is>
      </c>
      <c r="I81" s="182" t="inlineStr">
        <is>
          <t>P060042</t>
        </is>
      </c>
      <c r="J81" s="182" t="inlineStr">
        <is>
          <t>Orange Punch Mimosa</t>
        </is>
      </c>
      <c r="K81" s="182" t="inlineStr">
        <is>
          <t>12.12.2025</t>
        </is>
      </c>
      <c r="L81" s="182" t="inlineStr">
        <is>
          <t>29.01.2026</t>
        </is>
      </c>
      <c r="M81" s="182" t="inlineStr">
        <is>
          <t>29.01.2026</t>
        </is>
      </c>
      <c r="N81" s="182" t="inlineStr">
        <is>
          <t>Foreign matter</t>
        </is>
      </c>
      <c r="O81" s="182" t="inlineStr">
        <is>
          <t>iCoA_P07 · Foreign matter</t>
        </is>
      </c>
      <c r="P81" s="182" t="inlineStr">
        <is>
          <t>n/a</t>
        </is>
      </c>
      <c r="Q81" s="182" t="inlineStr">
        <is>
          <t>n/a</t>
        </is>
      </c>
      <c r="R81" s="182" t="inlineStr">
        <is>
          <t>Conforms</t>
        </is>
      </c>
      <c r="S81" s="182" t="inlineStr">
        <is>
          <t>ППК26008, (21.01.2026) [CNP]</t>
        </is>
      </c>
      <c r="T81" s="182" t="inlineStr"/>
      <c r="U81" s="182" t="inlineStr"/>
      <c r="V81" s="182" t="inlineStr"/>
      <c r="W81" s="188" t="inlineStr">
        <is>
          <t>registered — preliminary date, QC sets the real date at issue</t>
        </is>
      </c>
    </row>
    <row r="82">
      <c r="A82" s="182" t="n">
        <v>81</v>
      </c>
      <c r="B82" s="182" t="inlineStr">
        <is>
          <t>initial release</t>
        </is>
      </c>
      <c r="C82" s="181">
        <f>IFERROR(INDEX('iCoA Register'!$B:$B,MATCH("P060052|AB|I",'iCoA Register'!$R:$R,0)),"— at issue —")</f>
        <v/>
      </c>
      <c r="D82" s="182" t="inlineStr"/>
      <c r="E82" s="182" t="inlineStr">
        <is>
          <t>(assigned on issue)</t>
        </is>
      </c>
      <c r="F82" s="182" t="inlineStr">
        <is>
          <t>20.02.2026</t>
        </is>
      </c>
      <c r="G82" s="183">
        <f>IFERROR(INDEX('iCoA Register'!$D:$D,MATCH("P060052|AB|I",'iCoA Register'!$R:$R,0)),"")</f>
        <v/>
      </c>
      <c r="H82" s="181" t="inlineStr">
        <is>
          <t>AB092501</t>
        </is>
      </c>
      <c r="I82" s="182" t="inlineStr">
        <is>
          <t>P060052</t>
        </is>
      </c>
      <c r="J82" s="182" t="inlineStr">
        <is>
          <t>Apple and Banana</t>
        </is>
      </c>
      <c r="K82" s="182" t="inlineStr">
        <is>
          <t>11.12.2025</t>
        </is>
      </c>
      <c r="L82" s="182" t="inlineStr">
        <is>
          <t>30.01.2026 (the issuance plan's basis: 20.02.2026)</t>
        </is>
      </c>
      <c r="M82" s="182" t="inlineStr">
        <is>
          <t>30.01.2026</t>
        </is>
      </c>
      <c r="N82" s="182" t="inlineStr">
        <is>
          <t>Ident A + Ident B</t>
        </is>
      </c>
      <c r="O82" s="182" t="inlineStr">
        <is>
          <t>iCoA_P01-02 · Appearance &amp; Identification A/B</t>
        </is>
      </c>
      <c r="P82" s="182" t="inlineStr">
        <is>
          <t>Conforms</t>
        </is>
      </c>
      <c r="Q82" s="182" t="inlineStr">
        <is>
          <t>Conforms</t>
        </is>
      </c>
      <c r="R82" s="182" t="inlineStr">
        <is>
          <t>n/a</t>
        </is>
      </c>
      <c r="S82" s="182" t="inlineStr">
        <is>
          <t>ППК26005, (21.01.2026) [CNP]</t>
        </is>
      </c>
      <c r="T82" s="182" t="inlineStr"/>
      <c r="U82" s="182" t="inlineStr"/>
      <c r="V82" s="182" t="inlineStr"/>
      <c r="W82" s="188" t="inlineStr">
        <is>
          <t>registered — preliminary date, QC sets the real date at issue</t>
        </is>
      </c>
    </row>
    <row r="83">
      <c r="A83" s="182" t="n">
        <v>82</v>
      </c>
      <c r="B83" s="182" t="inlineStr">
        <is>
          <t>initial release</t>
        </is>
      </c>
      <c r="C83" s="181">
        <f>IFERROR(INDEX('iCoA Register'!$B:$B,MATCH("P060052|FM|I",'iCoA Register'!$R:$R,0)),"— at issue —")</f>
        <v/>
      </c>
      <c r="D83" s="182" t="inlineStr"/>
      <c r="E83" s="182" t="inlineStr">
        <is>
          <t>(assigned on issue)</t>
        </is>
      </c>
      <c r="F83" s="182" t="inlineStr">
        <is>
          <t>20.02.2026</t>
        </is>
      </c>
      <c r="G83" s="183">
        <f>IFERROR(INDEX('iCoA Register'!$D:$D,MATCH("P060052|FM|I",'iCoA Register'!$R:$R,0)),"")</f>
        <v/>
      </c>
      <c r="H83" s="181" t="inlineStr">
        <is>
          <t>AB092501</t>
        </is>
      </c>
      <c r="I83" s="182" t="inlineStr">
        <is>
          <t>P060052</t>
        </is>
      </c>
      <c r="J83" s="182" t="inlineStr">
        <is>
          <t>Apple and Banana</t>
        </is>
      </c>
      <c r="K83" s="182" t="inlineStr">
        <is>
          <t>11.12.2025</t>
        </is>
      </c>
      <c r="L83" s="182" t="inlineStr">
        <is>
          <t>30.01.2026 (the issuance plan's basis: 20.02.2026)</t>
        </is>
      </c>
      <c r="M83" s="182" t="inlineStr">
        <is>
          <t>30.01.2026</t>
        </is>
      </c>
      <c r="N83" s="182" t="inlineStr">
        <is>
          <t>Foreign matter</t>
        </is>
      </c>
      <c r="O83" s="182" t="inlineStr">
        <is>
          <t>iCoA_P07 · Foreign matter</t>
        </is>
      </c>
      <c r="P83" s="182" t="inlineStr">
        <is>
          <t>n/a</t>
        </is>
      </c>
      <c r="Q83" s="182" t="inlineStr">
        <is>
          <t>n/a</t>
        </is>
      </c>
      <c r="R83" s="182" t="inlineStr">
        <is>
          <t>Conforms</t>
        </is>
      </c>
      <c r="S83" s="182" t="inlineStr">
        <is>
          <t>ППК26005, (21.01.2026) [CNP]</t>
        </is>
      </c>
      <c r="T83" s="182" t="inlineStr"/>
      <c r="U83" s="182" t="inlineStr"/>
      <c r="V83" s="182" t="inlineStr"/>
      <c r="W83" s="188" t="inlineStr">
        <is>
          <t>registered — preliminary date, QC sets the real date at issue</t>
        </is>
      </c>
    </row>
    <row r="84">
      <c r="A84" s="182" t="n">
        <v>83</v>
      </c>
      <c r="B84" s="182" t="inlineStr">
        <is>
          <t>initial release</t>
        </is>
      </c>
      <c r="C84" s="181">
        <f>IFERROR(INDEX('iCoA Register'!$B:$B,MATCH("P060062|AB|I",'iCoA Register'!$R:$R,0)),"— at issue —")</f>
        <v/>
      </c>
      <c r="D84" s="182" t="inlineStr">
        <is>
          <t>iCoA-PP-2026-0005</t>
        </is>
      </c>
      <c r="E84" s="182" t="inlineStr">
        <is>
          <t>CoQ-PP-2026-0005</t>
        </is>
      </c>
      <c r="F84" s="182" t="inlineStr">
        <is>
          <t>30.01.2026</t>
        </is>
      </c>
      <c r="G84" s="183">
        <f>IFERROR(INDEX('iCoA Register'!$D:$D,MATCH("P060062|AB|I",'iCoA Register'!$R:$R,0)),"")</f>
        <v/>
      </c>
      <c r="H84" s="181" t="inlineStr">
        <is>
          <t>PM092501</t>
        </is>
      </c>
      <c r="I84" s="182" t="inlineStr">
        <is>
          <t>P060062</t>
        </is>
      </c>
      <c r="J84" s="182" t="inlineStr">
        <is>
          <t>Permanent Market</t>
        </is>
      </c>
      <c r="K84" s="182" t="inlineStr">
        <is>
          <t>11.12.2025</t>
        </is>
      </c>
      <c r="L84" s="182" t="inlineStr">
        <is>
          <t>30.01.2026</t>
        </is>
      </c>
      <c r="M84" s="182" t="inlineStr">
        <is>
          <t>30.01.2026</t>
        </is>
      </c>
      <c r="N84" s="182" t="inlineStr">
        <is>
          <t>Ident A + Ident B</t>
        </is>
      </c>
      <c r="O84" s="182" t="inlineStr">
        <is>
          <t>iCoA_P01-02 · Appearance &amp; Identification A/B</t>
        </is>
      </c>
      <c r="P84" s="182" t="inlineStr">
        <is>
          <t>Conforms</t>
        </is>
      </c>
      <c r="Q84" s="182" t="inlineStr">
        <is>
          <t>Conforms</t>
        </is>
      </c>
      <c r="R84" s="182" t="inlineStr">
        <is>
          <t>n/a</t>
        </is>
      </c>
      <c r="S84" s="182" t="inlineStr">
        <is>
          <t>ППК26004, (21.01.2026) [CNP]</t>
        </is>
      </c>
      <c r="T84" s="182" t="inlineStr"/>
      <c r="U84" s="182" t="inlineStr"/>
      <c r="V84" s="182" t="inlineStr"/>
      <c r="W84" s="188" t="inlineStr">
        <is>
          <t>registered — preliminary date, QC sets the real date at issue</t>
        </is>
      </c>
    </row>
    <row r="85">
      <c r="A85" s="182" t="n">
        <v>84</v>
      </c>
      <c r="B85" s="182" t="inlineStr">
        <is>
          <t>initial release</t>
        </is>
      </c>
      <c r="C85" s="181">
        <f>IFERROR(INDEX('iCoA Register'!$B:$B,MATCH("P060062|FM|I",'iCoA Register'!$R:$R,0)),"— at issue —")</f>
        <v/>
      </c>
      <c r="D85" s="182" t="inlineStr">
        <is>
          <t>iCoA-PP-2026-0005</t>
        </is>
      </c>
      <c r="E85" s="182" t="inlineStr">
        <is>
          <t>CoQ-PP-2026-0005</t>
        </is>
      </c>
      <c r="F85" s="182" t="inlineStr">
        <is>
          <t>30.01.2026</t>
        </is>
      </c>
      <c r="G85" s="183">
        <f>IFERROR(INDEX('iCoA Register'!$D:$D,MATCH("P060062|FM|I",'iCoA Register'!$R:$R,0)),"")</f>
        <v/>
      </c>
      <c r="H85" s="181" t="inlineStr">
        <is>
          <t>PM092501</t>
        </is>
      </c>
      <c r="I85" s="182" t="inlineStr">
        <is>
          <t>P060062</t>
        </is>
      </c>
      <c r="J85" s="182" t="inlineStr">
        <is>
          <t>Permanent Market</t>
        </is>
      </c>
      <c r="K85" s="182" t="inlineStr">
        <is>
          <t>11.12.2025</t>
        </is>
      </c>
      <c r="L85" s="182" t="inlineStr">
        <is>
          <t>30.01.2026</t>
        </is>
      </c>
      <c r="M85" s="182" t="inlineStr">
        <is>
          <t>30.01.2026</t>
        </is>
      </c>
      <c r="N85" s="182" t="inlineStr">
        <is>
          <t>Foreign matter</t>
        </is>
      </c>
      <c r="O85" s="182" t="inlineStr">
        <is>
          <t>iCoA_P07 · Foreign matter</t>
        </is>
      </c>
      <c r="P85" s="182" t="inlineStr">
        <is>
          <t>n/a</t>
        </is>
      </c>
      <c r="Q85" s="182" t="inlineStr">
        <is>
          <t>n/a</t>
        </is>
      </c>
      <c r="R85" s="182" t="inlineStr">
        <is>
          <t>Conforms</t>
        </is>
      </c>
      <c r="S85" s="182" t="inlineStr">
        <is>
          <t>ППК26004, (21.01.2026) [CNP]</t>
        </is>
      </c>
      <c r="T85" s="182" t="inlineStr"/>
      <c r="U85" s="182" t="inlineStr"/>
      <c r="V85" s="182" t="inlineStr"/>
      <c r="W85" s="188" t="inlineStr">
        <is>
          <t>registered — preliminary date, QC sets the real date at issue</t>
        </is>
      </c>
    </row>
    <row r="86">
      <c r="A86" s="182" t="n">
        <v>85</v>
      </c>
      <c r="B86" s="182" t="inlineStr">
        <is>
          <t>initial release</t>
        </is>
      </c>
      <c r="C86" s="181">
        <f>IFERROR(INDEX('iCoA Register'!$B:$B,MATCH("P060072|AB|I",'iCoA Register'!$R:$R,0)),"— at issue —")</f>
        <v/>
      </c>
      <c r="D86" s="182" t="inlineStr">
        <is>
          <t>iCoA-PP-2026-0006</t>
        </is>
      </c>
      <c r="E86" s="182" t="inlineStr">
        <is>
          <t>CoQ-PP-2026-0006</t>
        </is>
      </c>
      <c r="F86" s="182" t="inlineStr">
        <is>
          <t>02.02.2026</t>
        </is>
      </c>
      <c r="G86" s="183">
        <f>IFERROR(INDEX('iCoA Register'!$D:$D,MATCH("P060072|AB|I",'iCoA Register'!$R:$R,0)),"")</f>
        <v/>
      </c>
      <c r="H86" s="181" t="inlineStr">
        <is>
          <t>CJ092501</t>
        </is>
      </c>
      <c r="I86" s="182" t="inlineStr">
        <is>
          <t>P060072</t>
        </is>
      </c>
      <c r="J86" s="182" t="inlineStr">
        <is>
          <t>Cap Junky</t>
        </is>
      </c>
      <c r="K86" s="182" t="inlineStr">
        <is>
          <t>12.12.2025</t>
        </is>
      </c>
      <c r="L86" s="182" t="inlineStr">
        <is>
          <t>02.02.2026</t>
        </is>
      </c>
      <c r="M86" s="182" t="inlineStr">
        <is>
          <t>02.02.2026</t>
        </is>
      </c>
      <c r="N86" s="182" t="inlineStr">
        <is>
          <t>Ident A + Ident B</t>
        </is>
      </c>
      <c r="O86" s="182" t="inlineStr">
        <is>
          <t>iCoA_P01-02 · Appearance &amp; Identification A/B</t>
        </is>
      </c>
      <c r="P86" s="182" t="inlineStr">
        <is>
          <t>Conforms</t>
        </is>
      </c>
      <c r="Q86" s="182" t="inlineStr">
        <is>
          <t>Conforms</t>
        </is>
      </c>
      <c r="R86" s="182" t="inlineStr">
        <is>
          <t>n/a</t>
        </is>
      </c>
      <c r="S86" s="182" t="inlineStr">
        <is>
          <t>ППК26007, (21.01.2026) [CNP]</t>
        </is>
      </c>
      <c r="T86" s="182" t="inlineStr"/>
      <c r="U86" s="182" t="inlineStr"/>
      <c r="V86" s="182" t="inlineStr"/>
      <c r="W86" s="188" t="inlineStr">
        <is>
          <t>registered — preliminary date, QC sets the real date at issue</t>
        </is>
      </c>
    </row>
    <row r="87">
      <c r="A87" s="182" t="n">
        <v>86</v>
      </c>
      <c r="B87" s="182" t="inlineStr">
        <is>
          <t>initial release</t>
        </is>
      </c>
      <c r="C87" s="181">
        <f>IFERROR(INDEX('iCoA Register'!$B:$B,MATCH("P060072|FM|I",'iCoA Register'!$R:$R,0)),"— at issue —")</f>
        <v/>
      </c>
      <c r="D87" s="182" t="inlineStr">
        <is>
          <t>iCoA-PP-2026-0006</t>
        </is>
      </c>
      <c r="E87" s="182" t="inlineStr">
        <is>
          <t>CoQ-PP-2026-0006</t>
        </is>
      </c>
      <c r="F87" s="182" t="inlineStr">
        <is>
          <t>02.02.2026</t>
        </is>
      </c>
      <c r="G87" s="183">
        <f>IFERROR(INDEX('iCoA Register'!$D:$D,MATCH("P060072|FM|I",'iCoA Register'!$R:$R,0)),"")</f>
        <v/>
      </c>
      <c r="H87" s="181" t="inlineStr">
        <is>
          <t>CJ092501</t>
        </is>
      </c>
      <c r="I87" s="182" t="inlineStr">
        <is>
          <t>P060072</t>
        </is>
      </c>
      <c r="J87" s="182" t="inlineStr">
        <is>
          <t>Cap Junky</t>
        </is>
      </c>
      <c r="K87" s="182" t="inlineStr">
        <is>
          <t>12.12.2025</t>
        </is>
      </c>
      <c r="L87" s="182" t="inlineStr">
        <is>
          <t>02.02.2026</t>
        </is>
      </c>
      <c r="M87" s="182" t="inlineStr">
        <is>
          <t>02.02.2026</t>
        </is>
      </c>
      <c r="N87" s="182" t="inlineStr">
        <is>
          <t>Foreign matter</t>
        </is>
      </c>
      <c r="O87" s="182" t="inlineStr">
        <is>
          <t>iCoA_P07 · Foreign matter</t>
        </is>
      </c>
      <c r="P87" s="182" t="inlineStr">
        <is>
          <t>n/a</t>
        </is>
      </c>
      <c r="Q87" s="182" t="inlineStr">
        <is>
          <t>n/a</t>
        </is>
      </c>
      <c r="R87" s="182" t="inlineStr">
        <is>
          <t>Conforms</t>
        </is>
      </c>
      <c r="S87" s="182" t="inlineStr">
        <is>
          <t>ППК26007, (21.01.2026) [CNP]</t>
        </is>
      </c>
      <c r="T87" s="182" t="inlineStr"/>
      <c r="U87" s="182" t="inlineStr"/>
      <c r="V87" s="182" t="inlineStr"/>
      <c r="W87" s="188" t="inlineStr">
        <is>
          <t>registered — preliminary date, QC sets the real date at issue</t>
        </is>
      </c>
    </row>
    <row r="88">
      <c r="A88" s="182" t="n">
        <v>87</v>
      </c>
      <c r="B88" s="182" t="inlineStr">
        <is>
          <t>initial release</t>
        </is>
      </c>
      <c r="C88" s="181">
        <f>IFERROR(INDEX('iCoA Register'!$B:$B,MATCH("P060082|AB|I",'iCoA Register'!$R:$R,0)),"— at issue —")</f>
        <v/>
      </c>
      <c r="D88" s="182" t="inlineStr">
        <is>
          <t>iCoA-PP-2026-0007</t>
        </is>
      </c>
      <c r="E88" s="182" t="inlineStr">
        <is>
          <t>CoQ-PP-2026-0007</t>
        </is>
      </c>
      <c r="F88" s="182" t="inlineStr">
        <is>
          <t>02.02.2026</t>
        </is>
      </c>
      <c r="G88" s="183">
        <f>IFERROR(INDEX('iCoA Register'!$D:$D,MATCH("P060082|AB|I",'iCoA Register'!$R:$R,0)),"")</f>
        <v/>
      </c>
      <c r="H88" s="181" t="inlineStr">
        <is>
          <t>SJ0925021</t>
        </is>
      </c>
      <c r="I88" s="182" t="inlineStr">
        <is>
          <t>P060082</t>
        </is>
      </c>
      <c r="J88" s="182" t="inlineStr"/>
      <c r="K88" s="182" t="inlineStr">
        <is>
          <t>11.12.2025 – 12.12.2025</t>
        </is>
      </c>
      <c r="L88" s="182" t="inlineStr">
        <is>
          <t>02.02.2026</t>
        </is>
      </c>
      <c r="M88" s="182" t="inlineStr">
        <is>
          <t>02.02.2026</t>
        </is>
      </c>
      <c r="N88" s="182" t="inlineStr">
        <is>
          <t>Ident A + Ident B</t>
        </is>
      </c>
      <c r="O88" s="182" t="inlineStr">
        <is>
          <t>iCoA_P01-02 · Appearance &amp; Identification A/B</t>
        </is>
      </c>
      <c r="P88" s="182" t="inlineStr">
        <is>
          <t>Conforms</t>
        </is>
      </c>
      <c r="Q88" s="182" t="inlineStr">
        <is>
          <t>Conforms</t>
        </is>
      </c>
      <c r="R88" s="182" t="inlineStr">
        <is>
          <t>n/a</t>
        </is>
      </c>
      <c r="S88" s="182" t="inlineStr">
        <is>
          <t>ППК26006, (21.01.2026) [CNP]</t>
        </is>
      </c>
      <c r="T88" s="182" t="inlineStr"/>
      <c r="U88" s="182" t="inlineStr"/>
      <c r="V88" s="182" t="inlineStr"/>
      <c r="W88" s="188" t="inlineStr">
        <is>
          <t>registered — preliminary date, QC sets the real date at issue</t>
        </is>
      </c>
    </row>
    <row r="89">
      <c r="A89" s="182" t="n">
        <v>88</v>
      </c>
      <c r="B89" s="182" t="inlineStr">
        <is>
          <t>initial release</t>
        </is>
      </c>
      <c r="C89" s="181">
        <f>IFERROR(INDEX('iCoA Register'!$B:$B,MATCH("P060082|FM|I",'iCoA Register'!$R:$R,0)),"— at issue —")</f>
        <v/>
      </c>
      <c r="D89" s="182" t="inlineStr">
        <is>
          <t>iCoA-PP-2026-0007</t>
        </is>
      </c>
      <c r="E89" s="182" t="inlineStr">
        <is>
          <t>CoQ-PP-2026-0007</t>
        </is>
      </c>
      <c r="F89" s="182" t="inlineStr">
        <is>
          <t>02.02.2026</t>
        </is>
      </c>
      <c r="G89" s="183">
        <f>IFERROR(INDEX('iCoA Register'!$D:$D,MATCH("P060082|FM|I",'iCoA Register'!$R:$R,0)),"")</f>
        <v/>
      </c>
      <c r="H89" s="181" t="inlineStr">
        <is>
          <t>SJ0925021</t>
        </is>
      </c>
      <c r="I89" s="182" t="inlineStr">
        <is>
          <t>P060082</t>
        </is>
      </c>
      <c r="J89" s="182" t="inlineStr"/>
      <c r="K89" s="182" t="inlineStr">
        <is>
          <t>11.12.2025 – 12.12.2025</t>
        </is>
      </c>
      <c r="L89" s="182" t="inlineStr">
        <is>
          <t>02.02.2026</t>
        </is>
      </c>
      <c r="M89" s="182" t="inlineStr">
        <is>
          <t>02.02.2026</t>
        </is>
      </c>
      <c r="N89" s="182" t="inlineStr">
        <is>
          <t>Foreign matter</t>
        </is>
      </c>
      <c r="O89" s="182" t="inlineStr">
        <is>
          <t>iCoA_P07 · Foreign matter</t>
        </is>
      </c>
      <c r="P89" s="182" t="inlineStr">
        <is>
          <t>n/a</t>
        </is>
      </c>
      <c r="Q89" s="182" t="inlineStr">
        <is>
          <t>n/a</t>
        </is>
      </c>
      <c r="R89" s="182" t="inlineStr">
        <is>
          <t>Conforms</t>
        </is>
      </c>
      <c r="S89" s="182" t="inlineStr">
        <is>
          <t>ППК26006, (21.01.2026) [CNP]</t>
        </is>
      </c>
      <c r="T89" s="182" t="inlineStr"/>
      <c r="U89" s="182" t="inlineStr"/>
      <c r="V89" s="182" t="inlineStr"/>
      <c r="W89" s="188" t="inlineStr">
        <is>
          <t>registered — preliminary date, QC sets the real date at issue</t>
        </is>
      </c>
    </row>
    <row r="90">
      <c r="A90" s="182" t="n">
        <v>89</v>
      </c>
      <c r="B90" s="182" t="inlineStr">
        <is>
          <t>initial release</t>
        </is>
      </c>
      <c r="C90" s="181">
        <f>IFERROR(INDEX('iCoA Register'!$B:$B,MATCH("P060092|AB|I",'iCoA Register'!$R:$R,0)),"— at issue —")</f>
        <v/>
      </c>
      <c r="D90" s="182" t="inlineStr">
        <is>
          <t>iCoA-PP-2026-0008</t>
        </is>
      </c>
      <c r="E90" s="182" t="inlineStr">
        <is>
          <t>CoQ-PP-2026-0008</t>
        </is>
      </c>
      <c r="F90" s="182" t="inlineStr">
        <is>
          <t>03.02.2026</t>
        </is>
      </c>
      <c r="G90" s="183">
        <f>IFERROR(INDEX('iCoA Register'!$D:$D,MATCH("P060092|AB|I",'iCoA Register'!$R:$R,0)),"")</f>
        <v/>
      </c>
      <c r="H90" s="181" t="inlineStr">
        <is>
          <t>GP092501</t>
        </is>
      </c>
      <c r="I90" s="182" t="inlineStr">
        <is>
          <t>P060092</t>
        </is>
      </c>
      <c r="J90" s="182" t="inlineStr">
        <is>
          <t>Grape Pie</t>
        </is>
      </c>
      <c r="K90" s="182" t="inlineStr">
        <is>
          <t>16.12.2025 – 17.12.2025</t>
        </is>
      </c>
      <c r="L90" s="182" t="inlineStr">
        <is>
          <t>03.02.2026 – 09.02.2026</t>
        </is>
      </c>
      <c r="M90" s="182" t="inlineStr">
        <is>
          <t>09.02.2026</t>
        </is>
      </c>
      <c r="N90" s="182" t="inlineStr">
        <is>
          <t>Ident A + Ident B</t>
        </is>
      </c>
      <c r="O90" s="182" t="inlineStr">
        <is>
          <t>iCoA_P01-02 · Appearance &amp; Identification A/B</t>
        </is>
      </c>
      <c r="P90" s="182" t="inlineStr">
        <is>
          <t>Conforms</t>
        </is>
      </c>
      <c r="Q90" s="182" t="inlineStr">
        <is>
          <t>Conforms</t>
        </is>
      </c>
      <c r="R90" s="182" t="inlineStr">
        <is>
          <t>n/a</t>
        </is>
      </c>
      <c r="S90" s="182" t="inlineStr">
        <is>
          <t>ППК26009, (21.01.2026) [CNP]</t>
        </is>
      </c>
      <c r="T90" s="182" t="inlineStr"/>
      <c r="U90" s="182" t="inlineStr"/>
      <c r="V90" s="182" t="inlineStr"/>
      <c r="W90" s="188" t="inlineStr">
        <is>
          <t>registered — preliminary date, QC sets the real date at issue</t>
        </is>
      </c>
    </row>
    <row r="91">
      <c r="A91" s="182" t="n">
        <v>90</v>
      </c>
      <c r="B91" s="182" t="inlineStr">
        <is>
          <t>initial release</t>
        </is>
      </c>
      <c r="C91" s="181">
        <f>IFERROR(INDEX('iCoA Register'!$B:$B,MATCH("P060092|FM|I",'iCoA Register'!$R:$R,0)),"— at issue —")</f>
        <v/>
      </c>
      <c r="D91" s="182" t="inlineStr">
        <is>
          <t>iCoA-PP-2026-0008</t>
        </is>
      </c>
      <c r="E91" s="182" t="inlineStr">
        <is>
          <t>CoQ-PP-2026-0008</t>
        </is>
      </c>
      <c r="F91" s="182" t="inlineStr">
        <is>
          <t>03.02.2026</t>
        </is>
      </c>
      <c r="G91" s="183">
        <f>IFERROR(INDEX('iCoA Register'!$D:$D,MATCH("P060092|FM|I",'iCoA Register'!$R:$R,0)),"")</f>
        <v/>
      </c>
      <c r="H91" s="181" t="inlineStr">
        <is>
          <t>GP092501</t>
        </is>
      </c>
      <c r="I91" s="182" t="inlineStr">
        <is>
          <t>P060092</t>
        </is>
      </c>
      <c r="J91" s="182" t="inlineStr">
        <is>
          <t>Grape Pie</t>
        </is>
      </c>
      <c r="K91" s="182" t="inlineStr">
        <is>
          <t>16.12.2025 – 17.12.2025</t>
        </is>
      </c>
      <c r="L91" s="182" t="inlineStr">
        <is>
          <t>03.02.2026 – 09.02.2026</t>
        </is>
      </c>
      <c r="M91" s="182" t="inlineStr">
        <is>
          <t>09.02.2026</t>
        </is>
      </c>
      <c r="N91" s="182" t="inlineStr">
        <is>
          <t>Foreign matter</t>
        </is>
      </c>
      <c r="O91" s="182" t="inlineStr">
        <is>
          <t>iCoA_P07 · Foreign matter</t>
        </is>
      </c>
      <c r="P91" s="182" t="inlineStr">
        <is>
          <t>n/a</t>
        </is>
      </c>
      <c r="Q91" s="182" t="inlineStr">
        <is>
          <t>n/a</t>
        </is>
      </c>
      <c r="R91" s="182" t="inlineStr">
        <is>
          <t>Conforms</t>
        </is>
      </c>
      <c r="S91" s="182" t="inlineStr">
        <is>
          <t>ППК26009, (21.01.2026) [CNP]</t>
        </is>
      </c>
      <c r="T91" s="182" t="inlineStr"/>
      <c r="U91" s="182" t="inlineStr"/>
      <c r="V91" s="182" t="inlineStr"/>
      <c r="W91" s="188" t="inlineStr">
        <is>
          <t>registered — preliminary date, QC sets the real date at issue</t>
        </is>
      </c>
    </row>
    <row r="92">
      <c r="A92" s="182" t="n">
        <v>91</v>
      </c>
      <c r="B92" s="182" t="inlineStr">
        <is>
          <t>initial release</t>
        </is>
      </c>
      <c r="C92" s="181">
        <f>IFERROR(INDEX('iCoA Register'!$B:$B,MATCH("P060102|AB|I",'iCoA Register'!$R:$R,0)),"— at issue —")</f>
        <v/>
      </c>
      <c r="D92" s="182" t="inlineStr"/>
      <c r="E92" s="182" t="inlineStr">
        <is>
          <t>— not in the issuance plan —</t>
        </is>
      </c>
      <c r="F92" s="182" t="inlineStr">
        <is>
          <t>16.02.2026</t>
        </is>
      </c>
      <c r="G92" s="183">
        <f>IFERROR(INDEX('iCoA Register'!$D:$D,MATCH("P060102|AB|I",'iCoA Register'!$R:$R,0)),"")</f>
        <v/>
      </c>
      <c r="H92" s="181" t="inlineStr">
        <is>
          <t>WED102501 (from the list)</t>
        </is>
      </c>
      <c r="I92" s="182" t="inlineStr">
        <is>
          <t>P060102</t>
        </is>
      </c>
      <c r="J92" s="182" t="inlineStr">
        <is>
          <t>Wedding Cake</t>
        </is>
      </c>
      <c r="K92" s="182" t="inlineStr">
        <is>
          <t>08.01.2026</t>
        </is>
      </c>
      <c r="L92" s="182" t="inlineStr">
        <is>
          <t>16.02.2026</t>
        </is>
      </c>
      <c r="M92" s="182" t="inlineStr">
        <is>
          <t>16.02.2026</t>
        </is>
      </c>
      <c r="N92" s="182" t="inlineStr">
        <is>
          <t>Ident A + Ident B</t>
        </is>
      </c>
      <c r="O92" s="182" t="inlineStr">
        <is>
          <t>iCoA_P01-02 · Appearance &amp; Identification A/B</t>
        </is>
      </c>
      <c r="P92" s="182" t="inlineStr">
        <is>
          <t>Conforms</t>
        </is>
      </c>
      <c r="Q92" s="182" t="inlineStr">
        <is>
          <t>Conforms</t>
        </is>
      </c>
      <c r="R92" s="182" t="inlineStr">
        <is>
          <t>n/a</t>
        </is>
      </c>
      <c r="S92" s="189" t="inlineStr">
        <is>
          <t>— no cannabinoid certificate —</t>
        </is>
      </c>
      <c r="T92" s="182" t="inlineStr"/>
      <c r="U92" s="182" t="inlineStr"/>
      <c r="V92" s="182" t="inlineStr"/>
      <c r="W92" s="188" t="inlineStr">
        <is>
          <t>registered — preliminary date, QC sets the real date at issue</t>
        </is>
      </c>
    </row>
    <row r="93">
      <c r="A93" s="182" t="n">
        <v>92</v>
      </c>
      <c r="B93" s="182" t="inlineStr">
        <is>
          <t>initial release</t>
        </is>
      </c>
      <c r="C93" s="181">
        <f>IFERROR(INDEX('iCoA Register'!$B:$B,MATCH("P060102|FM|I",'iCoA Register'!$R:$R,0)),"— at issue —")</f>
        <v/>
      </c>
      <c r="D93" s="182" t="inlineStr"/>
      <c r="E93" s="182" t="inlineStr">
        <is>
          <t>— not in the issuance plan —</t>
        </is>
      </c>
      <c r="F93" s="182" t="inlineStr">
        <is>
          <t>16.02.2026</t>
        </is>
      </c>
      <c r="G93" s="183">
        <f>IFERROR(INDEX('iCoA Register'!$D:$D,MATCH("P060102|FM|I",'iCoA Register'!$R:$R,0)),"")</f>
        <v/>
      </c>
      <c r="H93" s="181" t="inlineStr">
        <is>
          <t>WED102501 (from the list)</t>
        </is>
      </c>
      <c r="I93" s="182" t="inlineStr">
        <is>
          <t>P060102</t>
        </is>
      </c>
      <c r="J93" s="182" t="inlineStr">
        <is>
          <t>Wedding Cake</t>
        </is>
      </c>
      <c r="K93" s="182" t="inlineStr">
        <is>
          <t>08.01.2026</t>
        </is>
      </c>
      <c r="L93" s="182" t="inlineStr">
        <is>
          <t>16.02.2026</t>
        </is>
      </c>
      <c r="M93" s="182" t="inlineStr">
        <is>
          <t>16.02.2026</t>
        </is>
      </c>
      <c r="N93" s="182" t="inlineStr">
        <is>
          <t>Foreign matter</t>
        </is>
      </c>
      <c r="O93" s="182" t="inlineStr">
        <is>
          <t>iCoA_P07 · Foreign matter</t>
        </is>
      </c>
      <c r="P93" s="182" t="inlineStr">
        <is>
          <t>n/a</t>
        </is>
      </c>
      <c r="Q93" s="182" t="inlineStr">
        <is>
          <t>n/a</t>
        </is>
      </c>
      <c r="R93" s="182" t="inlineStr">
        <is>
          <t>Conforms</t>
        </is>
      </c>
      <c r="S93" s="189" t="inlineStr">
        <is>
          <t>— no cannabinoid certificate —</t>
        </is>
      </c>
      <c r="T93" s="182" t="inlineStr"/>
      <c r="U93" s="182" t="inlineStr"/>
      <c r="V93" s="182" t="inlineStr"/>
      <c r="W93" s="188" t="inlineStr">
        <is>
          <t>registered — preliminary date, QC sets the real date at issue</t>
        </is>
      </c>
    </row>
    <row r="94">
      <c r="A94" s="182" t="n">
        <v>93</v>
      </c>
      <c r="B94" s="182" t="inlineStr">
        <is>
          <t>initial release</t>
        </is>
      </c>
      <c r="C94" s="181">
        <f>IFERROR(INDEX('iCoA Register'!$B:$B,MATCH("P060142|AB|I",'iCoA Register'!$R:$R,0)),"— at issue —")</f>
        <v/>
      </c>
      <c r="D94" s="182" t="inlineStr"/>
      <c r="E94" s="182" t="inlineStr">
        <is>
          <t>— not in the issuance plan —</t>
        </is>
      </c>
      <c r="F94" s="182" t="inlineStr">
        <is>
          <t>23.02.2026</t>
        </is>
      </c>
      <c r="G94" s="183">
        <f>IFERROR(INDEX('iCoA Register'!$D:$D,MATCH("P060142|AB|I",'iCoA Register'!$R:$R,0)),"")</f>
        <v/>
      </c>
      <c r="H94" s="181" t="inlineStr">
        <is>
          <t>GRC102501</t>
        </is>
      </c>
      <c r="I94" s="182" t="inlineStr">
        <is>
          <t>P060142</t>
        </is>
      </c>
      <c r="J94" s="182" t="inlineStr">
        <is>
          <t>Graps &amp; Creme</t>
        </is>
      </c>
      <c r="K94" s="182" t="inlineStr">
        <is>
          <t>09.01.2026</t>
        </is>
      </c>
      <c r="L94" s="182" t="inlineStr">
        <is>
          <t>23.02.2026</t>
        </is>
      </c>
      <c r="M94" s="182" t="inlineStr">
        <is>
          <t>23.02.2026</t>
        </is>
      </c>
      <c r="N94" s="182" t="inlineStr">
        <is>
          <t>Ident A + Ident B</t>
        </is>
      </c>
      <c r="O94" s="182" t="inlineStr">
        <is>
          <t>iCoA_P01-02 · Appearance &amp; Identification A/B</t>
        </is>
      </c>
      <c r="P94" s="182" t="inlineStr">
        <is>
          <t>Conforms</t>
        </is>
      </c>
      <c r="Q94" s="182" t="inlineStr">
        <is>
          <t>Conforms</t>
        </is>
      </c>
      <c r="R94" s="182" t="inlineStr">
        <is>
          <t>n/a</t>
        </is>
      </c>
      <c r="S94" s="182" t="inlineStr">
        <is>
          <t>051-6-K-26, (04.03.2026) [FHM-K]</t>
        </is>
      </c>
      <c r="T94" s="182" t="inlineStr"/>
      <c r="U94" s="182" t="inlineStr"/>
      <c r="V94" s="182" t="inlineStr"/>
      <c r="W94" s="188" t="inlineStr">
        <is>
          <t>registered — preliminary date, QC sets the real date at issue</t>
        </is>
      </c>
    </row>
    <row r="95">
      <c r="A95" s="182" t="n">
        <v>94</v>
      </c>
      <c r="B95" s="182" t="inlineStr">
        <is>
          <t>initial release</t>
        </is>
      </c>
      <c r="C95" s="181">
        <f>IFERROR(INDEX('iCoA Register'!$B:$B,MATCH("P060142|FM|I",'iCoA Register'!$R:$R,0)),"— at issue —")</f>
        <v/>
      </c>
      <c r="D95" s="182" t="inlineStr"/>
      <c r="E95" s="182" t="inlineStr">
        <is>
          <t>— not in the issuance plan —</t>
        </is>
      </c>
      <c r="F95" s="182" t="inlineStr">
        <is>
          <t>23.02.2026</t>
        </is>
      </c>
      <c r="G95" s="183">
        <f>IFERROR(INDEX('iCoA Register'!$D:$D,MATCH("P060142|FM|I",'iCoA Register'!$R:$R,0)),"")</f>
        <v/>
      </c>
      <c r="H95" s="181" t="inlineStr">
        <is>
          <t>GRC102501</t>
        </is>
      </c>
      <c r="I95" s="182" t="inlineStr">
        <is>
          <t>P060142</t>
        </is>
      </c>
      <c r="J95" s="182" t="inlineStr">
        <is>
          <t>Graps &amp; Creme</t>
        </is>
      </c>
      <c r="K95" s="182" t="inlineStr">
        <is>
          <t>09.01.2026</t>
        </is>
      </c>
      <c r="L95" s="182" t="inlineStr">
        <is>
          <t>23.02.2026</t>
        </is>
      </c>
      <c r="M95" s="182" t="inlineStr">
        <is>
          <t>23.02.2026</t>
        </is>
      </c>
      <c r="N95" s="182" t="inlineStr">
        <is>
          <t>Foreign matter</t>
        </is>
      </c>
      <c r="O95" s="182" t="inlineStr">
        <is>
          <t>iCoA_P07 · Foreign matter</t>
        </is>
      </c>
      <c r="P95" s="182" t="inlineStr">
        <is>
          <t>n/a</t>
        </is>
      </c>
      <c r="Q95" s="182" t="inlineStr">
        <is>
          <t>n/a</t>
        </is>
      </c>
      <c r="R95" s="182" t="inlineStr">
        <is>
          <t>Conforms</t>
        </is>
      </c>
      <c r="S95" s="182" t="inlineStr">
        <is>
          <t>051-6-K-26, (04.03.2026) [FHM-K]</t>
        </is>
      </c>
      <c r="T95" s="182" t="inlineStr"/>
      <c r="U95" s="182" t="inlineStr"/>
      <c r="V95" s="182" t="inlineStr"/>
      <c r="W95" s="188" t="inlineStr">
        <is>
          <t>registered — preliminary date, QC sets the real date at issue</t>
        </is>
      </c>
    </row>
    <row r="96">
      <c r="A96" s="182" t="n">
        <v>95</v>
      </c>
      <c r="B96" s="182" t="inlineStr">
        <is>
          <t>initial release</t>
        </is>
      </c>
      <c r="C96" s="181">
        <f>IFERROR(INDEX('iCoA Register'!$B:$B,MATCH("P060152|AB|I",'iCoA Register'!$R:$R,0)),"— at issue —")</f>
        <v/>
      </c>
      <c r="D96" s="182" t="inlineStr">
        <is>
          <t>iCoA-PP-2026-0012</t>
        </is>
      </c>
      <c r="E96" s="182" t="inlineStr">
        <is>
          <t>CoQ-PP-2026-0012</t>
        </is>
      </c>
      <c r="F96" s="182" t="inlineStr">
        <is>
          <t>05.03.2026</t>
        </is>
      </c>
      <c r="G96" s="183">
        <f>IFERROR(INDEX('iCoA Register'!$D:$D,MATCH("P060152|AB|I",'iCoA Register'!$R:$R,0)),"")</f>
        <v/>
      </c>
      <c r="H96" s="181" t="inlineStr">
        <is>
          <t>J31102501</t>
        </is>
      </c>
      <c r="I96" s="182" t="inlineStr">
        <is>
          <t>P060152</t>
        </is>
      </c>
      <c r="J96" s="182" t="inlineStr">
        <is>
          <t>Jokerz 31</t>
        </is>
      </c>
      <c r="K96" s="182" t="inlineStr">
        <is>
          <t>21.01.2026</t>
        </is>
      </c>
      <c r="L96" s="182" t="inlineStr">
        <is>
          <t>05.03.2026</t>
        </is>
      </c>
      <c r="M96" s="182" t="inlineStr">
        <is>
          <t>05.03.2026</t>
        </is>
      </c>
      <c r="N96" s="182" t="inlineStr">
        <is>
          <t>Ident A + Ident B</t>
        </is>
      </c>
      <c r="O96" s="182" t="inlineStr">
        <is>
          <t>iCoA_P01-02 · Appearance &amp; Identification A/B</t>
        </is>
      </c>
      <c r="P96" s="182" t="inlineStr">
        <is>
          <t>Conforms</t>
        </is>
      </c>
      <c r="Q96" s="182" t="inlineStr">
        <is>
          <t>Conforms</t>
        </is>
      </c>
      <c r="R96" s="182" t="inlineStr">
        <is>
          <t>n/a</t>
        </is>
      </c>
      <c r="S96" s="182" t="inlineStr">
        <is>
          <t>051-1-K-26, (04.03.2026) [FHM-K]</t>
        </is>
      </c>
      <c r="T96" s="182" t="inlineStr"/>
      <c r="U96" s="182" t="inlineStr"/>
      <c r="V96" s="182" t="inlineStr"/>
      <c r="W96" s="188" t="inlineStr">
        <is>
          <t>registered — preliminary date, QC sets the real date at issue</t>
        </is>
      </c>
    </row>
    <row r="97">
      <c r="A97" s="182" t="n">
        <v>96</v>
      </c>
      <c r="B97" s="182" t="inlineStr">
        <is>
          <t>initial release</t>
        </is>
      </c>
      <c r="C97" s="181">
        <f>IFERROR(INDEX('iCoA Register'!$B:$B,MATCH("P060152|FM|I",'iCoA Register'!$R:$R,0)),"— at issue —")</f>
        <v/>
      </c>
      <c r="D97" s="182" t="inlineStr">
        <is>
          <t>iCoA-PP-2026-0012</t>
        </is>
      </c>
      <c r="E97" s="182" t="inlineStr">
        <is>
          <t>CoQ-PP-2026-0012</t>
        </is>
      </c>
      <c r="F97" s="182" t="inlineStr">
        <is>
          <t>05.03.2026</t>
        </is>
      </c>
      <c r="G97" s="183">
        <f>IFERROR(INDEX('iCoA Register'!$D:$D,MATCH("P060152|FM|I",'iCoA Register'!$R:$R,0)),"")</f>
        <v/>
      </c>
      <c r="H97" s="181" t="inlineStr">
        <is>
          <t>J31102501</t>
        </is>
      </c>
      <c r="I97" s="182" t="inlineStr">
        <is>
          <t>P060152</t>
        </is>
      </c>
      <c r="J97" s="182" t="inlineStr">
        <is>
          <t>Jokerz 31</t>
        </is>
      </c>
      <c r="K97" s="182" t="inlineStr">
        <is>
          <t>21.01.2026</t>
        </is>
      </c>
      <c r="L97" s="182" t="inlineStr">
        <is>
          <t>05.03.2026</t>
        </is>
      </c>
      <c r="M97" s="182" t="inlineStr">
        <is>
          <t>05.03.2026</t>
        </is>
      </c>
      <c r="N97" s="182" t="inlineStr">
        <is>
          <t>Foreign matter</t>
        </is>
      </c>
      <c r="O97" s="182" t="inlineStr">
        <is>
          <t>iCoA_P07 · Foreign matter</t>
        </is>
      </c>
      <c r="P97" s="182" t="inlineStr">
        <is>
          <t>n/a</t>
        </is>
      </c>
      <c r="Q97" s="182" t="inlineStr">
        <is>
          <t>n/a</t>
        </is>
      </c>
      <c r="R97" s="182" t="inlineStr">
        <is>
          <t>Conforms</t>
        </is>
      </c>
      <c r="S97" s="182" t="inlineStr">
        <is>
          <t>051-1-K-26, (04.03.2026) [FHM-K]</t>
        </is>
      </c>
      <c r="T97" s="182" t="inlineStr"/>
      <c r="U97" s="182" t="inlineStr"/>
      <c r="V97" s="182" t="inlineStr"/>
      <c r="W97" s="188" t="inlineStr">
        <is>
          <t>registered — preliminary date, QC sets the real date at issue</t>
        </is>
      </c>
    </row>
    <row r="98">
      <c r="A98" s="182" t="n">
        <v>97</v>
      </c>
      <c r="B98" s="182" t="inlineStr">
        <is>
          <t>initial release</t>
        </is>
      </c>
      <c r="C98" s="181">
        <f>IFERROR(INDEX('iCoA Register'!$B:$B,MATCH("P060162|AB|I",'iCoA Register'!$R:$R,0)),"— at issue —")</f>
        <v/>
      </c>
      <c r="D98" s="182" t="inlineStr"/>
      <c r="E98" s="182" t="inlineStr">
        <is>
          <t>(assigned on issue)</t>
        </is>
      </c>
      <c r="F98" s="182" t="inlineStr">
        <is>
          <t>04.03.2026</t>
        </is>
      </c>
      <c r="G98" s="183">
        <f>IFERROR(INDEX('iCoA Register'!$D:$D,MATCH("P060162|AB|I",'iCoA Register'!$R:$R,0)),"")</f>
        <v/>
      </c>
      <c r="H98" s="181" t="inlineStr">
        <is>
          <t>SJ102501</t>
        </is>
      </c>
      <c r="I98" s="182" t="inlineStr">
        <is>
          <t>P060162</t>
        </is>
      </c>
      <c r="J98" s="182" t="inlineStr">
        <is>
          <t>Sleepy Joe</t>
        </is>
      </c>
      <c r="K98" s="182" t="inlineStr">
        <is>
          <t>20.01.2026</t>
        </is>
      </c>
      <c r="L98" s="182" t="inlineStr">
        <is>
          <t>09.03.2026 (the issuance plan's basis: 04.03.2026)</t>
        </is>
      </c>
      <c r="M98" s="182" t="inlineStr">
        <is>
          <t>09.03.2026</t>
        </is>
      </c>
      <c r="N98" s="182" t="inlineStr">
        <is>
          <t>Ident A + Ident B</t>
        </is>
      </c>
      <c r="O98" s="182" t="inlineStr">
        <is>
          <t>iCoA_P01-02 · Appearance &amp; Identification A/B</t>
        </is>
      </c>
      <c r="P98" s="182" t="inlineStr">
        <is>
          <t>Conforms</t>
        </is>
      </c>
      <c r="Q98" s="182" t="inlineStr">
        <is>
          <t>Conforms</t>
        </is>
      </c>
      <c r="R98" s="182" t="inlineStr">
        <is>
          <t>n/a</t>
        </is>
      </c>
      <c r="S98" s="182" t="inlineStr">
        <is>
          <t>051-3-K-26, (04.03.2026) [FHM-K]</t>
        </is>
      </c>
      <c r="T98" s="182" t="inlineStr"/>
      <c r="U98" s="182" t="inlineStr"/>
      <c r="V98" s="182" t="inlineStr"/>
      <c r="W98" s="188" t="inlineStr">
        <is>
          <t>registered — preliminary date, QC sets the real date at issue</t>
        </is>
      </c>
    </row>
    <row r="99">
      <c r="A99" s="182" t="n">
        <v>98</v>
      </c>
      <c r="B99" s="182" t="inlineStr">
        <is>
          <t>initial release</t>
        </is>
      </c>
      <c r="C99" s="181">
        <f>IFERROR(INDEX('iCoA Register'!$B:$B,MATCH("P060162|FM|I",'iCoA Register'!$R:$R,0)),"— at issue —")</f>
        <v/>
      </c>
      <c r="D99" s="182" t="inlineStr"/>
      <c r="E99" s="182" t="inlineStr">
        <is>
          <t>(assigned on issue)</t>
        </is>
      </c>
      <c r="F99" s="182" t="inlineStr">
        <is>
          <t>04.03.2026</t>
        </is>
      </c>
      <c r="G99" s="183">
        <f>IFERROR(INDEX('iCoA Register'!$D:$D,MATCH("P060162|FM|I",'iCoA Register'!$R:$R,0)),"")</f>
        <v/>
      </c>
      <c r="H99" s="181" t="inlineStr">
        <is>
          <t>SJ102501</t>
        </is>
      </c>
      <c r="I99" s="182" t="inlineStr">
        <is>
          <t>P060162</t>
        </is>
      </c>
      <c r="J99" s="182" t="inlineStr">
        <is>
          <t>Sleepy Joe</t>
        </is>
      </c>
      <c r="K99" s="182" t="inlineStr">
        <is>
          <t>20.01.2026</t>
        </is>
      </c>
      <c r="L99" s="182" t="inlineStr">
        <is>
          <t>09.03.2026 (the issuance plan's basis: 04.03.2026)</t>
        </is>
      </c>
      <c r="M99" s="182" t="inlineStr">
        <is>
          <t>09.03.2026</t>
        </is>
      </c>
      <c r="N99" s="182" t="inlineStr">
        <is>
          <t>Foreign matter</t>
        </is>
      </c>
      <c r="O99" s="182" t="inlineStr">
        <is>
          <t>iCoA_P07 · Foreign matter</t>
        </is>
      </c>
      <c r="P99" s="182" t="inlineStr">
        <is>
          <t>n/a</t>
        </is>
      </c>
      <c r="Q99" s="182" t="inlineStr">
        <is>
          <t>n/a</t>
        </is>
      </c>
      <c r="R99" s="182" t="inlineStr">
        <is>
          <t>Conforms</t>
        </is>
      </c>
      <c r="S99" s="182" t="inlineStr">
        <is>
          <t>051-3-K-26, (04.03.2026) [FHM-K]</t>
        </is>
      </c>
      <c r="T99" s="182" t="inlineStr"/>
      <c r="U99" s="182" t="inlineStr"/>
      <c r="V99" s="182" t="inlineStr"/>
      <c r="W99" s="188" t="inlineStr">
        <is>
          <t>registered — preliminary date, QC sets the real date at issue</t>
        </is>
      </c>
    </row>
    <row r="100">
      <c r="A100" s="182" t="n">
        <v>99</v>
      </c>
      <c r="B100" s="182" t="inlineStr">
        <is>
          <t>initial release</t>
        </is>
      </c>
      <c r="C100" s="181">
        <f>IFERROR(INDEX('iCoA Register'!$B:$B,MATCH("P060172|AB|I",'iCoA Register'!$R:$R,0)),"— at issue —")</f>
        <v/>
      </c>
      <c r="D100" s="182" t="inlineStr">
        <is>
          <t>iCoA-PP-2026-0013</t>
        </is>
      </c>
      <c r="E100" s="182" t="inlineStr">
        <is>
          <t>CoQ-PP-2026-0013</t>
        </is>
      </c>
      <c r="F100" s="182" t="inlineStr">
        <is>
          <t>12.03.2026</t>
        </is>
      </c>
      <c r="G100" s="183">
        <f>IFERROR(INDEX('iCoA Register'!$D:$D,MATCH("P060172|AB|I",'iCoA Register'!$R:$R,0)),"")</f>
        <v/>
      </c>
      <c r="H100" s="181" t="inlineStr">
        <is>
          <t>KC102501</t>
        </is>
      </c>
      <c r="I100" s="182" t="inlineStr">
        <is>
          <t>P060172</t>
        </is>
      </c>
      <c r="J100" s="182" t="inlineStr">
        <is>
          <t>Kush Crasher</t>
        </is>
      </c>
      <c r="K100" s="182" t="inlineStr">
        <is>
          <t>20.01.2026 – 21.01.2026</t>
        </is>
      </c>
      <c r="L100" s="182" t="inlineStr">
        <is>
          <t>12.03.2026</t>
        </is>
      </c>
      <c r="M100" s="182" t="inlineStr">
        <is>
          <t>12.03.2026</t>
        </is>
      </c>
      <c r="N100" s="182" t="inlineStr">
        <is>
          <t>Ident A + Ident B</t>
        </is>
      </c>
      <c r="O100" s="182" t="inlineStr">
        <is>
          <t>iCoA_P01-02 · Appearance &amp; Identification A/B</t>
        </is>
      </c>
      <c r="P100" s="182" t="inlineStr">
        <is>
          <t>Conforms</t>
        </is>
      </c>
      <c r="Q100" s="182" t="inlineStr">
        <is>
          <t>Conforms</t>
        </is>
      </c>
      <c r="R100" s="182" t="inlineStr">
        <is>
          <t>n/a</t>
        </is>
      </c>
      <c r="S100" s="182" t="inlineStr">
        <is>
          <t>051-4-K-26, (04.03.2026) [FHM-K]</t>
        </is>
      </c>
      <c r="T100" s="182" t="inlineStr"/>
      <c r="U100" s="182" t="inlineStr"/>
      <c r="V100" s="182" t="inlineStr"/>
      <c r="W100" s="188" t="inlineStr">
        <is>
          <t>registered — preliminary date, QC sets the real date at issue</t>
        </is>
      </c>
    </row>
    <row r="101">
      <c r="A101" s="182" t="n">
        <v>100</v>
      </c>
      <c r="B101" s="182" t="inlineStr">
        <is>
          <t>initial release</t>
        </is>
      </c>
      <c r="C101" s="181">
        <f>IFERROR(INDEX('iCoA Register'!$B:$B,MATCH("P060172|FM|I",'iCoA Register'!$R:$R,0)),"— at issue —")</f>
        <v/>
      </c>
      <c r="D101" s="182" t="inlineStr">
        <is>
          <t>iCoA-PP-2026-0013</t>
        </is>
      </c>
      <c r="E101" s="182" t="inlineStr">
        <is>
          <t>CoQ-PP-2026-0013</t>
        </is>
      </c>
      <c r="F101" s="182" t="inlineStr">
        <is>
          <t>12.03.2026</t>
        </is>
      </c>
      <c r="G101" s="183">
        <f>IFERROR(INDEX('iCoA Register'!$D:$D,MATCH("P060172|FM|I",'iCoA Register'!$R:$R,0)),"")</f>
        <v/>
      </c>
      <c r="H101" s="181" t="inlineStr">
        <is>
          <t>KC102501</t>
        </is>
      </c>
      <c r="I101" s="182" t="inlineStr">
        <is>
          <t>P060172</t>
        </is>
      </c>
      <c r="J101" s="182" t="inlineStr">
        <is>
          <t>Kush Crasher</t>
        </is>
      </c>
      <c r="K101" s="182" t="inlineStr">
        <is>
          <t>20.01.2026 – 21.01.2026</t>
        </is>
      </c>
      <c r="L101" s="182" t="inlineStr">
        <is>
          <t>12.03.2026</t>
        </is>
      </c>
      <c r="M101" s="182" t="inlineStr">
        <is>
          <t>12.03.2026</t>
        </is>
      </c>
      <c r="N101" s="182" t="inlineStr">
        <is>
          <t>Foreign matter</t>
        </is>
      </c>
      <c r="O101" s="182" t="inlineStr">
        <is>
          <t>iCoA_P07 · Foreign matter</t>
        </is>
      </c>
      <c r="P101" s="182" t="inlineStr">
        <is>
          <t>n/a</t>
        </is>
      </c>
      <c r="Q101" s="182" t="inlineStr">
        <is>
          <t>n/a</t>
        </is>
      </c>
      <c r="R101" s="182" t="inlineStr">
        <is>
          <t>Conforms</t>
        </is>
      </c>
      <c r="S101" s="182" t="inlineStr">
        <is>
          <t>051-4-K-26, (04.03.2026) [FHM-K]</t>
        </is>
      </c>
      <c r="T101" s="182" t="inlineStr"/>
      <c r="U101" s="182" t="inlineStr"/>
      <c r="V101" s="182" t="inlineStr"/>
      <c r="W101" s="188" t="inlineStr">
        <is>
          <t>registered — preliminary date, QC sets the real date at issue</t>
        </is>
      </c>
    </row>
    <row r="102">
      <c r="A102" s="182" t="n">
        <v>101</v>
      </c>
      <c r="B102" s="182" t="inlineStr">
        <is>
          <t>initial release</t>
        </is>
      </c>
      <c r="C102" s="181">
        <f>IFERROR(INDEX('iCoA Register'!$B:$B,MATCH("P060182|AB|I",'iCoA Register'!$R:$R,0)),"— at issue —")</f>
        <v/>
      </c>
      <c r="D102" s="182" t="inlineStr">
        <is>
          <t>iCoA-PP-2026-0014</t>
        </is>
      </c>
      <c r="E102" s="182" t="inlineStr">
        <is>
          <t>CoQ-PP-2026-0014</t>
        </is>
      </c>
      <c r="F102" s="182" t="inlineStr">
        <is>
          <t>14.03.2026</t>
        </is>
      </c>
      <c r="G102" s="183">
        <f>IFERROR(INDEX('iCoA Register'!$D:$D,MATCH("P060182|AB|I",'iCoA Register'!$R:$R,0)),"")</f>
        <v/>
      </c>
      <c r="H102" s="181" t="inlineStr">
        <is>
          <t>GRC102501</t>
        </is>
      </c>
      <c r="I102" s="182" t="inlineStr">
        <is>
          <t>P060182</t>
        </is>
      </c>
      <c r="J102" s="182" t="inlineStr">
        <is>
          <t>Graps &amp; Creme</t>
        </is>
      </c>
      <c r="K102" s="182" t="inlineStr">
        <is>
          <t>20.01.2026</t>
        </is>
      </c>
      <c r="L102" s="182" t="inlineStr">
        <is>
          <t>14.03.2026</t>
        </is>
      </c>
      <c r="M102" s="182" t="inlineStr">
        <is>
          <t>14.03.2026</t>
        </is>
      </c>
      <c r="N102" s="182" t="inlineStr">
        <is>
          <t>Ident A + Ident B</t>
        </is>
      </c>
      <c r="O102" s="182" t="inlineStr">
        <is>
          <t>iCoA_P01-02 · Appearance &amp; Identification A/B</t>
        </is>
      </c>
      <c r="P102" s="182" t="inlineStr">
        <is>
          <t>Conforms</t>
        </is>
      </c>
      <c r="Q102" s="182" t="inlineStr">
        <is>
          <t>Conforms</t>
        </is>
      </c>
      <c r="R102" s="182" t="inlineStr">
        <is>
          <t>n/a</t>
        </is>
      </c>
      <c r="S102" s="182" t="inlineStr">
        <is>
          <t>051-6-K-26, (04.03.2026) [FHM-K]</t>
        </is>
      </c>
      <c r="T102" s="182" t="inlineStr"/>
      <c r="U102" s="182" t="inlineStr"/>
      <c r="V102" s="182" t="inlineStr"/>
      <c r="W102" s="188" t="inlineStr">
        <is>
          <t>registered — preliminary date, QC sets the real date at issue</t>
        </is>
      </c>
    </row>
    <row r="103">
      <c r="A103" s="182" t="n">
        <v>102</v>
      </c>
      <c r="B103" s="182" t="inlineStr">
        <is>
          <t>initial release</t>
        </is>
      </c>
      <c r="C103" s="181">
        <f>IFERROR(INDEX('iCoA Register'!$B:$B,MATCH("P060182|FM|I",'iCoA Register'!$R:$R,0)),"— at issue —")</f>
        <v/>
      </c>
      <c r="D103" s="182" t="inlineStr">
        <is>
          <t>iCoA-PP-2026-0014</t>
        </is>
      </c>
      <c r="E103" s="182" t="inlineStr">
        <is>
          <t>CoQ-PP-2026-0014</t>
        </is>
      </c>
      <c r="F103" s="182" t="inlineStr">
        <is>
          <t>14.03.2026</t>
        </is>
      </c>
      <c r="G103" s="183">
        <f>IFERROR(INDEX('iCoA Register'!$D:$D,MATCH("P060182|FM|I",'iCoA Register'!$R:$R,0)),"")</f>
        <v/>
      </c>
      <c r="H103" s="181" t="inlineStr">
        <is>
          <t>GRC102501</t>
        </is>
      </c>
      <c r="I103" s="182" t="inlineStr">
        <is>
          <t>P060182</t>
        </is>
      </c>
      <c r="J103" s="182" t="inlineStr">
        <is>
          <t>Graps &amp; Creme</t>
        </is>
      </c>
      <c r="K103" s="182" t="inlineStr">
        <is>
          <t>20.01.2026</t>
        </is>
      </c>
      <c r="L103" s="182" t="inlineStr">
        <is>
          <t>14.03.2026</t>
        </is>
      </c>
      <c r="M103" s="182" t="inlineStr">
        <is>
          <t>14.03.2026</t>
        </is>
      </c>
      <c r="N103" s="182" t="inlineStr">
        <is>
          <t>Foreign matter</t>
        </is>
      </c>
      <c r="O103" s="182" t="inlineStr">
        <is>
          <t>iCoA_P07 · Foreign matter</t>
        </is>
      </c>
      <c r="P103" s="182" t="inlineStr">
        <is>
          <t>n/a</t>
        </is>
      </c>
      <c r="Q103" s="182" t="inlineStr">
        <is>
          <t>n/a</t>
        </is>
      </c>
      <c r="R103" s="182" t="inlineStr">
        <is>
          <t>Conforms</t>
        </is>
      </c>
      <c r="S103" s="182" t="inlineStr">
        <is>
          <t>051-6-K-26, (04.03.2026) [FHM-K]</t>
        </is>
      </c>
      <c r="T103" s="182" t="inlineStr"/>
      <c r="U103" s="182" t="inlineStr"/>
      <c r="V103" s="182" t="inlineStr"/>
      <c r="W103" s="188" t="inlineStr">
        <is>
          <t>registered — preliminary date, QC sets the real date at issue</t>
        </is>
      </c>
    </row>
    <row r="104">
      <c r="A104" s="182" t="n">
        <v>103</v>
      </c>
      <c r="B104" s="182" t="inlineStr">
        <is>
          <t>initial release</t>
        </is>
      </c>
      <c r="C104" s="181">
        <f>IFERROR(INDEX('iCoA Register'!$B:$B,MATCH("P060192|AB|I",'iCoA Register'!$R:$R,0)),"— at issue —")</f>
        <v/>
      </c>
      <c r="D104" s="182" t="inlineStr"/>
      <c r="E104" s="182" t="inlineStr">
        <is>
          <t>(assigned on issue)</t>
        </is>
      </c>
      <c r="F104" s="182" t="inlineStr">
        <is>
          <t>04.03.2026</t>
        </is>
      </c>
      <c r="G104" s="183">
        <f>IFERROR(INDEX('iCoA Register'!$D:$D,MATCH("P060192|AB|I",'iCoA Register'!$R:$R,0)),"")</f>
        <v/>
      </c>
      <c r="H104" s="181" t="inlineStr">
        <is>
          <t>SJ112501</t>
        </is>
      </c>
      <c r="I104" s="182" t="inlineStr">
        <is>
          <t>P060192</t>
        </is>
      </c>
      <c r="J104" s="182" t="inlineStr">
        <is>
          <t>Sleepy Joy</t>
        </is>
      </c>
      <c r="K104" s="182" t="inlineStr">
        <is>
          <t>26.01.2026 – 27.01.2026</t>
        </is>
      </c>
      <c r="L104" s="182" t="inlineStr">
        <is>
          <t>31.03.2026 (the issuance plan's basis: 04.03.2026)</t>
        </is>
      </c>
      <c r="M104" s="182" t="inlineStr">
        <is>
          <t>31.03.2026</t>
        </is>
      </c>
      <c r="N104" s="182" t="inlineStr">
        <is>
          <t>Ident A + Ident B</t>
        </is>
      </c>
      <c r="O104" s="182" t="inlineStr">
        <is>
          <t>iCoA_P01-02 · Appearance &amp; Identification A/B</t>
        </is>
      </c>
      <c r="P104" s="182" t="inlineStr">
        <is>
          <t>Conforms</t>
        </is>
      </c>
      <c r="Q104" s="182" t="inlineStr">
        <is>
          <t>Conforms</t>
        </is>
      </c>
      <c r="R104" s="182" t="inlineStr">
        <is>
          <t>n/a</t>
        </is>
      </c>
      <c r="S104" s="182" t="inlineStr">
        <is>
          <t>051-2-K-26, (04.03.2026) [FHM-K]</t>
        </is>
      </c>
      <c r="T104" s="182" t="inlineStr"/>
      <c r="U104" s="182" t="inlineStr"/>
      <c r="V104" s="182" t="inlineStr"/>
      <c r="W104" s="188" t="inlineStr">
        <is>
          <t>registered — preliminary date, QC sets the real date at issue</t>
        </is>
      </c>
    </row>
    <row r="105">
      <c r="A105" s="182" t="n">
        <v>104</v>
      </c>
      <c r="B105" s="182" t="inlineStr">
        <is>
          <t>initial release</t>
        </is>
      </c>
      <c r="C105" s="181">
        <f>IFERROR(INDEX('iCoA Register'!$B:$B,MATCH("P060192|FM|I",'iCoA Register'!$R:$R,0)),"— at issue —")</f>
        <v/>
      </c>
      <c r="D105" s="182" t="inlineStr"/>
      <c r="E105" s="182" t="inlineStr">
        <is>
          <t>(assigned on issue)</t>
        </is>
      </c>
      <c r="F105" s="182" t="inlineStr">
        <is>
          <t>04.03.2026</t>
        </is>
      </c>
      <c r="G105" s="183">
        <f>IFERROR(INDEX('iCoA Register'!$D:$D,MATCH("P060192|FM|I",'iCoA Register'!$R:$R,0)),"")</f>
        <v/>
      </c>
      <c r="H105" s="181" t="inlineStr">
        <is>
          <t>SJ112501</t>
        </is>
      </c>
      <c r="I105" s="182" t="inlineStr">
        <is>
          <t>P060192</t>
        </is>
      </c>
      <c r="J105" s="182" t="inlineStr">
        <is>
          <t>Sleepy Joy</t>
        </is>
      </c>
      <c r="K105" s="182" t="inlineStr">
        <is>
          <t>26.01.2026 – 27.01.2026</t>
        </is>
      </c>
      <c r="L105" s="182" t="inlineStr">
        <is>
          <t>31.03.2026 (the issuance plan's basis: 04.03.2026)</t>
        </is>
      </c>
      <c r="M105" s="182" t="inlineStr">
        <is>
          <t>31.03.2026</t>
        </is>
      </c>
      <c r="N105" s="182" t="inlineStr">
        <is>
          <t>Foreign matter</t>
        </is>
      </c>
      <c r="O105" s="182" t="inlineStr">
        <is>
          <t>iCoA_P07 · Foreign matter</t>
        </is>
      </c>
      <c r="P105" s="182" t="inlineStr">
        <is>
          <t>n/a</t>
        </is>
      </c>
      <c r="Q105" s="182" t="inlineStr">
        <is>
          <t>n/a</t>
        </is>
      </c>
      <c r="R105" s="182" t="inlineStr">
        <is>
          <t>Conforms</t>
        </is>
      </c>
      <c r="S105" s="182" t="inlineStr">
        <is>
          <t>051-2-K-26, (04.03.2026) [FHM-K]</t>
        </is>
      </c>
      <c r="T105" s="182" t="inlineStr"/>
      <c r="U105" s="182" t="inlineStr"/>
      <c r="V105" s="182" t="inlineStr"/>
      <c r="W105" s="188" t="inlineStr">
        <is>
          <t>registered — preliminary date, QC sets the real date at issue</t>
        </is>
      </c>
    </row>
    <row r="106">
      <c r="A106" s="182" t="n">
        <v>105</v>
      </c>
      <c r="B106" s="182" t="inlineStr">
        <is>
          <t>initial release</t>
        </is>
      </c>
      <c r="C106" s="181">
        <f>IFERROR(INDEX('iCoA Register'!$B:$B,MATCH("P060202|AB|I",'iCoA Register'!$R:$R,0)),"— at issue —")</f>
        <v/>
      </c>
      <c r="D106" s="182" t="inlineStr"/>
      <c r="E106" s="182" t="inlineStr">
        <is>
          <t>(assigned on issue)</t>
        </is>
      </c>
      <c r="F106" s="182" t="inlineStr">
        <is>
          <t>09.04.2026</t>
        </is>
      </c>
      <c r="G106" s="183">
        <f>IFERROR(INDEX('iCoA Register'!$D:$D,MATCH("P060202|AB|I",'iCoA Register'!$R:$R,0)),"")</f>
        <v/>
      </c>
      <c r="H106" s="181" t="inlineStr">
        <is>
          <t>J31112501</t>
        </is>
      </c>
      <c r="I106" s="182" t="inlineStr">
        <is>
          <t>P060202</t>
        </is>
      </c>
      <c r="J106" s="182" t="inlineStr">
        <is>
          <t>Jokerz 31</t>
        </is>
      </c>
      <c r="K106" s="182" t="inlineStr">
        <is>
          <t>26.01.2026</t>
        </is>
      </c>
      <c r="L106" s="182" t="inlineStr">
        <is>
          <t>17.04.2026 (the issuance plan's basis: 09.04.2026)</t>
        </is>
      </c>
      <c r="M106" s="182" t="inlineStr">
        <is>
          <t>17.04.2026</t>
        </is>
      </c>
      <c r="N106" s="182" t="inlineStr">
        <is>
          <t>Ident A + Ident B</t>
        </is>
      </c>
      <c r="O106" s="182" t="inlineStr">
        <is>
          <t>iCoA_P01-02 · Appearance &amp; Identification A/B</t>
        </is>
      </c>
      <c r="P106" s="182" t="inlineStr">
        <is>
          <t>Conforms</t>
        </is>
      </c>
      <c r="Q106" s="182" t="inlineStr">
        <is>
          <t>Conforms</t>
        </is>
      </c>
      <c r="R106" s="182" t="inlineStr">
        <is>
          <t>n/a</t>
        </is>
      </c>
      <c r="S106" s="182" t="inlineStr">
        <is>
          <t>051-5-K-26, (04.03.2026) [FHM-K]</t>
        </is>
      </c>
      <c r="T106" s="182" t="inlineStr"/>
      <c r="U106" s="182" t="inlineStr"/>
      <c r="V106" s="182" t="inlineStr"/>
      <c r="W106" s="188" t="inlineStr">
        <is>
          <t>registered — preliminary date, QC sets the real date at issue</t>
        </is>
      </c>
    </row>
    <row r="107">
      <c r="A107" s="182" t="n">
        <v>106</v>
      </c>
      <c r="B107" s="182" t="inlineStr">
        <is>
          <t>initial release</t>
        </is>
      </c>
      <c r="C107" s="181">
        <f>IFERROR(INDEX('iCoA Register'!$B:$B,MATCH("P060202|FM|I",'iCoA Register'!$R:$R,0)),"— at issue —")</f>
        <v/>
      </c>
      <c r="D107" s="182" t="inlineStr"/>
      <c r="E107" s="182" t="inlineStr">
        <is>
          <t>(assigned on issue)</t>
        </is>
      </c>
      <c r="F107" s="182" t="inlineStr">
        <is>
          <t>09.04.2026</t>
        </is>
      </c>
      <c r="G107" s="183">
        <f>IFERROR(INDEX('iCoA Register'!$D:$D,MATCH("P060202|FM|I",'iCoA Register'!$R:$R,0)),"")</f>
        <v/>
      </c>
      <c r="H107" s="181" t="inlineStr">
        <is>
          <t>J31112501</t>
        </is>
      </c>
      <c r="I107" s="182" t="inlineStr">
        <is>
          <t>P060202</t>
        </is>
      </c>
      <c r="J107" s="182" t="inlineStr">
        <is>
          <t>Jokerz 31</t>
        </is>
      </c>
      <c r="K107" s="182" t="inlineStr">
        <is>
          <t>26.01.2026</t>
        </is>
      </c>
      <c r="L107" s="182" t="inlineStr">
        <is>
          <t>17.04.2026 (the issuance plan's basis: 09.04.2026)</t>
        </is>
      </c>
      <c r="M107" s="182" t="inlineStr">
        <is>
          <t>17.04.2026</t>
        </is>
      </c>
      <c r="N107" s="182" t="inlineStr">
        <is>
          <t>Foreign matter</t>
        </is>
      </c>
      <c r="O107" s="182" t="inlineStr">
        <is>
          <t>iCoA_P07 · Foreign matter</t>
        </is>
      </c>
      <c r="P107" s="182" t="inlineStr">
        <is>
          <t>n/a</t>
        </is>
      </c>
      <c r="Q107" s="182" t="inlineStr">
        <is>
          <t>n/a</t>
        </is>
      </c>
      <c r="R107" s="182" t="inlineStr">
        <is>
          <t>Conforms</t>
        </is>
      </c>
      <c r="S107" s="182" t="inlineStr">
        <is>
          <t>051-5-K-26, (04.03.2026) [FHM-K]</t>
        </is>
      </c>
      <c r="T107" s="182" t="inlineStr"/>
      <c r="U107" s="182" t="inlineStr"/>
      <c r="V107" s="182" t="inlineStr"/>
      <c r="W107" s="188" t="inlineStr">
        <is>
          <t>registered — preliminary date, QC sets the real date at issue</t>
        </is>
      </c>
    </row>
    <row r="108">
      <c r="A108" s="182" t="n">
        <v>107</v>
      </c>
      <c r="B108" s="182" t="inlineStr">
        <is>
          <t>initial release</t>
        </is>
      </c>
      <c r="C108" s="181">
        <f>IFERROR(INDEX('iCoA Register'!$B:$B,MATCH("P060212|AB|I",'iCoA Register'!$R:$R,0)),"— at issue —")</f>
        <v/>
      </c>
      <c r="D108" s="182" t="inlineStr">
        <is>
          <t>iCoA-PP-2026-0015</t>
        </is>
      </c>
      <c r="E108" s="182" t="inlineStr">
        <is>
          <t>CoQ-PP-2026-0015</t>
        </is>
      </c>
      <c r="F108" s="182" t="inlineStr">
        <is>
          <t>21.04.2026</t>
        </is>
      </c>
      <c r="G108" s="183">
        <f>IFERROR(INDEX('iCoA Register'!$D:$D,MATCH("P060212|AB|I",'iCoA Register'!$R:$R,0)),"")</f>
        <v/>
      </c>
      <c r="H108" s="181" t="inlineStr">
        <is>
          <t>JD112501</t>
        </is>
      </c>
      <c r="I108" s="182" t="inlineStr">
        <is>
          <t>P060212</t>
        </is>
      </c>
      <c r="J108" s="182" t="inlineStr">
        <is>
          <t>Jelly Donutz</t>
        </is>
      </c>
      <c r="K108" s="182" t="inlineStr">
        <is>
          <t>25.03.2026</t>
        </is>
      </c>
      <c r="L108" s="182" t="inlineStr">
        <is>
          <t>21.04.2026</t>
        </is>
      </c>
      <c r="M108" s="182" t="inlineStr">
        <is>
          <t>21.04.2026</t>
        </is>
      </c>
      <c r="N108" s="182" t="inlineStr">
        <is>
          <t>Ident A + Ident B</t>
        </is>
      </c>
      <c r="O108" s="182" t="inlineStr">
        <is>
          <t>iCoA_P01-02 · Appearance &amp; Identification A/B</t>
        </is>
      </c>
      <c r="P108" s="182" t="inlineStr">
        <is>
          <t>Conforms</t>
        </is>
      </c>
      <c r="Q108" s="182" t="inlineStr">
        <is>
          <t>Conforms</t>
        </is>
      </c>
      <c r="R108" s="182" t="inlineStr">
        <is>
          <t>n/a</t>
        </is>
      </c>
      <c r="S108" s="182" t="inlineStr">
        <is>
          <t>ППК26063, (11.05.2026) [CNP]</t>
        </is>
      </c>
      <c r="T108" s="182" t="inlineStr"/>
      <c r="U108" s="182" t="inlineStr"/>
      <c r="V108" s="182" t="inlineStr"/>
      <c r="W108" s="188" t="inlineStr">
        <is>
          <t>registered — preliminary date, QC sets the real date at issue</t>
        </is>
      </c>
    </row>
    <row r="109">
      <c r="A109" s="182" t="n">
        <v>108</v>
      </c>
      <c r="B109" s="182" t="inlineStr">
        <is>
          <t>initial release</t>
        </is>
      </c>
      <c r="C109" s="181">
        <f>IFERROR(INDEX('iCoA Register'!$B:$B,MATCH("P060212|FM|I",'iCoA Register'!$R:$R,0)),"— at issue —")</f>
        <v/>
      </c>
      <c r="D109" s="182" t="inlineStr">
        <is>
          <t>iCoA-PP-2026-0015</t>
        </is>
      </c>
      <c r="E109" s="182" t="inlineStr">
        <is>
          <t>CoQ-PP-2026-0015</t>
        </is>
      </c>
      <c r="F109" s="182" t="inlineStr">
        <is>
          <t>21.04.2026</t>
        </is>
      </c>
      <c r="G109" s="183">
        <f>IFERROR(INDEX('iCoA Register'!$D:$D,MATCH("P060212|FM|I",'iCoA Register'!$R:$R,0)),"")</f>
        <v/>
      </c>
      <c r="H109" s="181" t="inlineStr">
        <is>
          <t>JD112501</t>
        </is>
      </c>
      <c r="I109" s="182" t="inlineStr">
        <is>
          <t>P060212</t>
        </is>
      </c>
      <c r="J109" s="182" t="inlineStr">
        <is>
          <t>Jelly Donutz</t>
        </is>
      </c>
      <c r="K109" s="182" t="inlineStr">
        <is>
          <t>25.03.2026</t>
        </is>
      </c>
      <c r="L109" s="182" t="inlineStr">
        <is>
          <t>21.04.2026</t>
        </is>
      </c>
      <c r="M109" s="182" t="inlineStr">
        <is>
          <t>21.04.2026</t>
        </is>
      </c>
      <c r="N109" s="182" t="inlineStr">
        <is>
          <t>Foreign matter</t>
        </is>
      </c>
      <c r="O109" s="182" t="inlineStr">
        <is>
          <t>iCoA_P07 · Foreign matter</t>
        </is>
      </c>
      <c r="P109" s="182" t="inlineStr">
        <is>
          <t>n/a</t>
        </is>
      </c>
      <c r="Q109" s="182" t="inlineStr">
        <is>
          <t>n/a</t>
        </is>
      </c>
      <c r="R109" s="182" t="inlineStr">
        <is>
          <t>Conforms</t>
        </is>
      </c>
      <c r="S109" s="182" t="inlineStr">
        <is>
          <t>ППК26063, (11.05.2026) [CNP]</t>
        </is>
      </c>
      <c r="T109" s="182" t="inlineStr"/>
      <c r="U109" s="182" t="inlineStr"/>
      <c r="V109" s="182" t="inlineStr"/>
      <c r="W109" s="188" t="inlineStr">
        <is>
          <t>registered — preliminary date, QC sets the real date at issue</t>
        </is>
      </c>
    </row>
    <row r="110">
      <c r="A110" s="182" t="n">
        <v>109</v>
      </c>
      <c r="B110" s="182" t="inlineStr">
        <is>
          <t>initial release</t>
        </is>
      </c>
      <c r="C110" s="181">
        <f>IFERROR(INDEX('iCoA Register'!$B:$B,MATCH("JD112501|AB|I",'iCoA Register'!$R:$R,0)),"— at issue —")</f>
        <v/>
      </c>
      <c r="D110" s="182" t="inlineStr">
        <is>
          <t>iCoA-PP-2026-0015</t>
        </is>
      </c>
      <c r="E110" s="182" t="inlineStr">
        <is>
          <t>CoQ-PP-2026-0015</t>
        </is>
      </c>
      <c r="F110" s="182" t="inlineStr">
        <is>
          <t>21.04.2026</t>
        </is>
      </c>
      <c r="G110" s="183">
        <f>IFERROR(INDEX('iCoA Register'!$D:$D,MATCH("JD112501|AB|I",'iCoA Register'!$R:$R,0)),"")</f>
        <v/>
      </c>
      <c r="H110" s="181" t="inlineStr">
        <is>
          <t>JD112501＊</t>
        </is>
      </c>
      <c r="I110" s="182" t="inlineStr">
        <is>
          <t>N/A — no P batch assigned</t>
        </is>
      </c>
      <c r="J110" s="182" t="inlineStr">
        <is>
          <t>Jelly Donutz</t>
        </is>
      </c>
      <c r="K110" s="182" t="inlineStr">
        <is>
          <t>25.03.2026</t>
        </is>
      </c>
      <c r="L110" s="182" t="inlineStr">
        <is>
          <t>21.04.2026</t>
        </is>
      </c>
      <c r="M110" s="182" t="inlineStr">
        <is>
          <t>21.04.2026</t>
        </is>
      </c>
      <c r="N110" s="182" t="inlineStr">
        <is>
          <t>Ident A + Ident B</t>
        </is>
      </c>
      <c r="O110" s="182" t="inlineStr">
        <is>
          <t>iCoA_P01-02 · Appearance &amp; Identification A/B</t>
        </is>
      </c>
      <c r="P110" s="182" t="inlineStr">
        <is>
          <t>Conforms</t>
        </is>
      </c>
      <c r="Q110" s="182" t="inlineStr">
        <is>
          <t>Conforms</t>
        </is>
      </c>
      <c r="R110" s="182" t="inlineStr">
        <is>
          <t>n/a</t>
        </is>
      </c>
      <c r="S110" s="182" t="inlineStr">
        <is>
          <t>ППК26065, (11.05.2026) [CNP]</t>
        </is>
      </c>
      <c r="T110" s="182" t="inlineStr"/>
      <c r="U110" s="182" t="inlineStr"/>
      <c r="V110" s="182" t="inlineStr"/>
      <c r="W110" s="188" t="inlineStr">
        <is>
          <t>registered — preliminary date, QC sets the real date at issue</t>
        </is>
      </c>
    </row>
    <row r="111">
      <c r="A111" s="182" t="n">
        <v>110</v>
      </c>
      <c r="B111" s="182" t="inlineStr">
        <is>
          <t>initial release</t>
        </is>
      </c>
      <c r="C111" s="181">
        <f>IFERROR(INDEX('iCoA Register'!$B:$B,MATCH("JD112501|FM|I",'iCoA Register'!$R:$R,0)),"— at issue —")</f>
        <v/>
      </c>
      <c r="D111" s="182" t="inlineStr">
        <is>
          <t>iCoA-PP-2026-0015</t>
        </is>
      </c>
      <c r="E111" s="182" t="inlineStr">
        <is>
          <t>CoQ-PP-2026-0015</t>
        </is>
      </c>
      <c r="F111" s="182" t="inlineStr">
        <is>
          <t>21.04.2026</t>
        </is>
      </c>
      <c r="G111" s="183">
        <f>IFERROR(INDEX('iCoA Register'!$D:$D,MATCH("JD112501|FM|I",'iCoA Register'!$R:$R,0)),"")</f>
        <v/>
      </c>
      <c r="H111" s="181" t="inlineStr">
        <is>
          <t>JD112501＊</t>
        </is>
      </c>
      <c r="I111" s="182" t="inlineStr">
        <is>
          <t>N/A — no P batch assigned</t>
        </is>
      </c>
      <c r="J111" s="182" t="inlineStr">
        <is>
          <t>Jelly Donutz</t>
        </is>
      </c>
      <c r="K111" s="182" t="inlineStr">
        <is>
          <t>25.03.2026</t>
        </is>
      </c>
      <c r="L111" s="182" t="inlineStr">
        <is>
          <t>21.04.2026</t>
        </is>
      </c>
      <c r="M111" s="182" t="inlineStr">
        <is>
          <t>21.04.2026</t>
        </is>
      </c>
      <c r="N111" s="182" t="inlineStr">
        <is>
          <t>Foreign matter</t>
        </is>
      </c>
      <c r="O111" s="182" t="inlineStr">
        <is>
          <t>iCoA_P07 · Foreign matter</t>
        </is>
      </c>
      <c r="P111" s="182" t="inlineStr">
        <is>
          <t>n/a</t>
        </is>
      </c>
      <c r="Q111" s="182" t="inlineStr">
        <is>
          <t>n/a</t>
        </is>
      </c>
      <c r="R111" s="182" t="inlineStr">
        <is>
          <t>Conforms</t>
        </is>
      </c>
      <c r="S111" s="182" t="inlineStr">
        <is>
          <t>ППК26065, (11.05.2026) [CNP]</t>
        </is>
      </c>
      <c r="T111" s="182" t="inlineStr"/>
      <c r="U111" s="182" t="inlineStr"/>
      <c r="V111" s="182" t="inlineStr"/>
      <c r="W111" s="188" t="inlineStr">
        <is>
          <t>registered — preliminary date, QC sets the real date at issue</t>
        </is>
      </c>
    </row>
    <row r="112">
      <c r="A112" s="182" t="n">
        <v>111</v>
      </c>
      <c r="B112" s="182" t="inlineStr">
        <is>
          <t>initial release</t>
        </is>
      </c>
      <c r="C112" s="181">
        <f>IFERROR(INDEX('iCoA Register'!$B:$B,MATCH("P060222|AB|I",'iCoA Register'!$R:$R,0)),"— at issue —")</f>
        <v/>
      </c>
      <c r="D112" s="182" t="inlineStr"/>
      <c r="E112" s="182" t="inlineStr">
        <is>
          <t>(assigned on issue)</t>
        </is>
      </c>
      <c r="F112" s="182" t="inlineStr">
        <is>
          <t>05.03.2026</t>
        </is>
      </c>
      <c r="G112" s="183">
        <f>IFERROR(INDEX('iCoA Register'!$D:$D,MATCH("P060222|AB|I",'iCoA Register'!$R:$R,0)),"")</f>
        <v/>
      </c>
      <c r="H112" s="181" t="inlineStr">
        <is>
          <t>OPM112501</t>
        </is>
      </c>
      <c r="I112" s="182" t="inlineStr">
        <is>
          <t>P060222</t>
        </is>
      </c>
      <c r="J112" s="182" t="inlineStr">
        <is>
          <t>Orange Punch Mimosa</t>
        </is>
      </c>
      <c r="K112" s="182" t="inlineStr">
        <is>
          <t>05.02.2026</t>
        </is>
      </c>
      <c r="L112" s="182" t="inlineStr">
        <is>
          <t>24.04.2026 (the issuance plan's basis: 05.03.2026)</t>
        </is>
      </c>
      <c r="M112" s="182" t="inlineStr">
        <is>
          <t>24.04.2026</t>
        </is>
      </c>
      <c r="N112" s="182" t="inlineStr">
        <is>
          <t>Ident A + Ident B</t>
        </is>
      </c>
      <c r="O112" s="182" t="inlineStr">
        <is>
          <t>iCoA_P01-02 · Appearance &amp; Identification A/B</t>
        </is>
      </c>
      <c r="P112" s="182" t="inlineStr">
        <is>
          <t>Conforms</t>
        </is>
      </c>
      <c r="Q112" s="182" t="inlineStr">
        <is>
          <t>Conforms</t>
        </is>
      </c>
      <c r="R112" s="182" t="inlineStr">
        <is>
          <t>n/a</t>
        </is>
      </c>
      <c r="S112" s="182" t="inlineStr">
        <is>
          <t>ППК26031, (05.03.2026) [CNP]</t>
        </is>
      </c>
      <c r="T112" s="182" t="inlineStr"/>
      <c r="U112" s="182" t="inlineStr"/>
      <c r="V112" s="182" t="inlineStr"/>
      <c r="W112" s="188" t="inlineStr">
        <is>
          <t>registered — preliminary date, QC sets the real date at issue</t>
        </is>
      </c>
    </row>
    <row r="113">
      <c r="A113" s="182" t="n">
        <v>112</v>
      </c>
      <c r="B113" s="182" t="inlineStr">
        <is>
          <t>initial release</t>
        </is>
      </c>
      <c r="C113" s="181">
        <f>IFERROR(INDEX('iCoA Register'!$B:$B,MATCH("P060222|FM|I",'iCoA Register'!$R:$R,0)),"— at issue —")</f>
        <v/>
      </c>
      <c r="D113" s="182" t="inlineStr"/>
      <c r="E113" s="182" t="inlineStr">
        <is>
          <t>(assigned on issue)</t>
        </is>
      </c>
      <c r="F113" s="182" t="inlineStr">
        <is>
          <t>05.03.2026</t>
        </is>
      </c>
      <c r="G113" s="183">
        <f>IFERROR(INDEX('iCoA Register'!$D:$D,MATCH("P060222|FM|I",'iCoA Register'!$R:$R,0)),"")</f>
        <v/>
      </c>
      <c r="H113" s="181" t="inlineStr">
        <is>
          <t>OPM112501</t>
        </is>
      </c>
      <c r="I113" s="182" t="inlineStr">
        <is>
          <t>P060222</t>
        </is>
      </c>
      <c r="J113" s="182" t="inlineStr">
        <is>
          <t>Orange Punch Mimosa</t>
        </is>
      </c>
      <c r="K113" s="182" t="inlineStr">
        <is>
          <t>05.02.2026</t>
        </is>
      </c>
      <c r="L113" s="182" t="inlineStr">
        <is>
          <t>24.04.2026 (the issuance plan's basis: 05.03.2026)</t>
        </is>
      </c>
      <c r="M113" s="182" t="inlineStr">
        <is>
          <t>24.04.2026</t>
        </is>
      </c>
      <c r="N113" s="182" t="inlineStr">
        <is>
          <t>Foreign matter</t>
        </is>
      </c>
      <c r="O113" s="182" t="inlineStr">
        <is>
          <t>iCoA_P07 · Foreign matter</t>
        </is>
      </c>
      <c r="P113" s="182" t="inlineStr">
        <is>
          <t>n/a</t>
        </is>
      </c>
      <c r="Q113" s="182" t="inlineStr">
        <is>
          <t>n/a</t>
        </is>
      </c>
      <c r="R113" s="182" t="inlineStr">
        <is>
          <t>Conforms</t>
        </is>
      </c>
      <c r="S113" s="182" t="inlineStr">
        <is>
          <t>ППК26031, (05.03.2026) [CNP]</t>
        </is>
      </c>
      <c r="T113" s="182" t="inlineStr"/>
      <c r="U113" s="182" t="inlineStr"/>
      <c r="V113" s="182" t="inlineStr"/>
      <c r="W113" s="188" t="inlineStr">
        <is>
          <t>registered — preliminary date, QC sets the real date at issue</t>
        </is>
      </c>
    </row>
    <row r="114">
      <c r="A114" s="182" t="n">
        <v>113</v>
      </c>
      <c r="B114" s="182" t="inlineStr">
        <is>
          <t>initial release</t>
        </is>
      </c>
      <c r="C114" s="181">
        <f>IFERROR(INDEX('iCoA Register'!$B:$B,MATCH("P060232|AB|I",'iCoA Register'!$R:$R,0)),"— at issue —")</f>
        <v/>
      </c>
      <c r="D114" s="182" t="inlineStr">
        <is>
          <t>iCoA-PP-2026-0016</t>
        </is>
      </c>
      <c r="E114" s="182" t="inlineStr">
        <is>
          <t>CoQ-PP-2026-0016</t>
        </is>
      </c>
      <c r="F114" s="182" t="inlineStr">
        <is>
          <t>27.04.2026</t>
        </is>
      </c>
      <c r="G114" s="183">
        <f>IFERROR(INDEX('iCoA Register'!$D:$D,MATCH("P060232|AB|I",'iCoA Register'!$R:$R,0)),"")</f>
        <v/>
      </c>
      <c r="H114" s="181" t="inlineStr">
        <is>
          <t>PM112501</t>
        </is>
      </c>
      <c r="I114" s="182" t="inlineStr">
        <is>
          <t>P060232</t>
        </is>
      </c>
      <c r="J114" s="182" t="inlineStr">
        <is>
          <t>Permanent Market</t>
        </is>
      </c>
      <c r="K114" s="182" t="inlineStr">
        <is>
          <t>05.02.2026</t>
        </is>
      </c>
      <c r="L114" s="182" t="inlineStr">
        <is>
          <t>27.04.2026</t>
        </is>
      </c>
      <c r="M114" s="182" t="inlineStr">
        <is>
          <t>27.04.2026</t>
        </is>
      </c>
      <c r="N114" s="182" t="inlineStr">
        <is>
          <t>Ident A + Ident B</t>
        </is>
      </c>
      <c r="O114" s="182" t="inlineStr">
        <is>
          <t>iCoA_P01-02 · Appearance &amp; Identification A/B</t>
        </is>
      </c>
      <c r="P114" s="182" t="inlineStr">
        <is>
          <t>Conforms</t>
        </is>
      </c>
      <c r="Q114" s="182" t="inlineStr">
        <is>
          <t>Conforms</t>
        </is>
      </c>
      <c r="R114" s="182" t="inlineStr">
        <is>
          <t>n/a</t>
        </is>
      </c>
      <c r="S114" s="182" t="inlineStr">
        <is>
          <t>ППК26030, (05.03.2026) [CNP]</t>
        </is>
      </c>
      <c r="T114" s="182" t="inlineStr"/>
      <c r="U114" s="182" t="inlineStr"/>
      <c r="V114" s="182" t="inlineStr"/>
      <c r="W114" s="188" t="inlineStr">
        <is>
          <t>registered — preliminary date, QC sets the real date at issue</t>
        </is>
      </c>
    </row>
    <row r="115">
      <c r="A115" s="182" t="n">
        <v>114</v>
      </c>
      <c r="B115" s="182" t="inlineStr">
        <is>
          <t>initial release</t>
        </is>
      </c>
      <c r="C115" s="181">
        <f>IFERROR(INDEX('iCoA Register'!$B:$B,MATCH("P060232|FM|I",'iCoA Register'!$R:$R,0)),"— at issue —")</f>
        <v/>
      </c>
      <c r="D115" s="182" t="inlineStr">
        <is>
          <t>iCoA-PP-2026-0016</t>
        </is>
      </c>
      <c r="E115" s="182" t="inlineStr">
        <is>
          <t>CoQ-PP-2026-0016</t>
        </is>
      </c>
      <c r="F115" s="182" t="inlineStr">
        <is>
          <t>27.04.2026</t>
        </is>
      </c>
      <c r="G115" s="183">
        <f>IFERROR(INDEX('iCoA Register'!$D:$D,MATCH("P060232|FM|I",'iCoA Register'!$R:$R,0)),"")</f>
        <v/>
      </c>
      <c r="H115" s="181" t="inlineStr">
        <is>
          <t>PM112501</t>
        </is>
      </c>
      <c r="I115" s="182" t="inlineStr">
        <is>
          <t>P060232</t>
        </is>
      </c>
      <c r="J115" s="182" t="inlineStr">
        <is>
          <t>Permanent Market</t>
        </is>
      </c>
      <c r="K115" s="182" t="inlineStr">
        <is>
          <t>05.02.2026</t>
        </is>
      </c>
      <c r="L115" s="182" t="inlineStr">
        <is>
          <t>27.04.2026</t>
        </is>
      </c>
      <c r="M115" s="182" t="inlineStr">
        <is>
          <t>27.04.2026</t>
        </is>
      </c>
      <c r="N115" s="182" t="inlineStr">
        <is>
          <t>Foreign matter</t>
        </is>
      </c>
      <c r="O115" s="182" t="inlineStr">
        <is>
          <t>iCoA_P07 · Foreign matter</t>
        </is>
      </c>
      <c r="P115" s="182" t="inlineStr">
        <is>
          <t>n/a</t>
        </is>
      </c>
      <c r="Q115" s="182" t="inlineStr">
        <is>
          <t>n/a</t>
        </is>
      </c>
      <c r="R115" s="182" t="inlineStr">
        <is>
          <t>Conforms</t>
        </is>
      </c>
      <c r="S115" s="182" t="inlineStr">
        <is>
          <t>ППК26030, (05.03.2026) [CNP]</t>
        </is>
      </c>
      <c r="T115" s="182" t="inlineStr"/>
      <c r="U115" s="182" t="inlineStr"/>
      <c r="V115" s="182" t="inlineStr"/>
      <c r="W115" s="188" t="inlineStr">
        <is>
          <t>registered — preliminary date, QC sets the real date at issue</t>
        </is>
      </c>
    </row>
    <row r="116">
      <c r="A116" s="182" t="n">
        <v>115</v>
      </c>
      <c r="B116" s="182" t="inlineStr">
        <is>
          <t>initial release</t>
        </is>
      </c>
      <c r="C116" s="181">
        <f>IFERROR(INDEX('iCoA Register'!$B:$B,MATCH("P060242|AB|I",'iCoA Register'!$R:$R,0)),"— at issue —")</f>
        <v/>
      </c>
      <c r="D116" s="182" t="inlineStr">
        <is>
          <t>iCoA-PP-2026-0017</t>
        </is>
      </c>
      <c r="E116" s="182" t="inlineStr">
        <is>
          <t>CoQ-PP-2026-0017</t>
        </is>
      </c>
      <c r="F116" s="182" t="inlineStr">
        <is>
          <t>28.04.2026</t>
        </is>
      </c>
      <c r="G116" s="183">
        <f>IFERROR(INDEX('iCoA Register'!$D:$D,MATCH("P060242|AB|I",'iCoA Register'!$R:$R,0)),"")</f>
        <v/>
      </c>
      <c r="H116" s="181" t="inlineStr">
        <is>
          <t>OPM122501</t>
        </is>
      </c>
      <c r="I116" s="182" t="inlineStr">
        <is>
          <t>P060242</t>
        </is>
      </c>
      <c r="J116" s="182" t="inlineStr">
        <is>
          <t>Orange Punch Mimosa</t>
        </is>
      </c>
      <c r="K116" s="182" t="inlineStr">
        <is>
          <t>11.03.2026</t>
        </is>
      </c>
      <c r="L116" s="182" t="inlineStr">
        <is>
          <t>28.04.2026</t>
        </is>
      </c>
      <c r="M116" s="182" t="inlineStr">
        <is>
          <t>28.04.2026</t>
        </is>
      </c>
      <c r="N116" s="182" t="inlineStr">
        <is>
          <t>Ident A + Ident B</t>
        </is>
      </c>
      <c r="O116" s="182" t="inlineStr">
        <is>
          <t>iCoA_P01-02 · Appearance &amp; Identification A/B</t>
        </is>
      </c>
      <c r="P116" s="182" t="inlineStr">
        <is>
          <t>Conforms</t>
        </is>
      </c>
      <c r="Q116" s="182" t="inlineStr">
        <is>
          <t>Conforms</t>
        </is>
      </c>
      <c r="R116" s="182" t="inlineStr">
        <is>
          <t>n/a</t>
        </is>
      </c>
      <c r="S116" s="182" t="inlineStr">
        <is>
          <t>100-4-K-26, (09.04.2026) [FHM-K]</t>
        </is>
      </c>
      <c r="T116" s="182" t="inlineStr"/>
      <c r="U116" s="182" t="inlineStr"/>
      <c r="V116" s="182" t="inlineStr"/>
      <c r="W116" s="188" t="inlineStr">
        <is>
          <t>registered — preliminary date, QC sets the real date at issue</t>
        </is>
      </c>
    </row>
    <row r="117">
      <c r="A117" s="182" t="n">
        <v>116</v>
      </c>
      <c r="B117" s="182" t="inlineStr">
        <is>
          <t>initial release</t>
        </is>
      </c>
      <c r="C117" s="181">
        <f>IFERROR(INDEX('iCoA Register'!$B:$B,MATCH("P060242|FM|I",'iCoA Register'!$R:$R,0)),"— at issue —")</f>
        <v/>
      </c>
      <c r="D117" s="182" t="inlineStr">
        <is>
          <t>iCoA-PP-2026-0017</t>
        </is>
      </c>
      <c r="E117" s="182" t="inlineStr">
        <is>
          <t>CoQ-PP-2026-0017</t>
        </is>
      </c>
      <c r="F117" s="182" t="inlineStr">
        <is>
          <t>28.04.2026</t>
        </is>
      </c>
      <c r="G117" s="183">
        <f>IFERROR(INDEX('iCoA Register'!$D:$D,MATCH("P060242|FM|I",'iCoA Register'!$R:$R,0)),"")</f>
        <v/>
      </c>
      <c r="H117" s="181" t="inlineStr">
        <is>
          <t>OPM122501</t>
        </is>
      </c>
      <c r="I117" s="182" t="inlineStr">
        <is>
          <t>P060242</t>
        </is>
      </c>
      <c r="J117" s="182" t="inlineStr">
        <is>
          <t>Orange Punch Mimosa</t>
        </is>
      </c>
      <c r="K117" s="182" t="inlineStr">
        <is>
          <t>11.03.2026</t>
        </is>
      </c>
      <c r="L117" s="182" t="inlineStr">
        <is>
          <t>28.04.2026</t>
        </is>
      </c>
      <c r="M117" s="182" t="inlineStr">
        <is>
          <t>28.04.2026</t>
        </is>
      </c>
      <c r="N117" s="182" t="inlineStr">
        <is>
          <t>Foreign matter</t>
        </is>
      </c>
      <c r="O117" s="182" t="inlineStr">
        <is>
          <t>iCoA_P07 · Foreign matter</t>
        </is>
      </c>
      <c r="P117" s="182" t="inlineStr">
        <is>
          <t>n/a</t>
        </is>
      </c>
      <c r="Q117" s="182" t="inlineStr">
        <is>
          <t>n/a</t>
        </is>
      </c>
      <c r="R117" s="182" t="inlineStr">
        <is>
          <t>Conforms</t>
        </is>
      </c>
      <c r="S117" s="182" t="inlineStr">
        <is>
          <t>100-4-K-26, (09.04.2026) [FHM-K]</t>
        </is>
      </c>
      <c r="T117" s="182" t="inlineStr"/>
      <c r="U117" s="182" t="inlineStr"/>
      <c r="V117" s="182" t="inlineStr"/>
      <c r="W117" s="188" t="inlineStr">
        <is>
          <t>registered — preliminary date, QC sets the real date at issue</t>
        </is>
      </c>
    </row>
    <row r="118">
      <c r="A118" s="182" t="n">
        <v>117</v>
      </c>
      <c r="B118" s="182" t="inlineStr">
        <is>
          <t>initial release</t>
        </is>
      </c>
      <c r="C118" s="181">
        <f>IFERROR(INDEX('iCoA Register'!$B:$B,MATCH("P060252|AB|I",'iCoA Register'!$R:$R,0)),"— at issue —")</f>
        <v/>
      </c>
      <c r="D118" s="182" t="inlineStr"/>
      <c r="E118" s="182" t="inlineStr">
        <is>
          <t>(assigned on issue)</t>
        </is>
      </c>
      <c r="F118" s="182" t="inlineStr">
        <is>
          <t>11.05.2026</t>
        </is>
      </c>
      <c r="G118" s="183">
        <f>IFERROR(INDEX('iCoA Register'!$D:$D,MATCH("P060252|AB|I",'iCoA Register'!$R:$R,0)),"")</f>
        <v/>
      </c>
      <c r="H118" s="181" t="inlineStr">
        <is>
          <t>GG112501</t>
        </is>
      </c>
      <c r="I118" s="182" t="inlineStr">
        <is>
          <t>P060252</t>
        </is>
      </c>
      <c r="J118" s="182" t="inlineStr">
        <is>
          <t>Gorilla Glue</t>
        </is>
      </c>
      <c r="K118" s="182" t="inlineStr">
        <is>
          <t>25.03.2026</t>
        </is>
      </c>
      <c r="L118" s="182" t="inlineStr">
        <is>
          <t>05.05.2026 (the issuance plan's basis: 11.05.2026)</t>
        </is>
      </c>
      <c r="M118" s="182" t="inlineStr">
        <is>
          <t>05.05.2026</t>
        </is>
      </c>
      <c r="N118" s="182" t="inlineStr">
        <is>
          <t>Ident A + Ident B</t>
        </is>
      </c>
      <c r="O118" s="182" t="inlineStr">
        <is>
          <t>iCoA_P01-02 · Appearance &amp; Identification A/B</t>
        </is>
      </c>
      <c r="P118" s="182" t="inlineStr">
        <is>
          <t>Conforms</t>
        </is>
      </c>
      <c r="Q118" s="182" t="inlineStr">
        <is>
          <t>Conforms</t>
        </is>
      </c>
      <c r="R118" s="182" t="inlineStr">
        <is>
          <t>n/a</t>
        </is>
      </c>
      <c r="S118" s="182" t="inlineStr">
        <is>
          <t>ППК26061, (11.05.2026) [CNP]</t>
        </is>
      </c>
      <c r="T118" s="182" t="inlineStr"/>
      <c r="U118" s="182" t="inlineStr"/>
      <c r="V118" s="182" t="inlineStr"/>
      <c r="W118" s="188" t="inlineStr">
        <is>
          <t>registered — preliminary date, QC sets the real date at issue</t>
        </is>
      </c>
    </row>
    <row r="119">
      <c r="A119" s="182" t="n">
        <v>118</v>
      </c>
      <c r="B119" s="182" t="inlineStr">
        <is>
          <t>initial release</t>
        </is>
      </c>
      <c r="C119" s="181">
        <f>IFERROR(INDEX('iCoA Register'!$B:$B,MATCH("P060252|FM|I",'iCoA Register'!$R:$R,0)),"— at issue —")</f>
        <v/>
      </c>
      <c r="D119" s="182" t="inlineStr"/>
      <c r="E119" s="182" t="inlineStr">
        <is>
          <t>(assigned on issue)</t>
        </is>
      </c>
      <c r="F119" s="182" t="inlineStr">
        <is>
          <t>11.05.2026</t>
        </is>
      </c>
      <c r="G119" s="183">
        <f>IFERROR(INDEX('iCoA Register'!$D:$D,MATCH("P060252|FM|I",'iCoA Register'!$R:$R,0)),"")</f>
        <v/>
      </c>
      <c r="H119" s="181" t="inlineStr">
        <is>
          <t>GG112501</t>
        </is>
      </c>
      <c r="I119" s="182" t="inlineStr">
        <is>
          <t>P060252</t>
        </is>
      </c>
      <c r="J119" s="182" t="inlineStr">
        <is>
          <t>Gorilla Glue</t>
        </is>
      </c>
      <c r="K119" s="182" t="inlineStr">
        <is>
          <t>25.03.2026</t>
        </is>
      </c>
      <c r="L119" s="182" t="inlineStr">
        <is>
          <t>05.05.2026 (the issuance plan's basis: 11.05.2026)</t>
        </is>
      </c>
      <c r="M119" s="182" t="inlineStr">
        <is>
          <t>05.05.2026</t>
        </is>
      </c>
      <c r="N119" s="182" t="inlineStr">
        <is>
          <t>Foreign matter</t>
        </is>
      </c>
      <c r="O119" s="182" t="inlineStr">
        <is>
          <t>iCoA_P07 · Foreign matter</t>
        </is>
      </c>
      <c r="P119" s="182" t="inlineStr">
        <is>
          <t>n/a</t>
        </is>
      </c>
      <c r="Q119" s="182" t="inlineStr">
        <is>
          <t>n/a</t>
        </is>
      </c>
      <c r="R119" s="182" t="inlineStr">
        <is>
          <t>Conforms</t>
        </is>
      </c>
      <c r="S119" s="182" t="inlineStr">
        <is>
          <t>ППК26061, (11.05.2026) [CNP]</t>
        </is>
      </c>
      <c r="T119" s="182" t="inlineStr"/>
      <c r="U119" s="182" t="inlineStr"/>
      <c r="V119" s="182" t="inlineStr"/>
      <c r="W119" s="188" t="inlineStr">
        <is>
          <t>registered — preliminary date, QC sets the real date at issue</t>
        </is>
      </c>
    </row>
    <row r="120">
      <c r="A120" s="182" t="n">
        <v>119</v>
      </c>
      <c r="B120" s="182" t="inlineStr">
        <is>
          <t>initial release</t>
        </is>
      </c>
      <c r="C120" s="181">
        <f>IFERROR(INDEX('iCoA Register'!$B:$B,MATCH("P060262|AB|I",'iCoA Register'!$R:$R,0)),"— at issue —")</f>
        <v/>
      </c>
      <c r="D120" s="182" t="inlineStr"/>
      <c r="E120" s="182" t="inlineStr">
        <is>
          <t>(assigned on issue)</t>
        </is>
      </c>
      <c r="F120" s="182" t="inlineStr">
        <is>
          <t>23.04.2026</t>
        </is>
      </c>
      <c r="G120" s="183">
        <f>IFERROR(INDEX('iCoA Register'!$D:$D,MATCH("P060262|AB|I",'iCoA Register'!$R:$R,0)),"")</f>
        <v/>
      </c>
      <c r="H120" s="181" t="inlineStr">
        <is>
          <t>J31122501</t>
        </is>
      </c>
      <c r="I120" s="182" t="inlineStr">
        <is>
          <t>P060262</t>
        </is>
      </c>
      <c r="J120" s="182" t="inlineStr">
        <is>
          <t>Jokerz 31</t>
        </is>
      </c>
      <c r="K120" s="182" t="inlineStr">
        <is>
          <t>04.03.2026</t>
        </is>
      </c>
      <c r="L120" s="182" t="inlineStr">
        <is>
          <t>14.05.2026 (the issuance plan's basis: 23.04.2026)</t>
        </is>
      </c>
      <c r="M120" s="182" t="inlineStr">
        <is>
          <t>14.05.2026</t>
        </is>
      </c>
      <c r="N120" s="182" t="inlineStr">
        <is>
          <t>Ident A + Ident B</t>
        </is>
      </c>
      <c r="O120" s="182" t="inlineStr">
        <is>
          <t>iCoA_P01-02 · Appearance &amp; Identification A/B</t>
        </is>
      </c>
      <c r="P120" s="182" t="inlineStr">
        <is>
          <t>Conforms</t>
        </is>
      </c>
      <c r="Q120" s="182" t="inlineStr">
        <is>
          <t>Conforms</t>
        </is>
      </c>
      <c r="R120" s="182" t="inlineStr">
        <is>
          <t>n/a</t>
        </is>
      </c>
      <c r="S120" s="182" t="inlineStr">
        <is>
          <t>100-2-K-26, (09.04.2026) [FHM-K]</t>
        </is>
      </c>
      <c r="T120" s="182" t="inlineStr"/>
      <c r="U120" s="182" t="inlineStr"/>
      <c r="V120" s="182" t="inlineStr"/>
      <c r="W120" s="188" t="inlineStr">
        <is>
          <t>registered — preliminary date, QC sets the real date at issue</t>
        </is>
      </c>
    </row>
    <row r="121">
      <c r="A121" s="182" t="n">
        <v>120</v>
      </c>
      <c r="B121" s="182" t="inlineStr">
        <is>
          <t>initial release</t>
        </is>
      </c>
      <c r="C121" s="181">
        <f>IFERROR(INDEX('iCoA Register'!$B:$B,MATCH("P060262|FM|I",'iCoA Register'!$R:$R,0)),"— at issue —")</f>
        <v/>
      </c>
      <c r="D121" s="182" t="inlineStr"/>
      <c r="E121" s="182" t="inlineStr">
        <is>
          <t>(assigned on issue)</t>
        </is>
      </c>
      <c r="F121" s="182" t="inlineStr">
        <is>
          <t>23.04.2026</t>
        </is>
      </c>
      <c r="G121" s="183">
        <f>IFERROR(INDEX('iCoA Register'!$D:$D,MATCH("P060262|FM|I",'iCoA Register'!$R:$R,0)),"")</f>
        <v/>
      </c>
      <c r="H121" s="181" t="inlineStr">
        <is>
          <t>J31122501</t>
        </is>
      </c>
      <c r="I121" s="182" t="inlineStr">
        <is>
          <t>P060262</t>
        </is>
      </c>
      <c r="J121" s="182" t="inlineStr">
        <is>
          <t>Jokerz 31</t>
        </is>
      </c>
      <c r="K121" s="182" t="inlineStr">
        <is>
          <t>04.03.2026</t>
        </is>
      </c>
      <c r="L121" s="182" t="inlineStr">
        <is>
          <t>14.05.2026 (the issuance plan's basis: 23.04.2026)</t>
        </is>
      </c>
      <c r="M121" s="182" t="inlineStr">
        <is>
          <t>14.05.2026</t>
        </is>
      </c>
      <c r="N121" s="182" t="inlineStr">
        <is>
          <t>Foreign matter</t>
        </is>
      </c>
      <c r="O121" s="182" t="inlineStr">
        <is>
          <t>iCoA_P07 · Foreign matter</t>
        </is>
      </c>
      <c r="P121" s="182" t="inlineStr">
        <is>
          <t>n/a</t>
        </is>
      </c>
      <c r="Q121" s="182" t="inlineStr">
        <is>
          <t>n/a</t>
        </is>
      </c>
      <c r="R121" s="182" t="inlineStr">
        <is>
          <t>Conforms</t>
        </is>
      </c>
      <c r="S121" s="182" t="inlineStr">
        <is>
          <t>100-2-K-26, (09.04.2026) [FHM-K]</t>
        </is>
      </c>
      <c r="T121" s="182" t="inlineStr"/>
      <c r="U121" s="182" t="inlineStr"/>
      <c r="V121" s="182" t="inlineStr"/>
      <c r="W121" s="188" t="inlineStr">
        <is>
          <t>registered — preliminary date, QC sets the real date at issue</t>
        </is>
      </c>
    </row>
    <row r="122">
      <c r="A122" s="182" t="n">
        <v>121</v>
      </c>
      <c r="B122" s="182" t="inlineStr">
        <is>
          <t>initial release</t>
        </is>
      </c>
      <c r="C122" s="181">
        <f>IFERROR(INDEX('iCoA Register'!$B:$B,MATCH("P060272|AB|I",'iCoA Register'!$R:$R,0)),"— at issue —")</f>
        <v/>
      </c>
      <c r="D122" s="182" t="inlineStr"/>
      <c r="E122" s="182" t="inlineStr">
        <is>
          <t>(assigned on issue)</t>
        </is>
      </c>
      <c r="F122" s="182" t="inlineStr">
        <is>
          <t>11.05.2026</t>
        </is>
      </c>
      <c r="G122" s="183">
        <f>IFERROR(INDEX('iCoA Register'!$D:$D,MATCH("P060272|AB|I",'iCoA Register'!$R:$R,0)),"")</f>
        <v/>
      </c>
      <c r="H122" s="181" t="inlineStr">
        <is>
          <t>CC112501</t>
        </is>
      </c>
      <c r="I122" s="182" t="inlineStr">
        <is>
          <t>P060272</t>
        </is>
      </c>
      <c r="J122" s="182" t="inlineStr">
        <is>
          <t>Cash Cow</t>
        </is>
      </c>
      <c r="K122" s="182" t="inlineStr">
        <is>
          <t>25.03.2026</t>
        </is>
      </c>
      <c r="L122" s="182" t="inlineStr">
        <is>
          <t>18.05.2026 (the issuance plan's basis: 11.05.2026)</t>
        </is>
      </c>
      <c r="M122" s="182" t="inlineStr">
        <is>
          <t>18.05.2026</t>
        </is>
      </c>
      <c r="N122" s="182" t="inlineStr">
        <is>
          <t>Ident A + Ident B</t>
        </is>
      </c>
      <c r="O122" s="182" t="inlineStr">
        <is>
          <t>iCoA_P01-02 · Appearance &amp; Identification A/B</t>
        </is>
      </c>
      <c r="P122" s="182" t="inlineStr">
        <is>
          <t>Conforms</t>
        </is>
      </c>
      <c r="Q122" s="182" t="inlineStr">
        <is>
          <t>Conforms</t>
        </is>
      </c>
      <c r="R122" s="182" t="inlineStr">
        <is>
          <t>n/a</t>
        </is>
      </c>
      <c r="S122" s="182" t="inlineStr">
        <is>
          <t>ППК26068, (11.05.2026) [CNP]</t>
        </is>
      </c>
      <c r="T122" s="182" t="inlineStr"/>
      <c r="U122" s="182" t="inlineStr"/>
      <c r="V122" s="182" t="inlineStr"/>
      <c r="W122" s="188" t="inlineStr">
        <is>
          <t>registered — preliminary date, QC sets the real date at issue</t>
        </is>
      </c>
    </row>
    <row r="123">
      <c r="A123" s="182" t="n">
        <v>122</v>
      </c>
      <c r="B123" s="182" t="inlineStr">
        <is>
          <t>initial release</t>
        </is>
      </c>
      <c r="C123" s="181">
        <f>IFERROR(INDEX('iCoA Register'!$B:$B,MATCH("P060272|FM|I",'iCoA Register'!$R:$R,0)),"— at issue —")</f>
        <v/>
      </c>
      <c r="D123" s="182" t="inlineStr"/>
      <c r="E123" s="182" t="inlineStr">
        <is>
          <t>(assigned on issue)</t>
        </is>
      </c>
      <c r="F123" s="182" t="inlineStr">
        <is>
          <t>11.05.2026</t>
        </is>
      </c>
      <c r="G123" s="183">
        <f>IFERROR(INDEX('iCoA Register'!$D:$D,MATCH("P060272|FM|I",'iCoA Register'!$R:$R,0)),"")</f>
        <v/>
      </c>
      <c r="H123" s="181" t="inlineStr">
        <is>
          <t>CC112501</t>
        </is>
      </c>
      <c r="I123" s="182" t="inlineStr">
        <is>
          <t>P060272</t>
        </is>
      </c>
      <c r="J123" s="182" t="inlineStr">
        <is>
          <t>Cash Cow</t>
        </is>
      </c>
      <c r="K123" s="182" t="inlineStr">
        <is>
          <t>25.03.2026</t>
        </is>
      </c>
      <c r="L123" s="182" t="inlineStr">
        <is>
          <t>18.05.2026 (the issuance plan's basis: 11.05.2026)</t>
        </is>
      </c>
      <c r="M123" s="182" t="inlineStr">
        <is>
          <t>18.05.2026</t>
        </is>
      </c>
      <c r="N123" s="182" t="inlineStr">
        <is>
          <t>Foreign matter</t>
        </is>
      </c>
      <c r="O123" s="182" t="inlineStr">
        <is>
          <t>iCoA_P07 · Foreign matter</t>
        </is>
      </c>
      <c r="P123" s="182" t="inlineStr">
        <is>
          <t>n/a</t>
        </is>
      </c>
      <c r="Q123" s="182" t="inlineStr">
        <is>
          <t>n/a</t>
        </is>
      </c>
      <c r="R123" s="182" t="inlineStr">
        <is>
          <t>Conforms</t>
        </is>
      </c>
      <c r="S123" s="182" t="inlineStr">
        <is>
          <t>ППК26068, (11.05.2026) [CNP]</t>
        </is>
      </c>
      <c r="T123" s="182" t="inlineStr"/>
      <c r="U123" s="182" t="inlineStr"/>
      <c r="V123" s="182" t="inlineStr"/>
      <c r="W123" s="188" t="inlineStr">
        <is>
          <t>registered — preliminary date, QC sets the real date at issue</t>
        </is>
      </c>
    </row>
    <row r="124">
      <c r="A124" s="182" t="n">
        <v>123</v>
      </c>
      <c r="B124" s="182" t="inlineStr">
        <is>
          <t>initial release</t>
        </is>
      </c>
      <c r="C124" s="181">
        <f>IFERROR(INDEX('iCoA Register'!$B:$B,MATCH("P060282|AB|I",'iCoA Register'!$R:$R,0)),"— at issue —")</f>
        <v/>
      </c>
      <c r="D124" s="182" t="inlineStr">
        <is>
          <t>iCoA-PP-2026-0018</t>
        </is>
      </c>
      <c r="E124" s="182" t="inlineStr">
        <is>
          <t>CoQ-PP-2026-0018</t>
        </is>
      </c>
      <c r="F124" s="182" t="inlineStr">
        <is>
          <t>18.05.2026</t>
        </is>
      </c>
      <c r="G124" s="183">
        <f>IFERROR(INDEX('iCoA Register'!$D:$D,MATCH("P060282|AB|I",'iCoA Register'!$R:$R,0)),"")</f>
        <v/>
      </c>
      <c r="H124" s="181" t="inlineStr">
        <is>
          <t>SCR112501</t>
        </is>
      </c>
      <c r="I124" s="182" t="inlineStr">
        <is>
          <t>P060282</t>
        </is>
      </c>
      <c r="J124" s="182" t="inlineStr">
        <is>
          <t>Scrambler</t>
        </is>
      </c>
      <c r="K124" s="182" t="inlineStr">
        <is>
          <t>25.03.2026</t>
        </is>
      </c>
      <c r="L124" s="182" t="inlineStr">
        <is>
          <t>18.05.2026</t>
        </is>
      </c>
      <c r="M124" s="182" t="inlineStr">
        <is>
          <t>18.05.2026</t>
        </is>
      </c>
      <c r="N124" s="182" t="inlineStr">
        <is>
          <t>Ident A + Ident B</t>
        </is>
      </c>
      <c r="O124" s="182" t="inlineStr">
        <is>
          <t>iCoA_P01-02 · Appearance &amp; Identification A/B</t>
        </is>
      </c>
      <c r="P124" s="182" t="inlineStr">
        <is>
          <t>Conforms</t>
        </is>
      </c>
      <c r="Q124" s="182" t="inlineStr">
        <is>
          <t>Conforms</t>
        </is>
      </c>
      <c r="R124" s="182" t="inlineStr">
        <is>
          <t>n/a</t>
        </is>
      </c>
      <c r="S124" s="182" t="inlineStr">
        <is>
          <t>ППК26069, (11.05.2026) [CNP]</t>
        </is>
      </c>
      <c r="T124" s="182" t="inlineStr"/>
      <c r="U124" s="182" t="inlineStr"/>
      <c r="V124" s="182" t="inlineStr"/>
      <c r="W124" s="188" t="inlineStr">
        <is>
          <t>registered — preliminary date, QC sets the real date at issue</t>
        </is>
      </c>
    </row>
    <row r="125">
      <c r="A125" s="182" t="n">
        <v>124</v>
      </c>
      <c r="B125" s="182" t="inlineStr">
        <is>
          <t>initial release</t>
        </is>
      </c>
      <c r="C125" s="181">
        <f>IFERROR(INDEX('iCoA Register'!$B:$B,MATCH("P060282|FM|I",'iCoA Register'!$R:$R,0)),"— at issue —")</f>
        <v/>
      </c>
      <c r="D125" s="182" t="inlineStr">
        <is>
          <t>iCoA-PP-2026-0018</t>
        </is>
      </c>
      <c r="E125" s="182" t="inlineStr">
        <is>
          <t>CoQ-PP-2026-0018</t>
        </is>
      </c>
      <c r="F125" s="182" t="inlineStr">
        <is>
          <t>18.05.2026</t>
        </is>
      </c>
      <c r="G125" s="183">
        <f>IFERROR(INDEX('iCoA Register'!$D:$D,MATCH("P060282|FM|I",'iCoA Register'!$R:$R,0)),"")</f>
        <v/>
      </c>
      <c r="H125" s="181" t="inlineStr">
        <is>
          <t>SCR112501</t>
        </is>
      </c>
      <c r="I125" s="182" t="inlineStr">
        <is>
          <t>P060282</t>
        </is>
      </c>
      <c r="J125" s="182" t="inlineStr">
        <is>
          <t>Scrambler</t>
        </is>
      </c>
      <c r="K125" s="182" t="inlineStr">
        <is>
          <t>25.03.2026</t>
        </is>
      </c>
      <c r="L125" s="182" t="inlineStr">
        <is>
          <t>18.05.2026</t>
        </is>
      </c>
      <c r="M125" s="182" t="inlineStr">
        <is>
          <t>18.05.2026</t>
        </is>
      </c>
      <c r="N125" s="182" t="inlineStr">
        <is>
          <t>Foreign matter</t>
        </is>
      </c>
      <c r="O125" s="182" t="inlineStr">
        <is>
          <t>iCoA_P07 · Foreign matter</t>
        </is>
      </c>
      <c r="P125" s="182" t="inlineStr">
        <is>
          <t>n/a</t>
        </is>
      </c>
      <c r="Q125" s="182" t="inlineStr">
        <is>
          <t>n/a</t>
        </is>
      </c>
      <c r="R125" s="182" t="inlineStr">
        <is>
          <t>Conforms</t>
        </is>
      </c>
      <c r="S125" s="182" t="inlineStr">
        <is>
          <t>ППК26069, (11.05.2026) [CNP]</t>
        </is>
      </c>
      <c r="T125" s="182" t="inlineStr"/>
      <c r="U125" s="182" t="inlineStr"/>
      <c r="V125" s="182" t="inlineStr"/>
      <c r="W125" s="188" t="inlineStr">
        <is>
          <t>registered — preliminary date, QC sets the real date at issue</t>
        </is>
      </c>
    </row>
    <row r="126">
      <c r="A126" s="182" t="n">
        <v>125</v>
      </c>
      <c r="B126" s="182" t="inlineStr">
        <is>
          <t>initial release</t>
        </is>
      </c>
      <c r="C126" s="181">
        <f>IFERROR(INDEX('iCoA Register'!$B:$B,MATCH("P060292|AB|I",'iCoA Register'!$R:$R,0)),"— at issue —")</f>
        <v/>
      </c>
      <c r="D126" s="182" t="inlineStr"/>
      <c r="E126" s="182" t="inlineStr">
        <is>
          <t>(assigned on issue)</t>
        </is>
      </c>
      <c r="F126" s="182" t="inlineStr">
        <is>
          <t>11.05.2026</t>
        </is>
      </c>
      <c r="G126" s="183">
        <f>IFERROR(INDEX('iCoA Register'!$D:$D,MATCH("P060292|AB|I",'iCoA Register'!$R:$R,0)),"")</f>
        <v/>
      </c>
      <c r="H126" s="181" t="inlineStr">
        <is>
          <t>FB112501</t>
        </is>
      </c>
      <c r="I126" s="182" t="inlineStr">
        <is>
          <t>P060292</t>
        </is>
      </c>
      <c r="J126" s="182" t="inlineStr">
        <is>
          <t>Fat Bastard</t>
        </is>
      </c>
      <c r="K126" s="182" t="inlineStr">
        <is>
          <t>25.03.2026</t>
        </is>
      </c>
      <c r="L126" s="182" t="inlineStr">
        <is>
          <t>19.05.2026 (the issuance plan's basis: 11.05.2026)</t>
        </is>
      </c>
      <c r="M126" s="182" t="inlineStr">
        <is>
          <t>19.05.2026</t>
        </is>
      </c>
      <c r="N126" s="182" t="inlineStr">
        <is>
          <t>Ident A + Ident B</t>
        </is>
      </c>
      <c r="O126" s="182" t="inlineStr">
        <is>
          <t>iCoA_P01-02 · Appearance &amp; Identification A/B</t>
        </is>
      </c>
      <c r="P126" s="182" t="inlineStr">
        <is>
          <t>Conforms</t>
        </is>
      </c>
      <c r="Q126" s="182" t="inlineStr">
        <is>
          <t>Conforms</t>
        </is>
      </c>
      <c r="R126" s="182" t="inlineStr">
        <is>
          <t>n/a</t>
        </is>
      </c>
      <c r="S126" s="182" t="inlineStr">
        <is>
          <t>ППК26066, (11.05.2026) [CNP]</t>
        </is>
      </c>
      <c r="T126" s="182" t="inlineStr"/>
      <c r="U126" s="182" t="inlineStr"/>
      <c r="V126" s="182" t="inlineStr"/>
      <c r="W126" s="188" t="inlineStr">
        <is>
          <t>registered — preliminary date, QC sets the real date at issue</t>
        </is>
      </c>
    </row>
    <row r="127">
      <c r="A127" s="182" t="n">
        <v>126</v>
      </c>
      <c r="B127" s="182" t="inlineStr">
        <is>
          <t>initial release</t>
        </is>
      </c>
      <c r="C127" s="181">
        <f>IFERROR(INDEX('iCoA Register'!$B:$B,MATCH("P060292|FM|I",'iCoA Register'!$R:$R,0)),"— at issue —")</f>
        <v/>
      </c>
      <c r="D127" s="182" t="inlineStr"/>
      <c r="E127" s="182" t="inlineStr">
        <is>
          <t>(assigned on issue)</t>
        </is>
      </c>
      <c r="F127" s="182" t="inlineStr">
        <is>
          <t>11.05.2026</t>
        </is>
      </c>
      <c r="G127" s="183">
        <f>IFERROR(INDEX('iCoA Register'!$D:$D,MATCH("P060292|FM|I",'iCoA Register'!$R:$R,0)),"")</f>
        <v/>
      </c>
      <c r="H127" s="181" t="inlineStr">
        <is>
          <t>FB112501</t>
        </is>
      </c>
      <c r="I127" s="182" t="inlineStr">
        <is>
          <t>P060292</t>
        </is>
      </c>
      <c r="J127" s="182" t="inlineStr">
        <is>
          <t>Fat Bastard</t>
        </is>
      </c>
      <c r="K127" s="182" t="inlineStr">
        <is>
          <t>25.03.2026</t>
        </is>
      </c>
      <c r="L127" s="182" t="inlineStr">
        <is>
          <t>19.05.2026 (the issuance plan's basis: 11.05.2026)</t>
        </is>
      </c>
      <c r="M127" s="182" t="inlineStr">
        <is>
          <t>19.05.2026</t>
        </is>
      </c>
      <c r="N127" s="182" t="inlineStr">
        <is>
          <t>Foreign matter</t>
        </is>
      </c>
      <c r="O127" s="182" t="inlineStr">
        <is>
          <t>iCoA_P07 · Foreign matter</t>
        </is>
      </c>
      <c r="P127" s="182" t="inlineStr">
        <is>
          <t>n/a</t>
        </is>
      </c>
      <c r="Q127" s="182" t="inlineStr">
        <is>
          <t>n/a</t>
        </is>
      </c>
      <c r="R127" s="182" t="inlineStr">
        <is>
          <t>Conforms</t>
        </is>
      </c>
      <c r="S127" s="182" t="inlineStr">
        <is>
          <t>ППК26066, (11.05.2026) [CNP]</t>
        </is>
      </c>
      <c r="T127" s="182" t="inlineStr"/>
      <c r="U127" s="182" t="inlineStr"/>
      <c r="V127" s="182" t="inlineStr"/>
      <c r="W127" s="188" t="inlineStr">
        <is>
          <t>registered — preliminary date, QC sets the real date at issue</t>
        </is>
      </c>
    </row>
    <row r="128">
      <c r="A128" s="182" t="n">
        <v>127</v>
      </c>
      <c r="B128" s="182" t="inlineStr">
        <is>
          <t>initial release</t>
        </is>
      </c>
      <c r="C128" s="181">
        <f>IFERROR(INDEX('iCoA Register'!$B:$B,MATCH("P060302|AB|I",'iCoA Register'!$R:$R,0)),"— at issue —")</f>
        <v/>
      </c>
      <c r="D128" s="182" t="inlineStr"/>
      <c r="E128" s="182" t="inlineStr">
        <is>
          <t>(assigned on issue)</t>
        </is>
      </c>
      <c r="F128" s="182" t="inlineStr">
        <is>
          <t>11.05.2026</t>
        </is>
      </c>
      <c r="G128" s="183">
        <f>IFERROR(INDEX('iCoA Register'!$D:$D,MATCH("P060302|AB|I",'iCoA Register'!$R:$R,0)),"")</f>
        <v/>
      </c>
      <c r="H128" s="181" t="inlineStr">
        <is>
          <t>GG012601＊</t>
        </is>
      </c>
      <c r="I128" s="182" t="inlineStr">
        <is>
          <t>P060302</t>
        </is>
      </c>
      <c r="J128" s="182" t="inlineStr">
        <is>
          <t>Gorilla Glue</t>
        </is>
      </c>
      <c r="K128" s="182" t="inlineStr">
        <is>
          <t>27.03.2026</t>
        </is>
      </c>
      <c r="L128" s="182" t="inlineStr">
        <is>
          <t>20.05.2026 (the issuance plan's basis: 11.05.2026)</t>
        </is>
      </c>
      <c r="M128" s="182" t="inlineStr">
        <is>
          <t>20.05.2026</t>
        </is>
      </c>
      <c r="N128" s="182" t="inlineStr">
        <is>
          <t>Ident A + Ident B</t>
        </is>
      </c>
      <c r="O128" s="182" t="inlineStr">
        <is>
          <t>iCoA_P01-02 · Appearance &amp; Identification A/B</t>
        </is>
      </c>
      <c r="P128" s="182" t="inlineStr">
        <is>
          <t>Conforms</t>
        </is>
      </c>
      <c r="Q128" s="182" t="inlineStr">
        <is>
          <t>Conforms</t>
        </is>
      </c>
      <c r="R128" s="182" t="inlineStr">
        <is>
          <t>n/a</t>
        </is>
      </c>
      <c r="S128" s="182" t="inlineStr">
        <is>
          <t>ППК26062, (11.05.2026) [CNP]</t>
        </is>
      </c>
      <c r="T128" s="182" t="inlineStr"/>
      <c r="U128" s="182" t="inlineStr"/>
      <c r="V128" s="182" t="inlineStr"/>
      <c r="W128" s="188" t="inlineStr">
        <is>
          <t>registered — preliminary date, QC sets the real date at issue</t>
        </is>
      </c>
    </row>
    <row r="129">
      <c r="A129" s="182" t="n">
        <v>128</v>
      </c>
      <c r="B129" s="182" t="inlineStr">
        <is>
          <t>initial release</t>
        </is>
      </c>
      <c r="C129" s="181">
        <f>IFERROR(INDEX('iCoA Register'!$B:$B,MATCH("P060302|FM|I",'iCoA Register'!$R:$R,0)),"— at issue —")</f>
        <v/>
      </c>
      <c r="D129" s="182" t="inlineStr"/>
      <c r="E129" s="182" t="inlineStr">
        <is>
          <t>(assigned on issue)</t>
        </is>
      </c>
      <c r="F129" s="182" t="inlineStr">
        <is>
          <t>11.05.2026</t>
        </is>
      </c>
      <c r="G129" s="183">
        <f>IFERROR(INDEX('iCoA Register'!$D:$D,MATCH("P060302|FM|I",'iCoA Register'!$R:$R,0)),"")</f>
        <v/>
      </c>
      <c r="H129" s="181" t="inlineStr">
        <is>
          <t>GG012601＊</t>
        </is>
      </c>
      <c r="I129" s="182" t="inlineStr">
        <is>
          <t>P060302</t>
        </is>
      </c>
      <c r="J129" s="182" t="inlineStr">
        <is>
          <t>Gorilla Glue</t>
        </is>
      </c>
      <c r="K129" s="182" t="inlineStr">
        <is>
          <t>27.03.2026</t>
        </is>
      </c>
      <c r="L129" s="182" t="inlineStr">
        <is>
          <t>20.05.2026 (the issuance plan's basis: 11.05.2026)</t>
        </is>
      </c>
      <c r="M129" s="182" t="inlineStr">
        <is>
          <t>20.05.2026</t>
        </is>
      </c>
      <c r="N129" s="182" t="inlineStr">
        <is>
          <t>Foreign matter</t>
        </is>
      </c>
      <c r="O129" s="182" t="inlineStr">
        <is>
          <t>iCoA_P07 · Foreign matter</t>
        </is>
      </c>
      <c r="P129" s="182" t="inlineStr">
        <is>
          <t>n/a</t>
        </is>
      </c>
      <c r="Q129" s="182" t="inlineStr">
        <is>
          <t>n/a</t>
        </is>
      </c>
      <c r="R129" s="182" t="inlineStr">
        <is>
          <t>Conforms</t>
        </is>
      </c>
      <c r="S129" s="182" t="inlineStr">
        <is>
          <t>ППК26062, (11.05.2026) [CNP]</t>
        </is>
      </c>
      <c r="T129" s="182" t="inlineStr"/>
      <c r="U129" s="182" t="inlineStr"/>
      <c r="V129" s="182" t="inlineStr"/>
      <c r="W129" s="188" t="inlineStr">
        <is>
          <t>registered — preliminary date, QC sets the real date at issue</t>
        </is>
      </c>
    </row>
    <row r="130">
      <c r="A130" s="182" t="n">
        <v>129</v>
      </c>
      <c r="B130" s="182" t="inlineStr">
        <is>
          <t>initial release</t>
        </is>
      </c>
      <c r="C130" s="181">
        <f>IFERROR(INDEX('iCoA Register'!$B:$B,MATCH("P060312|AB|I",'iCoA Register'!$R:$R,0)),"— at issue —")</f>
        <v/>
      </c>
      <c r="D130" s="182" t="inlineStr"/>
      <c r="E130" s="182" t="inlineStr">
        <is>
          <t>(assigned on issue)</t>
        </is>
      </c>
      <c r="F130" s="182" t="inlineStr">
        <is>
          <t>11.05.2026</t>
        </is>
      </c>
      <c r="G130" s="183">
        <f>IFERROR(INDEX('iCoA Register'!$D:$D,MATCH("P060312|AB|I",'iCoA Register'!$R:$R,0)),"")</f>
        <v/>
      </c>
      <c r="H130" s="181" t="inlineStr">
        <is>
          <t>JD012601＊</t>
        </is>
      </c>
      <c r="I130" s="182" t="inlineStr">
        <is>
          <t>P060312</t>
        </is>
      </c>
      <c r="J130" s="182" t="inlineStr">
        <is>
          <t>Jelly Donutz</t>
        </is>
      </c>
      <c r="K130" s="182" t="inlineStr">
        <is>
          <t>27.03.2026</t>
        </is>
      </c>
      <c r="L130" s="182" t="inlineStr">
        <is>
          <t>21.05.2026 (the issuance plan's basis: 11.05.2026)</t>
        </is>
      </c>
      <c r="M130" s="182" t="inlineStr">
        <is>
          <t>21.05.2026</t>
        </is>
      </c>
      <c r="N130" s="182" t="inlineStr">
        <is>
          <t>Ident A + Ident B</t>
        </is>
      </c>
      <c r="O130" s="182" t="inlineStr">
        <is>
          <t>iCoA_P01-02 · Appearance &amp; Identification A/B</t>
        </is>
      </c>
      <c r="P130" s="182" t="inlineStr">
        <is>
          <t>Conforms</t>
        </is>
      </c>
      <c r="Q130" s="182" t="inlineStr">
        <is>
          <t>Conforms</t>
        </is>
      </c>
      <c r="R130" s="182" t="inlineStr">
        <is>
          <t>n/a</t>
        </is>
      </c>
      <c r="S130" s="182" t="inlineStr">
        <is>
          <t>ППК26064, (11.05.2026) [CNP]</t>
        </is>
      </c>
      <c r="T130" s="182" t="inlineStr"/>
      <c r="U130" s="182" t="inlineStr"/>
      <c r="V130" s="182" t="inlineStr"/>
      <c r="W130" s="188" t="inlineStr">
        <is>
          <t>registered — preliminary date, QC sets the real date at issue</t>
        </is>
      </c>
    </row>
    <row r="131">
      <c r="A131" s="182" t="n">
        <v>130</v>
      </c>
      <c r="B131" s="182" t="inlineStr">
        <is>
          <t>initial release</t>
        </is>
      </c>
      <c r="C131" s="181">
        <f>IFERROR(INDEX('iCoA Register'!$B:$B,MATCH("P060312|FM|I",'iCoA Register'!$R:$R,0)),"— at issue —")</f>
        <v/>
      </c>
      <c r="D131" s="182" t="inlineStr"/>
      <c r="E131" s="182" t="inlineStr">
        <is>
          <t>(assigned on issue)</t>
        </is>
      </c>
      <c r="F131" s="182" t="inlineStr">
        <is>
          <t>11.05.2026</t>
        </is>
      </c>
      <c r="G131" s="183">
        <f>IFERROR(INDEX('iCoA Register'!$D:$D,MATCH("P060312|FM|I",'iCoA Register'!$R:$R,0)),"")</f>
        <v/>
      </c>
      <c r="H131" s="181" t="inlineStr">
        <is>
          <t>JD012601＊</t>
        </is>
      </c>
      <c r="I131" s="182" t="inlineStr">
        <is>
          <t>P060312</t>
        </is>
      </c>
      <c r="J131" s="182" t="inlineStr">
        <is>
          <t>Jelly Donutz</t>
        </is>
      </c>
      <c r="K131" s="182" t="inlineStr">
        <is>
          <t>27.03.2026</t>
        </is>
      </c>
      <c r="L131" s="182" t="inlineStr">
        <is>
          <t>21.05.2026 (the issuance plan's basis: 11.05.2026)</t>
        </is>
      </c>
      <c r="M131" s="182" t="inlineStr">
        <is>
          <t>21.05.2026</t>
        </is>
      </c>
      <c r="N131" s="182" t="inlineStr">
        <is>
          <t>Foreign matter</t>
        </is>
      </c>
      <c r="O131" s="182" t="inlineStr">
        <is>
          <t>iCoA_P07 · Foreign matter</t>
        </is>
      </c>
      <c r="P131" s="182" t="inlineStr">
        <is>
          <t>n/a</t>
        </is>
      </c>
      <c r="Q131" s="182" t="inlineStr">
        <is>
          <t>n/a</t>
        </is>
      </c>
      <c r="R131" s="182" t="inlineStr">
        <is>
          <t>Conforms</t>
        </is>
      </c>
      <c r="S131" s="182" t="inlineStr">
        <is>
          <t>ППК26064, (11.05.2026) [CNP]</t>
        </is>
      </c>
      <c r="T131" s="182" t="inlineStr"/>
      <c r="U131" s="182" t="inlineStr"/>
      <c r="V131" s="182" t="inlineStr"/>
      <c r="W131" s="188" t="inlineStr">
        <is>
          <t>registered — preliminary date, QC sets the real date at issue</t>
        </is>
      </c>
    </row>
    <row r="132">
      <c r="A132" s="182" t="n">
        <v>131</v>
      </c>
      <c r="B132" s="182" t="inlineStr">
        <is>
          <t>initial release</t>
        </is>
      </c>
      <c r="C132" s="181">
        <f>IFERROR(INDEX('iCoA Register'!$B:$B,MATCH("P060332|AB|I",'iCoA Register'!$R:$R,0)),"— at issue —")</f>
        <v/>
      </c>
      <c r="D132" s="182" t="inlineStr"/>
      <c r="E132" s="182" t="inlineStr">
        <is>
          <t>— not in the issuance plan —</t>
        </is>
      </c>
      <c r="F132" s="182" t="inlineStr">
        <is>
          <t>22.05.2026</t>
        </is>
      </c>
      <c r="G132" s="183">
        <f>IFERROR(INDEX('iCoA Register'!$D:$D,MATCH("P060332|AB|I",'iCoA Register'!$R:$R,0)),"")</f>
        <v/>
      </c>
      <c r="H132" s="181" t="inlineStr">
        <is>
          <t>CC012601/1</t>
        </is>
      </c>
      <c r="I132" s="182" t="inlineStr">
        <is>
          <t>P060332</t>
        </is>
      </c>
      <c r="J132" s="182" t="inlineStr"/>
      <c r="K132" s="182" t="inlineStr">
        <is>
          <t>16.04.2026</t>
        </is>
      </c>
      <c r="L132" s="182" t="inlineStr">
        <is>
          <t>22.05.2026</t>
        </is>
      </c>
      <c r="M132" s="182" t="inlineStr">
        <is>
          <t>22.05.2026</t>
        </is>
      </c>
      <c r="N132" s="182" t="inlineStr">
        <is>
          <t>Ident A + Ident B</t>
        </is>
      </c>
      <c r="O132" s="182" t="inlineStr">
        <is>
          <t>iCoA_P01-02 · Appearance &amp; Identification A/B</t>
        </is>
      </c>
      <c r="P132" s="182" t="inlineStr">
        <is>
          <t>Conforms</t>
        </is>
      </c>
      <c r="Q132" s="182" t="inlineStr">
        <is>
          <t>Conforms</t>
        </is>
      </c>
      <c r="R132" s="182" t="inlineStr">
        <is>
          <t>n/a</t>
        </is>
      </c>
      <c r="S132" s="182" t="inlineStr">
        <is>
          <t>197-6-K-26, (07.08.2026) [FHM-K]</t>
        </is>
      </c>
      <c r="T132" s="182" t="inlineStr"/>
      <c r="U132" s="182" t="inlineStr"/>
      <c r="V132" s="182" t="inlineStr"/>
      <c r="W132" s="188" t="inlineStr">
        <is>
          <t>registered — preliminary date, QC sets the real date at issue</t>
        </is>
      </c>
    </row>
    <row r="133">
      <c r="A133" s="182" t="n">
        <v>132</v>
      </c>
      <c r="B133" s="182" t="inlineStr">
        <is>
          <t>initial release</t>
        </is>
      </c>
      <c r="C133" s="181">
        <f>IFERROR(INDEX('iCoA Register'!$B:$B,MATCH("P060332|FM|I",'iCoA Register'!$R:$R,0)),"— at issue —")</f>
        <v/>
      </c>
      <c r="D133" s="182" t="inlineStr"/>
      <c r="E133" s="182" t="inlineStr">
        <is>
          <t>— not in the issuance plan —</t>
        </is>
      </c>
      <c r="F133" s="182" t="inlineStr">
        <is>
          <t>22.05.2026</t>
        </is>
      </c>
      <c r="G133" s="183">
        <f>IFERROR(INDEX('iCoA Register'!$D:$D,MATCH("P060332|FM|I",'iCoA Register'!$R:$R,0)),"")</f>
        <v/>
      </c>
      <c r="H133" s="181" t="inlineStr">
        <is>
          <t>CC012601/1</t>
        </is>
      </c>
      <c r="I133" s="182" t="inlineStr">
        <is>
          <t>P060332</t>
        </is>
      </c>
      <c r="J133" s="182" t="inlineStr"/>
      <c r="K133" s="182" t="inlineStr">
        <is>
          <t>16.04.2026</t>
        </is>
      </c>
      <c r="L133" s="182" t="inlineStr">
        <is>
          <t>22.05.2026</t>
        </is>
      </c>
      <c r="M133" s="182" t="inlineStr">
        <is>
          <t>22.05.2026</t>
        </is>
      </c>
      <c r="N133" s="182" t="inlineStr">
        <is>
          <t>Foreign matter</t>
        </is>
      </c>
      <c r="O133" s="182" t="inlineStr">
        <is>
          <t>iCoA_P07 · Foreign matter</t>
        </is>
      </c>
      <c r="P133" s="182" t="inlineStr">
        <is>
          <t>n/a</t>
        </is>
      </c>
      <c r="Q133" s="182" t="inlineStr">
        <is>
          <t>n/a</t>
        </is>
      </c>
      <c r="R133" s="182" t="inlineStr">
        <is>
          <t>Conforms</t>
        </is>
      </c>
      <c r="S133" s="182" t="inlineStr">
        <is>
          <t>197-6-K-26, (07.08.2026) [FHM-K]</t>
        </is>
      </c>
      <c r="T133" s="182" t="inlineStr"/>
      <c r="U133" s="182" t="inlineStr"/>
      <c r="V133" s="182" t="inlineStr"/>
      <c r="W133" s="188" t="inlineStr">
        <is>
          <t>registered — preliminary date, QC sets the real date at issue</t>
        </is>
      </c>
    </row>
    <row r="134">
      <c r="A134" s="182" t="n">
        <v>133</v>
      </c>
      <c r="B134" s="182" t="inlineStr">
        <is>
          <t>initial release</t>
        </is>
      </c>
      <c r="C134" s="181">
        <f>IFERROR(INDEX('iCoA Register'!$B:$B,MATCH("P060322|AB|I",'iCoA Register'!$R:$R,0)),"— at issue —")</f>
        <v/>
      </c>
      <c r="D134" s="182" t="inlineStr">
        <is>
          <t>iCoA-PP-2026-0019</t>
        </is>
      </c>
      <c r="E134" s="182" t="inlineStr">
        <is>
          <t>CoQ-PP-2026-0019</t>
        </is>
      </c>
      <c r="F134" s="182" t="inlineStr">
        <is>
          <t>22.05.2026</t>
        </is>
      </c>
      <c r="G134" s="183">
        <f>IFERROR(INDEX('iCoA Register'!$D:$D,MATCH("P060322|AB|I",'iCoA Register'!$R:$R,0)),"")</f>
        <v/>
      </c>
      <c r="H134" s="181" t="inlineStr">
        <is>
          <t>FB012601_1</t>
        </is>
      </c>
      <c r="I134" s="182" t="inlineStr">
        <is>
          <t>P060322</t>
        </is>
      </c>
      <c r="J134" s="182" t="inlineStr">
        <is>
          <t>Fat Bastard</t>
        </is>
      </c>
      <c r="K134" s="182" t="inlineStr">
        <is>
          <t>27.03.2026</t>
        </is>
      </c>
      <c r="L134" s="182" t="inlineStr">
        <is>
          <t>22.05.2026</t>
        </is>
      </c>
      <c r="M134" s="182" t="inlineStr">
        <is>
          <t>22.05.2026</t>
        </is>
      </c>
      <c r="N134" s="182" t="inlineStr">
        <is>
          <t>Ident A + Ident B</t>
        </is>
      </c>
      <c r="O134" s="182" t="inlineStr">
        <is>
          <t>iCoA_P01-02 · Appearance &amp; Identification A/B</t>
        </is>
      </c>
      <c r="P134" s="182" t="inlineStr">
        <is>
          <t>Conforms</t>
        </is>
      </c>
      <c r="Q134" s="182" t="inlineStr">
        <is>
          <t>Conforms</t>
        </is>
      </c>
      <c r="R134" s="182" t="inlineStr">
        <is>
          <t>n/a</t>
        </is>
      </c>
      <c r="S134" s="182" t="inlineStr">
        <is>
          <t>ППК26067, (11.05.2026) [CNP]</t>
        </is>
      </c>
      <c r="T134" s="182" t="inlineStr"/>
      <c r="U134" s="182" t="inlineStr"/>
      <c r="V134" s="182" t="inlineStr"/>
      <c r="W134" s="188" t="inlineStr">
        <is>
          <t>registered — preliminary date, QC sets the real date at issue</t>
        </is>
      </c>
    </row>
    <row r="135">
      <c r="A135" s="182" t="n">
        <v>134</v>
      </c>
      <c r="B135" s="182" t="inlineStr">
        <is>
          <t>initial release</t>
        </is>
      </c>
      <c r="C135" s="181">
        <f>IFERROR(INDEX('iCoA Register'!$B:$B,MATCH("P060322|FM|I",'iCoA Register'!$R:$R,0)),"— at issue —")</f>
        <v/>
      </c>
      <c r="D135" s="182" t="inlineStr">
        <is>
          <t>iCoA-PP-2026-0019</t>
        </is>
      </c>
      <c r="E135" s="182" t="inlineStr">
        <is>
          <t>CoQ-PP-2026-0019</t>
        </is>
      </c>
      <c r="F135" s="182" t="inlineStr">
        <is>
          <t>22.05.2026</t>
        </is>
      </c>
      <c r="G135" s="183">
        <f>IFERROR(INDEX('iCoA Register'!$D:$D,MATCH("P060322|FM|I",'iCoA Register'!$R:$R,0)),"")</f>
        <v/>
      </c>
      <c r="H135" s="181" t="inlineStr">
        <is>
          <t>FB012601_1</t>
        </is>
      </c>
      <c r="I135" s="182" t="inlineStr">
        <is>
          <t>P060322</t>
        </is>
      </c>
      <c r="J135" s="182" t="inlineStr">
        <is>
          <t>Fat Bastard</t>
        </is>
      </c>
      <c r="K135" s="182" t="inlineStr">
        <is>
          <t>27.03.2026</t>
        </is>
      </c>
      <c r="L135" s="182" t="inlineStr">
        <is>
          <t>22.05.2026</t>
        </is>
      </c>
      <c r="M135" s="182" t="inlineStr">
        <is>
          <t>22.05.2026</t>
        </is>
      </c>
      <c r="N135" s="182" t="inlineStr">
        <is>
          <t>Foreign matter</t>
        </is>
      </c>
      <c r="O135" s="182" t="inlineStr">
        <is>
          <t>iCoA_P07 · Foreign matter</t>
        </is>
      </c>
      <c r="P135" s="182" t="inlineStr">
        <is>
          <t>n/a</t>
        </is>
      </c>
      <c r="Q135" s="182" t="inlineStr">
        <is>
          <t>n/a</t>
        </is>
      </c>
      <c r="R135" s="182" t="inlineStr">
        <is>
          <t>Conforms</t>
        </is>
      </c>
      <c r="S135" s="182" t="inlineStr">
        <is>
          <t>ППК26067, (11.05.2026) [CNP]</t>
        </is>
      </c>
      <c r="T135" s="182" t="inlineStr"/>
      <c r="U135" s="182" t="inlineStr"/>
      <c r="V135" s="182" t="inlineStr"/>
      <c r="W135" s="188" t="inlineStr">
        <is>
          <t>registered — preliminary date, QC sets the real date at issue</t>
        </is>
      </c>
    </row>
    <row r="136">
      <c r="A136" s="182" t="n">
        <v>135</v>
      </c>
      <c r="B136" s="182" t="inlineStr">
        <is>
          <t>initial release</t>
        </is>
      </c>
      <c r="C136" s="181">
        <f>IFERROR(INDEX('iCoA Register'!$B:$B,MATCH("P060352|AB|I",'iCoA Register'!$R:$R,0)),"— at issue —")</f>
        <v/>
      </c>
      <c r="D136" s="182" t="inlineStr">
        <is>
          <t>iCoA-PP-2026-0021</t>
        </is>
      </c>
      <c r="E136" s="182" t="inlineStr">
        <is>
          <t>CoQ-PP-2026-0021</t>
        </is>
      </c>
      <c r="F136" s="182" t="inlineStr">
        <is>
          <t>23.05.2026</t>
        </is>
      </c>
      <c r="G136" s="183">
        <f>IFERROR(INDEX('iCoA Register'!$D:$D,MATCH("P060352|AB|I",'iCoA Register'!$R:$R,0)),"")</f>
        <v/>
      </c>
      <c r="H136" s="181" t="inlineStr">
        <is>
          <t>FB012602*</t>
        </is>
      </c>
      <c r="I136" s="182" t="inlineStr">
        <is>
          <t>P060352</t>
        </is>
      </c>
      <c r="J136" s="182" t="inlineStr">
        <is>
          <t>Fat Bastard</t>
        </is>
      </c>
      <c r="K136" s="182" t="inlineStr">
        <is>
          <t>16.04.2026</t>
        </is>
      </c>
      <c r="L136" s="182" t="inlineStr">
        <is>
          <t>23.05.2026</t>
        </is>
      </c>
      <c r="M136" s="182" t="inlineStr">
        <is>
          <t>23.05.2026</t>
        </is>
      </c>
      <c r="N136" s="182" t="inlineStr">
        <is>
          <t>Ident A + Ident B</t>
        </is>
      </c>
      <c r="O136" s="182" t="inlineStr">
        <is>
          <t>iCoA_P01-02 · Appearance &amp; Identification A/B</t>
        </is>
      </c>
      <c r="P136" s="182" t="inlineStr">
        <is>
          <t>Conforms</t>
        </is>
      </c>
      <c r="Q136" s="182" t="inlineStr">
        <is>
          <t>Conforms</t>
        </is>
      </c>
      <c r="R136" s="182" t="inlineStr">
        <is>
          <t>n/a</t>
        </is>
      </c>
      <c r="S136" s="182" t="inlineStr">
        <is>
          <t>197-7-K-26, (07.08.2026) [FHM-K]</t>
        </is>
      </c>
      <c r="T136" s="182" t="inlineStr"/>
      <c r="U136" s="182" t="inlineStr"/>
      <c r="V136" s="182" t="inlineStr"/>
      <c r="W136" s="188" t="inlineStr">
        <is>
          <t>registered — preliminary date, QC sets the real date at issue</t>
        </is>
      </c>
    </row>
    <row r="137">
      <c r="A137" s="182" t="n">
        <v>136</v>
      </c>
      <c r="B137" s="182" t="inlineStr">
        <is>
          <t>initial release</t>
        </is>
      </c>
      <c r="C137" s="181">
        <f>IFERROR(INDEX('iCoA Register'!$B:$B,MATCH("P060352|FM|I",'iCoA Register'!$R:$R,0)),"— at issue —")</f>
        <v/>
      </c>
      <c r="D137" s="182" t="inlineStr">
        <is>
          <t>iCoA-PP-2026-0021</t>
        </is>
      </c>
      <c r="E137" s="182" t="inlineStr">
        <is>
          <t>CoQ-PP-2026-0021</t>
        </is>
      </c>
      <c r="F137" s="182" t="inlineStr">
        <is>
          <t>23.05.2026</t>
        </is>
      </c>
      <c r="G137" s="183">
        <f>IFERROR(INDEX('iCoA Register'!$D:$D,MATCH("P060352|FM|I",'iCoA Register'!$R:$R,0)),"")</f>
        <v/>
      </c>
      <c r="H137" s="181" t="inlineStr">
        <is>
          <t>FB012602*</t>
        </is>
      </c>
      <c r="I137" s="182" t="inlineStr">
        <is>
          <t>P060352</t>
        </is>
      </c>
      <c r="J137" s="182" t="inlineStr">
        <is>
          <t>Fat Bastard</t>
        </is>
      </c>
      <c r="K137" s="182" t="inlineStr">
        <is>
          <t>16.04.2026</t>
        </is>
      </c>
      <c r="L137" s="182" t="inlineStr">
        <is>
          <t>23.05.2026</t>
        </is>
      </c>
      <c r="M137" s="182" t="inlineStr">
        <is>
          <t>23.05.2026</t>
        </is>
      </c>
      <c r="N137" s="182" t="inlineStr">
        <is>
          <t>Foreign matter</t>
        </is>
      </c>
      <c r="O137" s="182" t="inlineStr">
        <is>
          <t>iCoA_P07 · Foreign matter</t>
        </is>
      </c>
      <c r="P137" s="182" t="inlineStr">
        <is>
          <t>n/a</t>
        </is>
      </c>
      <c r="Q137" s="182" t="inlineStr">
        <is>
          <t>n/a</t>
        </is>
      </c>
      <c r="R137" s="182" t="inlineStr">
        <is>
          <t>Conforms</t>
        </is>
      </c>
      <c r="S137" s="182" t="inlineStr">
        <is>
          <t>197-7-K-26, (07.08.2026) [FHM-K]</t>
        </is>
      </c>
      <c r="T137" s="182" t="inlineStr"/>
      <c r="U137" s="182" t="inlineStr"/>
      <c r="V137" s="182" t="inlineStr"/>
      <c r="W137" s="188" t="inlineStr">
        <is>
          <t>registered — preliminary date, QC sets the real date at issue</t>
        </is>
      </c>
    </row>
    <row r="138">
      <c r="A138" s="182" t="n">
        <v>137</v>
      </c>
      <c r="B138" s="182" t="inlineStr">
        <is>
          <t>initial release</t>
        </is>
      </c>
      <c r="C138" s="181" t="inlineStr">
        <is>
          <t>not needed</t>
        </is>
      </c>
      <c r="D138" s="182" t="inlineStr"/>
      <c r="E138" s="182" t="inlineStr">
        <is>
          <t>(assigned on issue)</t>
        </is>
      </c>
      <c r="F138" s="182" t="inlineStr">
        <is>
          <t>30.06.2026</t>
        </is>
      </c>
      <c r="G138" s="182" t="inlineStr">
        <is>
          <t>≥ 11.05.2026 · tests at packaging 23.05.2026</t>
        </is>
      </c>
      <c r="H138" s="181" t="inlineStr">
        <is>
          <t>FB012603V</t>
        </is>
      </c>
      <c r="I138" s="182" t="inlineStr">
        <is>
          <t>P060392</t>
        </is>
      </c>
      <c r="J138" s="182" t="inlineStr">
        <is>
          <t>Fat Bastard</t>
        </is>
      </c>
      <c r="K138" s="182" t="inlineStr">
        <is>
          <t>29.04.2026</t>
        </is>
      </c>
      <c r="L138" s="182" t="inlineStr">
        <is>
          <t>23.05.2026 (the issuance plan's basis: 30.06.2026)</t>
        </is>
      </c>
      <c r="M138" s="182" t="inlineStr">
        <is>
          <t>23.05.2026</t>
        </is>
      </c>
      <c r="N138" s="182" t="inlineStr">
        <is>
          <t>— Ident A + Ident B on the CNP certificate —</t>
        </is>
      </c>
      <c r="O138" s="182" t="inlineStr">
        <is>
          <t>iCoA_P01-02 · Appearance &amp; Identification A/B</t>
        </is>
      </c>
      <c r="P138" s="190" t="inlineStr">
        <is>
          <t>CNP ППК26110</t>
        </is>
      </c>
      <c r="Q138" s="190" t="inlineStr">
        <is>
          <t>CNP ППК26110</t>
        </is>
      </c>
      <c r="R138" s="182" t="inlineStr">
        <is>
          <t>n/a</t>
        </is>
      </c>
      <c r="S138" s="182" t="inlineStr">
        <is>
          <t>ППК26110, (30.06.2026) [CNP]</t>
        </is>
      </c>
      <c r="T138" s="182" t="inlineStr"/>
      <c r="U138" s="182" t="inlineStr"/>
      <c r="V138" s="182" t="inlineStr"/>
      <c r="W138" s="182" t="inlineStr">
        <is>
          <t>not needed — CNP covers A and B</t>
        </is>
      </c>
    </row>
    <row r="139">
      <c r="A139" s="182" t="n">
        <v>138</v>
      </c>
      <c r="B139" s="182" t="inlineStr">
        <is>
          <t>initial release</t>
        </is>
      </c>
      <c r="C139" s="181" t="inlineStr">
        <is>
          <t>not needed</t>
        </is>
      </c>
      <c r="D139" s="182" t="inlineStr"/>
      <c r="E139" s="182" t="inlineStr">
        <is>
          <t>(assigned on issue)</t>
        </is>
      </c>
      <c r="F139" s="182" t="inlineStr">
        <is>
          <t>30.06.2026</t>
        </is>
      </c>
      <c r="G139" s="182" t="inlineStr">
        <is>
          <t>≥ 11.05.2026 · tests at packaging 23.05.2026</t>
        </is>
      </c>
      <c r="H139" s="181" t="inlineStr">
        <is>
          <t>FB012603V</t>
        </is>
      </c>
      <c r="I139" s="182" t="inlineStr">
        <is>
          <t>P060392</t>
        </is>
      </c>
      <c r="J139" s="182" t="inlineStr">
        <is>
          <t>Fat Bastard</t>
        </is>
      </c>
      <c r="K139" s="182" t="inlineStr">
        <is>
          <t>29.04.2026</t>
        </is>
      </c>
      <c r="L139" s="182" t="inlineStr">
        <is>
          <t>23.05.2026 (the issuance plan's basis: 30.06.2026)</t>
        </is>
      </c>
      <c r="M139" s="182" t="inlineStr">
        <is>
          <t>23.05.2026</t>
        </is>
      </c>
      <c r="N139" s="182" t="inlineStr">
        <is>
          <t>— Foreign matter on the CNP certificate —</t>
        </is>
      </c>
      <c r="O139" s="182" t="inlineStr">
        <is>
          <t>iCoA_P07 · Foreign matter</t>
        </is>
      </c>
      <c r="P139" s="182" t="inlineStr">
        <is>
          <t>n/a</t>
        </is>
      </c>
      <c r="Q139" s="182" t="inlineStr">
        <is>
          <t>n/a</t>
        </is>
      </c>
      <c r="R139" s="190" t="inlineStr">
        <is>
          <t>CNP ППК26110</t>
        </is>
      </c>
      <c r="S139" s="182" t="inlineStr">
        <is>
          <t>ППК26110, (30.06.2026) [CNP]</t>
        </is>
      </c>
      <c r="T139" s="182" t="inlineStr"/>
      <c r="U139" s="182" t="inlineStr"/>
      <c r="V139" s="182" t="inlineStr"/>
      <c r="W139" s="182" t="inlineStr">
        <is>
          <t>not needed — CNP covers foreign matter</t>
        </is>
      </c>
    </row>
    <row r="140">
      <c r="A140" s="182" t="n">
        <v>139</v>
      </c>
      <c r="B140" s="182" t="inlineStr">
        <is>
          <t>initial release</t>
        </is>
      </c>
      <c r="C140" s="181" t="inlineStr">
        <is>
          <t>not needed</t>
        </is>
      </c>
      <c r="D140" s="182" t="inlineStr">
        <is>
          <t>iCoA-PP-2026-0020</t>
        </is>
      </c>
      <c r="E140" s="182" t="inlineStr">
        <is>
          <t>CoQ-PP-2026-0020</t>
        </is>
      </c>
      <c r="F140" s="182" t="inlineStr">
        <is>
          <t>23.05.2026</t>
        </is>
      </c>
      <c r="G140" s="182" t="inlineStr">
        <is>
          <t>≥ 11.05.2026 · tests at packaging 23.05.2026</t>
        </is>
      </c>
      <c r="H140" s="181" t="inlineStr">
        <is>
          <t>JD012603</t>
        </is>
      </c>
      <c r="I140" s="182" t="inlineStr">
        <is>
          <t>P060362</t>
        </is>
      </c>
      <c r="J140" s="182" t="inlineStr"/>
      <c r="K140" s="182" t="inlineStr">
        <is>
          <t>22.04.2026</t>
        </is>
      </c>
      <c r="L140" s="182" t="inlineStr">
        <is>
          <t>23.05.2026</t>
        </is>
      </c>
      <c r="M140" s="182" t="inlineStr">
        <is>
          <t>23.05.2026</t>
        </is>
      </c>
      <c r="N140" s="182" t="inlineStr">
        <is>
          <t>— Ident A + Ident B on the CNP certificate —</t>
        </is>
      </c>
      <c r="O140" s="182" t="inlineStr">
        <is>
          <t>iCoA_P01-02 · Appearance &amp; Identification A/B</t>
        </is>
      </c>
      <c r="P140" s="190" t="inlineStr">
        <is>
          <t>CNP ППК26111</t>
        </is>
      </c>
      <c r="Q140" s="190" t="inlineStr">
        <is>
          <t>CNP ППК26111</t>
        </is>
      </c>
      <c r="R140" s="182" t="inlineStr">
        <is>
          <t>n/a</t>
        </is>
      </c>
      <c r="S140" s="182" t="inlineStr">
        <is>
          <t>ППК26111, (30.06.2026) [CNP]</t>
        </is>
      </c>
      <c r="T140" s="182" t="inlineStr"/>
      <c r="U140" s="182" t="inlineStr"/>
      <c r="V140" s="182" t="inlineStr"/>
      <c r="W140" s="182" t="inlineStr">
        <is>
          <t>not needed — CNP covers A and B</t>
        </is>
      </c>
    </row>
    <row r="141">
      <c r="A141" s="182" t="n">
        <v>140</v>
      </c>
      <c r="B141" s="182" t="inlineStr">
        <is>
          <t>initial release</t>
        </is>
      </c>
      <c r="C141" s="181" t="inlineStr">
        <is>
          <t>not needed</t>
        </is>
      </c>
      <c r="D141" s="182" t="inlineStr">
        <is>
          <t>iCoA-PP-2026-0020</t>
        </is>
      </c>
      <c r="E141" s="182" t="inlineStr">
        <is>
          <t>CoQ-PP-2026-0020</t>
        </is>
      </c>
      <c r="F141" s="182" t="inlineStr">
        <is>
          <t>23.05.2026</t>
        </is>
      </c>
      <c r="G141" s="182" t="inlineStr">
        <is>
          <t>≥ 11.05.2026 · tests at packaging 23.05.2026</t>
        </is>
      </c>
      <c r="H141" s="181" t="inlineStr">
        <is>
          <t>JD012603</t>
        </is>
      </c>
      <c r="I141" s="182" t="inlineStr">
        <is>
          <t>P060362</t>
        </is>
      </c>
      <c r="J141" s="182" t="inlineStr"/>
      <c r="K141" s="182" t="inlineStr">
        <is>
          <t>22.04.2026</t>
        </is>
      </c>
      <c r="L141" s="182" t="inlineStr">
        <is>
          <t>23.05.2026</t>
        </is>
      </c>
      <c r="M141" s="182" t="inlineStr">
        <is>
          <t>23.05.2026</t>
        </is>
      </c>
      <c r="N141" s="182" t="inlineStr">
        <is>
          <t>— Foreign matter on the CNP certificate —</t>
        </is>
      </c>
      <c r="O141" s="182" t="inlineStr">
        <is>
          <t>iCoA_P07 · Foreign matter</t>
        </is>
      </c>
      <c r="P141" s="182" t="inlineStr">
        <is>
          <t>n/a</t>
        </is>
      </c>
      <c r="Q141" s="182" t="inlineStr">
        <is>
          <t>n/a</t>
        </is>
      </c>
      <c r="R141" s="190" t="inlineStr">
        <is>
          <t>CNP ППК26111</t>
        </is>
      </c>
      <c r="S141" s="182" t="inlineStr">
        <is>
          <t>ППК26111, (30.06.2026) [CNP]</t>
        </is>
      </c>
      <c r="T141" s="182" t="inlineStr"/>
      <c r="U141" s="182" t="inlineStr"/>
      <c r="V141" s="182" t="inlineStr"/>
      <c r="W141" s="182" t="inlineStr">
        <is>
          <t>not needed — CNP covers foreign matter</t>
        </is>
      </c>
    </row>
    <row r="142">
      <c r="A142" s="182" t="n">
        <v>141</v>
      </c>
      <c r="B142" s="182" t="inlineStr">
        <is>
          <t>initial release</t>
        </is>
      </c>
      <c r="C142" s="181" t="inlineStr">
        <is>
          <t>not needed</t>
        </is>
      </c>
      <c r="D142" s="182" t="inlineStr">
        <is>
          <t>iCoA-PP-2026-0022</t>
        </is>
      </c>
      <c r="E142" s="182" t="inlineStr">
        <is>
          <t>CoQ-PP-2026-0022</t>
        </is>
      </c>
      <c r="F142" s="182" t="inlineStr">
        <is>
          <t>23.05.2026</t>
        </is>
      </c>
      <c r="G142" s="182" t="inlineStr">
        <is>
          <t>≥ 11.05.2026 · tests at packaging 23.05.2026</t>
        </is>
      </c>
      <c r="H142" s="181" t="inlineStr">
        <is>
          <t>JD012603</t>
        </is>
      </c>
      <c r="I142" s="182" t="inlineStr">
        <is>
          <t>P060422</t>
        </is>
      </c>
      <c r="J142" s="182" t="inlineStr"/>
      <c r="K142" s="182" t="inlineStr">
        <is>
          <t>29.04.2026</t>
        </is>
      </c>
      <c r="L142" s="182" t="inlineStr">
        <is>
          <t>23.05.2026</t>
        </is>
      </c>
      <c r="M142" s="182" t="inlineStr">
        <is>
          <t>23.05.2026</t>
        </is>
      </c>
      <c r="N142" s="182" t="inlineStr">
        <is>
          <t>— Ident A + Ident B on the CNP certificate —</t>
        </is>
      </c>
      <c r="O142" s="182" t="inlineStr">
        <is>
          <t>iCoA_P01-02 · Appearance &amp; Identification A/B</t>
        </is>
      </c>
      <c r="P142" s="190" t="inlineStr">
        <is>
          <t>CNP ППК26111</t>
        </is>
      </c>
      <c r="Q142" s="190" t="inlineStr">
        <is>
          <t>CNP ППК26111</t>
        </is>
      </c>
      <c r="R142" s="182" t="inlineStr">
        <is>
          <t>n/a</t>
        </is>
      </c>
      <c r="S142" s="182" t="inlineStr">
        <is>
          <t>ППК26111, (30.06.2026) [CNP]</t>
        </is>
      </c>
      <c r="T142" s="182" t="inlineStr"/>
      <c r="U142" s="182" t="inlineStr"/>
      <c r="V142" s="182" t="inlineStr"/>
      <c r="W142" s="182" t="inlineStr">
        <is>
          <t>not needed — CNP covers A and B</t>
        </is>
      </c>
    </row>
    <row r="143">
      <c r="A143" s="182" t="n">
        <v>142</v>
      </c>
      <c r="B143" s="182" t="inlineStr">
        <is>
          <t>initial release</t>
        </is>
      </c>
      <c r="C143" s="181" t="inlineStr">
        <is>
          <t>not needed</t>
        </is>
      </c>
      <c r="D143" s="182" t="inlineStr">
        <is>
          <t>iCoA-PP-2026-0022</t>
        </is>
      </c>
      <c r="E143" s="182" t="inlineStr">
        <is>
          <t>CoQ-PP-2026-0022</t>
        </is>
      </c>
      <c r="F143" s="182" t="inlineStr">
        <is>
          <t>23.05.2026</t>
        </is>
      </c>
      <c r="G143" s="182" t="inlineStr">
        <is>
          <t>≥ 11.05.2026 · tests at packaging 23.05.2026</t>
        </is>
      </c>
      <c r="H143" s="181" t="inlineStr">
        <is>
          <t>JD012603</t>
        </is>
      </c>
      <c r="I143" s="182" t="inlineStr">
        <is>
          <t>P060422</t>
        </is>
      </c>
      <c r="J143" s="182" t="inlineStr"/>
      <c r="K143" s="182" t="inlineStr">
        <is>
          <t>29.04.2026</t>
        </is>
      </c>
      <c r="L143" s="182" t="inlineStr">
        <is>
          <t>23.05.2026</t>
        </is>
      </c>
      <c r="M143" s="182" t="inlineStr">
        <is>
          <t>23.05.2026</t>
        </is>
      </c>
      <c r="N143" s="182" t="inlineStr">
        <is>
          <t>— Foreign matter on the CNP certificate —</t>
        </is>
      </c>
      <c r="O143" s="182" t="inlineStr">
        <is>
          <t>iCoA_P07 · Foreign matter</t>
        </is>
      </c>
      <c r="P143" s="182" t="inlineStr">
        <is>
          <t>n/a</t>
        </is>
      </c>
      <c r="Q143" s="182" t="inlineStr">
        <is>
          <t>n/a</t>
        </is>
      </c>
      <c r="R143" s="190" t="inlineStr">
        <is>
          <t>CNP ППК26111</t>
        </is>
      </c>
      <c r="S143" s="182" t="inlineStr">
        <is>
          <t>ППК26111, (30.06.2026) [CNP]</t>
        </is>
      </c>
      <c r="T143" s="182" t="inlineStr"/>
      <c r="U143" s="182" t="inlineStr"/>
      <c r="V143" s="182" t="inlineStr"/>
      <c r="W143" s="182" t="inlineStr">
        <is>
          <t>not needed — CNP covers foreign matter</t>
        </is>
      </c>
    </row>
    <row r="144">
      <c r="A144" s="182" t="n">
        <v>143</v>
      </c>
      <c r="B144" s="182" t="inlineStr">
        <is>
          <t>initial release</t>
        </is>
      </c>
      <c r="C144" s="181" t="inlineStr">
        <is>
          <t>not needed</t>
        </is>
      </c>
      <c r="D144" s="182" t="inlineStr">
        <is>
          <t>iCoA-PP-2026-0023</t>
        </is>
      </c>
      <c r="E144" s="182" t="inlineStr">
        <is>
          <t>CoQ-PP-2026-0023</t>
        </is>
      </c>
      <c r="F144" s="182" t="inlineStr">
        <is>
          <t>24.05.2026</t>
        </is>
      </c>
      <c r="G144" s="182" t="inlineStr">
        <is>
          <t>≥ 11.05.2026 · tests at packaging 24.05.2026</t>
        </is>
      </c>
      <c r="H144" s="181" t="inlineStr">
        <is>
          <t>GG012603</t>
        </is>
      </c>
      <c r="I144" s="182" t="inlineStr">
        <is>
          <t>P060402</t>
        </is>
      </c>
      <c r="J144" s="182" t="inlineStr">
        <is>
          <t>GorillaGlue</t>
        </is>
      </c>
      <c r="K144" s="182" t="inlineStr">
        <is>
          <t>04.05.2026</t>
        </is>
      </c>
      <c r="L144" s="182" t="inlineStr">
        <is>
          <t>24.05.2026</t>
        </is>
      </c>
      <c r="M144" s="182" t="inlineStr">
        <is>
          <t>24.05.2026</t>
        </is>
      </c>
      <c r="N144" s="182" t="inlineStr">
        <is>
          <t>— Ident A + Ident B on the CNP certificate —</t>
        </is>
      </c>
      <c r="O144" s="182" t="inlineStr">
        <is>
          <t>iCoA_P01-02 · Appearance &amp; Identification A/B</t>
        </is>
      </c>
      <c r="P144" s="190" t="inlineStr">
        <is>
          <t>CNP ППК26114</t>
        </is>
      </c>
      <c r="Q144" s="190" t="inlineStr">
        <is>
          <t>CNP ППК26114</t>
        </is>
      </c>
      <c r="R144" s="182" t="inlineStr">
        <is>
          <t>n/a</t>
        </is>
      </c>
      <c r="S144" s="182" t="inlineStr">
        <is>
          <t>ППК26114, (30.06.2026) [CNP]</t>
        </is>
      </c>
      <c r="T144" s="182" t="inlineStr"/>
      <c r="U144" s="182" t="inlineStr"/>
      <c r="V144" s="182" t="inlineStr"/>
      <c r="W144" s="182" t="inlineStr">
        <is>
          <t>not needed — CNP covers A and B</t>
        </is>
      </c>
    </row>
    <row r="145">
      <c r="A145" s="182" t="n">
        <v>144</v>
      </c>
      <c r="B145" s="182" t="inlineStr">
        <is>
          <t>initial release</t>
        </is>
      </c>
      <c r="C145" s="181" t="inlineStr">
        <is>
          <t>not needed</t>
        </is>
      </c>
      <c r="D145" s="182" t="inlineStr">
        <is>
          <t>iCoA-PP-2026-0023</t>
        </is>
      </c>
      <c r="E145" s="182" t="inlineStr">
        <is>
          <t>CoQ-PP-2026-0023</t>
        </is>
      </c>
      <c r="F145" s="182" t="inlineStr">
        <is>
          <t>24.05.2026</t>
        </is>
      </c>
      <c r="G145" s="182" t="inlineStr">
        <is>
          <t>≥ 11.05.2026 · tests at packaging 24.05.2026</t>
        </is>
      </c>
      <c r="H145" s="181" t="inlineStr">
        <is>
          <t>GG012603</t>
        </is>
      </c>
      <c r="I145" s="182" t="inlineStr">
        <is>
          <t>P060402</t>
        </is>
      </c>
      <c r="J145" s="182" t="inlineStr">
        <is>
          <t>GorillaGlue</t>
        </is>
      </c>
      <c r="K145" s="182" t="inlineStr">
        <is>
          <t>04.05.2026</t>
        </is>
      </c>
      <c r="L145" s="182" t="inlineStr">
        <is>
          <t>24.05.2026</t>
        </is>
      </c>
      <c r="M145" s="182" t="inlineStr">
        <is>
          <t>24.05.2026</t>
        </is>
      </c>
      <c r="N145" s="182" t="inlineStr">
        <is>
          <t>— Foreign matter on the CNP certificate —</t>
        </is>
      </c>
      <c r="O145" s="182" t="inlineStr">
        <is>
          <t>iCoA_P07 · Foreign matter</t>
        </is>
      </c>
      <c r="P145" s="182" t="inlineStr">
        <is>
          <t>n/a</t>
        </is>
      </c>
      <c r="Q145" s="182" t="inlineStr">
        <is>
          <t>n/a</t>
        </is>
      </c>
      <c r="R145" s="190" t="inlineStr">
        <is>
          <t>CNP ППК26114</t>
        </is>
      </c>
      <c r="S145" s="182" t="inlineStr">
        <is>
          <t>ППК26114, (30.06.2026) [CNP]</t>
        </is>
      </c>
      <c r="T145" s="182" t="inlineStr"/>
      <c r="U145" s="182" t="inlineStr"/>
      <c r="V145" s="182" t="inlineStr"/>
      <c r="W145" s="182" t="inlineStr">
        <is>
          <t>not needed — CNP covers foreign matter</t>
        </is>
      </c>
    </row>
    <row r="146">
      <c r="A146" s="182" t="n">
        <v>145</v>
      </c>
      <c r="B146" s="182" t="inlineStr">
        <is>
          <t>initial release</t>
        </is>
      </c>
      <c r="C146" s="181" t="inlineStr">
        <is>
          <t>not needed</t>
        </is>
      </c>
      <c r="D146" s="182" t="inlineStr">
        <is>
          <t>iCoA-PP-2026-0025</t>
        </is>
      </c>
      <c r="E146" s="182" t="inlineStr">
        <is>
          <t>CoQ-PP-2026-0025</t>
        </is>
      </c>
      <c r="F146" s="182" t="inlineStr">
        <is>
          <t>24.05.2026</t>
        </is>
      </c>
      <c r="G146" s="182" t="inlineStr">
        <is>
          <t>≥ 11.05.2026 · tests at packaging 24.05.2026</t>
        </is>
      </c>
      <c r="H146" s="181" t="inlineStr">
        <is>
          <t>JD012603</t>
        </is>
      </c>
      <c r="I146" s="182" t="inlineStr">
        <is>
          <t>P060412</t>
        </is>
      </c>
      <c r="J146" s="182" t="inlineStr"/>
      <c r="K146" s="182" t="inlineStr">
        <is>
          <t>04.05.2026</t>
        </is>
      </c>
      <c r="L146" s="182" t="inlineStr">
        <is>
          <t>24.05.2026</t>
        </is>
      </c>
      <c r="M146" s="182" t="inlineStr">
        <is>
          <t>24.05.2026</t>
        </is>
      </c>
      <c r="N146" s="182" t="inlineStr">
        <is>
          <t>— Ident A + Ident B on the CNP certificate —</t>
        </is>
      </c>
      <c r="O146" s="182" t="inlineStr">
        <is>
          <t>iCoA_P01-02 · Appearance &amp; Identification A/B</t>
        </is>
      </c>
      <c r="P146" s="190" t="inlineStr">
        <is>
          <t>CNP ППК26111</t>
        </is>
      </c>
      <c r="Q146" s="190" t="inlineStr">
        <is>
          <t>CNP ППК26111</t>
        </is>
      </c>
      <c r="R146" s="182" t="inlineStr">
        <is>
          <t>n/a</t>
        </is>
      </c>
      <c r="S146" s="182" t="inlineStr">
        <is>
          <t>ППК26111, (30.06.2026) [CNP]</t>
        </is>
      </c>
      <c r="T146" s="182" t="inlineStr"/>
      <c r="U146" s="182" t="inlineStr"/>
      <c r="V146" s="182" t="inlineStr"/>
      <c r="W146" s="182" t="inlineStr">
        <is>
          <t>not needed — CNP covers A and B</t>
        </is>
      </c>
    </row>
    <row r="147">
      <c r="A147" s="182" t="n">
        <v>146</v>
      </c>
      <c r="B147" s="182" t="inlineStr">
        <is>
          <t>initial release</t>
        </is>
      </c>
      <c r="C147" s="181" t="inlineStr">
        <is>
          <t>not needed</t>
        </is>
      </c>
      <c r="D147" s="182" t="inlineStr">
        <is>
          <t>iCoA-PP-2026-0025</t>
        </is>
      </c>
      <c r="E147" s="182" t="inlineStr">
        <is>
          <t>CoQ-PP-2026-0025</t>
        </is>
      </c>
      <c r="F147" s="182" t="inlineStr">
        <is>
          <t>24.05.2026</t>
        </is>
      </c>
      <c r="G147" s="182" t="inlineStr">
        <is>
          <t>≥ 11.05.2026 · tests at packaging 24.05.2026</t>
        </is>
      </c>
      <c r="H147" s="181" t="inlineStr">
        <is>
          <t>JD012603</t>
        </is>
      </c>
      <c r="I147" s="182" t="inlineStr">
        <is>
          <t>P060412</t>
        </is>
      </c>
      <c r="J147" s="182" t="inlineStr"/>
      <c r="K147" s="182" t="inlineStr">
        <is>
          <t>04.05.2026</t>
        </is>
      </c>
      <c r="L147" s="182" t="inlineStr">
        <is>
          <t>24.05.2026</t>
        </is>
      </c>
      <c r="M147" s="182" t="inlineStr">
        <is>
          <t>24.05.2026</t>
        </is>
      </c>
      <c r="N147" s="182" t="inlineStr">
        <is>
          <t>— Foreign matter on the CNP certificate —</t>
        </is>
      </c>
      <c r="O147" s="182" t="inlineStr">
        <is>
          <t>iCoA_P07 · Foreign matter</t>
        </is>
      </c>
      <c r="P147" s="182" t="inlineStr">
        <is>
          <t>n/a</t>
        </is>
      </c>
      <c r="Q147" s="182" t="inlineStr">
        <is>
          <t>n/a</t>
        </is>
      </c>
      <c r="R147" s="190" t="inlineStr">
        <is>
          <t>CNP ППК26111</t>
        </is>
      </c>
      <c r="S147" s="182" t="inlineStr">
        <is>
          <t>ППК26111, (30.06.2026) [CNP]</t>
        </is>
      </c>
      <c r="T147" s="182" t="inlineStr"/>
      <c r="U147" s="182" t="inlineStr"/>
      <c r="V147" s="182" t="inlineStr"/>
      <c r="W147" s="182" t="inlineStr">
        <is>
          <t>not needed — CNP covers foreign matter</t>
        </is>
      </c>
    </row>
    <row r="148">
      <c r="A148" s="182" t="n">
        <v>147</v>
      </c>
      <c r="B148" s="182" t="inlineStr">
        <is>
          <t>initial release</t>
        </is>
      </c>
      <c r="C148" s="181">
        <f>IFERROR(INDEX('iCoA Register'!$B:$B,MATCH("P060342|AB|I",'iCoA Register'!$R:$R,0)),"— at issue —")</f>
        <v/>
      </c>
      <c r="D148" s="182" t="inlineStr"/>
      <c r="E148" s="182" t="inlineStr">
        <is>
          <t>— not in the issuance plan —</t>
        </is>
      </c>
      <c r="F148" s="182" t="inlineStr">
        <is>
          <t>25.05.2026</t>
        </is>
      </c>
      <c r="G148" s="183">
        <f>IFERROR(INDEX('iCoA Register'!$D:$D,MATCH("P060342|AB|I",'iCoA Register'!$R:$R,0)),"")</f>
        <v/>
      </c>
      <c r="H148" s="181" t="inlineStr">
        <is>
          <t>SCR012601* (from the list)</t>
        </is>
      </c>
      <c r="I148" s="182" t="inlineStr">
        <is>
          <t>P060342</t>
        </is>
      </c>
      <c r="J148" s="182" t="inlineStr">
        <is>
          <t>Scrambler</t>
        </is>
      </c>
      <c r="K148" s="182" t="inlineStr">
        <is>
          <t>16.04.2026</t>
        </is>
      </c>
      <c r="L148" s="182" t="inlineStr">
        <is>
          <t>25.05.2026</t>
        </is>
      </c>
      <c r="M148" s="182" t="inlineStr">
        <is>
          <t>25.05.2026</t>
        </is>
      </c>
      <c r="N148" s="182" t="inlineStr">
        <is>
          <t>Ident A + Ident B</t>
        </is>
      </c>
      <c r="O148" s="182" t="inlineStr">
        <is>
          <t>iCoA_P01-02 · Appearance &amp; Identification A/B</t>
        </is>
      </c>
      <c r="P148" s="182" t="inlineStr">
        <is>
          <t>Conforms</t>
        </is>
      </c>
      <c r="Q148" s="182" t="inlineStr">
        <is>
          <t>Conforms</t>
        </is>
      </c>
      <c r="R148" s="182" t="inlineStr">
        <is>
          <t>n/a</t>
        </is>
      </c>
      <c r="S148" s="189" t="inlineStr">
        <is>
          <t>— no cannabinoid certificate —</t>
        </is>
      </c>
      <c r="T148" s="182" t="inlineStr"/>
      <c r="U148" s="182" t="inlineStr"/>
      <c r="V148" s="182" t="inlineStr"/>
      <c r="W148" s="188" t="inlineStr">
        <is>
          <t>registered — preliminary date, QC sets the real date at issue</t>
        </is>
      </c>
    </row>
    <row r="149">
      <c r="A149" s="182" t="n">
        <v>148</v>
      </c>
      <c r="B149" s="182" t="inlineStr">
        <is>
          <t>initial release</t>
        </is>
      </c>
      <c r="C149" s="181">
        <f>IFERROR(INDEX('iCoA Register'!$B:$B,MATCH("P060342|FM|I",'iCoA Register'!$R:$R,0)),"— at issue —")</f>
        <v/>
      </c>
      <c r="D149" s="182" t="inlineStr"/>
      <c r="E149" s="182" t="inlineStr">
        <is>
          <t>— not in the issuance plan —</t>
        </is>
      </c>
      <c r="F149" s="182" t="inlineStr">
        <is>
          <t>25.05.2026</t>
        </is>
      </c>
      <c r="G149" s="183">
        <f>IFERROR(INDEX('iCoA Register'!$D:$D,MATCH("P060342|FM|I",'iCoA Register'!$R:$R,0)),"")</f>
        <v/>
      </c>
      <c r="H149" s="181" t="inlineStr">
        <is>
          <t>SCR012601* (from the list)</t>
        </is>
      </c>
      <c r="I149" s="182" t="inlineStr">
        <is>
          <t>P060342</t>
        </is>
      </c>
      <c r="J149" s="182" t="inlineStr">
        <is>
          <t>Scrambler</t>
        </is>
      </c>
      <c r="K149" s="182" t="inlineStr">
        <is>
          <t>16.04.2026</t>
        </is>
      </c>
      <c r="L149" s="182" t="inlineStr">
        <is>
          <t>25.05.2026</t>
        </is>
      </c>
      <c r="M149" s="182" t="inlineStr">
        <is>
          <t>25.05.2026</t>
        </is>
      </c>
      <c r="N149" s="182" t="inlineStr">
        <is>
          <t>Foreign matter</t>
        </is>
      </c>
      <c r="O149" s="182" t="inlineStr">
        <is>
          <t>iCoA_P07 · Foreign matter</t>
        </is>
      </c>
      <c r="P149" s="182" t="inlineStr">
        <is>
          <t>n/a</t>
        </is>
      </c>
      <c r="Q149" s="182" t="inlineStr">
        <is>
          <t>n/a</t>
        </is>
      </c>
      <c r="R149" s="182" t="inlineStr">
        <is>
          <t>Conforms</t>
        </is>
      </c>
      <c r="S149" s="189" t="inlineStr">
        <is>
          <t>— no cannabinoid certificate —</t>
        </is>
      </c>
      <c r="T149" s="182" t="inlineStr"/>
      <c r="U149" s="182" t="inlineStr"/>
      <c r="V149" s="182" t="inlineStr"/>
      <c r="W149" s="188" t="inlineStr">
        <is>
          <t>registered — preliminary date, QC sets the real date at issue</t>
        </is>
      </c>
    </row>
    <row r="150">
      <c r="A150" s="182" t="n">
        <v>149</v>
      </c>
      <c r="B150" s="182" t="inlineStr">
        <is>
          <t>initial release</t>
        </is>
      </c>
      <c r="C150" s="181">
        <f>IFERROR(INDEX('iCoA Register'!$B:$B,MATCH("P060382|AB|I",'iCoA Register'!$R:$R,0)),"— at issue —")</f>
        <v/>
      </c>
      <c r="D150" s="182" t="inlineStr">
        <is>
          <t>iCoA-PP-2026-0026</t>
        </is>
      </c>
      <c r="E150" s="182" t="inlineStr">
        <is>
          <t>CoQ-PP-2026-0026</t>
        </is>
      </c>
      <c r="F150" s="182" t="inlineStr">
        <is>
          <t>25.05.2026</t>
        </is>
      </c>
      <c r="G150" s="183">
        <f>IFERROR(INDEX('iCoA Register'!$D:$D,MATCH("P060382|AB|I",'iCoA Register'!$R:$R,0)),"")</f>
        <v/>
      </c>
      <c r="H150" s="181" t="inlineStr">
        <is>
          <t>SCR012603</t>
        </is>
      </c>
      <c r="I150" s="182" t="inlineStr">
        <is>
          <t>P060382</t>
        </is>
      </c>
      <c r="J150" s="182" t="inlineStr">
        <is>
          <t>Scrambler</t>
        </is>
      </c>
      <c r="K150" s="182" t="inlineStr">
        <is>
          <t>22.04.2026</t>
        </is>
      </c>
      <c r="L150" s="182" t="inlineStr">
        <is>
          <t>25.05.2026</t>
        </is>
      </c>
      <c r="M150" s="182" t="inlineStr">
        <is>
          <t>25.05.2026</t>
        </is>
      </c>
      <c r="N150" s="182" t="inlineStr">
        <is>
          <t>Ident A + Ident B</t>
        </is>
      </c>
      <c r="O150" s="182" t="inlineStr">
        <is>
          <t>iCoA_P01-02 · Appearance &amp; Identification A/B</t>
        </is>
      </c>
      <c r="P150" s="182" t="inlineStr">
        <is>
          <t>Conforms</t>
        </is>
      </c>
      <c r="Q150" s="182" t="inlineStr">
        <is>
          <t>Conforms</t>
        </is>
      </c>
      <c r="R150" s="182" t="inlineStr">
        <is>
          <t>n/a</t>
        </is>
      </c>
      <c r="S150" s="182" t="inlineStr">
        <is>
          <t>197-21-K-26, (07.08.2026) [FHM-K]</t>
        </is>
      </c>
      <c r="T150" s="182" t="inlineStr"/>
      <c r="U150" s="182" t="inlineStr"/>
      <c r="V150" s="182" t="inlineStr"/>
      <c r="W150" s="188" t="inlineStr">
        <is>
          <t>registered — preliminary date, QC sets the real date at issue</t>
        </is>
      </c>
    </row>
    <row r="151">
      <c r="A151" s="182" t="n">
        <v>150</v>
      </c>
      <c r="B151" s="182" t="inlineStr">
        <is>
          <t>initial release</t>
        </is>
      </c>
      <c r="C151" s="181">
        <f>IFERROR(INDEX('iCoA Register'!$B:$B,MATCH("P060382|FM|I",'iCoA Register'!$R:$R,0)),"— at issue —")</f>
        <v/>
      </c>
      <c r="D151" s="182" t="inlineStr">
        <is>
          <t>iCoA-PP-2026-0026</t>
        </is>
      </c>
      <c r="E151" s="182" t="inlineStr">
        <is>
          <t>CoQ-PP-2026-0026</t>
        </is>
      </c>
      <c r="F151" s="182" t="inlineStr">
        <is>
          <t>25.05.2026</t>
        </is>
      </c>
      <c r="G151" s="183">
        <f>IFERROR(INDEX('iCoA Register'!$D:$D,MATCH("P060382|FM|I",'iCoA Register'!$R:$R,0)),"")</f>
        <v/>
      </c>
      <c r="H151" s="181" t="inlineStr">
        <is>
          <t>SCR012603</t>
        </is>
      </c>
      <c r="I151" s="182" t="inlineStr">
        <is>
          <t>P060382</t>
        </is>
      </c>
      <c r="J151" s="182" t="inlineStr">
        <is>
          <t>Scrambler</t>
        </is>
      </c>
      <c r="K151" s="182" t="inlineStr">
        <is>
          <t>22.04.2026</t>
        </is>
      </c>
      <c r="L151" s="182" t="inlineStr">
        <is>
          <t>25.05.2026</t>
        </is>
      </c>
      <c r="M151" s="182" t="inlineStr">
        <is>
          <t>25.05.2026</t>
        </is>
      </c>
      <c r="N151" s="182" t="inlineStr">
        <is>
          <t>Foreign matter</t>
        </is>
      </c>
      <c r="O151" s="182" t="inlineStr">
        <is>
          <t>iCoA_P07 · Foreign matter</t>
        </is>
      </c>
      <c r="P151" s="182" t="inlineStr">
        <is>
          <t>n/a</t>
        </is>
      </c>
      <c r="Q151" s="182" t="inlineStr">
        <is>
          <t>n/a</t>
        </is>
      </c>
      <c r="R151" s="182" t="inlineStr">
        <is>
          <t>Conforms</t>
        </is>
      </c>
      <c r="S151" s="182" t="inlineStr">
        <is>
          <t>197-21-K-26, (07.08.2026) [FHM-K]</t>
        </is>
      </c>
      <c r="T151" s="182" t="inlineStr"/>
      <c r="U151" s="182" t="inlineStr"/>
      <c r="V151" s="182" t="inlineStr"/>
      <c r="W151" s="188" t="inlineStr">
        <is>
          <t>registered — preliminary date, QC sets the real date at issue</t>
        </is>
      </c>
    </row>
    <row r="152">
      <c r="A152" s="182" t="n">
        <v>151</v>
      </c>
      <c r="B152" s="182" t="inlineStr">
        <is>
          <t>initial release</t>
        </is>
      </c>
      <c r="C152" s="181" t="inlineStr">
        <is>
          <t>not needed</t>
        </is>
      </c>
      <c r="D152" s="182" t="inlineStr"/>
      <c r="E152" s="182" t="inlineStr">
        <is>
          <t>(assigned on issue)</t>
        </is>
      </c>
      <c r="F152" s="182" t="inlineStr">
        <is>
          <t>30.06.2026</t>
        </is>
      </c>
      <c r="G152" s="182" t="inlineStr">
        <is>
          <t>≥ 11.05.2026 · tests at packaging 15.06.2026</t>
        </is>
      </c>
      <c r="H152" s="181" t="inlineStr">
        <is>
          <t>FB012603</t>
        </is>
      </c>
      <c r="I152" s="182" t="inlineStr">
        <is>
          <t>P060432</t>
        </is>
      </c>
      <c r="J152" s="182" t="inlineStr">
        <is>
          <t>Fat Bastard</t>
        </is>
      </c>
      <c r="K152" s="182" t="inlineStr">
        <is>
          <t>04.05.2026</t>
        </is>
      </c>
      <c r="L152" s="182" t="inlineStr">
        <is>
          <t>15.06.2026 (the issuance plan's basis: 30.06.2026)</t>
        </is>
      </c>
      <c r="M152" s="182" t="inlineStr">
        <is>
          <t>15.06.2026</t>
        </is>
      </c>
      <c r="N152" s="182" t="inlineStr">
        <is>
          <t>— Ident A + Ident B on the CNP certificate —</t>
        </is>
      </c>
      <c r="O152" s="182" t="inlineStr">
        <is>
          <t>iCoA_P01-02 · Appearance &amp; Identification A/B</t>
        </is>
      </c>
      <c r="P152" s="190" t="inlineStr">
        <is>
          <t>CNP ППК26112</t>
        </is>
      </c>
      <c r="Q152" s="190" t="inlineStr">
        <is>
          <t>CNP ППК26112</t>
        </is>
      </c>
      <c r="R152" s="182" t="inlineStr">
        <is>
          <t>n/a</t>
        </is>
      </c>
      <c r="S152" s="182" t="inlineStr">
        <is>
          <t>ППК26112, (30.06.2026) [CNP]</t>
        </is>
      </c>
      <c r="T152" s="182" t="inlineStr"/>
      <c r="U152" s="182" t="inlineStr"/>
      <c r="V152" s="182" t="inlineStr"/>
      <c r="W152" s="182" t="inlineStr">
        <is>
          <t>not needed — CNP covers A and B</t>
        </is>
      </c>
    </row>
    <row r="153">
      <c r="A153" s="182" t="n">
        <v>152</v>
      </c>
      <c r="B153" s="182" t="inlineStr">
        <is>
          <t>initial release</t>
        </is>
      </c>
      <c r="C153" s="181" t="inlineStr">
        <is>
          <t>not needed</t>
        </is>
      </c>
      <c r="D153" s="182" t="inlineStr"/>
      <c r="E153" s="182" t="inlineStr">
        <is>
          <t>(assigned on issue)</t>
        </is>
      </c>
      <c r="F153" s="182" t="inlineStr">
        <is>
          <t>30.06.2026</t>
        </is>
      </c>
      <c r="G153" s="182" t="inlineStr">
        <is>
          <t>≥ 11.05.2026 · tests at packaging 15.06.2026</t>
        </is>
      </c>
      <c r="H153" s="181" t="inlineStr">
        <is>
          <t>FB012603</t>
        </is>
      </c>
      <c r="I153" s="182" t="inlineStr">
        <is>
          <t>P060432</t>
        </is>
      </c>
      <c r="J153" s="182" t="inlineStr">
        <is>
          <t>Fat Bastard</t>
        </is>
      </c>
      <c r="K153" s="182" t="inlineStr">
        <is>
          <t>04.05.2026</t>
        </is>
      </c>
      <c r="L153" s="182" t="inlineStr">
        <is>
          <t>15.06.2026 (the issuance plan's basis: 30.06.2026)</t>
        </is>
      </c>
      <c r="M153" s="182" t="inlineStr">
        <is>
          <t>15.06.2026</t>
        </is>
      </c>
      <c r="N153" s="182" t="inlineStr">
        <is>
          <t>— Foreign matter on the CNP certificate —</t>
        </is>
      </c>
      <c r="O153" s="182" t="inlineStr">
        <is>
          <t>iCoA_P07 · Foreign matter</t>
        </is>
      </c>
      <c r="P153" s="182" t="inlineStr">
        <is>
          <t>n/a</t>
        </is>
      </c>
      <c r="Q153" s="182" t="inlineStr">
        <is>
          <t>n/a</t>
        </is>
      </c>
      <c r="R153" s="190" t="inlineStr">
        <is>
          <t>CNP ППК26112</t>
        </is>
      </c>
      <c r="S153" s="182" t="inlineStr">
        <is>
          <t>ППК26112, (30.06.2026) [CNP]</t>
        </is>
      </c>
      <c r="T153" s="182" t="inlineStr"/>
      <c r="U153" s="182" t="inlineStr"/>
      <c r="V153" s="182" t="inlineStr"/>
      <c r="W153" s="182" t="inlineStr">
        <is>
          <t>not needed — CNP covers foreign matter</t>
        </is>
      </c>
    </row>
    <row r="154">
      <c r="A154" s="182" t="n">
        <v>153</v>
      </c>
      <c r="B154" s="182" t="inlineStr">
        <is>
          <t>initial release</t>
        </is>
      </c>
      <c r="C154" s="181" t="inlineStr">
        <is>
          <t>not needed</t>
        </is>
      </c>
      <c r="D154" s="182" t="inlineStr"/>
      <c r="E154" s="182" t="inlineStr">
        <is>
          <t>(assigned on issue)</t>
        </is>
      </c>
      <c r="F154" s="182" t="inlineStr">
        <is>
          <t>06.07.2026</t>
        </is>
      </c>
      <c r="G154" s="182" t="inlineStr">
        <is>
          <t>≥ 11.05.2026 · tests at packaging 18.06.2026</t>
        </is>
      </c>
      <c r="H154" s="181" t="inlineStr">
        <is>
          <t>SCR022601</t>
        </is>
      </c>
      <c r="I154" s="182" t="inlineStr">
        <is>
          <t>P060442</t>
        </is>
      </c>
      <c r="J154" s="182" t="inlineStr">
        <is>
          <t>Scrambler</t>
        </is>
      </c>
      <c r="K154" s="182" t="inlineStr">
        <is>
          <t>13.05.2026</t>
        </is>
      </c>
      <c r="L154" s="182" t="inlineStr">
        <is>
          <t>18.06.2026 (the issuance plan's basis: 06.07.2026)</t>
        </is>
      </c>
      <c r="M154" s="182" t="inlineStr">
        <is>
          <t>18.06.2026</t>
        </is>
      </c>
      <c r="N154" s="182" t="inlineStr">
        <is>
          <t>— Ident A + Ident B on the CNP certificate —</t>
        </is>
      </c>
      <c r="O154" s="182" t="inlineStr">
        <is>
          <t>iCoA_P01-02 · Appearance &amp; Identification A/B</t>
        </is>
      </c>
      <c r="P154" s="190" t="inlineStr">
        <is>
          <t>CNP ППК26116</t>
        </is>
      </c>
      <c r="Q154" s="190" t="inlineStr">
        <is>
          <t>CNP ППК26116</t>
        </is>
      </c>
      <c r="R154" s="182" t="inlineStr">
        <is>
          <t>n/a</t>
        </is>
      </c>
      <c r="S154" s="182" t="inlineStr">
        <is>
          <t>ППК26116, (06.07.2026) [CNP]</t>
        </is>
      </c>
      <c r="T154" s="182" t="inlineStr"/>
      <c r="U154" s="182" t="inlineStr"/>
      <c r="V154" s="182" t="inlineStr"/>
      <c r="W154" s="182" t="inlineStr">
        <is>
          <t>not needed — CNP covers A and B</t>
        </is>
      </c>
    </row>
    <row r="155">
      <c r="A155" s="182" t="n">
        <v>154</v>
      </c>
      <c r="B155" s="182" t="inlineStr">
        <is>
          <t>initial release</t>
        </is>
      </c>
      <c r="C155" s="181" t="inlineStr">
        <is>
          <t>not needed</t>
        </is>
      </c>
      <c r="D155" s="182" t="inlineStr"/>
      <c r="E155" s="182" t="inlineStr">
        <is>
          <t>(assigned on issue)</t>
        </is>
      </c>
      <c r="F155" s="182" t="inlineStr">
        <is>
          <t>06.07.2026</t>
        </is>
      </c>
      <c r="G155" s="182" t="inlineStr">
        <is>
          <t>≥ 11.05.2026 · tests at packaging 18.06.2026</t>
        </is>
      </c>
      <c r="H155" s="181" t="inlineStr">
        <is>
          <t>SCR022601</t>
        </is>
      </c>
      <c r="I155" s="182" t="inlineStr">
        <is>
          <t>P060442</t>
        </is>
      </c>
      <c r="J155" s="182" t="inlineStr">
        <is>
          <t>Scrambler</t>
        </is>
      </c>
      <c r="K155" s="182" t="inlineStr">
        <is>
          <t>13.05.2026</t>
        </is>
      </c>
      <c r="L155" s="182" t="inlineStr">
        <is>
          <t>18.06.2026 (the issuance plan's basis: 06.07.2026)</t>
        </is>
      </c>
      <c r="M155" s="182" t="inlineStr">
        <is>
          <t>18.06.2026</t>
        </is>
      </c>
      <c r="N155" s="182" t="inlineStr">
        <is>
          <t>— Foreign matter on the CNP certificate —</t>
        </is>
      </c>
      <c r="O155" s="182" t="inlineStr">
        <is>
          <t>iCoA_P07 · Foreign matter</t>
        </is>
      </c>
      <c r="P155" s="182" t="inlineStr">
        <is>
          <t>n/a</t>
        </is>
      </c>
      <c r="Q155" s="182" t="inlineStr">
        <is>
          <t>n/a</t>
        </is>
      </c>
      <c r="R155" s="190" t="inlineStr">
        <is>
          <t>CNP ППК26116</t>
        </is>
      </c>
      <c r="S155" s="182" t="inlineStr">
        <is>
          <t>ППК26116, (06.07.2026) [CNP]</t>
        </is>
      </c>
      <c r="T155" s="182" t="inlineStr"/>
      <c r="U155" s="182" t="inlineStr"/>
      <c r="V155" s="182" t="inlineStr"/>
      <c r="W155" s="182" t="inlineStr">
        <is>
          <t>not needed — CNP covers foreign matter</t>
        </is>
      </c>
    </row>
    <row r="156">
      <c r="A156" s="182" t="n">
        <v>155</v>
      </c>
      <c r="B156" s="182" t="inlineStr">
        <is>
          <t>initial release</t>
        </is>
      </c>
      <c r="C156" s="181" t="inlineStr">
        <is>
          <t>not needed</t>
        </is>
      </c>
      <c r="D156" s="182" t="inlineStr"/>
      <c r="E156" s="182" t="inlineStr">
        <is>
          <t>(assigned on issue)</t>
        </is>
      </c>
      <c r="F156" s="182" t="inlineStr">
        <is>
          <t>21.07.2026</t>
        </is>
      </c>
      <c r="G156" s="182" t="inlineStr">
        <is>
          <t>≥ 11.05.2026 · tests at packaging 29.06.2026</t>
        </is>
      </c>
      <c r="H156" s="181" t="inlineStr">
        <is>
          <t>FB032601</t>
        </is>
      </c>
      <c r="I156" s="182" t="inlineStr">
        <is>
          <t>P060452</t>
        </is>
      </c>
      <c r="J156" s="182" t="inlineStr">
        <is>
          <t>FatBastard</t>
        </is>
      </c>
      <c r="K156" s="182" t="inlineStr">
        <is>
          <t>02.06.2026</t>
        </is>
      </c>
      <c r="L156" s="182" t="inlineStr">
        <is>
          <t>29.06.2026 (the issuance plan's basis: 21.07.2026)</t>
        </is>
      </c>
      <c r="M156" s="182" t="inlineStr">
        <is>
          <t>29.06.2026</t>
        </is>
      </c>
      <c r="N156" s="182" t="inlineStr">
        <is>
          <t>— Ident A + Ident B on the CNP certificate —</t>
        </is>
      </c>
      <c r="O156" s="182" t="inlineStr">
        <is>
          <t>iCoA_P01-02 · Appearance &amp; Identification A/B</t>
        </is>
      </c>
      <c r="P156" s="190" t="inlineStr">
        <is>
          <t>CNP ППК26127</t>
        </is>
      </c>
      <c r="Q156" s="190" t="inlineStr">
        <is>
          <t>CNP ППК26127</t>
        </is>
      </c>
      <c r="R156" s="182" t="inlineStr">
        <is>
          <t>n/a</t>
        </is>
      </c>
      <c r="S156" s="182" t="inlineStr">
        <is>
          <t>ППК26127, (21.07.2026) [CNP]</t>
        </is>
      </c>
      <c r="T156" s="182" t="inlineStr"/>
      <c r="U156" s="182" t="inlineStr"/>
      <c r="V156" s="182" t="inlineStr"/>
      <c r="W156" s="182" t="inlineStr">
        <is>
          <t>not needed — CNP covers A and B</t>
        </is>
      </c>
    </row>
    <row r="157">
      <c r="A157" s="182" t="n">
        <v>156</v>
      </c>
      <c r="B157" s="182" t="inlineStr">
        <is>
          <t>initial release</t>
        </is>
      </c>
      <c r="C157" s="181" t="inlineStr">
        <is>
          <t>not needed</t>
        </is>
      </c>
      <c r="D157" s="182" t="inlineStr"/>
      <c r="E157" s="182" t="inlineStr">
        <is>
          <t>(assigned on issue)</t>
        </is>
      </c>
      <c r="F157" s="182" t="inlineStr">
        <is>
          <t>21.07.2026</t>
        </is>
      </c>
      <c r="G157" s="182" t="inlineStr">
        <is>
          <t>≥ 11.05.2026 · tests at packaging 29.06.2026</t>
        </is>
      </c>
      <c r="H157" s="181" t="inlineStr">
        <is>
          <t>FB032601</t>
        </is>
      </c>
      <c r="I157" s="182" t="inlineStr">
        <is>
          <t>P060452</t>
        </is>
      </c>
      <c r="J157" s="182" t="inlineStr">
        <is>
          <t>FatBastard</t>
        </is>
      </c>
      <c r="K157" s="182" t="inlineStr">
        <is>
          <t>02.06.2026</t>
        </is>
      </c>
      <c r="L157" s="182" t="inlineStr">
        <is>
          <t>29.06.2026 (the issuance plan's basis: 21.07.2026)</t>
        </is>
      </c>
      <c r="M157" s="182" t="inlineStr">
        <is>
          <t>29.06.2026</t>
        </is>
      </c>
      <c r="N157" s="182" t="inlineStr">
        <is>
          <t>— Foreign matter on the CNP certificate —</t>
        </is>
      </c>
      <c r="O157" s="182" t="inlineStr">
        <is>
          <t>iCoA_P07 · Foreign matter</t>
        </is>
      </c>
      <c r="P157" s="182" t="inlineStr">
        <is>
          <t>n/a</t>
        </is>
      </c>
      <c r="Q157" s="182" t="inlineStr">
        <is>
          <t>n/a</t>
        </is>
      </c>
      <c r="R157" s="190" t="inlineStr">
        <is>
          <t>CNP ППК26127</t>
        </is>
      </c>
      <c r="S157" s="182" t="inlineStr">
        <is>
          <t>ППК26127, (21.07.2026) [CNP]</t>
        </is>
      </c>
      <c r="T157" s="182" t="inlineStr"/>
      <c r="U157" s="182" t="inlineStr"/>
      <c r="V157" s="182" t="inlineStr"/>
      <c r="W157" s="182" t="inlineStr">
        <is>
          <t>not needed — CNP covers foreign matter</t>
        </is>
      </c>
    </row>
    <row r="158">
      <c r="A158" s="182" t="n">
        <v>157</v>
      </c>
      <c r="B158" s="182" t="inlineStr">
        <is>
          <t>initial release</t>
        </is>
      </c>
      <c r="C158" s="181" t="inlineStr">
        <is>
          <t>not needed</t>
        </is>
      </c>
      <c r="D158" s="182" t="inlineStr"/>
      <c r="E158" s="182" t="inlineStr">
        <is>
          <t>(assigned on issue)</t>
        </is>
      </c>
      <c r="F158" s="182" t="inlineStr">
        <is>
          <t>21.07.2026</t>
        </is>
      </c>
      <c r="G158" s="182" t="inlineStr">
        <is>
          <t>≥ 11.05.2026 · tests at packaging 16.07.2026</t>
        </is>
      </c>
      <c r="H158" s="181" t="inlineStr">
        <is>
          <t>GG032601</t>
        </is>
      </c>
      <c r="I158" s="182" t="inlineStr">
        <is>
          <t>P060462</t>
        </is>
      </c>
      <c r="J158" s="182" t="inlineStr">
        <is>
          <t>GorillaGlue</t>
        </is>
      </c>
      <c r="K158" s="182" t="inlineStr">
        <is>
          <t>16.06.2026</t>
        </is>
      </c>
      <c r="L158" s="182" t="inlineStr">
        <is>
          <t>16.07.2026 (the issuance plan's basis: 21.07.2026)</t>
        </is>
      </c>
      <c r="M158" s="182" t="inlineStr">
        <is>
          <t>16.07.2026</t>
        </is>
      </c>
      <c r="N158" s="182" t="inlineStr">
        <is>
          <t>— Ident A + Ident B on the CNP certificate —</t>
        </is>
      </c>
      <c r="O158" s="182" t="inlineStr">
        <is>
          <t>iCoA_P01-02 · Appearance &amp; Identification A/B</t>
        </is>
      </c>
      <c r="P158" s="190" t="inlineStr">
        <is>
          <t>CNP ППК26128</t>
        </is>
      </c>
      <c r="Q158" s="190" t="inlineStr">
        <is>
          <t>CNP ППК26128</t>
        </is>
      </c>
      <c r="R158" s="182" t="inlineStr">
        <is>
          <t>n/a</t>
        </is>
      </c>
      <c r="S158" s="182" t="inlineStr">
        <is>
          <t>ППК26128, (21.07.2026) [CNP]</t>
        </is>
      </c>
      <c r="T158" s="182" t="inlineStr"/>
      <c r="U158" s="182" t="inlineStr"/>
      <c r="V158" s="182" t="inlineStr"/>
      <c r="W158" s="182" t="inlineStr">
        <is>
          <t>not needed — CNP covers A and B</t>
        </is>
      </c>
    </row>
    <row r="159">
      <c r="A159" s="182" t="n">
        <v>158</v>
      </c>
      <c r="B159" s="182" t="inlineStr">
        <is>
          <t>initial release</t>
        </is>
      </c>
      <c r="C159" s="181" t="inlineStr">
        <is>
          <t>not needed</t>
        </is>
      </c>
      <c r="D159" s="182" t="inlineStr"/>
      <c r="E159" s="182" t="inlineStr">
        <is>
          <t>(assigned on issue)</t>
        </is>
      </c>
      <c r="F159" s="182" t="inlineStr">
        <is>
          <t>21.07.2026</t>
        </is>
      </c>
      <c r="G159" s="182" t="inlineStr">
        <is>
          <t>≥ 11.05.2026 · tests at packaging 16.07.2026</t>
        </is>
      </c>
      <c r="H159" s="181" t="inlineStr">
        <is>
          <t>GG032601</t>
        </is>
      </c>
      <c r="I159" s="182" t="inlineStr">
        <is>
          <t>P060462</t>
        </is>
      </c>
      <c r="J159" s="182" t="inlineStr">
        <is>
          <t>GorillaGlue</t>
        </is>
      </c>
      <c r="K159" s="182" t="inlineStr">
        <is>
          <t>16.06.2026</t>
        </is>
      </c>
      <c r="L159" s="182" t="inlineStr">
        <is>
          <t>16.07.2026 (the issuance plan's basis: 21.07.2026)</t>
        </is>
      </c>
      <c r="M159" s="182" t="inlineStr">
        <is>
          <t>16.07.2026</t>
        </is>
      </c>
      <c r="N159" s="182" t="inlineStr">
        <is>
          <t>— Foreign matter on the CNP certificate —</t>
        </is>
      </c>
      <c r="O159" s="182" t="inlineStr">
        <is>
          <t>iCoA_P07 · Foreign matter</t>
        </is>
      </c>
      <c r="P159" s="182" t="inlineStr">
        <is>
          <t>n/a</t>
        </is>
      </c>
      <c r="Q159" s="182" t="inlineStr">
        <is>
          <t>n/a</t>
        </is>
      </c>
      <c r="R159" s="190" t="inlineStr">
        <is>
          <t>CNP ППК26128</t>
        </is>
      </c>
      <c r="S159" s="182" t="inlineStr">
        <is>
          <t>ППК26128, (21.07.2026) [CNP]</t>
        </is>
      </c>
      <c r="T159" s="182" t="inlineStr"/>
      <c r="U159" s="182" t="inlineStr"/>
      <c r="V159" s="182" t="inlineStr"/>
      <c r="W159" s="182" t="inlineStr">
        <is>
          <t>not needed — CNP covers foreign matter</t>
        </is>
      </c>
    </row>
    <row r="160">
      <c r="A160" s="182" t="n">
        <v>159</v>
      </c>
      <c r="B160" s="182" t="inlineStr">
        <is>
          <t>initial release</t>
        </is>
      </c>
      <c r="C160" s="181" t="inlineStr">
        <is>
          <t>not needed</t>
        </is>
      </c>
      <c r="D160" s="182" t="inlineStr"/>
      <c r="E160" s="182" t="inlineStr">
        <is>
          <t>(assigned on issue)</t>
        </is>
      </c>
      <c r="F160" s="182" t="inlineStr">
        <is>
          <t>30.06.2026</t>
        </is>
      </c>
      <c r="G160" s="182" t="inlineStr">
        <is>
          <t>≥ 11.05.2026 · tests at packaging 05.08.2026</t>
        </is>
      </c>
      <c r="H160" s="181" t="inlineStr">
        <is>
          <t>JD022601</t>
        </is>
      </c>
      <c r="I160" s="182" t="inlineStr">
        <is>
          <t>P060482</t>
        </is>
      </c>
      <c r="J160" s="182" t="inlineStr">
        <is>
          <t>JellyDonutz</t>
        </is>
      </c>
      <c r="K160" s="182" t="inlineStr">
        <is>
          <t>18.05.2026</t>
        </is>
      </c>
      <c r="L160" s="182" t="inlineStr">
        <is>
          <t>05.08.2026 (the issuance plan's basis: 30.06.2026)</t>
        </is>
      </c>
      <c r="M160" s="182" t="inlineStr">
        <is>
          <t>05.08.2026</t>
        </is>
      </c>
      <c r="N160" s="182" t="inlineStr">
        <is>
          <t>— Ident A + Ident B on the CNP certificate —</t>
        </is>
      </c>
      <c r="O160" s="182" t="inlineStr">
        <is>
          <t>iCoA_P01-02 · Appearance &amp; Identification A/B</t>
        </is>
      </c>
      <c r="P160" s="190" t="inlineStr">
        <is>
          <t>CNP ППК26115</t>
        </is>
      </c>
      <c r="Q160" s="190" t="inlineStr">
        <is>
          <t>CNP ППК26115</t>
        </is>
      </c>
      <c r="R160" s="182" t="inlineStr">
        <is>
          <t>n/a</t>
        </is>
      </c>
      <c r="S160" s="182" t="inlineStr">
        <is>
          <t>ППК26115, (30.06.2026) [CNP]</t>
        </is>
      </c>
      <c r="T160" s="182" t="inlineStr"/>
      <c r="U160" s="182" t="inlineStr"/>
      <c r="V160" s="182" t="inlineStr"/>
      <c r="W160" s="182" t="inlineStr">
        <is>
          <t>not needed — CNP covers A and B</t>
        </is>
      </c>
    </row>
    <row r="161">
      <c r="A161" s="182" t="n">
        <v>160</v>
      </c>
      <c r="B161" s="182" t="inlineStr">
        <is>
          <t>initial release</t>
        </is>
      </c>
      <c r="C161" s="181" t="inlineStr">
        <is>
          <t>not needed</t>
        </is>
      </c>
      <c r="D161" s="182" t="inlineStr"/>
      <c r="E161" s="182" t="inlineStr">
        <is>
          <t>(assigned on issue)</t>
        </is>
      </c>
      <c r="F161" s="182" t="inlineStr">
        <is>
          <t>30.06.2026</t>
        </is>
      </c>
      <c r="G161" s="182" t="inlineStr">
        <is>
          <t>≥ 11.05.2026 · tests at packaging 05.08.2026</t>
        </is>
      </c>
      <c r="H161" s="181" t="inlineStr">
        <is>
          <t>JD022601</t>
        </is>
      </c>
      <c r="I161" s="182" t="inlineStr">
        <is>
          <t>P060482</t>
        </is>
      </c>
      <c r="J161" s="182" t="inlineStr">
        <is>
          <t>JellyDonutz</t>
        </is>
      </c>
      <c r="K161" s="182" t="inlineStr">
        <is>
          <t>18.05.2026</t>
        </is>
      </c>
      <c r="L161" s="182" t="inlineStr">
        <is>
          <t>05.08.2026 (the issuance plan's basis: 30.06.2026)</t>
        </is>
      </c>
      <c r="M161" s="182" t="inlineStr">
        <is>
          <t>05.08.2026</t>
        </is>
      </c>
      <c r="N161" s="182" t="inlineStr">
        <is>
          <t>— Foreign matter on the CNP certificate —</t>
        </is>
      </c>
      <c r="O161" s="182" t="inlineStr">
        <is>
          <t>iCoA_P07 · Foreign matter</t>
        </is>
      </c>
      <c r="P161" s="182" t="inlineStr">
        <is>
          <t>n/a</t>
        </is>
      </c>
      <c r="Q161" s="182" t="inlineStr">
        <is>
          <t>n/a</t>
        </is>
      </c>
      <c r="R161" s="190" t="inlineStr">
        <is>
          <t>CNP ППК26115</t>
        </is>
      </c>
      <c r="S161" s="182" t="inlineStr">
        <is>
          <t>ППК26115, (30.06.2026) [CNP]</t>
        </is>
      </c>
      <c r="T161" s="182" t="inlineStr"/>
      <c r="U161" s="182" t="inlineStr"/>
      <c r="V161" s="182" t="inlineStr"/>
      <c r="W161" s="182" t="inlineStr">
        <is>
          <t>not needed — CNP covers foreign matter</t>
        </is>
      </c>
    </row>
    <row r="162">
      <c r="A162" s="182" t="n">
        <v>161</v>
      </c>
      <c r="B162" s="182" t="inlineStr">
        <is>
          <t>initial release</t>
        </is>
      </c>
      <c r="C162" s="181" t="inlineStr">
        <is>
          <t>not needed</t>
        </is>
      </c>
      <c r="D162" s="182" t="inlineStr"/>
      <c r="E162" s="182" t="inlineStr">
        <is>
          <t>— not in the issuance plan —</t>
        </is>
      </c>
      <c r="F162" s="182" t="inlineStr"/>
      <c r="G162" s="182" t="inlineStr">
        <is>
          <t>≥ 11.05.2026 · at packaging</t>
        </is>
      </c>
      <c r="H162" s="181" t="inlineStr">
        <is>
          <t>— not recorded —</t>
        </is>
      </c>
      <c r="I162" s="182" t="inlineStr">
        <is>
          <t>P160012</t>
        </is>
      </c>
      <c r="J162" s="182" t="inlineStr"/>
      <c r="K162" s="189" t="inlineStr">
        <is>
          <t>— not on the list —</t>
        </is>
      </c>
      <c r="L162" s="189" t="inlineStr">
        <is>
          <t>— not on the list —</t>
        </is>
      </c>
      <c r="M162" s="189" t="inlineStr">
        <is>
          <t>— packaging date to record —</t>
        </is>
      </c>
      <c r="N162" s="182" t="inlineStr">
        <is>
          <t>— Ident A + Ident B on the CNP certificate —</t>
        </is>
      </c>
      <c r="O162" s="182" t="inlineStr">
        <is>
          <t>iCoA_P01-02 · Appearance &amp; Identification A/B</t>
        </is>
      </c>
      <c r="P162" s="190" t="inlineStr">
        <is>
          <t>CNP ППК26117</t>
        </is>
      </c>
      <c r="Q162" s="190" t="inlineStr">
        <is>
          <t>CNP ППК26117</t>
        </is>
      </c>
      <c r="R162" s="182" t="inlineStr">
        <is>
          <t>n/a</t>
        </is>
      </c>
      <c r="S162" s="182" t="inlineStr">
        <is>
          <t>ППК26117, (06.07.2026) [CNP]</t>
        </is>
      </c>
      <c r="T162" s="182" t="inlineStr"/>
      <c r="U162" s="182" t="inlineStr"/>
      <c r="V162" s="182" t="inlineStr"/>
      <c r="W162" s="182" t="inlineStr">
        <is>
          <t>not needed — CNP covers A and B</t>
        </is>
      </c>
    </row>
    <row r="163">
      <c r="A163" s="182" t="n">
        <v>162</v>
      </c>
      <c r="B163" s="182" t="inlineStr">
        <is>
          <t>initial release</t>
        </is>
      </c>
      <c r="C163" s="181" t="inlineStr">
        <is>
          <t>not needed</t>
        </is>
      </c>
      <c r="D163" s="182" t="inlineStr"/>
      <c r="E163" s="182" t="inlineStr">
        <is>
          <t>— not in the issuance plan —</t>
        </is>
      </c>
      <c r="F163" s="182" t="inlineStr"/>
      <c r="G163" s="182" t="inlineStr">
        <is>
          <t>≥ 11.05.2026 · at packaging</t>
        </is>
      </c>
      <c r="H163" s="181" t="inlineStr">
        <is>
          <t>— not recorded —</t>
        </is>
      </c>
      <c r="I163" s="182" t="inlineStr">
        <is>
          <t>P160012</t>
        </is>
      </c>
      <c r="J163" s="182" t="inlineStr"/>
      <c r="K163" s="189" t="inlineStr">
        <is>
          <t>— not on the list —</t>
        </is>
      </c>
      <c r="L163" s="189" t="inlineStr">
        <is>
          <t>— not on the list —</t>
        </is>
      </c>
      <c r="M163" s="189" t="inlineStr">
        <is>
          <t>— packaging date to record —</t>
        </is>
      </c>
      <c r="N163" s="182" t="inlineStr">
        <is>
          <t>— Foreign matter on the CNP certificate —</t>
        </is>
      </c>
      <c r="O163" s="182" t="inlineStr">
        <is>
          <t>iCoA_P07 · Foreign matter</t>
        </is>
      </c>
      <c r="P163" s="182" t="inlineStr">
        <is>
          <t>n/a</t>
        </is>
      </c>
      <c r="Q163" s="182" t="inlineStr">
        <is>
          <t>n/a</t>
        </is>
      </c>
      <c r="R163" s="190" t="inlineStr">
        <is>
          <t>CNP ППК26117</t>
        </is>
      </c>
      <c r="S163" s="182" t="inlineStr">
        <is>
          <t>ППК26117, (06.07.2026) [CNP]</t>
        </is>
      </c>
      <c r="T163" s="182" t="inlineStr"/>
      <c r="U163" s="182" t="inlineStr"/>
      <c r="V163" s="182" t="inlineStr"/>
      <c r="W163" s="182" t="inlineStr">
        <is>
          <t>not needed — CNP covers foreign matter</t>
        </is>
      </c>
    </row>
    <row r="164">
      <c r="A164" s="182" t="n">
        <v>163</v>
      </c>
      <c r="B164" s="182" t="inlineStr">
        <is>
          <t>initial release</t>
        </is>
      </c>
      <c r="C164" s="181" t="inlineStr">
        <is>
          <t>not needed</t>
        </is>
      </c>
      <c r="D164" s="182" t="inlineStr"/>
      <c r="E164" s="182" t="inlineStr">
        <is>
          <t>— not in the issuance plan —</t>
        </is>
      </c>
      <c r="F164" s="182" t="inlineStr"/>
      <c r="G164" s="182" t="inlineStr">
        <is>
          <t>≥ 11.05.2026 · at packaging</t>
        </is>
      </c>
      <c r="H164" s="181" t="inlineStr">
        <is>
          <t>— not recorded —</t>
        </is>
      </c>
      <c r="I164" s="182" t="inlineStr">
        <is>
          <t>P160022</t>
        </is>
      </c>
      <c r="J164" s="182" t="inlineStr"/>
      <c r="K164" s="189" t="inlineStr">
        <is>
          <t>— not on the list —</t>
        </is>
      </c>
      <c r="L164" s="189" t="inlineStr">
        <is>
          <t>— not on the list —</t>
        </is>
      </c>
      <c r="M164" s="189" t="inlineStr">
        <is>
          <t>— packaging date to record —</t>
        </is>
      </c>
      <c r="N164" s="182" t="inlineStr">
        <is>
          <t>— Ident A + Ident B on the CNP certificate —</t>
        </is>
      </c>
      <c r="O164" s="182" t="inlineStr">
        <is>
          <t>iCoA_P01-02 · Appearance &amp; Identification A/B</t>
        </is>
      </c>
      <c r="P164" s="190" t="inlineStr">
        <is>
          <t>CNP ППК26118</t>
        </is>
      </c>
      <c r="Q164" s="190" t="inlineStr">
        <is>
          <t>CNP ППК26118</t>
        </is>
      </c>
      <c r="R164" s="182" t="inlineStr">
        <is>
          <t>n/a</t>
        </is>
      </c>
      <c r="S164" s="182" t="inlineStr">
        <is>
          <t>ППК26118, (06.07.2026) [CNP]</t>
        </is>
      </c>
      <c r="T164" s="182" t="inlineStr"/>
      <c r="U164" s="182" t="inlineStr"/>
      <c r="V164" s="182" t="inlineStr"/>
      <c r="W164" s="182" t="inlineStr">
        <is>
          <t>not needed — CNP covers A and B</t>
        </is>
      </c>
    </row>
    <row r="165">
      <c r="A165" s="182" t="n">
        <v>164</v>
      </c>
      <c r="B165" s="182" t="inlineStr">
        <is>
          <t>initial release</t>
        </is>
      </c>
      <c r="C165" s="181" t="inlineStr">
        <is>
          <t>not needed</t>
        </is>
      </c>
      <c r="D165" s="182" t="inlineStr"/>
      <c r="E165" s="182" t="inlineStr">
        <is>
          <t>— not in the issuance plan —</t>
        </is>
      </c>
      <c r="F165" s="182" t="inlineStr"/>
      <c r="G165" s="182" t="inlineStr">
        <is>
          <t>≥ 11.05.2026 · at packaging</t>
        </is>
      </c>
      <c r="H165" s="181" t="inlineStr">
        <is>
          <t>— not recorded —</t>
        </is>
      </c>
      <c r="I165" s="182" t="inlineStr">
        <is>
          <t>P160022</t>
        </is>
      </c>
      <c r="J165" s="182" t="inlineStr"/>
      <c r="K165" s="189" t="inlineStr">
        <is>
          <t>— not on the list —</t>
        </is>
      </c>
      <c r="L165" s="189" t="inlineStr">
        <is>
          <t>— not on the list —</t>
        </is>
      </c>
      <c r="M165" s="189" t="inlineStr">
        <is>
          <t>— packaging date to record —</t>
        </is>
      </c>
      <c r="N165" s="182" t="inlineStr">
        <is>
          <t>— Foreign matter on the CNP certificate —</t>
        </is>
      </c>
      <c r="O165" s="182" t="inlineStr">
        <is>
          <t>iCoA_P07 · Foreign matter</t>
        </is>
      </c>
      <c r="P165" s="182" t="inlineStr">
        <is>
          <t>n/a</t>
        </is>
      </c>
      <c r="Q165" s="182" t="inlineStr">
        <is>
          <t>n/a</t>
        </is>
      </c>
      <c r="R165" s="190" t="inlineStr">
        <is>
          <t>CNP ППК26118</t>
        </is>
      </c>
      <c r="S165" s="182" t="inlineStr">
        <is>
          <t>ППК26118, (06.07.2026) [CNP]</t>
        </is>
      </c>
      <c r="T165" s="182" t="inlineStr"/>
      <c r="U165" s="182" t="inlineStr"/>
      <c r="V165" s="182" t="inlineStr"/>
      <c r="W165" s="182" t="inlineStr">
        <is>
          <t>not needed — CNP covers foreign matter</t>
        </is>
      </c>
    </row>
    <row r="166">
      <c r="A166" s="182" t="n">
        <v>165</v>
      </c>
      <c r="B166" s="182" t="inlineStr">
        <is>
          <t>initial release</t>
        </is>
      </c>
      <c r="C166" s="181" t="inlineStr">
        <is>
          <t>not needed</t>
        </is>
      </c>
      <c r="D166" s="182" t="inlineStr"/>
      <c r="E166" s="182" t="inlineStr">
        <is>
          <t>— not in the issuance plan —</t>
        </is>
      </c>
      <c r="F166" s="182" t="inlineStr"/>
      <c r="G166" s="182" t="inlineStr">
        <is>
          <t>≥ 11.05.2026 · at packaging</t>
        </is>
      </c>
      <c r="H166" s="181" t="inlineStr">
        <is>
          <t>— not recorded —</t>
        </is>
      </c>
      <c r="I166" s="182" t="inlineStr">
        <is>
          <t>P160032</t>
        </is>
      </c>
      <c r="J166" s="182" t="inlineStr"/>
      <c r="K166" s="189" t="inlineStr">
        <is>
          <t>— not on the list —</t>
        </is>
      </c>
      <c r="L166" s="189" t="inlineStr">
        <is>
          <t>— not on the list —</t>
        </is>
      </c>
      <c r="M166" s="189" t="inlineStr">
        <is>
          <t>— packaging date to record —</t>
        </is>
      </c>
      <c r="N166" s="182" t="inlineStr">
        <is>
          <t>— Ident A + Ident B on the CNP certificate —</t>
        </is>
      </c>
      <c r="O166" s="182" t="inlineStr">
        <is>
          <t>iCoA_P01-02 · Appearance &amp; Identification A/B</t>
        </is>
      </c>
      <c r="P166" s="190" t="inlineStr">
        <is>
          <t>CNP ППК26119</t>
        </is>
      </c>
      <c r="Q166" s="190" t="inlineStr">
        <is>
          <t>CNP ППК26119</t>
        </is>
      </c>
      <c r="R166" s="182" t="inlineStr">
        <is>
          <t>n/a</t>
        </is>
      </c>
      <c r="S166" s="182" t="inlineStr">
        <is>
          <t>ППК26119, (06.07.2026) [CNP]</t>
        </is>
      </c>
      <c r="T166" s="182" t="inlineStr"/>
      <c r="U166" s="182" t="inlineStr"/>
      <c r="V166" s="182" t="inlineStr"/>
      <c r="W166" s="182" t="inlineStr">
        <is>
          <t>not needed — CNP covers A and B</t>
        </is>
      </c>
    </row>
    <row r="167">
      <c r="A167" s="182" t="n">
        <v>166</v>
      </c>
      <c r="B167" s="182" t="inlineStr">
        <is>
          <t>initial release</t>
        </is>
      </c>
      <c r="C167" s="181" t="inlineStr">
        <is>
          <t>not needed</t>
        </is>
      </c>
      <c r="D167" s="182" t="inlineStr"/>
      <c r="E167" s="182" t="inlineStr">
        <is>
          <t>— not in the issuance plan —</t>
        </is>
      </c>
      <c r="F167" s="182" t="inlineStr"/>
      <c r="G167" s="182" t="inlineStr">
        <is>
          <t>≥ 11.05.2026 · at packaging</t>
        </is>
      </c>
      <c r="H167" s="181" t="inlineStr">
        <is>
          <t>— not recorded —</t>
        </is>
      </c>
      <c r="I167" s="182" t="inlineStr">
        <is>
          <t>P160032</t>
        </is>
      </c>
      <c r="J167" s="182" t="inlineStr"/>
      <c r="K167" s="189" t="inlineStr">
        <is>
          <t>— not on the list —</t>
        </is>
      </c>
      <c r="L167" s="189" t="inlineStr">
        <is>
          <t>— not on the list —</t>
        </is>
      </c>
      <c r="M167" s="189" t="inlineStr">
        <is>
          <t>— packaging date to record —</t>
        </is>
      </c>
      <c r="N167" s="182" t="inlineStr">
        <is>
          <t>— Foreign matter on the CNP certificate —</t>
        </is>
      </c>
      <c r="O167" s="182" t="inlineStr">
        <is>
          <t>iCoA_P07 · Foreign matter</t>
        </is>
      </c>
      <c r="P167" s="182" t="inlineStr">
        <is>
          <t>n/a</t>
        </is>
      </c>
      <c r="Q167" s="182" t="inlineStr">
        <is>
          <t>n/a</t>
        </is>
      </c>
      <c r="R167" s="190" t="inlineStr">
        <is>
          <t>CNP ППК26119</t>
        </is>
      </c>
      <c r="S167" s="182" t="inlineStr">
        <is>
          <t>ППК26119, (06.07.2026) [CNP]</t>
        </is>
      </c>
      <c r="T167" s="182" t="inlineStr"/>
      <c r="U167" s="182" t="inlineStr"/>
      <c r="V167" s="182" t="inlineStr"/>
      <c r="W167" s="182" t="inlineStr">
        <is>
          <t>not needed — CNP covers foreign matter</t>
        </is>
      </c>
    </row>
    <row r="168">
      <c r="A168" s="182" t="n">
        <v>167</v>
      </c>
      <c r="B168" s="182" t="inlineStr">
        <is>
          <t>retest — QP campaign</t>
        </is>
      </c>
      <c r="C168" s="181">
        <f>IFERROR(INDEX('iCoA Register'!$B:$B,MATCH("CJ1024|AB|R",'iCoA Register'!$R:$R,0)),"— at issue —")</f>
        <v/>
      </c>
      <c r="D168" s="182" t="inlineStr"/>
      <c r="E168" s="182" t="inlineStr">
        <is>
          <t>CoQ reissue (assigned on issue)</t>
        </is>
      </c>
      <c r="F168" s="182" t="inlineStr">
        <is>
          <t>27.02.2026</t>
        </is>
      </c>
      <c r="G168" s="182" t="inlineStr">
        <is>
          <t>at retest sampling · QP campaign</t>
        </is>
      </c>
      <c r="H168" s="181" t="inlineStr">
        <is>
          <t>CJ1024</t>
        </is>
      </c>
      <c r="I168" s="182" t="inlineStr">
        <is>
          <t>N/A — no P batch assigned</t>
        </is>
      </c>
      <c r="J168" s="182" t="inlineStr">
        <is>
          <t>Cap Junky</t>
        </is>
      </c>
      <c r="K168" s="182" t="inlineStr">
        <is>
          <t>20.01.2025</t>
        </is>
      </c>
      <c r="L168" s="182" t="inlineStr">
        <is>
          <t>03.03.2025 (the issuance plan's basis: 27.02.2025)</t>
        </is>
      </c>
      <c r="M168" s="182" t="inlineStr">
        <is>
          <t>03.03.2025</t>
        </is>
      </c>
      <c r="N168" s="182" t="inlineStr">
        <is>
          <t>Ident A + Ident B</t>
        </is>
      </c>
      <c r="O168" s="182" t="inlineStr">
        <is>
          <t>iCoA_P01-02 · Appearance &amp; Identification A/B</t>
        </is>
      </c>
      <c r="P168" s="182" t="inlineStr">
        <is>
          <t>to test</t>
        </is>
      </c>
      <c r="Q168" s="182" t="inlineStr">
        <is>
          <t>to test</t>
        </is>
      </c>
      <c r="R168" s="182" t="inlineStr">
        <is>
          <t>n/a</t>
        </is>
      </c>
      <c r="S168" s="189" t="inlineStr">
        <is>
          <t>— retest assay not yet on file —</t>
        </is>
      </c>
      <c r="T168" s="189" t="inlineStr">
        <is>
          <t>— pending —</t>
        </is>
      </c>
      <c r="U168" s="189" t="inlineStr">
        <is>
          <t>— pending —</t>
        </is>
      </c>
      <c r="V168" s="182" t="inlineStr">
        <is>
          <t>#8, #9, #11, #12 from the initial testing</t>
        </is>
      </c>
      <c r="W168" s="189" t="inlineStr">
        <is>
          <t>pending — retest assay not yet on file</t>
        </is>
      </c>
    </row>
    <row r="169">
      <c r="A169" s="182" t="n">
        <v>168</v>
      </c>
      <c r="B169" s="182" t="inlineStr">
        <is>
          <t>retest — QP campaign</t>
        </is>
      </c>
      <c r="C169" s="181">
        <f>IFERROR(INDEX('iCoA Register'!$B:$B,MATCH("CJ1024|FM|R",'iCoA Register'!$R:$R,0)),"— at issue —")</f>
        <v/>
      </c>
      <c r="D169" s="182" t="inlineStr"/>
      <c r="E169" s="182" t="inlineStr">
        <is>
          <t>CoQ reissue (assigned on issue)</t>
        </is>
      </c>
      <c r="F169" s="182" t="inlineStr">
        <is>
          <t>27.02.2026</t>
        </is>
      </c>
      <c r="G169" s="182" t="inlineStr">
        <is>
          <t>at retest sampling · QP campaign</t>
        </is>
      </c>
      <c r="H169" s="181" t="inlineStr">
        <is>
          <t>CJ1024</t>
        </is>
      </c>
      <c r="I169" s="182" t="inlineStr">
        <is>
          <t>N/A — no P batch assigned</t>
        </is>
      </c>
      <c r="J169" s="182" t="inlineStr">
        <is>
          <t>Cap Junky</t>
        </is>
      </c>
      <c r="K169" s="182" t="inlineStr">
        <is>
          <t>20.01.2025</t>
        </is>
      </c>
      <c r="L169" s="182" t="inlineStr">
        <is>
          <t>03.03.2025 (the issuance plan's basis: 27.02.2025)</t>
        </is>
      </c>
      <c r="M169" s="182" t="inlineStr">
        <is>
          <t>03.03.2025</t>
        </is>
      </c>
      <c r="N169" s="182" t="inlineStr">
        <is>
          <t>Foreign matter</t>
        </is>
      </c>
      <c r="O169" s="182" t="inlineStr">
        <is>
          <t>iCoA_P07 · Foreign matter</t>
        </is>
      </c>
      <c r="P169" s="182" t="inlineStr">
        <is>
          <t>n/a</t>
        </is>
      </c>
      <c r="Q169" s="182" t="inlineStr">
        <is>
          <t>n/a</t>
        </is>
      </c>
      <c r="R169" s="182" t="inlineStr">
        <is>
          <t>to test</t>
        </is>
      </c>
      <c r="S169" s="189" t="inlineStr">
        <is>
          <t>— retest assay not yet on file —</t>
        </is>
      </c>
      <c r="T169" s="189" t="inlineStr">
        <is>
          <t>— pending —</t>
        </is>
      </c>
      <c r="U169" s="189" t="inlineStr">
        <is>
          <t>— pending —</t>
        </is>
      </c>
      <c r="V169" s="182" t="inlineStr">
        <is>
          <t>#8, #9, #11, #12 from the initial testing</t>
        </is>
      </c>
      <c r="W169" s="189" t="inlineStr">
        <is>
          <t>pending — retest assay not yet on file</t>
        </is>
      </c>
    </row>
    <row r="170">
      <c r="A170" s="182" t="n">
        <v>169</v>
      </c>
      <c r="B170" s="182" t="inlineStr">
        <is>
          <t>retest — QP campaign</t>
        </is>
      </c>
      <c r="C170" s="181">
        <f>IFERROR(INDEX('iCoA Register'!$B:$B,MATCH("BSS1024|AB|R",'iCoA Register'!$R:$R,0)),"— at issue —")</f>
        <v/>
      </c>
      <c r="D170" s="182" t="inlineStr"/>
      <c r="E170" s="182" t="inlineStr">
        <is>
          <t>CoQ-PP-2026-0027</t>
        </is>
      </c>
      <c r="F170" s="182" t="inlineStr">
        <is>
          <t>04.03.2026</t>
        </is>
      </c>
      <c r="G170" s="182" t="inlineStr">
        <is>
          <t>at retest sampling · QP campaign</t>
        </is>
      </c>
      <c r="H170" s="181" t="inlineStr">
        <is>
          <t>BSS1024</t>
        </is>
      </c>
      <c r="I170" s="182" t="inlineStr">
        <is>
          <t>N/A — no P batch assigned</t>
        </is>
      </c>
      <c r="J170" s="182" t="inlineStr">
        <is>
          <t>Blue Sunset Sherbet</t>
        </is>
      </c>
      <c r="K170" s="182" t="inlineStr">
        <is>
          <t>22.01.2025</t>
        </is>
      </c>
      <c r="L170" s="182" t="inlineStr">
        <is>
          <t>04.03.2025</t>
        </is>
      </c>
      <c r="M170" s="182" t="inlineStr">
        <is>
          <t>04.03.2025</t>
        </is>
      </c>
      <c r="N170" s="182" t="inlineStr">
        <is>
          <t>Ident A + Ident B</t>
        </is>
      </c>
      <c r="O170" s="182" t="inlineStr">
        <is>
          <t>iCoA_P01-02 · Appearance &amp; Identification A/B</t>
        </is>
      </c>
      <c r="P170" s="182" t="inlineStr">
        <is>
          <t>to test</t>
        </is>
      </c>
      <c r="Q170" s="182" t="inlineStr">
        <is>
          <t>to test</t>
        </is>
      </c>
      <c r="R170" s="182" t="inlineStr">
        <is>
          <t>n/a</t>
        </is>
      </c>
      <c r="S170" s="182" t="inlineStr">
        <is>
          <t>197-2-K-26, (07.08.2026) [FHM-K]</t>
        </is>
      </c>
      <c r="T170" s="182" t="inlineStr">
        <is>
          <t>197-2-K-26, (07.08.2026) [FHM-K]</t>
        </is>
      </c>
      <c r="U170" s="182" t="inlineStr">
        <is>
          <t>197-2-M-26, (10.08.2026) [FHM-M]</t>
        </is>
      </c>
      <c r="V170" s="182" t="inlineStr">
        <is>
          <t>#8, #9, #11, #12 from the initial testing</t>
        </is>
      </c>
      <c r="W170" s="188" t="inlineStr">
        <is>
          <t>due — retest assay and mycotoxins on file</t>
        </is>
      </c>
    </row>
    <row r="171">
      <c r="A171" s="182" t="n">
        <v>170</v>
      </c>
      <c r="B171" s="182" t="inlineStr">
        <is>
          <t>retest — QP campaign</t>
        </is>
      </c>
      <c r="C171" s="181">
        <f>IFERROR(INDEX('iCoA Register'!$B:$B,MATCH("BSS1024|FM|R",'iCoA Register'!$R:$R,0)),"— at issue —")</f>
        <v/>
      </c>
      <c r="D171" s="182" t="inlineStr"/>
      <c r="E171" s="182" t="inlineStr">
        <is>
          <t>CoQ-PP-2026-0027</t>
        </is>
      </c>
      <c r="F171" s="182" t="inlineStr">
        <is>
          <t>04.03.2026</t>
        </is>
      </c>
      <c r="G171" s="182" t="inlineStr">
        <is>
          <t>at retest sampling · QP campaign</t>
        </is>
      </c>
      <c r="H171" s="181" t="inlineStr">
        <is>
          <t>BSS1024</t>
        </is>
      </c>
      <c r="I171" s="182" t="inlineStr">
        <is>
          <t>N/A — no P batch assigned</t>
        </is>
      </c>
      <c r="J171" s="182" t="inlineStr">
        <is>
          <t>Blue Sunset Sherbet</t>
        </is>
      </c>
      <c r="K171" s="182" t="inlineStr">
        <is>
          <t>22.01.2025</t>
        </is>
      </c>
      <c r="L171" s="182" t="inlineStr">
        <is>
          <t>04.03.2025</t>
        </is>
      </c>
      <c r="M171" s="182" t="inlineStr">
        <is>
          <t>04.03.2025</t>
        </is>
      </c>
      <c r="N171" s="182" t="inlineStr">
        <is>
          <t>Foreign matter</t>
        </is>
      </c>
      <c r="O171" s="182" t="inlineStr">
        <is>
          <t>iCoA_P07 · Foreign matter</t>
        </is>
      </c>
      <c r="P171" s="182" t="inlineStr">
        <is>
          <t>n/a</t>
        </is>
      </c>
      <c r="Q171" s="182" t="inlineStr">
        <is>
          <t>n/a</t>
        </is>
      </c>
      <c r="R171" s="182" t="inlineStr">
        <is>
          <t>to test</t>
        </is>
      </c>
      <c r="S171" s="182" t="inlineStr">
        <is>
          <t>197-2-K-26, (07.08.2026) [FHM-K]</t>
        </is>
      </c>
      <c r="T171" s="182" t="inlineStr">
        <is>
          <t>197-2-K-26, (07.08.2026) [FHM-K]</t>
        </is>
      </c>
      <c r="U171" s="182" t="inlineStr">
        <is>
          <t>197-2-M-26, (10.08.2026) [FHM-M]</t>
        </is>
      </c>
      <c r="V171" s="182" t="inlineStr">
        <is>
          <t>#8, #9, #11, #12 from the initial testing</t>
        </is>
      </c>
      <c r="W171" s="188" t="inlineStr">
        <is>
          <t>due — retest assay and mycotoxins on file</t>
        </is>
      </c>
    </row>
    <row r="172">
      <c r="A172" s="182" t="n">
        <v>171</v>
      </c>
      <c r="B172" s="182" t="inlineStr">
        <is>
          <t>retest — QP campaign</t>
        </is>
      </c>
      <c r="C172" s="181">
        <f>IFERROR(INDEX('iCoA Register'!$B:$B,MATCH("BG1024|AB|R",'iCoA Register'!$R:$R,0)),"— at issue —")</f>
        <v/>
      </c>
      <c r="D172" s="182" t="inlineStr"/>
      <c r="E172" s="182" t="inlineStr">
        <is>
          <t>CoQ-PP-2026-0028</t>
        </is>
      </c>
      <c r="F172" s="182" t="inlineStr">
        <is>
          <t>07.03.2026</t>
        </is>
      </c>
      <c r="G172" s="182" t="inlineStr">
        <is>
          <t>at retest sampling · QP campaign</t>
        </is>
      </c>
      <c r="H172" s="181" t="inlineStr">
        <is>
          <t>BG1024</t>
        </is>
      </c>
      <c r="I172" s="182" t="inlineStr">
        <is>
          <t>N/A — no P batch assigned</t>
        </is>
      </c>
      <c r="J172" s="182" t="inlineStr">
        <is>
          <t>Blue Gelato</t>
        </is>
      </c>
      <c r="K172" s="182" t="inlineStr">
        <is>
          <t>21.01.2025</t>
        </is>
      </c>
      <c r="L172" s="182" t="inlineStr">
        <is>
          <t>07.03.2025</t>
        </is>
      </c>
      <c r="M172" s="182" t="inlineStr">
        <is>
          <t>07.03.2025</t>
        </is>
      </c>
      <c r="N172" s="182" t="inlineStr">
        <is>
          <t>Ident A + Ident B</t>
        </is>
      </c>
      <c r="O172" s="182" t="inlineStr">
        <is>
          <t>iCoA_P01-02 · Appearance &amp; Identification A/B</t>
        </is>
      </c>
      <c r="P172" s="182" t="inlineStr">
        <is>
          <t>to test</t>
        </is>
      </c>
      <c r="Q172" s="182" t="inlineStr">
        <is>
          <t>to test</t>
        </is>
      </c>
      <c r="R172" s="182" t="inlineStr">
        <is>
          <t>n/a</t>
        </is>
      </c>
      <c r="S172" s="182" t="inlineStr">
        <is>
          <t>197-1-K-26, (07.08.2026) [FHM-K]</t>
        </is>
      </c>
      <c r="T172" s="182" t="inlineStr">
        <is>
          <t>197-1-K-26, (07.08.2026) [FHM-K]</t>
        </is>
      </c>
      <c r="U172" s="182" t="inlineStr">
        <is>
          <t>197-1-M-26, (10.08.2026) [FHM-M]</t>
        </is>
      </c>
      <c r="V172" s="182" t="inlineStr">
        <is>
          <t>#8, #9, #11, #12 from the initial testing</t>
        </is>
      </c>
      <c r="W172" s="188" t="inlineStr">
        <is>
          <t>due — retest assay and mycotoxins on file</t>
        </is>
      </c>
    </row>
    <row r="173">
      <c r="A173" s="182" t="n">
        <v>172</v>
      </c>
      <c r="B173" s="182" t="inlineStr">
        <is>
          <t>retest — QP campaign</t>
        </is>
      </c>
      <c r="C173" s="181">
        <f>IFERROR(INDEX('iCoA Register'!$B:$B,MATCH("BG1024|FM|R",'iCoA Register'!$R:$R,0)),"— at issue —")</f>
        <v/>
      </c>
      <c r="D173" s="182" t="inlineStr"/>
      <c r="E173" s="182" t="inlineStr">
        <is>
          <t>CoQ-PP-2026-0028</t>
        </is>
      </c>
      <c r="F173" s="182" t="inlineStr">
        <is>
          <t>07.03.2026</t>
        </is>
      </c>
      <c r="G173" s="182" t="inlineStr">
        <is>
          <t>at retest sampling · QP campaign</t>
        </is>
      </c>
      <c r="H173" s="181" t="inlineStr">
        <is>
          <t>BG1024</t>
        </is>
      </c>
      <c r="I173" s="182" t="inlineStr">
        <is>
          <t>N/A — no P batch assigned</t>
        </is>
      </c>
      <c r="J173" s="182" t="inlineStr">
        <is>
          <t>Blue Gelato</t>
        </is>
      </c>
      <c r="K173" s="182" t="inlineStr">
        <is>
          <t>21.01.2025</t>
        </is>
      </c>
      <c r="L173" s="182" t="inlineStr">
        <is>
          <t>07.03.2025</t>
        </is>
      </c>
      <c r="M173" s="182" t="inlineStr">
        <is>
          <t>07.03.2025</t>
        </is>
      </c>
      <c r="N173" s="182" t="inlineStr">
        <is>
          <t>Foreign matter</t>
        </is>
      </c>
      <c r="O173" s="182" t="inlineStr">
        <is>
          <t>iCoA_P07 · Foreign matter</t>
        </is>
      </c>
      <c r="P173" s="182" t="inlineStr">
        <is>
          <t>n/a</t>
        </is>
      </c>
      <c r="Q173" s="182" t="inlineStr">
        <is>
          <t>n/a</t>
        </is>
      </c>
      <c r="R173" s="182" t="inlineStr">
        <is>
          <t>to test</t>
        </is>
      </c>
      <c r="S173" s="182" t="inlineStr">
        <is>
          <t>197-1-K-26, (07.08.2026) [FHM-K]</t>
        </is>
      </c>
      <c r="T173" s="182" t="inlineStr">
        <is>
          <t>197-1-K-26, (07.08.2026) [FHM-K]</t>
        </is>
      </c>
      <c r="U173" s="182" t="inlineStr">
        <is>
          <t>197-1-M-26, (10.08.2026) [FHM-M]</t>
        </is>
      </c>
      <c r="V173" s="182" t="inlineStr">
        <is>
          <t>#8, #9, #11, #12 from the initial testing</t>
        </is>
      </c>
      <c r="W173" s="188" t="inlineStr">
        <is>
          <t>due — retest assay and mycotoxins on file</t>
        </is>
      </c>
    </row>
    <row r="174">
      <c r="A174" s="182" t="n">
        <v>173</v>
      </c>
      <c r="B174" s="182" t="inlineStr">
        <is>
          <t>retest — QP campaign</t>
        </is>
      </c>
      <c r="C174" s="181">
        <f>IFERROR(INDEX('iCoA Register'!$B:$B,MATCH("GG1024|AB|R",'iCoA Register'!$R:$R,0)),"— at issue —")</f>
        <v/>
      </c>
      <c r="D174" s="182" t="inlineStr"/>
      <c r="E174" s="182" t="inlineStr">
        <is>
          <t>CoQ-PP-2026-0029</t>
        </is>
      </c>
      <c r="F174" s="182" t="inlineStr">
        <is>
          <t>11.03.2026</t>
        </is>
      </c>
      <c r="G174" s="182" t="inlineStr">
        <is>
          <t>at retest sampling · QP campaign</t>
        </is>
      </c>
      <c r="H174" s="181" t="inlineStr">
        <is>
          <t>GG1024</t>
        </is>
      </c>
      <c r="I174" s="182" t="inlineStr">
        <is>
          <t>N/A — no P batch assigned</t>
        </is>
      </c>
      <c r="J174" s="182" t="inlineStr">
        <is>
          <t>Gorilla Glue</t>
        </is>
      </c>
      <c r="K174" s="182" t="inlineStr">
        <is>
          <t>20.01.2025</t>
        </is>
      </c>
      <c r="L174" s="182" t="inlineStr">
        <is>
          <t>11.03.2025</t>
        </is>
      </c>
      <c r="M174" s="182" t="inlineStr">
        <is>
          <t>11.03.2025</t>
        </is>
      </c>
      <c r="N174" s="182" t="inlineStr">
        <is>
          <t>Ident A + Ident B</t>
        </is>
      </c>
      <c r="O174" s="182" t="inlineStr">
        <is>
          <t>iCoA_P01-02 · Appearance &amp; Identification A/B</t>
        </is>
      </c>
      <c r="P174" s="182" t="inlineStr">
        <is>
          <t>to test</t>
        </is>
      </c>
      <c r="Q174" s="182" t="inlineStr">
        <is>
          <t>to test</t>
        </is>
      </c>
      <c r="R174" s="182" t="inlineStr">
        <is>
          <t>n/a</t>
        </is>
      </c>
      <c r="S174" s="189" t="inlineStr">
        <is>
          <t>— retest assay not yet on file —</t>
        </is>
      </c>
      <c r="T174" s="189" t="inlineStr">
        <is>
          <t>— pending —</t>
        </is>
      </c>
      <c r="U174" s="189" t="inlineStr">
        <is>
          <t>— pending —</t>
        </is>
      </c>
      <c r="V174" s="182" t="inlineStr">
        <is>
          <t>#8, #9, #11, #12 from the initial testing</t>
        </is>
      </c>
      <c r="W174" s="189" t="inlineStr">
        <is>
          <t>pending — retest assay not yet on file</t>
        </is>
      </c>
    </row>
    <row r="175">
      <c r="A175" s="182" t="n">
        <v>174</v>
      </c>
      <c r="B175" s="182" t="inlineStr">
        <is>
          <t>retest — QP campaign</t>
        </is>
      </c>
      <c r="C175" s="181">
        <f>IFERROR(INDEX('iCoA Register'!$B:$B,MATCH("GG1024|FM|R",'iCoA Register'!$R:$R,0)),"— at issue —")</f>
        <v/>
      </c>
      <c r="D175" s="182" t="inlineStr"/>
      <c r="E175" s="182" t="inlineStr">
        <is>
          <t>CoQ-PP-2026-0029</t>
        </is>
      </c>
      <c r="F175" s="182" t="inlineStr">
        <is>
          <t>11.03.2026</t>
        </is>
      </c>
      <c r="G175" s="182" t="inlineStr">
        <is>
          <t>at retest sampling · QP campaign</t>
        </is>
      </c>
      <c r="H175" s="181" t="inlineStr">
        <is>
          <t>GG1024</t>
        </is>
      </c>
      <c r="I175" s="182" t="inlineStr">
        <is>
          <t>N/A — no P batch assigned</t>
        </is>
      </c>
      <c r="J175" s="182" t="inlineStr">
        <is>
          <t>Gorilla Glue</t>
        </is>
      </c>
      <c r="K175" s="182" t="inlineStr">
        <is>
          <t>20.01.2025</t>
        </is>
      </c>
      <c r="L175" s="182" t="inlineStr">
        <is>
          <t>11.03.2025</t>
        </is>
      </c>
      <c r="M175" s="182" t="inlineStr">
        <is>
          <t>11.03.2025</t>
        </is>
      </c>
      <c r="N175" s="182" t="inlineStr">
        <is>
          <t>Foreign matter</t>
        </is>
      </c>
      <c r="O175" s="182" t="inlineStr">
        <is>
          <t>iCoA_P07 · Foreign matter</t>
        </is>
      </c>
      <c r="P175" s="182" t="inlineStr">
        <is>
          <t>n/a</t>
        </is>
      </c>
      <c r="Q175" s="182" t="inlineStr">
        <is>
          <t>n/a</t>
        </is>
      </c>
      <c r="R175" s="182" t="inlineStr">
        <is>
          <t>to test</t>
        </is>
      </c>
      <c r="S175" s="189" t="inlineStr">
        <is>
          <t>— retest assay not yet on file —</t>
        </is>
      </c>
      <c r="T175" s="189" t="inlineStr">
        <is>
          <t>— pending —</t>
        </is>
      </c>
      <c r="U175" s="189" t="inlineStr">
        <is>
          <t>— pending —</t>
        </is>
      </c>
      <c r="V175" s="182" t="inlineStr">
        <is>
          <t>#8, #9, #11, #12 from the initial testing</t>
        </is>
      </c>
      <c r="W175" s="189" t="inlineStr">
        <is>
          <t>pending — retest assay not yet on file</t>
        </is>
      </c>
    </row>
    <row r="176">
      <c r="A176" s="182" t="n">
        <v>175</v>
      </c>
      <c r="B176" s="182" t="inlineStr">
        <is>
          <t>retest — QP campaign</t>
        </is>
      </c>
      <c r="C176" s="181">
        <f>IFERROR(INDEX('iCoA Register'!$B:$B,MATCH("HPA1024|AB|R",'iCoA Register'!$R:$R,0)),"— at issue —")</f>
        <v/>
      </c>
      <c r="D176" s="182" t="inlineStr"/>
      <c r="E176" s="182" t="inlineStr">
        <is>
          <t>CoQ-PP-2026-0030</t>
        </is>
      </c>
      <c r="F176" s="182" t="inlineStr">
        <is>
          <t>11.04.2026</t>
        </is>
      </c>
      <c r="G176" s="182" t="inlineStr">
        <is>
          <t>at retest sampling · QP campaign</t>
        </is>
      </c>
      <c r="H176" s="181" t="inlineStr">
        <is>
          <t>HPA1024</t>
        </is>
      </c>
      <c r="I176" s="182" t="inlineStr">
        <is>
          <t>N/A — no P batch assigned</t>
        </is>
      </c>
      <c r="J176" s="182" t="inlineStr">
        <is>
          <t>HighProAmnesia</t>
        </is>
      </c>
      <c r="K176" s="182" t="inlineStr">
        <is>
          <t>22.01.2025</t>
        </is>
      </c>
      <c r="L176" s="182" t="inlineStr">
        <is>
          <t>11.04.2025</t>
        </is>
      </c>
      <c r="M176" s="182" t="inlineStr">
        <is>
          <t>11.04.2025</t>
        </is>
      </c>
      <c r="N176" s="182" t="inlineStr">
        <is>
          <t>Ident A + Ident B</t>
        </is>
      </c>
      <c r="O176" s="182" t="inlineStr">
        <is>
          <t>iCoA_P01-02 · Appearance &amp; Identification A/B</t>
        </is>
      </c>
      <c r="P176" s="182" t="inlineStr">
        <is>
          <t>to test</t>
        </is>
      </c>
      <c r="Q176" s="182" t="inlineStr">
        <is>
          <t>to test</t>
        </is>
      </c>
      <c r="R176" s="182" t="inlineStr">
        <is>
          <t>n/a</t>
        </is>
      </c>
      <c r="S176" s="182" t="inlineStr">
        <is>
          <t>197-13-K-26, (07.08.2026) [FHM-K]</t>
        </is>
      </c>
      <c r="T176" s="182" t="inlineStr">
        <is>
          <t>197-13-K-26, (07.08.2026) [FHM-K]</t>
        </is>
      </c>
      <c r="U176" s="182" t="inlineStr">
        <is>
          <t>197-13-M-26, (10.08.2026) [FHM-M]</t>
        </is>
      </c>
      <c r="V176" s="182" t="inlineStr">
        <is>
          <t>#8, #9, #11, #12 from the initial testing</t>
        </is>
      </c>
      <c r="W176" s="188" t="inlineStr">
        <is>
          <t>due — retest assay and mycotoxins on file</t>
        </is>
      </c>
    </row>
    <row r="177">
      <c r="A177" s="182" t="n">
        <v>176</v>
      </c>
      <c r="B177" s="182" t="inlineStr">
        <is>
          <t>retest — QP campaign</t>
        </is>
      </c>
      <c r="C177" s="181">
        <f>IFERROR(INDEX('iCoA Register'!$B:$B,MATCH("HPA1024|FM|R",'iCoA Register'!$R:$R,0)),"— at issue —")</f>
        <v/>
      </c>
      <c r="D177" s="182" t="inlineStr"/>
      <c r="E177" s="182" t="inlineStr">
        <is>
          <t>CoQ-PP-2026-0030</t>
        </is>
      </c>
      <c r="F177" s="182" t="inlineStr">
        <is>
          <t>11.04.2026</t>
        </is>
      </c>
      <c r="G177" s="182" t="inlineStr">
        <is>
          <t>at retest sampling · QP campaign</t>
        </is>
      </c>
      <c r="H177" s="181" t="inlineStr">
        <is>
          <t>HPA1024</t>
        </is>
      </c>
      <c r="I177" s="182" t="inlineStr">
        <is>
          <t>N/A — no P batch assigned</t>
        </is>
      </c>
      <c r="J177" s="182" t="inlineStr">
        <is>
          <t>HighProAmnesia</t>
        </is>
      </c>
      <c r="K177" s="182" t="inlineStr">
        <is>
          <t>22.01.2025</t>
        </is>
      </c>
      <c r="L177" s="182" t="inlineStr">
        <is>
          <t>11.04.2025</t>
        </is>
      </c>
      <c r="M177" s="182" t="inlineStr">
        <is>
          <t>11.04.2025</t>
        </is>
      </c>
      <c r="N177" s="182" t="inlineStr">
        <is>
          <t>Foreign matter</t>
        </is>
      </c>
      <c r="O177" s="182" t="inlineStr">
        <is>
          <t>iCoA_P07 · Foreign matter</t>
        </is>
      </c>
      <c r="P177" s="182" t="inlineStr">
        <is>
          <t>n/a</t>
        </is>
      </c>
      <c r="Q177" s="182" t="inlineStr">
        <is>
          <t>n/a</t>
        </is>
      </c>
      <c r="R177" s="182" t="inlineStr">
        <is>
          <t>to test</t>
        </is>
      </c>
      <c r="S177" s="182" t="inlineStr">
        <is>
          <t>197-13-K-26, (07.08.2026) [FHM-K]</t>
        </is>
      </c>
      <c r="T177" s="182" t="inlineStr">
        <is>
          <t>197-13-K-26, (07.08.2026) [FHM-K]</t>
        </is>
      </c>
      <c r="U177" s="182" t="inlineStr">
        <is>
          <t>197-13-M-26, (10.08.2026) [FHM-M]</t>
        </is>
      </c>
      <c r="V177" s="182" t="inlineStr">
        <is>
          <t>#8, #9, #11, #12 from the initial testing</t>
        </is>
      </c>
      <c r="W177" s="188" t="inlineStr">
        <is>
          <t>due — retest assay and mycotoxins on file</t>
        </is>
      </c>
    </row>
    <row r="178">
      <c r="A178" s="182" t="n">
        <v>177</v>
      </c>
      <c r="B178" s="182" t="inlineStr">
        <is>
          <t>retest — QP campaign</t>
        </is>
      </c>
      <c r="C178" s="181">
        <f>IFERROR(INDEX('iCoA Register'!$B:$B,MATCH("P050102|AB|R",'iCoA Register'!$R:$R,0)),"— at issue —")</f>
        <v/>
      </c>
      <c r="D178" s="182" t="inlineStr"/>
      <c r="E178" s="182" t="inlineStr">
        <is>
          <t>CoQ reissue (assigned on issue)</t>
        </is>
      </c>
      <c r="F178" s="182" t="inlineStr">
        <is>
          <t>17.04.2026</t>
        </is>
      </c>
      <c r="G178" s="182" t="inlineStr">
        <is>
          <t>at retest sampling · QP campaign</t>
        </is>
      </c>
      <c r="H178" s="181" t="inlineStr">
        <is>
          <t>GP0824_01</t>
        </is>
      </c>
      <c r="I178" s="182" t="inlineStr">
        <is>
          <t>P050102</t>
        </is>
      </c>
      <c r="J178" s="182" t="inlineStr">
        <is>
          <t>Grape Pie</t>
        </is>
      </c>
      <c r="K178" s="182" t="inlineStr">
        <is>
          <t>20.03.2025 – 21.03.2025</t>
        </is>
      </c>
      <c r="L178" s="182" t="inlineStr">
        <is>
          <t>05.08.2025 – 07.08.2025 (the issuance plan's basis: 17.04.2025)</t>
        </is>
      </c>
      <c r="M178" s="182" t="inlineStr">
        <is>
          <t>07.08.2025</t>
        </is>
      </c>
      <c r="N178" s="182" t="inlineStr">
        <is>
          <t>Ident A + Ident B</t>
        </is>
      </c>
      <c r="O178" s="182" t="inlineStr">
        <is>
          <t>iCoA_P01-02 · Appearance &amp; Identification A/B</t>
        </is>
      </c>
      <c r="P178" s="182" t="inlineStr">
        <is>
          <t>to test</t>
        </is>
      </c>
      <c r="Q178" s="182" t="inlineStr">
        <is>
          <t>to test</t>
        </is>
      </c>
      <c r="R178" s="182" t="inlineStr">
        <is>
          <t>n/a</t>
        </is>
      </c>
      <c r="S178" s="189" t="inlineStr">
        <is>
          <t>— retest assay not yet on file —</t>
        </is>
      </c>
      <c r="T178" s="189" t="inlineStr">
        <is>
          <t>— pending —</t>
        </is>
      </c>
      <c r="U178" s="189" t="inlineStr">
        <is>
          <t>— pending —</t>
        </is>
      </c>
      <c r="V178" s="182" t="inlineStr">
        <is>
          <t>#8, #9, #11, #12 from the initial testing</t>
        </is>
      </c>
      <c r="W178" s="189" t="inlineStr">
        <is>
          <t>pending — retest assay not yet on file</t>
        </is>
      </c>
    </row>
    <row r="179">
      <c r="A179" s="182" t="n">
        <v>178</v>
      </c>
      <c r="B179" s="182" t="inlineStr">
        <is>
          <t>retest — QP campaign</t>
        </is>
      </c>
      <c r="C179" s="181">
        <f>IFERROR(INDEX('iCoA Register'!$B:$B,MATCH("P050102|FM|R",'iCoA Register'!$R:$R,0)),"— at issue —")</f>
        <v/>
      </c>
      <c r="D179" s="182" t="inlineStr"/>
      <c r="E179" s="182" t="inlineStr">
        <is>
          <t>CoQ reissue (assigned on issue)</t>
        </is>
      </c>
      <c r="F179" s="182" t="inlineStr">
        <is>
          <t>17.04.2026</t>
        </is>
      </c>
      <c r="G179" s="182" t="inlineStr">
        <is>
          <t>at retest sampling · QP campaign</t>
        </is>
      </c>
      <c r="H179" s="181" t="inlineStr">
        <is>
          <t>GP0824_01</t>
        </is>
      </c>
      <c r="I179" s="182" t="inlineStr">
        <is>
          <t>P050102</t>
        </is>
      </c>
      <c r="J179" s="182" t="inlineStr">
        <is>
          <t>Grape Pie</t>
        </is>
      </c>
      <c r="K179" s="182" t="inlineStr">
        <is>
          <t>20.03.2025 – 21.03.2025</t>
        </is>
      </c>
      <c r="L179" s="182" t="inlineStr">
        <is>
          <t>05.08.2025 – 07.08.2025 (the issuance plan's basis: 17.04.2025)</t>
        </is>
      </c>
      <c r="M179" s="182" t="inlineStr">
        <is>
          <t>07.08.2025</t>
        </is>
      </c>
      <c r="N179" s="182" t="inlineStr">
        <is>
          <t>Foreign matter</t>
        </is>
      </c>
      <c r="O179" s="182" t="inlineStr">
        <is>
          <t>iCoA_P07 · Foreign matter</t>
        </is>
      </c>
      <c r="P179" s="182" t="inlineStr">
        <is>
          <t>n/a</t>
        </is>
      </c>
      <c r="Q179" s="182" t="inlineStr">
        <is>
          <t>n/a</t>
        </is>
      </c>
      <c r="R179" s="182" t="inlineStr">
        <is>
          <t>to test</t>
        </is>
      </c>
      <c r="S179" s="189" t="inlineStr">
        <is>
          <t>— retest assay not yet on file —</t>
        </is>
      </c>
      <c r="T179" s="189" t="inlineStr">
        <is>
          <t>— pending —</t>
        </is>
      </c>
      <c r="U179" s="189" t="inlineStr">
        <is>
          <t>— pending —</t>
        </is>
      </c>
      <c r="V179" s="182" t="inlineStr">
        <is>
          <t>#8, #9, #11, #12 from the initial testing</t>
        </is>
      </c>
      <c r="W179" s="189" t="inlineStr">
        <is>
          <t>pending — retest assay not yet on file</t>
        </is>
      </c>
    </row>
    <row r="180">
      <c r="A180" s="182" t="n">
        <v>179</v>
      </c>
      <c r="B180" s="182" t="inlineStr">
        <is>
          <t>retest — QP campaign</t>
        </is>
      </c>
      <c r="C180" s="181">
        <f>IFERROR(INDEX('iCoA Register'!$B:$B,MATCH("OPM1024|AB|R",'iCoA Register'!$R:$R,0)),"— at issue —")</f>
        <v/>
      </c>
      <c r="D180" s="182" t="inlineStr"/>
      <c r="E180" s="182" t="inlineStr">
        <is>
          <t>CoQ-PP-2026-0031</t>
        </is>
      </c>
      <c r="F180" s="182" t="inlineStr">
        <is>
          <t>24.04.2026</t>
        </is>
      </c>
      <c r="G180" s="182" t="inlineStr">
        <is>
          <t>at retest sampling · QP campaign</t>
        </is>
      </c>
      <c r="H180" s="181" t="inlineStr">
        <is>
          <t>OPM1024</t>
        </is>
      </c>
      <c r="I180" s="182" t="inlineStr">
        <is>
          <t>N/A — no P batch assigned</t>
        </is>
      </c>
      <c r="J180" s="182" t="inlineStr">
        <is>
          <t>OrangePunchMimosa</t>
        </is>
      </c>
      <c r="K180" s="182" t="inlineStr">
        <is>
          <t>21.01.2025</t>
        </is>
      </c>
      <c r="L180" s="182" t="inlineStr">
        <is>
          <t>24.04.2025 – 25.04.2025</t>
        </is>
      </c>
      <c r="M180" s="182" t="inlineStr">
        <is>
          <t>25.04.2025</t>
        </is>
      </c>
      <c r="N180" s="182" t="inlineStr">
        <is>
          <t>Ident A + Ident B</t>
        </is>
      </c>
      <c r="O180" s="182" t="inlineStr">
        <is>
          <t>iCoA_P01-02 · Appearance &amp; Identification A/B</t>
        </is>
      </c>
      <c r="P180" s="182" t="inlineStr">
        <is>
          <t>to test</t>
        </is>
      </c>
      <c r="Q180" s="182" t="inlineStr">
        <is>
          <t>to test</t>
        </is>
      </c>
      <c r="R180" s="182" t="inlineStr">
        <is>
          <t>n/a</t>
        </is>
      </c>
      <c r="S180" s="182" t="inlineStr">
        <is>
          <t>197-17-K-26, (07.08.2026) [FHM-K]</t>
        </is>
      </c>
      <c r="T180" s="182" t="inlineStr">
        <is>
          <t>197-17-K-26, (07.08.2026) [FHM-K]</t>
        </is>
      </c>
      <c r="U180" s="182" t="inlineStr">
        <is>
          <t>197-17-M-26, (10.08.2026) [FHM-M]</t>
        </is>
      </c>
      <c r="V180" s="182" t="inlineStr">
        <is>
          <t>#8, #9, #11, #12 from the initial testing</t>
        </is>
      </c>
      <c r="W180" s="188" t="inlineStr">
        <is>
          <t>due — retest assay and mycotoxins on file</t>
        </is>
      </c>
    </row>
    <row r="181">
      <c r="A181" s="182" t="n">
        <v>180</v>
      </c>
      <c r="B181" s="182" t="inlineStr">
        <is>
          <t>retest — QP campaign</t>
        </is>
      </c>
      <c r="C181" s="181">
        <f>IFERROR(INDEX('iCoA Register'!$B:$B,MATCH("OPM1024|FM|R",'iCoA Register'!$R:$R,0)),"— at issue —")</f>
        <v/>
      </c>
      <c r="D181" s="182" t="inlineStr"/>
      <c r="E181" s="182" t="inlineStr">
        <is>
          <t>CoQ-PP-2026-0031</t>
        </is>
      </c>
      <c r="F181" s="182" t="inlineStr">
        <is>
          <t>24.04.2026</t>
        </is>
      </c>
      <c r="G181" s="182" t="inlineStr">
        <is>
          <t>at retest sampling · QP campaign</t>
        </is>
      </c>
      <c r="H181" s="181" t="inlineStr">
        <is>
          <t>OPM1024</t>
        </is>
      </c>
      <c r="I181" s="182" t="inlineStr">
        <is>
          <t>N/A — no P batch assigned</t>
        </is>
      </c>
      <c r="J181" s="182" t="inlineStr">
        <is>
          <t>OrangePunchMimosa</t>
        </is>
      </c>
      <c r="K181" s="182" t="inlineStr">
        <is>
          <t>21.01.2025</t>
        </is>
      </c>
      <c r="L181" s="182" t="inlineStr">
        <is>
          <t>24.04.2025 – 25.04.2025</t>
        </is>
      </c>
      <c r="M181" s="182" t="inlineStr">
        <is>
          <t>25.04.2025</t>
        </is>
      </c>
      <c r="N181" s="182" t="inlineStr">
        <is>
          <t>Foreign matter</t>
        </is>
      </c>
      <c r="O181" s="182" t="inlineStr">
        <is>
          <t>iCoA_P07 · Foreign matter</t>
        </is>
      </c>
      <c r="P181" s="182" t="inlineStr">
        <is>
          <t>n/a</t>
        </is>
      </c>
      <c r="Q181" s="182" t="inlineStr">
        <is>
          <t>n/a</t>
        </is>
      </c>
      <c r="R181" s="182" t="inlineStr">
        <is>
          <t>to test</t>
        </is>
      </c>
      <c r="S181" s="182" t="inlineStr">
        <is>
          <t>197-17-K-26, (07.08.2026) [FHM-K]</t>
        </is>
      </c>
      <c r="T181" s="182" t="inlineStr">
        <is>
          <t>197-17-K-26, (07.08.2026) [FHM-K]</t>
        </is>
      </c>
      <c r="U181" s="182" t="inlineStr">
        <is>
          <t>197-17-M-26, (10.08.2026) [FHM-M]</t>
        </is>
      </c>
      <c r="V181" s="182" t="inlineStr">
        <is>
          <t>#8, #9, #11, #12 from the initial testing</t>
        </is>
      </c>
      <c r="W181" s="188" t="inlineStr">
        <is>
          <t>due — retest assay and mycotoxins on file</t>
        </is>
      </c>
    </row>
    <row r="182">
      <c r="A182" s="182" t="n">
        <v>181</v>
      </c>
      <c r="B182" s="182" t="inlineStr">
        <is>
          <t>retest — QP campaign</t>
        </is>
      </c>
      <c r="C182" s="181">
        <f>IFERROR(INDEX('iCoA Register'!$B:$B,MATCH("P050032|AB|R",'iCoA Register'!$R:$R,0)),"— at issue —")</f>
        <v/>
      </c>
      <c r="D182" s="182" t="inlineStr"/>
      <c r="E182" s="182" t="inlineStr">
        <is>
          <t>CoQ reissue (assigned on issue)</t>
        </is>
      </c>
      <c r="F182" s="182" t="inlineStr">
        <is>
          <t>07.05.2026</t>
        </is>
      </c>
      <c r="G182" s="182" t="inlineStr">
        <is>
          <t>at retest sampling · QP campaign</t>
        </is>
      </c>
      <c r="H182" s="181" t="inlineStr">
        <is>
          <t>MB0824_04</t>
        </is>
      </c>
      <c r="I182" s="182" t="inlineStr">
        <is>
          <t>P050032</t>
        </is>
      </c>
      <c r="J182" s="182" t="inlineStr">
        <is>
          <t>Motor Breath</t>
        </is>
      </c>
      <c r="K182" s="182" t="inlineStr">
        <is>
          <t>02.04.2025 – 03.04.2025</t>
        </is>
      </c>
      <c r="L182" s="182" t="inlineStr">
        <is>
          <t>16.06.2025 – 19.06.2025 (the issuance plan's basis: 07.05.2025)</t>
        </is>
      </c>
      <c r="M182" s="182" t="inlineStr">
        <is>
          <t>19.06.2025</t>
        </is>
      </c>
      <c r="N182" s="182" t="inlineStr">
        <is>
          <t>Ident A + Ident B</t>
        </is>
      </c>
      <c r="O182" s="182" t="inlineStr">
        <is>
          <t>iCoA_P01-02 · Appearance &amp; Identification A/B</t>
        </is>
      </c>
      <c r="P182" s="182" t="inlineStr">
        <is>
          <t>to test</t>
        </is>
      </c>
      <c r="Q182" s="182" t="inlineStr">
        <is>
          <t>to test</t>
        </is>
      </c>
      <c r="R182" s="182" t="inlineStr">
        <is>
          <t>n/a</t>
        </is>
      </c>
      <c r="S182" s="189" t="inlineStr">
        <is>
          <t>— retest assay not yet on file —</t>
        </is>
      </c>
      <c r="T182" s="189" t="inlineStr">
        <is>
          <t>— pending —</t>
        </is>
      </c>
      <c r="U182" s="189" t="inlineStr">
        <is>
          <t>— pending —</t>
        </is>
      </c>
      <c r="V182" s="182" t="inlineStr">
        <is>
          <t>#8, #9, #11, #12 from the initial testing</t>
        </is>
      </c>
      <c r="W182" s="189" t="inlineStr">
        <is>
          <t>pending — retest assay not yet on file</t>
        </is>
      </c>
    </row>
    <row r="183">
      <c r="A183" s="182" t="n">
        <v>182</v>
      </c>
      <c r="B183" s="182" t="inlineStr">
        <is>
          <t>retest — QP campaign</t>
        </is>
      </c>
      <c r="C183" s="181">
        <f>IFERROR(INDEX('iCoA Register'!$B:$B,MATCH("P050032|FM|R",'iCoA Register'!$R:$R,0)),"— at issue —")</f>
        <v/>
      </c>
      <c r="D183" s="182" t="inlineStr"/>
      <c r="E183" s="182" t="inlineStr">
        <is>
          <t>CoQ reissue (assigned on issue)</t>
        </is>
      </c>
      <c r="F183" s="182" t="inlineStr">
        <is>
          <t>07.05.2026</t>
        </is>
      </c>
      <c r="G183" s="182" t="inlineStr">
        <is>
          <t>at retest sampling · QP campaign</t>
        </is>
      </c>
      <c r="H183" s="181" t="inlineStr">
        <is>
          <t>MB0824_04</t>
        </is>
      </c>
      <c r="I183" s="182" t="inlineStr">
        <is>
          <t>P050032</t>
        </is>
      </c>
      <c r="J183" s="182" t="inlineStr">
        <is>
          <t>Motor Breath</t>
        </is>
      </c>
      <c r="K183" s="182" t="inlineStr">
        <is>
          <t>02.04.2025 – 03.04.2025</t>
        </is>
      </c>
      <c r="L183" s="182" t="inlineStr">
        <is>
          <t>16.06.2025 – 19.06.2025 (the issuance plan's basis: 07.05.2025)</t>
        </is>
      </c>
      <c r="M183" s="182" t="inlineStr">
        <is>
          <t>19.06.2025</t>
        </is>
      </c>
      <c r="N183" s="182" t="inlineStr">
        <is>
          <t>Foreign matter</t>
        </is>
      </c>
      <c r="O183" s="182" t="inlineStr">
        <is>
          <t>iCoA_P07 · Foreign matter</t>
        </is>
      </c>
      <c r="P183" s="182" t="inlineStr">
        <is>
          <t>n/a</t>
        </is>
      </c>
      <c r="Q183" s="182" t="inlineStr">
        <is>
          <t>n/a</t>
        </is>
      </c>
      <c r="R183" s="182" t="inlineStr">
        <is>
          <t>to test</t>
        </is>
      </c>
      <c r="S183" s="189" t="inlineStr">
        <is>
          <t>— retest assay not yet on file —</t>
        </is>
      </c>
      <c r="T183" s="189" t="inlineStr">
        <is>
          <t>— pending —</t>
        </is>
      </c>
      <c r="U183" s="189" t="inlineStr">
        <is>
          <t>— pending —</t>
        </is>
      </c>
      <c r="V183" s="182" t="inlineStr">
        <is>
          <t>#8, #9, #11, #12 from the initial testing</t>
        </is>
      </c>
      <c r="W183" s="189" t="inlineStr">
        <is>
          <t>pending — retest assay not yet on file</t>
        </is>
      </c>
    </row>
    <row r="184">
      <c r="A184" s="182" t="n">
        <v>183</v>
      </c>
      <c r="B184" s="182" t="inlineStr">
        <is>
          <t>retest — QP campaign</t>
        </is>
      </c>
      <c r="C184" s="181">
        <f>IFERROR(INDEX('iCoA Register'!$B:$B,MATCH("P050012|AB|R",'iCoA Register'!$R:$R,0)),"— at issue —")</f>
        <v/>
      </c>
      <c r="D184" s="182" t="inlineStr"/>
      <c r="E184" s="182" t="inlineStr">
        <is>
          <t>CoQ reissue (assigned on issue)</t>
        </is>
      </c>
      <c r="F184" s="182" t="inlineStr">
        <is>
          <t>30.05.2026</t>
        </is>
      </c>
      <c r="G184" s="182" t="inlineStr">
        <is>
          <t>at retest sampling · QP campaign</t>
        </is>
      </c>
      <c r="H184" s="181" t="inlineStr">
        <is>
          <t>GG1024_02</t>
        </is>
      </c>
      <c r="I184" s="182" t="inlineStr">
        <is>
          <t>P050012</t>
        </is>
      </c>
      <c r="J184" s="182" t="inlineStr">
        <is>
          <t>Gorilla Glue</t>
        </is>
      </c>
      <c r="K184" s="182" t="inlineStr">
        <is>
          <t>14.04.2025 – 15.04.2025</t>
        </is>
      </c>
      <c r="L184" s="182" t="inlineStr">
        <is>
          <t>11.06.2025 – 16.06.2025 (the issuance plan's basis: 30.05.2025)</t>
        </is>
      </c>
      <c r="M184" s="182" t="inlineStr">
        <is>
          <t>16.06.2025</t>
        </is>
      </c>
      <c r="N184" s="182" t="inlineStr">
        <is>
          <t>Ident A + Ident B</t>
        </is>
      </c>
      <c r="O184" s="182" t="inlineStr">
        <is>
          <t>iCoA_P01-02 · Appearance &amp; Identification A/B</t>
        </is>
      </c>
      <c r="P184" s="182" t="inlineStr">
        <is>
          <t>to test</t>
        </is>
      </c>
      <c r="Q184" s="182" t="inlineStr">
        <is>
          <t>to test</t>
        </is>
      </c>
      <c r="R184" s="182" t="inlineStr">
        <is>
          <t>n/a</t>
        </is>
      </c>
      <c r="S184" s="189" t="inlineStr">
        <is>
          <t>— retest assay not yet on file —</t>
        </is>
      </c>
      <c r="T184" s="189" t="inlineStr">
        <is>
          <t>— pending —</t>
        </is>
      </c>
      <c r="U184" s="189" t="inlineStr">
        <is>
          <t>— pending —</t>
        </is>
      </c>
      <c r="V184" s="182" t="inlineStr">
        <is>
          <t>#8, #9, #11, #12 from the initial testing</t>
        </is>
      </c>
      <c r="W184" s="189" t="inlineStr">
        <is>
          <t>pending — retest assay not yet on file</t>
        </is>
      </c>
    </row>
    <row r="185">
      <c r="A185" s="182" t="n">
        <v>184</v>
      </c>
      <c r="B185" s="182" t="inlineStr">
        <is>
          <t>retest — QP campaign</t>
        </is>
      </c>
      <c r="C185" s="181">
        <f>IFERROR(INDEX('iCoA Register'!$B:$B,MATCH("P050012|FM|R",'iCoA Register'!$R:$R,0)),"— at issue —")</f>
        <v/>
      </c>
      <c r="D185" s="182" t="inlineStr"/>
      <c r="E185" s="182" t="inlineStr">
        <is>
          <t>CoQ reissue (assigned on issue)</t>
        </is>
      </c>
      <c r="F185" s="182" t="inlineStr">
        <is>
          <t>30.05.2026</t>
        </is>
      </c>
      <c r="G185" s="182" t="inlineStr">
        <is>
          <t>at retest sampling · QP campaign</t>
        </is>
      </c>
      <c r="H185" s="181" t="inlineStr">
        <is>
          <t>GG1024_02</t>
        </is>
      </c>
      <c r="I185" s="182" t="inlineStr">
        <is>
          <t>P050012</t>
        </is>
      </c>
      <c r="J185" s="182" t="inlineStr">
        <is>
          <t>Gorilla Glue</t>
        </is>
      </c>
      <c r="K185" s="182" t="inlineStr">
        <is>
          <t>14.04.2025 – 15.04.2025</t>
        </is>
      </c>
      <c r="L185" s="182" t="inlineStr">
        <is>
          <t>11.06.2025 – 16.06.2025 (the issuance plan's basis: 30.05.2025)</t>
        </is>
      </c>
      <c r="M185" s="182" t="inlineStr">
        <is>
          <t>16.06.2025</t>
        </is>
      </c>
      <c r="N185" s="182" t="inlineStr">
        <is>
          <t>Foreign matter</t>
        </is>
      </c>
      <c r="O185" s="182" t="inlineStr">
        <is>
          <t>iCoA_P07 · Foreign matter</t>
        </is>
      </c>
      <c r="P185" s="182" t="inlineStr">
        <is>
          <t>n/a</t>
        </is>
      </c>
      <c r="Q185" s="182" t="inlineStr">
        <is>
          <t>n/a</t>
        </is>
      </c>
      <c r="R185" s="182" t="inlineStr">
        <is>
          <t>to test</t>
        </is>
      </c>
      <c r="S185" s="189" t="inlineStr">
        <is>
          <t>— retest assay not yet on file —</t>
        </is>
      </c>
      <c r="T185" s="189" t="inlineStr">
        <is>
          <t>— pending —</t>
        </is>
      </c>
      <c r="U185" s="189" t="inlineStr">
        <is>
          <t>— pending —</t>
        </is>
      </c>
      <c r="V185" s="182" t="inlineStr">
        <is>
          <t>#8, #9, #11, #12 from the initial testing</t>
        </is>
      </c>
      <c r="W185" s="189" t="inlineStr">
        <is>
          <t>pending — retest assay not yet on file</t>
        </is>
      </c>
    </row>
    <row r="186">
      <c r="A186" s="182" t="n">
        <v>185</v>
      </c>
      <c r="B186" s="182" t="inlineStr">
        <is>
          <t>retest — QP campaign</t>
        </is>
      </c>
      <c r="C186" s="181">
        <f>IFERROR(INDEX('iCoA Register'!$B:$B,MATCH("P050022|AB|R",'iCoA Register'!$R:$R,0)),"— at issue —")</f>
        <v/>
      </c>
      <c r="D186" s="182" t="inlineStr"/>
      <c r="E186" s="182" t="inlineStr">
        <is>
          <t>CoQ-PP-2026-0032</t>
        </is>
      </c>
      <c r="F186" s="182" t="inlineStr">
        <is>
          <t>03.06.2026</t>
        </is>
      </c>
      <c r="G186" s="182" t="inlineStr">
        <is>
          <t>at retest sampling · QP campaign</t>
        </is>
      </c>
      <c r="H186" s="181" t="inlineStr">
        <is>
          <t>GP0824_02</t>
        </is>
      </c>
      <c r="I186" s="182" t="inlineStr">
        <is>
          <t>P050022</t>
        </is>
      </c>
      <c r="J186" s="182" t="inlineStr">
        <is>
          <t>Grape Pie</t>
        </is>
      </c>
      <c r="K186" s="182" t="inlineStr">
        <is>
          <t>22.04.2025 – 23.04.2025</t>
        </is>
      </c>
      <c r="L186" s="182" t="inlineStr">
        <is>
          <t>03.06.2025 – 11.06.2025</t>
        </is>
      </c>
      <c r="M186" s="182" t="inlineStr">
        <is>
          <t>11.06.2025</t>
        </is>
      </c>
      <c r="N186" s="182" t="inlineStr">
        <is>
          <t>Ident A + Ident B</t>
        </is>
      </c>
      <c r="O186" s="182" t="inlineStr">
        <is>
          <t>iCoA_P01-02 · Appearance &amp; Identification A/B</t>
        </is>
      </c>
      <c r="P186" s="182" t="inlineStr">
        <is>
          <t>to test</t>
        </is>
      </c>
      <c r="Q186" s="182" t="inlineStr">
        <is>
          <t>to test</t>
        </is>
      </c>
      <c r="R186" s="182" t="inlineStr">
        <is>
          <t>n/a</t>
        </is>
      </c>
      <c r="S186" s="182" t="inlineStr">
        <is>
          <t>ППК26032, (05.03.2026) [CNP]</t>
        </is>
      </c>
      <c r="T186" s="182" t="inlineStr">
        <is>
          <t>ППК26032, (05.03.2026) [CNP]</t>
        </is>
      </c>
      <c r="U186" s="182" t="inlineStr">
        <is>
          <t>197-11-M-26, (10.08.2026) [FHM-M]</t>
        </is>
      </c>
      <c r="V186" s="182" t="inlineStr">
        <is>
          <t>#8, #9, #11, #12 from the initial testing</t>
        </is>
      </c>
      <c r="W186" s="188" t="inlineStr">
        <is>
          <t>due — retest assay and mycotoxins on file</t>
        </is>
      </c>
    </row>
    <row r="187">
      <c r="A187" s="182" t="n">
        <v>186</v>
      </c>
      <c r="B187" s="182" t="inlineStr">
        <is>
          <t>retest — QP campaign</t>
        </is>
      </c>
      <c r="C187" s="181">
        <f>IFERROR(INDEX('iCoA Register'!$B:$B,MATCH("P050022|FM|R",'iCoA Register'!$R:$R,0)),"— at issue —")</f>
        <v/>
      </c>
      <c r="D187" s="182" t="inlineStr"/>
      <c r="E187" s="182" t="inlineStr">
        <is>
          <t>CoQ-PP-2026-0032</t>
        </is>
      </c>
      <c r="F187" s="182" t="inlineStr">
        <is>
          <t>03.06.2026</t>
        </is>
      </c>
      <c r="G187" s="182" t="inlineStr">
        <is>
          <t>at retest sampling · QP campaign</t>
        </is>
      </c>
      <c r="H187" s="181" t="inlineStr">
        <is>
          <t>GP0824_02</t>
        </is>
      </c>
      <c r="I187" s="182" t="inlineStr">
        <is>
          <t>P050022</t>
        </is>
      </c>
      <c r="J187" s="182" t="inlineStr">
        <is>
          <t>Grape Pie</t>
        </is>
      </c>
      <c r="K187" s="182" t="inlineStr">
        <is>
          <t>22.04.2025 – 23.04.2025</t>
        </is>
      </c>
      <c r="L187" s="182" t="inlineStr">
        <is>
          <t>03.06.2025 – 11.06.2025</t>
        </is>
      </c>
      <c r="M187" s="182" t="inlineStr">
        <is>
          <t>11.06.2025</t>
        </is>
      </c>
      <c r="N187" s="182" t="inlineStr">
        <is>
          <t>Foreign matter</t>
        </is>
      </c>
      <c r="O187" s="182" t="inlineStr">
        <is>
          <t>iCoA_P07 · Foreign matter</t>
        </is>
      </c>
      <c r="P187" s="182" t="inlineStr">
        <is>
          <t>n/a</t>
        </is>
      </c>
      <c r="Q187" s="182" t="inlineStr">
        <is>
          <t>n/a</t>
        </is>
      </c>
      <c r="R187" s="182" t="inlineStr">
        <is>
          <t>to test</t>
        </is>
      </c>
      <c r="S187" s="182" t="inlineStr">
        <is>
          <t>ППК26032, (05.03.2026) [CNP]</t>
        </is>
      </c>
      <c r="T187" s="182" t="inlineStr">
        <is>
          <t>ППК26032, (05.03.2026) [CNP]</t>
        </is>
      </c>
      <c r="U187" s="182" t="inlineStr">
        <is>
          <t>197-11-M-26, (10.08.2026) [FHM-M]</t>
        </is>
      </c>
      <c r="V187" s="182" t="inlineStr">
        <is>
          <t>#8, #9, #11, #12 from the initial testing</t>
        </is>
      </c>
      <c r="W187" s="188" t="inlineStr">
        <is>
          <t>due — retest assay and mycotoxins on file</t>
        </is>
      </c>
    </row>
    <row r="188">
      <c r="A188" s="182" t="n">
        <v>187</v>
      </c>
      <c r="B188" s="182" t="inlineStr">
        <is>
          <t>retest — QP campaign</t>
        </is>
      </c>
      <c r="C188" s="181">
        <f>IFERROR(INDEX('iCoA Register'!$B:$B,MATCH("P050042|AB|R",'iCoA Register'!$R:$R,0)),"— at issue —")</f>
        <v/>
      </c>
      <c r="D188" s="182" t="inlineStr"/>
      <c r="E188" s="182" t="inlineStr">
        <is>
          <t>CoQ-PP-2026-0033</t>
        </is>
      </c>
      <c r="F188" s="182" t="inlineStr">
        <is>
          <t>20.06.2026</t>
        </is>
      </c>
      <c r="G188" s="182" t="inlineStr">
        <is>
          <t>at retest sampling · QP campaign</t>
        </is>
      </c>
      <c r="H188" s="181" t="inlineStr">
        <is>
          <t>OMP1024_01</t>
        </is>
      </c>
      <c r="I188" s="182" t="inlineStr">
        <is>
          <t>P050042</t>
        </is>
      </c>
      <c r="J188" s="182" t="inlineStr">
        <is>
          <t>Orange Punch Mimosa</t>
        </is>
      </c>
      <c r="K188" s="182" t="inlineStr">
        <is>
          <t>26.03.2025 – 27.03.2025</t>
        </is>
      </c>
      <c r="L188" s="182" t="inlineStr">
        <is>
          <t>20.06.2025</t>
        </is>
      </c>
      <c r="M188" s="182" t="inlineStr">
        <is>
          <t>20.06.2025</t>
        </is>
      </c>
      <c r="N188" s="182" t="inlineStr">
        <is>
          <t>Ident A + Ident B</t>
        </is>
      </c>
      <c r="O188" s="182" t="inlineStr">
        <is>
          <t>iCoA_P01-02 · Appearance &amp; Identification A/B</t>
        </is>
      </c>
      <c r="P188" s="182" t="inlineStr">
        <is>
          <t>to test</t>
        </is>
      </c>
      <c r="Q188" s="182" t="inlineStr">
        <is>
          <t>to test</t>
        </is>
      </c>
      <c r="R188" s="182" t="inlineStr">
        <is>
          <t>n/a</t>
        </is>
      </c>
      <c r="S188" s="189" t="inlineStr">
        <is>
          <t>— retest assay not yet on file —</t>
        </is>
      </c>
      <c r="T188" s="189" t="inlineStr">
        <is>
          <t>— pending —</t>
        </is>
      </c>
      <c r="U188" s="189" t="inlineStr">
        <is>
          <t>— pending —</t>
        </is>
      </c>
      <c r="V188" s="182" t="inlineStr">
        <is>
          <t>#8, #9, #11, #12 from the initial testing</t>
        </is>
      </c>
      <c r="W188" s="189" t="inlineStr">
        <is>
          <t>pending — retest assay not yet on file</t>
        </is>
      </c>
    </row>
    <row r="189">
      <c r="A189" s="182" t="n">
        <v>188</v>
      </c>
      <c r="B189" s="182" t="inlineStr">
        <is>
          <t>retest — QP campaign</t>
        </is>
      </c>
      <c r="C189" s="181">
        <f>IFERROR(INDEX('iCoA Register'!$B:$B,MATCH("P050042|FM|R",'iCoA Register'!$R:$R,0)),"— at issue —")</f>
        <v/>
      </c>
      <c r="D189" s="182" t="inlineStr"/>
      <c r="E189" s="182" t="inlineStr">
        <is>
          <t>CoQ-PP-2026-0033</t>
        </is>
      </c>
      <c r="F189" s="182" t="inlineStr">
        <is>
          <t>20.06.2026</t>
        </is>
      </c>
      <c r="G189" s="182" t="inlineStr">
        <is>
          <t>at retest sampling · QP campaign</t>
        </is>
      </c>
      <c r="H189" s="181" t="inlineStr">
        <is>
          <t>OMP1024_01</t>
        </is>
      </c>
      <c r="I189" s="182" t="inlineStr">
        <is>
          <t>P050042</t>
        </is>
      </c>
      <c r="J189" s="182" t="inlineStr">
        <is>
          <t>Orange Punch Mimosa</t>
        </is>
      </c>
      <c r="K189" s="182" t="inlineStr">
        <is>
          <t>26.03.2025 – 27.03.2025</t>
        </is>
      </c>
      <c r="L189" s="182" t="inlineStr">
        <is>
          <t>20.06.2025</t>
        </is>
      </c>
      <c r="M189" s="182" t="inlineStr">
        <is>
          <t>20.06.2025</t>
        </is>
      </c>
      <c r="N189" s="182" t="inlineStr">
        <is>
          <t>Foreign matter</t>
        </is>
      </c>
      <c r="O189" s="182" t="inlineStr">
        <is>
          <t>iCoA_P07 · Foreign matter</t>
        </is>
      </c>
      <c r="P189" s="182" t="inlineStr">
        <is>
          <t>n/a</t>
        </is>
      </c>
      <c r="Q189" s="182" t="inlineStr">
        <is>
          <t>n/a</t>
        </is>
      </c>
      <c r="R189" s="182" t="inlineStr">
        <is>
          <t>to test</t>
        </is>
      </c>
      <c r="S189" s="189" t="inlineStr">
        <is>
          <t>— retest assay not yet on file —</t>
        </is>
      </c>
      <c r="T189" s="189" t="inlineStr">
        <is>
          <t>— pending —</t>
        </is>
      </c>
      <c r="U189" s="189" t="inlineStr">
        <is>
          <t>— pending —</t>
        </is>
      </c>
      <c r="V189" s="182" t="inlineStr">
        <is>
          <t>#8, #9, #11, #12 from the initial testing</t>
        </is>
      </c>
      <c r="W189" s="189" t="inlineStr">
        <is>
          <t>pending — retest assay not yet on file</t>
        </is>
      </c>
    </row>
    <row r="190">
      <c r="A190" s="182" t="n">
        <v>189</v>
      </c>
      <c r="B190" s="182" t="inlineStr">
        <is>
          <t>retest — QP campaign</t>
        </is>
      </c>
      <c r="C190" s="181">
        <f>IFERROR(INDEX('iCoA Register'!$B:$B,MATCH("P050052|AB|R",'iCoA Register'!$R:$R,0)),"— at issue —")</f>
        <v/>
      </c>
      <c r="D190" s="182" t="inlineStr"/>
      <c r="E190" s="182" t="inlineStr">
        <is>
          <t>CoQ-PP-2026-0034</t>
        </is>
      </c>
      <c r="F190" s="182" t="inlineStr">
        <is>
          <t>27.06.2026</t>
        </is>
      </c>
      <c r="G190" s="182" t="inlineStr">
        <is>
          <t>at retest sampling · QP campaign</t>
        </is>
      </c>
      <c r="H190" s="181" t="inlineStr">
        <is>
          <t>HPA1024_01</t>
        </is>
      </c>
      <c r="I190" s="182" t="inlineStr">
        <is>
          <t>P050052</t>
        </is>
      </c>
      <c r="J190" s="182" t="inlineStr">
        <is>
          <t>High Pro Amnesia</t>
        </is>
      </c>
      <c r="K190" s="182" t="inlineStr">
        <is>
          <t>27.05.2025 – 28.05.2025</t>
        </is>
      </c>
      <c r="L190" s="182" t="inlineStr">
        <is>
          <t>27.06.2025 – 04.07.2025</t>
        </is>
      </c>
      <c r="M190" s="182" t="inlineStr">
        <is>
          <t>04.07.2025</t>
        </is>
      </c>
      <c r="N190" s="182" t="inlineStr">
        <is>
          <t>Ident A + Ident B</t>
        </is>
      </c>
      <c r="O190" s="182" t="inlineStr">
        <is>
          <t>iCoA_P01-02 · Appearance &amp; Identification A/B</t>
        </is>
      </c>
      <c r="P190" s="182" t="inlineStr">
        <is>
          <t>to test</t>
        </is>
      </c>
      <c r="Q190" s="182" t="inlineStr">
        <is>
          <t>to test</t>
        </is>
      </c>
      <c r="R190" s="182" t="inlineStr">
        <is>
          <t>n/a</t>
        </is>
      </c>
      <c r="S190" s="182" t="inlineStr">
        <is>
          <t>197-14-K-26, (07.08.2026) [FHM-K]</t>
        </is>
      </c>
      <c r="T190" s="182" t="inlineStr">
        <is>
          <t>197-14-K-26, (07.08.2026) [FHM-K]</t>
        </is>
      </c>
      <c r="U190" s="182" t="inlineStr">
        <is>
          <t>197-14-M-26, (10.08.2026) [FHM-M]</t>
        </is>
      </c>
      <c r="V190" s="182" t="inlineStr">
        <is>
          <t>#8, #9, #11, #12 from the initial testing</t>
        </is>
      </c>
      <c r="W190" s="188" t="inlineStr">
        <is>
          <t>due — retest assay and mycotoxins on file</t>
        </is>
      </c>
    </row>
    <row r="191">
      <c r="A191" s="182" t="n">
        <v>190</v>
      </c>
      <c r="B191" s="182" t="inlineStr">
        <is>
          <t>retest — QP campaign</t>
        </is>
      </c>
      <c r="C191" s="181">
        <f>IFERROR(INDEX('iCoA Register'!$B:$B,MATCH("P050052|FM|R",'iCoA Register'!$R:$R,0)),"— at issue —")</f>
        <v/>
      </c>
      <c r="D191" s="182" t="inlineStr"/>
      <c r="E191" s="182" t="inlineStr">
        <is>
          <t>CoQ-PP-2026-0034</t>
        </is>
      </c>
      <c r="F191" s="182" t="inlineStr">
        <is>
          <t>27.06.2026</t>
        </is>
      </c>
      <c r="G191" s="182" t="inlineStr">
        <is>
          <t>at retest sampling · QP campaign</t>
        </is>
      </c>
      <c r="H191" s="181" t="inlineStr">
        <is>
          <t>HPA1024_01</t>
        </is>
      </c>
      <c r="I191" s="182" t="inlineStr">
        <is>
          <t>P050052</t>
        </is>
      </c>
      <c r="J191" s="182" t="inlineStr">
        <is>
          <t>High Pro Amnesia</t>
        </is>
      </c>
      <c r="K191" s="182" t="inlineStr">
        <is>
          <t>27.05.2025 – 28.05.2025</t>
        </is>
      </c>
      <c r="L191" s="182" t="inlineStr">
        <is>
          <t>27.06.2025 – 04.07.2025</t>
        </is>
      </c>
      <c r="M191" s="182" t="inlineStr">
        <is>
          <t>04.07.2025</t>
        </is>
      </c>
      <c r="N191" s="182" t="inlineStr">
        <is>
          <t>Foreign matter</t>
        </is>
      </c>
      <c r="O191" s="182" t="inlineStr">
        <is>
          <t>iCoA_P07 · Foreign matter</t>
        </is>
      </c>
      <c r="P191" s="182" t="inlineStr">
        <is>
          <t>n/a</t>
        </is>
      </c>
      <c r="Q191" s="182" t="inlineStr">
        <is>
          <t>n/a</t>
        </is>
      </c>
      <c r="R191" s="182" t="inlineStr">
        <is>
          <t>to test</t>
        </is>
      </c>
      <c r="S191" s="182" t="inlineStr">
        <is>
          <t>197-14-K-26, (07.08.2026) [FHM-K]</t>
        </is>
      </c>
      <c r="T191" s="182" t="inlineStr">
        <is>
          <t>197-14-K-26, (07.08.2026) [FHM-K]</t>
        </is>
      </c>
      <c r="U191" s="182" t="inlineStr">
        <is>
          <t>197-14-M-26, (10.08.2026) [FHM-M]</t>
        </is>
      </c>
      <c r="V191" s="182" t="inlineStr">
        <is>
          <t>#8, #9, #11, #12 from the initial testing</t>
        </is>
      </c>
      <c r="W191" s="188" t="inlineStr">
        <is>
          <t>due — retest assay and mycotoxins on file</t>
        </is>
      </c>
    </row>
    <row r="192">
      <c r="A192" s="182" t="n">
        <v>191</v>
      </c>
      <c r="B192" s="182" t="inlineStr">
        <is>
          <t>retest — QP campaign</t>
        </is>
      </c>
      <c r="C192" s="181">
        <f>IFERROR(INDEX('iCoA Register'!$B:$B,MATCH("P050062|AB|R",'iCoA Register'!$R:$R,0)),"— at issue —")</f>
        <v/>
      </c>
      <c r="D192" s="182" t="inlineStr"/>
      <c r="E192" s="182" t="inlineStr">
        <is>
          <t>CoQ-PP-2026-0035</t>
        </is>
      </c>
      <c r="F192" s="182" t="inlineStr">
        <is>
          <t>04.07.2026</t>
        </is>
      </c>
      <c r="G192" s="182" t="inlineStr">
        <is>
          <t>at retest sampling · QP campaign</t>
        </is>
      </c>
      <c r="H192" s="181" t="inlineStr">
        <is>
          <t>OPM1024_02</t>
        </is>
      </c>
      <c r="I192" s="182" t="inlineStr">
        <is>
          <t>P050062</t>
        </is>
      </c>
      <c r="J192" s="182" t="inlineStr">
        <is>
          <t>Orange Punch Mimosa</t>
        </is>
      </c>
      <c r="K192" s="182" t="inlineStr">
        <is>
          <t>29.05.2025 – 30.05.2025</t>
        </is>
      </c>
      <c r="L192" s="182" t="inlineStr">
        <is>
          <t>04.07.2025 – 10.07.2025</t>
        </is>
      </c>
      <c r="M192" s="182" t="inlineStr">
        <is>
          <t>10.07.2025</t>
        </is>
      </c>
      <c r="N192" s="182" t="inlineStr">
        <is>
          <t>Ident A + Ident B</t>
        </is>
      </c>
      <c r="O192" s="182" t="inlineStr">
        <is>
          <t>iCoA_P01-02 · Appearance &amp; Identification A/B</t>
        </is>
      </c>
      <c r="P192" s="182" t="inlineStr">
        <is>
          <t>to test</t>
        </is>
      </c>
      <c r="Q192" s="182" t="inlineStr">
        <is>
          <t>to test</t>
        </is>
      </c>
      <c r="R192" s="182" t="inlineStr">
        <is>
          <t>n/a</t>
        </is>
      </c>
      <c r="S192" s="182" t="inlineStr">
        <is>
          <t>197-18-K-26, (07.08.2026) [FHM-K]</t>
        </is>
      </c>
      <c r="T192" s="182" t="inlineStr">
        <is>
          <t>197-18-K-26, (07.08.2026) [FHM-K]</t>
        </is>
      </c>
      <c r="U192" s="182" t="inlineStr">
        <is>
          <t>197-18-M-26, (10.08.2026) [FHM-M]</t>
        </is>
      </c>
      <c r="V192" s="182" t="inlineStr">
        <is>
          <t>#8, #9, #11, #12 from the initial testing</t>
        </is>
      </c>
      <c r="W192" s="188" t="inlineStr">
        <is>
          <t>due — retest assay and mycotoxins on file</t>
        </is>
      </c>
    </row>
    <row r="193">
      <c r="A193" s="182" t="n">
        <v>192</v>
      </c>
      <c r="B193" s="182" t="inlineStr">
        <is>
          <t>retest — QP campaign</t>
        </is>
      </c>
      <c r="C193" s="181">
        <f>IFERROR(INDEX('iCoA Register'!$B:$B,MATCH("P050062|FM|R",'iCoA Register'!$R:$R,0)),"— at issue —")</f>
        <v/>
      </c>
      <c r="D193" s="182" t="inlineStr"/>
      <c r="E193" s="182" t="inlineStr">
        <is>
          <t>CoQ-PP-2026-0035</t>
        </is>
      </c>
      <c r="F193" s="182" t="inlineStr">
        <is>
          <t>04.07.2026</t>
        </is>
      </c>
      <c r="G193" s="182" t="inlineStr">
        <is>
          <t>at retest sampling · QP campaign</t>
        </is>
      </c>
      <c r="H193" s="181" t="inlineStr">
        <is>
          <t>OPM1024_02</t>
        </is>
      </c>
      <c r="I193" s="182" t="inlineStr">
        <is>
          <t>P050062</t>
        </is>
      </c>
      <c r="J193" s="182" t="inlineStr">
        <is>
          <t>Orange Punch Mimosa</t>
        </is>
      </c>
      <c r="K193" s="182" t="inlineStr">
        <is>
          <t>29.05.2025 – 30.05.2025</t>
        </is>
      </c>
      <c r="L193" s="182" t="inlineStr">
        <is>
          <t>04.07.2025 – 10.07.2025</t>
        </is>
      </c>
      <c r="M193" s="182" t="inlineStr">
        <is>
          <t>10.07.2025</t>
        </is>
      </c>
      <c r="N193" s="182" t="inlineStr">
        <is>
          <t>Foreign matter</t>
        </is>
      </c>
      <c r="O193" s="182" t="inlineStr">
        <is>
          <t>iCoA_P07 · Foreign matter</t>
        </is>
      </c>
      <c r="P193" s="182" t="inlineStr">
        <is>
          <t>n/a</t>
        </is>
      </c>
      <c r="Q193" s="182" t="inlineStr">
        <is>
          <t>n/a</t>
        </is>
      </c>
      <c r="R193" s="182" t="inlineStr">
        <is>
          <t>to test</t>
        </is>
      </c>
      <c r="S193" s="182" t="inlineStr">
        <is>
          <t>197-18-K-26, (07.08.2026) [FHM-K]</t>
        </is>
      </c>
      <c r="T193" s="182" t="inlineStr">
        <is>
          <t>197-18-K-26, (07.08.2026) [FHM-K]</t>
        </is>
      </c>
      <c r="U193" s="182" t="inlineStr">
        <is>
          <t>197-18-M-26, (10.08.2026) [FHM-M]</t>
        </is>
      </c>
      <c r="V193" s="182" t="inlineStr">
        <is>
          <t>#8, #9, #11, #12 from the initial testing</t>
        </is>
      </c>
      <c r="W193" s="188" t="inlineStr">
        <is>
          <t>due — retest assay and mycotoxins on file</t>
        </is>
      </c>
    </row>
    <row r="194">
      <c r="A194" s="182" t="n">
        <v>193</v>
      </c>
      <c r="B194" s="182" t="inlineStr">
        <is>
          <t>retest — QP campaign</t>
        </is>
      </c>
      <c r="C194" s="181">
        <f>IFERROR(INDEX('iCoA Register'!$B:$B,MATCH("P050072|AB|R",'iCoA Register'!$R:$R,0)),"— at issue —")</f>
        <v/>
      </c>
      <c r="D194" s="182" t="inlineStr"/>
      <c r="E194" s="182" t="inlineStr">
        <is>
          <t>CoQ-PP-2026-0036</t>
        </is>
      </c>
      <c r="F194" s="182" t="inlineStr">
        <is>
          <t>14.07.2026</t>
        </is>
      </c>
      <c r="G194" s="182" t="inlineStr">
        <is>
          <t>at retest sampling · QP campaign</t>
        </is>
      </c>
      <c r="H194" s="181" t="inlineStr">
        <is>
          <t>GP0824_03</t>
        </is>
      </c>
      <c r="I194" s="182" t="inlineStr">
        <is>
          <t>P050072</t>
        </is>
      </c>
      <c r="J194" s="182" t="inlineStr">
        <is>
          <t>Grape Pie</t>
        </is>
      </c>
      <c r="K194" s="182" t="inlineStr">
        <is>
          <t>09.06.2025 – 10.06.2025</t>
        </is>
      </c>
      <c r="L194" s="182" t="inlineStr">
        <is>
          <t>14.07.2025 – 17.07.2025</t>
        </is>
      </c>
      <c r="M194" s="182" t="inlineStr">
        <is>
          <t>17.07.2025</t>
        </is>
      </c>
      <c r="N194" s="182" t="inlineStr">
        <is>
          <t>Ident A + Ident B</t>
        </is>
      </c>
      <c r="O194" s="182" t="inlineStr">
        <is>
          <t>iCoA_P01-02 · Appearance &amp; Identification A/B</t>
        </is>
      </c>
      <c r="P194" s="182" t="inlineStr">
        <is>
          <t>to test</t>
        </is>
      </c>
      <c r="Q194" s="182" t="inlineStr">
        <is>
          <t>to test</t>
        </is>
      </c>
      <c r="R194" s="182" t="inlineStr">
        <is>
          <t>n/a</t>
        </is>
      </c>
      <c r="S194" s="182" t="inlineStr">
        <is>
          <t>ППК26034, (05.03.2026) [CNP]</t>
        </is>
      </c>
      <c r="T194" s="182" t="inlineStr">
        <is>
          <t>ППК26034, (05.03.2026) [CNP]</t>
        </is>
      </c>
      <c r="U194" s="189" t="inlineStr">
        <is>
          <t>— pending —</t>
        </is>
      </c>
      <c r="V194" s="182" t="inlineStr">
        <is>
          <t>#8, #9, #11, #12 from the initial testing</t>
        </is>
      </c>
      <c r="W194" s="188" t="inlineStr">
        <is>
          <t>due — retest assay on file, mycotoxins pending</t>
        </is>
      </c>
    </row>
    <row r="195">
      <c r="A195" s="182" t="n">
        <v>194</v>
      </c>
      <c r="B195" s="182" t="inlineStr">
        <is>
          <t>retest — QP campaign</t>
        </is>
      </c>
      <c r="C195" s="181">
        <f>IFERROR(INDEX('iCoA Register'!$B:$B,MATCH("P050072|FM|R",'iCoA Register'!$R:$R,0)),"— at issue —")</f>
        <v/>
      </c>
      <c r="D195" s="182" t="inlineStr"/>
      <c r="E195" s="182" t="inlineStr">
        <is>
          <t>CoQ-PP-2026-0036</t>
        </is>
      </c>
      <c r="F195" s="182" t="inlineStr">
        <is>
          <t>14.07.2026</t>
        </is>
      </c>
      <c r="G195" s="182" t="inlineStr">
        <is>
          <t>at retest sampling · QP campaign</t>
        </is>
      </c>
      <c r="H195" s="181" t="inlineStr">
        <is>
          <t>GP0824_03</t>
        </is>
      </c>
      <c r="I195" s="182" t="inlineStr">
        <is>
          <t>P050072</t>
        </is>
      </c>
      <c r="J195" s="182" t="inlineStr">
        <is>
          <t>Grape Pie</t>
        </is>
      </c>
      <c r="K195" s="182" t="inlineStr">
        <is>
          <t>09.06.2025 – 10.06.2025</t>
        </is>
      </c>
      <c r="L195" s="182" t="inlineStr">
        <is>
          <t>14.07.2025 – 17.07.2025</t>
        </is>
      </c>
      <c r="M195" s="182" t="inlineStr">
        <is>
          <t>17.07.2025</t>
        </is>
      </c>
      <c r="N195" s="182" t="inlineStr">
        <is>
          <t>Foreign matter</t>
        </is>
      </c>
      <c r="O195" s="182" t="inlineStr">
        <is>
          <t>iCoA_P07 · Foreign matter</t>
        </is>
      </c>
      <c r="P195" s="182" t="inlineStr">
        <is>
          <t>n/a</t>
        </is>
      </c>
      <c r="Q195" s="182" t="inlineStr">
        <is>
          <t>n/a</t>
        </is>
      </c>
      <c r="R195" s="182" t="inlineStr">
        <is>
          <t>to test</t>
        </is>
      </c>
      <c r="S195" s="182" t="inlineStr">
        <is>
          <t>ППК26034, (05.03.2026) [CNP]</t>
        </is>
      </c>
      <c r="T195" s="182" t="inlineStr">
        <is>
          <t>ППК26034, (05.03.2026) [CNP]</t>
        </is>
      </c>
      <c r="U195" s="189" t="inlineStr">
        <is>
          <t>— pending —</t>
        </is>
      </c>
      <c r="V195" s="182" t="inlineStr">
        <is>
          <t>#8, #9, #11, #12 from the initial testing</t>
        </is>
      </c>
      <c r="W195" s="188" t="inlineStr">
        <is>
          <t>due — retest assay on file, mycotoxins pending</t>
        </is>
      </c>
    </row>
    <row r="196">
      <c r="A196" s="182" t="n">
        <v>195</v>
      </c>
      <c r="B196" s="182" t="inlineStr">
        <is>
          <t>retest — QP campaign</t>
        </is>
      </c>
      <c r="C196" s="181">
        <f>IFERROR(INDEX('iCoA Register'!$B:$B,MATCH("P050082|AB|R",'iCoA Register'!$R:$R,0)),"— at issue —")</f>
        <v/>
      </c>
      <c r="D196" s="182" t="inlineStr"/>
      <c r="E196" s="182" t="inlineStr">
        <is>
          <t>CoQ-PP-2026-0037</t>
        </is>
      </c>
      <c r="F196" s="182" t="inlineStr">
        <is>
          <t>22.07.2026</t>
        </is>
      </c>
      <c r="G196" s="182" t="inlineStr">
        <is>
          <t>at retest sampling · QP campaign</t>
        </is>
      </c>
      <c r="H196" s="181" t="inlineStr">
        <is>
          <t>OPM1024_03</t>
        </is>
      </c>
      <c r="I196" s="182" t="inlineStr">
        <is>
          <t>P050082</t>
        </is>
      </c>
      <c r="J196" s="182" t="inlineStr">
        <is>
          <t>Orange Punch Mimosa</t>
        </is>
      </c>
      <c r="K196" s="182" t="inlineStr">
        <is>
          <t>01.07.2025 – 02.07.2025</t>
        </is>
      </c>
      <c r="L196" s="182" t="inlineStr">
        <is>
          <t>22.07.2025 – 30.07.2025</t>
        </is>
      </c>
      <c r="M196" s="182" t="inlineStr">
        <is>
          <t>30.07.2025</t>
        </is>
      </c>
      <c r="N196" s="182" t="inlineStr">
        <is>
          <t>Ident A + Ident B</t>
        </is>
      </c>
      <c r="O196" s="182" t="inlineStr">
        <is>
          <t>iCoA_P01-02 · Appearance &amp; Identification A/B</t>
        </is>
      </c>
      <c r="P196" s="182" t="inlineStr">
        <is>
          <t>to test</t>
        </is>
      </c>
      <c r="Q196" s="182" t="inlineStr">
        <is>
          <t>to test</t>
        </is>
      </c>
      <c r="R196" s="182" t="inlineStr">
        <is>
          <t>n/a</t>
        </is>
      </c>
      <c r="S196" s="189" t="inlineStr">
        <is>
          <t>— retest assay not yet on file —</t>
        </is>
      </c>
      <c r="T196" s="189" t="inlineStr">
        <is>
          <t>— pending —</t>
        </is>
      </c>
      <c r="U196" s="189" t="inlineStr">
        <is>
          <t>— pending —</t>
        </is>
      </c>
      <c r="V196" s="182" t="inlineStr">
        <is>
          <t>#8, #9, #11, #12 from the initial testing</t>
        </is>
      </c>
      <c r="W196" s="189" t="inlineStr">
        <is>
          <t>pending — retest assay not yet on file</t>
        </is>
      </c>
    </row>
    <row r="197">
      <c r="A197" s="182" t="n">
        <v>196</v>
      </c>
      <c r="B197" s="182" t="inlineStr">
        <is>
          <t>retest — QP campaign</t>
        </is>
      </c>
      <c r="C197" s="181">
        <f>IFERROR(INDEX('iCoA Register'!$B:$B,MATCH("P050082|FM|R",'iCoA Register'!$R:$R,0)),"— at issue —")</f>
        <v/>
      </c>
      <c r="D197" s="182" t="inlineStr"/>
      <c r="E197" s="182" t="inlineStr">
        <is>
          <t>CoQ-PP-2026-0037</t>
        </is>
      </c>
      <c r="F197" s="182" t="inlineStr">
        <is>
          <t>22.07.2026</t>
        </is>
      </c>
      <c r="G197" s="182" t="inlineStr">
        <is>
          <t>at retest sampling · QP campaign</t>
        </is>
      </c>
      <c r="H197" s="181" t="inlineStr">
        <is>
          <t>OPM1024_03</t>
        </is>
      </c>
      <c r="I197" s="182" t="inlineStr">
        <is>
          <t>P050082</t>
        </is>
      </c>
      <c r="J197" s="182" t="inlineStr">
        <is>
          <t>Orange Punch Mimosa</t>
        </is>
      </c>
      <c r="K197" s="182" t="inlineStr">
        <is>
          <t>01.07.2025 – 02.07.2025</t>
        </is>
      </c>
      <c r="L197" s="182" t="inlineStr">
        <is>
          <t>22.07.2025 – 30.07.2025</t>
        </is>
      </c>
      <c r="M197" s="182" t="inlineStr">
        <is>
          <t>30.07.2025</t>
        </is>
      </c>
      <c r="N197" s="182" t="inlineStr">
        <is>
          <t>Foreign matter</t>
        </is>
      </c>
      <c r="O197" s="182" t="inlineStr">
        <is>
          <t>iCoA_P07 · Foreign matter</t>
        </is>
      </c>
      <c r="P197" s="182" t="inlineStr">
        <is>
          <t>n/a</t>
        </is>
      </c>
      <c r="Q197" s="182" t="inlineStr">
        <is>
          <t>n/a</t>
        </is>
      </c>
      <c r="R197" s="182" t="inlineStr">
        <is>
          <t>to test</t>
        </is>
      </c>
      <c r="S197" s="189" t="inlineStr">
        <is>
          <t>— retest assay not yet on file —</t>
        </is>
      </c>
      <c r="T197" s="189" t="inlineStr">
        <is>
          <t>— pending —</t>
        </is>
      </c>
      <c r="U197" s="189" t="inlineStr">
        <is>
          <t>— pending —</t>
        </is>
      </c>
      <c r="V197" s="182" t="inlineStr">
        <is>
          <t>#8, #9, #11, #12 from the initial testing</t>
        </is>
      </c>
      <c r="W197" s="189" t="inlineStr">
        <is>
          <t>pending — retest assay not yet on file</t>
        </is>
      </c>
    </row>
    <row r="198">
      <c r="A198" s="182" t="n">
        <v>197</v>
      </c>
      <c r="B198" s="182" t="inlineStr">
        <is>
          <t>retest — QP campaign</t>
        </is>
      </c>
      <c r="C198" s="181">
        <f>IFERROR(INDEX('iCoA Register'!$B:$B,MATCH("P050092|AB|R",'iCoA Register'!$R:$R,0)),"— at issue —")</f>
        <v/>
      </c>
      <c r="D198" s="182" t="inlineStr"/>
      <c r="E198" s="182" t="inlineStr">
        <is>
          <t>CoQ-PP-2026-0038</t>
        </is>
      </c>
      <c r="F198" s="182" t="inlineStr">
        <is>
          <t>31.07.2026</t>
        </is>
      </c>
      <c r="G198" s="182" t="inlineStr">
        <is>
          <t>at retest sampling · QP campaign</t>
        </is>
      </c>
      <c r="H198" s="181" t="inlineStr">
        <is>
          <t>GG1024_01</t>
        </is>
      </c>
      <c r="I198" s="182" t="inlineStr">
        <is>
          <t>P050092</t>
        </is>
      </c>
      <c r="J198" s="182" t="inlineStr">
        <is>
          <t>Gorilla Glue</t>
        </is>
      </c>
      <c r="K198" s="182" t="inlineStr">
        <is>
          <t>17.03.2025 – 18.03.2025</t>
        </is>
      </c>
      <c r="L198" s="182" t="inlineStr">
        <is>
          <t>31.07.2025 – 05.08.2025</t>
        </is>
      </c>
      <c r="M198" s="182" t="inlineStr">
        <is>
          <t>05.08.2025</t>
        </is>
      </c>
      <c r="N198" s="182" t="inlineStr">
        <is>
          <t>Ident A + Ident B</t>
        </is>
      </c>
      <c r="O198" s="182" t="inlineStr">
        <is>
          <t>iCoA_P01-02 · Appearance &amp; Identification A/B</t>
        </is>
      </c>
      <c r="P198" s="182" t="inlineStr">
        <is>
          <t>to test</t>
        </is>
      </c>
      <c r="Q198" s="182" t="inlineStr">
        <is>
          <t>to test</t>
        </is>
      </c>
      <c r="R198" s="182" t="inlineStr">
        <is>
          <t>n/a</t>
        </is>
      </c>
      <c r="S198" s="182" t="inlineStr">
        <is>
          <t>197-9-K-26, (07.08.2026) [FHM-K]</t>
        </is>
      </c>
      <c r="T198" s="182" t="inlineStr">
        <is>
          <t>197-9-K-26, (07.08.2026) [FHM-K]</t>
        </is>
      </c>
      <c r="U198" s="182" t="inlineStr">
        <is>
          <t>197-9-M-26, (10.08.2026) [FHM-M]</t>
        </is>
      </c>
      <c r="V198" s="182" t="inlineStr">
        <is>
          <t>#8, #9, #11, #12 from the initial testing</t>
        </is>
      </c>
      <c r="W198" s="188" t="inlineStr">
        <is>
          <t>due — retest assay and mycotoxins on file</t>
        </is>
      </c>
    </row>
    <row r="199">
      <c r="A199" s="182" t="n">
        <v>198</v>
      </c>
      <c r="B199" s="182" t="inlineStr">
        <is>
          <t>retest — QP campaign</t>
        </is>
      </c>
      <c r="C199" s="181">
        <f>IFERROR(INDEX('iCoA Register'!$B:$B,MATCH("P050092|FM|R",'iCoA Register'!$R:$R,0)),"— at issue —")</f>
        <v/>
      </c>
      <c r="D199" s="182" t="inlineStr"/>
      <c r="E199" s="182" t="inlineStr">
        <is>
          <t>CoQ-PP-2026-0038</t>
        </is>
      </c>
      <c r="F199" s="182" t="inlineStr">
        <is>
          <t>31.07.2026</t>
        </is>
      </c>
      <c r="G199" s="182" t="inlineStr">
        <is>
          <t>at retest sampling · QP campaign</t>
        </is>
      </c>
      <c r="H199" s="181" t="inlineStr">
        <is>
          <t>GG1024_01</t>
        </is>
      </c>
      <c r="I199" s="182" t="inlineStr">
        <is>
          <t>P050092</t>
        </is>
      </c>
      <c r="J199" s="182" t="inlineStr">
        <is>
          <t>Gorilla Glue</t>
        </is>
      </c>
      <c r="K199" s="182" t="inlineStr">
        <is>
          <t>17.03.2025 – 18.03.2025</t>
        </is>
      </c>
      <c r="L199" s="182" t="inlineStr">
        <is>
          <t>31.07.2025 – 05.08.2025</t>
        </is>
      </c>
      <c r="M199" s="182" t="inlineStr">
        <is>
          <t>05.08.2025</t>
        </is>
      </c>
      <c r="N199" s="182" t="inlineStr">
        <is>
          <t>Foreign matter</t>
        </is>
      </c>
      <c r="O199" s="182" t="inlineStr">
        <is>
          <t>iCoA_P07 · Foreign matter</t>
        </is>
      </c>
      <c r="P199" s="182" t="inlineStr">
        <is>
          <t>n/a</t>
        </is>
      </c>
      <c r="Q199" s="182" t="inlineStr">
        <is>
          <t>n/a</t>
        </is>
      </c>
      <c r="R199" s="182" t="inlineStr">
        <is>
          <t>to test</t>
        </is>
      </c>
      <c r="S199" s="182" t="inlineStr">
        <is>
          <t>197-9-K-26, (07.08.2026) [FHM-K]</t>
        </is>
      </c>
      <c r="T199" s="182" t="inlineStr">
        <is>
          <t>197-9-K-26, (07.08.2026) [FHM-K]</t>
        </is>
      </c>
      <c r="U199" s="182" t="inlineStr">
        <is>
          <t>197-9-M-26, (10.08.2026) [FHM-M]</t>
        </is>
      </c>
      <c r="V199" s="182" t="inlineStr">
        <is>
          <t>#8, #9, #11, #12 from the initial testing</t>
        </is>
      </c>
      <c r="W199" s="188" t="inlineStr">
        <is>
          <t>due — retest assay and mycotoxins on file</t>
        </is>
      </c>
    </row>
    <row r="200">
      <c r="A200" s="182" t="n">
        <v>199</v>
      </c>
      <c r="B200" s="182" t="inlineStr">
        <is>
          <t>retest — QP campaign</t>
        </is>
      </c>
      <c r="C200" s="181">
        <f>IFERROR(INDEX('iCoA Register'!$B:$B,MATCH("P050112|AB|R",'iCoA Register'!$R:$R,0)),"— at issue —")</f>
        <v/>
      </c>
      <c r="D200" s="182" t="inlineStr"/>
      <c r="E200" s="182" t="inlineStr">
        <is>
          <t>CoQ-PP-2026-0039</t>
        </is>
      </c>
      <c r="F200" s="182" t="inlineStr">
        <is>
          <t>25.08.2026</t>
        </is>
      </c>
      <c r="G200" s="182" t="inlineStr">
        <is>
          <t>at retest sampling · QP campaign</t>
        </is>
      </c>
      <c r="H200" s="181" t="inlineStr">
        <is>
          <t>MB0824_05</t>
        </is>
      </c>
      <c r="I200" s="182" t="inlineStr">
        <is>
          <t>P050112</t>
        </is>
      </c>
      <c r="J200" s="182" t="inlineStr">
        <is>
          <t>Motor Breath</t>
        </is>
      </c>
      <c r="K200" s="182" t="inlineStr">
        <is>
          <t>08.07.2025 – 09.07.2025</t>
        </is>
      </c>
      <c r="L200" s="182" t="inlineStr">
        <is>
          <t>25.08.2025 – 31.08.2025</t>
        </is>
      </c>
      <c r="M200" s="182" t="inlineStr">
        <is>
          <t>31.08.2025</t>
        </is>
      </c>
      <c r="N200" s="182" t="inlineStr">
        <is>
          <t>Ident A + Ident B</t>
        </is>
      </c>
      <c r="O200" s="182" t="inlineStr">
        <is>
          <t>iCoA_P01-02 · Appearance &amp; Identification A/B</t>
        </is>
      </c>
      <c r="P200" s="182" t="inlineStr">
        <is>
          <t>to test</t>
        </is>
      </c>
      <c r="Q200" s="182" t="inlineStr">
        <is>
          <t>to test</t>
        </is>
      </c>
      <c r="R200" s="182" t="inlineStr">
        <is>
          <t>n/a</t>
        </is>
      </c>
      <c r="S200" s="189" t="inlineStr">
        <is>
          <t>— retest assay not yet on file —</t>
        </is>
      </c>
      <c r="T200" s="189" t="inlineStr">
        <is>
          <t>— pending —</t>
        </is>
      </c>
      <c r="U200" s="189" t="inlineStr">
        <is>
          <t>— pending —</t>
        </is>
      </c>
      <c r="V200" s="182" t="inlineStr">
        <is>
          <t>#8, #9, #11, #12 from the initial testing</t>
        </is>
      </c>
      <c r="W200" s="189" t="inlineStr">
        <is>
          <t>pending — retest assay not yet on file</t>
        </is>
      </c>
    </row>
    <row r="201">
      <c r="A201" s="182" t="n">
        <v>200</v>
      </c>
      <c r="B201" s="182" t="inlineStr">
        <is>
          <t>retest — QP campaign</t>
        </is>
      </c>
      <c r="C201" s="181">
        <f>IFERROR(INDEX('iCoA Register'!$B:$B,MATCH("P050112|FM|R",'iCoA Register'!$R:$R,0)),"— at issue —")</f>
        <v/>
      </c>
      <c r="D201" s="182" t="inlineStr"/>
      <c r="E201" s="182" t="inlineStr">
        <is>
          <t>CoQ-PP-2026-0039</t>
        </is>
      </c>
      <c r="F201" s="182" t="inlineStr">
        <is>
          <t>25.08.2026</t>
        </is>
      </c>
      <c r="G201" s="182" t="inlineStr">
        <is>
          <t>at retest sampling · QP campaign</t>
        </is>
      </c>
      <c r="H201" s="181" t="inlineStr">
        <is>
          <t>MB0824_05</t>
        </is>
      </c>
      <c r="I201" s="182" t="inlineStr">
        <is>
          <t>P050112</t>
        </is>
      </c>
      <c r="J201" s="182" t="inlineStr">
        <is>
          <t>Motor Breath</t>
        </is>
      </c>
      <c r="K201" s="182" t="inlineStr">
        <is>
          <t>08.07.2025 – 09.07.2025</t>
        </is>
      </c>
      <c r="L201" s="182" t="inlineStr">
        <is>
          <t>25.08.2025 – 31.08.2025</t>
        </is>
      </c>
      <c r="M201" s="182" t="inlineStr">
        <is>
          <t>31.08.2025</t>
        </is>
      </c>
      <c r="N201" s="182" t="inlineStr">
        <is>
          <t>Foreign matter</t>
        </is>
      </c>
      <c r="O201" s="182" t="inlineStr">
        <is>
          <t>iCoA_P07 · Foreign matter</t>
        </is>
      </c>
      <c r="P201" s="182" t="inlineStr">
        <is>
          <t>n/a</t>
        </is>
      </c>
      <c r="Q201" s="182" t="inlineStr">
        <is>
          <t>n/a</t>
        </is>
      </c>
      <c r="R201" s="182" t="inlineStr">
        <is>
          <t>to test</t>
        </is>
      </c>
      <c r="S201" s="189" t="inlineStr">
        <is>
          <t>— retest assay not yet on file —</t>
        </is>
      </c>
      <c r="T201" s="189" t="inlineStr">
        <is>
          <t>— pending —</t>
        </is>
      </c>
      <c r="U201" s="189" t="inlineStr">
        <is>
          <t>— pending —</t>
        </is>
      </c>
      <c r="V201" s="182" t="inlineStr">
        <is>
          <t>#8, #9, #11, #12 from the initial testing</t>
        </is>
      </c>
      <c r="W201" s="189" t="inlineStr">
        <is>
          <t>pending — retest assay not yet on file</t>
        </is>
      </c>
    </row>
    <row r="202">
      <c r="A202" s="182" t="n">
        <v>201</v>
      </c>
      <c r="B202" s="182" t="inlineStr">
        <is>
          <t>retest — QP campaign</t>
        </is>
      </c>
      <c r="C202" s="181">
        <f>IFERROR(INDEX('iCoA Register'!$B:$B,MATCH("P050132|AB|R",'iCoA Register'!$R:$R,0)),"— at issue —")</f>
        <v/>
      </c>
      <c r="D202" s="182" t="inlineStr"/>
      <c r="E202" s="182" t="inlineStr">
        <is>
          <t>CoQ reissue (assigned on issue)</t>
        </is>
      </c>
      <c r="F202" s="182" t="inlineStr">
        <is>
          <t>05.09.2026</t>
        </is>
      </c>
      <c r="G202" s="182" t="inlineStr">
        <is>
          <t>at retest sampling · QP campaign</t>
        </is>
      </c>
      <c r="H202" s="181" t="inlineStr">
        <is>
          <t>OPM052501</t>
        </is>
      </c>
      <c r="I202" s="182" t="inlineStr">
        <is>
          <t>P050132</t>
        </is>
      </c>
      <c r="J202" s="182" t="inlineStr">
        <is>
          <t>Orange Punch Mimosa</t>
        </is>
      </c>
      <c r="K202" s="182" t="inlineStr">
        <is>
          <t>11.08.2025 – 13.08.2025</t>
        </is>
      </c>
      <c r="L202" s="182" t="inlineStr">
        <is>
          <t>09.09.2025 – 15.09.2025 (the issuance plan's basis: 05.09.2025)</t>
        </is>
      </c>
      <c r="M202" s="182" t="inlineStr">
        <is>
          <t>15.09.2025</t>
        </is>
      </c>
      <c r="N202" s="182" t="inlineStr">
        <is>
          <t>Ident A + Ident B</t>
        </is>
      </c>
      <c r="O202" s="182" t="inlineStr">
        <is>
          <t>iCoA_P01-02 · Appearance &amp; Identification A/B</t>
        </is>
      </c>
      <c r="P202" s="182" t="inlineStr">
        <is>
          <t>to test</t>
        </is>
      </c>
      <c r="Q202" s="182" t="inlineStr">
        <is>
          <t>to test</t>
        </is>
      </c>
      <c r="R202" s="182" t="inlineStr">
        <is>
          <t>n/a</t>
        </is>
      </c>
      <c r="S202" s="189" t="inlineStr">
        <is>
          <t>— retest assay not yet on file —</t>
        </is>
      </c>
      <c r="T202" s="189" t="inlineStr">
        <is>
          <t>— pending —</t>
        </is>
      </c>
      <c r="U202" s="189" t="inlineStr">
        <is>
          <t>— pending —</t>
        </is>
      </c>
      <c r="V202" s="182" t="inlineStr">
        <is>
          <t>#8, #9, #11, #12 from the initial testing</t>
        </is>
      </c>
      <c r="W202" s="189" t="inlineStr">
        <is>
          <t>pending — retest assay not yet on file</t>
        </is>
      </c>
    </row>
    <row r="203">
      <c r="A203" s="182" t="n">
        <v>202</v>
      </c>
      <c r="B203" s="182" t="inlineStr">
        <is>
          <t>retest — QP campaign</t>
        </is>
      </c>
      <c r="C203" s="181">
        <f>IFERROR(INDEX('iCoA Register'!$B:$B,MATCH("P050132|FM|R",'iCoA Register'!$R:$R,0)),"— at issue —")</f>
        <v/>
      </c>
      <c r="D203" s="182" t="inlineStr"/>
      <c r="E203" s="182" t="inlineStr">
        <is>
          <t>CoQ reissue (assigned on issue)</t>
        </is>
      </c>
      <c r="F203" s="182" t="inlineStr">
        <is>
          <t>05.09.2026</t>
        </is>
      </c>
      <c r="G203" s="182" t="inlineStr">
        <is>
          <t>at retest sampling · QP campaign</t>
        </is>
      </c>
      <c r="H203" s="181" t="inlineStr">
        <is>
          <t>OPM052501</t>
        </is>
      </c>
      <c r="I203" s="182" t="inlineStr">
        <is>
          <t>P050132</t>
        </is>
      </c>
      <c r="J203" s="182" t="inlineStr">
        <is>
          <t>Orange Punch Mimosa</t>
        </is>
      </c>
      <c r="K203" s="182" t="inlineStr">
        <is>
          <t>11.08.2025 – 13.08.2025</t>
        </is>
      </c>
      <c r="L203" s="182" t="inlineStr">
        <is>
          <t>09.09.2025 – 15.09.2025 (the issuance plan's basis: 05.09.2025)</t>
        </is>
      </c>
      <c r="M203" s="182" t="inlineStr">
        <is>
          <t>15.09.2025</t>
        </is>
      </c>
      <c r="N203" s="182" t="inlineStr">
        <is>
          <t>Foreign matter</t>
        </is>
      </c>
      <c r="O203" s="182" t="inlineStr">
        <is>
          <t>iCoA_P07 · Foreign matter</t>
        </is>
      </c>
      <c r="P203" s="182" t="inlineStr">
        <is>
          <t>n/a</t>
        </is>
      </c>
      <c r="Q203" s="182" t="inlineStr">
        <is>
          <t>n/a</t>
        </is>
      </c>
      <c r="R203" s="182" t="inlineStr">
        <is>
          <t>to test</t>
        </is>
      </c>
      <c r="S203" s="189" t="inlineStr">
        <is>
          <t>— retest assay not yet on file —</t>
        </is>
      </c>
      <c r="T203" s="189" t="inlineStr">
        <is>
          <t>— pending —</t>
        </is>
      </c>
      <c r="U203" s="189" t="inlineStr">
        <is>
          <t>— pending —</t>
        </is>
      </c>
      <c r="V203" s="182" t="inlineStr">
        <is>
          <t>#8, #9, #11, #12 from the initial testing</t>
        </is>
      </c>
      <c r="W203" s="189" t="inlineStr">
        <is>
          <t>pending — retest assay not yet on file</t>
        </is>
      </c>
    </row>
    <row r="204">
      <c r="A204" s="182" t="n">
        <v>203</v>
      </c>
      <c r="B204" s="182" t="inlineStr">
        <is>
          <t>retest — QP campaign</t>
        </is>
      </c>
      <c r="C204" s="181">
        <f>IFERROR(INDEX('iCoA Register'!$B:$B,MATCH("P050172|AB|R",'iCoA Register'!$R:$R,0)),"— at issue —")</f>
        <v/>
      </c>
      <c r="D204" s="182" t="inlineStr"/>
      <c r="E204" s="182" t="inlineStr">
        <is>
          <t>CoQ reissue (assigned on issue)</t>
        </is>
      </c>
      <c r="F204" s="182" t="inlineStr">
        <is>
          <t>17.09.2026</t>
        </is>
      </c>
      <c r="G204" s="182" t="inlineStr">
        <is>
          <t>at retest sampling · QP campaign</t>
        </is>
      </c>
      <c r="H204" s="181" t="inlineStr">
        <is>
          <t>CJ052501/02</t>
        </is>
      </c>
      <c r="I204" s="182" t="inlineStr">
        <is>
          <t>P050172</t>
        </is>
      </c>
      <c r="J204" s="182" t="inlineStr">
        <is>
          <t>Cap Junky</t>
        </is>
      </c>
      <c r="K204" s="182" t="inlineStr">
        <is>
          <t>20.08.2025</t>
        </is>
      </c>
      <c r="L204" s="182" t="inlineStr">
        <is>
          <t>01.10.2025 – 02.10.2025 (the issuance plan's basis: 17.09.2025)</t>
        </is>
      </c>
      <c r="M204" s="182" t="inlineStr">
        <is>
          <t>02.10.2025</t>
        </is>
      </c>
      <c r="N204" s="182" t="inlineStr">
        <is>
          <t>Ident A + Ident B</t>
        </is>
      </c>
      <c r="O204" s="182" t="inlineStr">
        <is>
          <t>iCoA_P01-02 · Appearance &amp; Identification A/B</t>
        </is>
      </c>
      <c r="P204" s="182" t="inlineStr">
        <is>
          <t>to test</t>
        </is>
      </c>
      <c r="Q204" s="182" t="inlineStr">
        <is>
          <t>to test</t>
        </is>
      </c>
      <c r="R204" s="182" t="inlineStr">
        <is>
          <t>n/a</t>
        </is>
      </c>
      <c r="S204" s="189" t="inlineStr">
        <is>
          <t>— retest assay not yet on file —</t>
        </is>
      </c>
      <c r="T204" s="189" t="inlineStr">
        <is>
          <t>— pending —</t>
        </is>
      </c>
      <c r="U204" s="189" t="inlineStr">
        <is>
          <t>— pending —</t>
        </is>
      </c>
      <c r="V204" s="182" t="inlineStr">
        <is>
          <t>#8, #9, #11, #12 from the initial testing</t>
        </is>
      </c>
      <c r="W204" s="189" t="inlineStr">
        <is>
          <t>pending — retest assay not yet on file</t>
        </is>
      </c>
    </row>
    <row r="205">
      <c r="A205" s="182" t="n">
        <v>204</v>
      </c>
      <c r="B205" s="182" t="inlineStr">
        <is>
          <t>retest — QP campaign</t>
        </is>
      </c>
      <c r="C205" s="181">
        <f>IFERROR(INDEX('iCoA Register'!$B:$B,MATCH("P050172|FM|R",'iCoA Register'!$R:$R,0)),"— at issue —")</f>
        <v/>
      </c>
      <c r="D205" s="182" t="inlineStr"/>
      <c r="E205" s="182" t="inlineStr">
        <is>
          <t>CoQ reissue (assigned on issue)</t>
        </is>
      </c>
      <c r="F205" s="182" t="inlineStr">
        <is>
          <t>17.09.2026</t>
        </is>
      </c>
      <c r="G205" s="182" t="inlineStr">
        <is>
          <t>at retest sampling · QP campaign</t>
        </is>
      </c>
      <c r="H205" s="181" t="inlineStr">
        <is>
          <t>CJ052501/02</t>
        </is>
      </c>
      <c r="I205" s="182" t="inlineStr">
        <is>
          <t>P050172</t>
        </is>
      </c>
      <c r="J205" s="182" t="inlineStr">
        <is>
          <t>Cap Junky</t>
        </is>
      </c>
      <c r="K205" s="182" t="inlineStr">
        <is>
          <t>20.08.2025</t>
        </is>
      </c>
      <c r="L205" s="182" t="inlineStr">
        <is>
          <t>01.10.2025 – 02.10.2025 (the issuance plan's basis: 17.09.2025)</t>
        </is>
      </c>
      <c r="M205" s="182" t="inlineStr">
        <is>
          <t>02.10.2025</t>
        </is>
      </c>
      <c r="N205" s="182" t="inlineStr">
        <is>
          <t>Foreign matter</t>
        </is>
      </c>
      <c r="O205" s="182" t="inlineStr">
        <is>
          <t>iCoA_P07 · Foreign matter</t>
        </is>
      </c>
      <c r="P205" s="182" t="inlineStr">
        <is>
          <t>n/a</t>
        </is>
      </c>
      <c r="Q205" s="182" t="inlineStr">
        <is>
          <t>n/a</t>
        </is>
      </c>
      <c r="R205" s="182" t="inlineStr">
        <is>
          <t>to test</t>
        </is>
      </c>
      <c r="S205" s="189" t="inlineStr">
        <is>
          <t>— retest assay not yet on file —</t>
        </is>
      </c>
      <c r="T205" s="189" t="inlineStr">
        <is>
          <t>— pending —</t>
        </is>
      </c>
      <c r="U205" s="189" t="inlineStr">
        <is>
          <t>— pending —</t>
        </is>
      </c>
      <c r="V205" s="182" t="inlineStr">
        <is>
          <t>#8, #9, #11, #12 from the initial testing</t>
        </is>
      </c>
      <c r="W205" s="189" t="inlineStr">
        <is>
          <t>pending — retest assay not yet on file</t>
        </is>
      </c>
    </row>
    <row r="206">
      <c r="A206" s="182" t="n">
        <v>205</v>
      </c>
      <c r="B206" s="182" t="inlineStr">
        <is>
          <t>retest — QP campaign</t>
        </is>
      </c>
      <c r="C206" s="181">
        <f>IFERROR(INDEX('iCoA Register'!$B:$B,MATCH("P050152|AB|R",'iCoA Register'!$R:$R,0)),"— at issue —")</f>
        <v/>
      </c>
      <c r="D206" s="182" t="inlineStr"/>
      <c r="E206" s="182" t="inlineStr">
        <is>
          <t>CoQ reissue (assigned on issue)</t>
        </is>
      </c>
      <c r="F206" s="182" t="inlineStr">
        <is>
          <t>25.09.2026</t>
        </is>
      </c>
      <c r="G206" s="182" t="inlineStr">
        <is>
          <t>at retest sampling · QP campaign</t>
        </is>
      </c>
      <c r="H206" s="181" t="inlineStr">
        <is>
          <t>GP052501</t>
        </is>
      </c>
      <c r="I206" s="182" t="inlineStr">
        <is>
          <t>P050152</t>
        </is>
      </c>
      <c r="J206" s="182" t="inlineStr">
        <is>
          <t>Grape Pie</t>
        </is>
      </c>
      <c r="K206" s="189" t="inlineStr">
        <is>
          <t>— not given —</t>
        </is>
      </c>
      <c r="L206" s="182" t="inlineStr">
        <is>
          <t>25.09.2025</t>
        </is>
      </c>
      <c r="M206" s="182" t="inlineStr">
        <is>
          <t>25.09.2025</t>
        </is>
      </c>
      <c r="N206" s="182" t="inlineStr">
        <is>
          <t>Ident A + Ident B</t>
        </is>
      </c>
      <c r="O206" s="182" t="inlineStr">
        <is>
          <t>iCoA_P01-02 · Appearance &amp; Identification A/B</t>
        </is>
      </c>
      <c r="P206" s="182" t="inlineStr">
        <is>
          <t>to test</t>
        </is>
      </c>
      <c r="Q206" s="182" t="inlineStr">
        <is>
          <t>to test</t>
        </is>
      </c>
      <c r="R206" s="182" t="inlineStr">
        <is>
          <t>n/a</t>
        </is>
      </c>
      <c r="S206" s="182" t="inlineStr">
        <is>
          <t>197-10-K-26, (07.08.2026) [FHM-K]</t>
        </is>
      </c>
      <c r="T206" s="182" t="inlineStr">
        <is>
          <t>197-10-K-26, (07.08.2026) [FHM-K]</t>
        </is>
      </c>
      <c r="U206" s="182" t="inlineStr">
        <is>
          <t>197-10-M-26, (10.08.2026) [FHM-M]</t>
        </is>
      </c>
      <c r="V206" s="182" t="inlineStr">
        <is>
          <t>#8, #9, #11, #12 from the initial testing</t>
        </is>
      </c>
      <c r="W206" s="188" t="inlineStr">
        <is>
          <t>due — retest assay and mycotoxins on file</t>
        </is>
      </c>
    </row>
    <row r="207">
      <c r="A207" s="182" t="n">
        <v>206</v>
      </c>
      <c r="B207" s="182" t="inlineStr">
        <is>
          <t>retest — QP campaign</t>
        </is>
      </c>
      <c r="C207" s="181">
        <f>IFERROR(INDEX('iCoA Register'!$B:$B,MATCH("P050152|FM|R",'iCoA Register'!$R:$R,0)),"— at issue —")</f>
        <v/>
      </c>
      <c r="D207" s="182" t="inlineStr"/>
      <c r="E207" s="182" t="inlineStr">
        <is>
          <t>CoQ reissue (assigned on issue)</t>
        </is>
      </c>
      <c r="F207" s="182" t="inlineStr">
        <is>
          <t>25.09.2026</t>
        </is>
      </c>
      <c r="G207" s="182" t="inlineStr">
        <is>
          <t>at retest sampling · QP campaign</t>
        </is>
      </c>
      <c r="H207" s="181" t="inlineStr">
        <is>
          <t>GP052501</t>
        </is>
      </c>
      <c r="I207" s="182" t="inlineStr">
        <is>
          <t>P050152</t>
        </is>
      </c>
      <c r="J207" s="182" t="inlineStr">
        <is>
          <t>Grape Pie</t>
        </is>
      </c>
      <c r="K207" s="189" t="inlineStr">
        <is>
          <t>— not given —</t>
        </is>
      </c>
      <c r="L207" s="182" t="inlineStr">
        <is>
          <t>25.09.2025</t>
        </is>
      </c>
      <c r="M207" s="182" t="inlineStr">
        <is>
          <t>25.09.2025</t>
        </is>
      </c>
      <c r="N207" s="182" t="inlineStr">
        <is>
          <t>Foreign matter</t>
        </is>
      </c>
      <c r="O207" s="182" t="inlineStr">
        <is>
          <t>iCoA_P07 · Foreign matter</t>
        </is>
      </c>
      <c r="P207" s="182" t="inlineStr">
        <is>
          <t>n/a</t>
        </is>
      </c>
      <c r="Q207" s="182" t="inlineStr">
        <is>
          <t>n/a</t>
        </is>
      </c>
      <c r="R207" s="182" t="inlineStr">
        <is>
          <t>to test</t>
        </is>
      </c>
      <c r="S207" s="182" t="inlineStr">
        <is>
          <t>197-10-K-26, (07.08.2026) [FHM-K]</t>
        </is>
      </c>
      <c r="T207" s="182" t="inlineStr">
        <is>
          <t>197-10-K-26, (07.08.2026) [FHM-K]</t>
        </is>
      </c>
      <c r="U207" s="182" t="inlineStr">
        <is>
          <t>197-10-M-26, (10.08.2026) [FHM-M]</t>
        </is>
      </c>
      <c r="V207" s="182" t="inlineStr">
        <is>
          <t>#8, #9, #11, #12 from the initial testing</t>
        </is>
      </c>
      <c r="W207" s="188" t="inlineStr">
        <is>
          <t>due — retest assay and mycotoxins on file</t>
        </is>
      </c>
    </row>
    <row r="208">
      <c r="A208" s="182" t="n">
        <v>207</v>
      </c>
      <c r="B208" s="182" t="inlineStr">
        <is>
          <t>retest — QP campaign</t>
        </is>
      </c>
      <c r="C208" s="181">
        <f>IFERROR(INDEX('iCoA Register'!$B:$B,MATCH("P050162|AB|R",'iCoA Register'!$R:$R,0)),"— at issue —")</f>
        <v/>
      </c>
      <c r="D208" s="182" t="inlineStr"/>
      <c r="E208" s="182" t="inlineStr">
        <is>
          <t>CoQ reissue (assigned on issue)</t>
        </is>
      </c>
      <c r="F208" s="182" t="inlineStr">
        <is>
          <t>30.09.2026</t>
        </is>
      </c>
      <c r="G208" s="182" t="inlineStr">
        <is>
          <t>at retest sampling · QP campaign</t>
        </is>
      </c>
      <c r="H208" s="181" t="inlineStr">
        <is>
          <t>CJ052501/01</t>
        </is>
      </c>
      <c r="I208" s="182" t="inlineStr">
        <is>
          <t>P050162</t>
        </is>
      </c>
      <c r="J208" s="182" t="inlineStr">
        <is>
          <t>Cup Junky</t>
        </is>
      </c>
      <c r="K208" s="182" t="inlineStr">
        <is>
          <t>20.08.2025</t>
        </is>
      </c>
      <c r="L208" s="182" t="inlineStr">
        <is>
          <t>30.09.2025 – 01.10.2025</t>
        </is>
      </c>
      <c r="M208" s="182" t="inlineStr">
        <is>
          <t>01.10.2025</t>
        </is>
      </c>
      <c r="N208" s="182" t="inlineStr">
        <is>
          <t>Ident A + Ident B</t>
        </is>
      </c>
      <c r="O208" s="182" t="inlineStr">
        <is>
          <t>iCoA_P01-02 · Appearance &amp; Identification A/B</t>
        </is>
      </c>
      <c r="P208" s="182" t="inlineStr">
        <is>
          <t>to test</t>
        </is>
      </c>
      <c r="Q208" s="182" t="inlineStr">
        <is>
          <t>to test</t>
        </is>
      </c>
      <c r="R208" s="182" t="inlineStr">
        <is>
          <t>n/a</t>
        </is>
      </c>
      <c r="S208" s="182" t="inlineStr">
        <is>
          <t>197-3-K-26, (07.08.2026) [FHM-K]</t>
        </is>
      </c>
      <c r="T208" s="182" t="inlineStr">
        <is>
          <t>197-3-K-26, (07.08.2026) [FHM-K]</t>
        </is>
      </c>
      <c r="U208" s="182" t="inlineStr">
        <is>
          <t>197-3-M-26, (10.08.2026) [FHM-M]</t>
        </is>
      </c>
      <c r="V208" s="182" t="inlineStr">
        <is>
          <t>#8, #9, #11, #12 from the initial testing</t>
        </is>
      </c>
      <c r="W208" s="188" t="inlineStr">
        <is>
          <t>due — retest assay and mycotoxins on file</t>
        </is>
      </c>
    </row>
    <row r="209">
      <c r="A209" s="182" t="n">
        <v>208</v>
      </c>
      <c r="B209" s="182" t="inlineStr">
        <is>
          <t>retest — QP campaign</t>
        </is>
      </c>
      <c r="C209" s="181">
        <f>IFERROR(INDEX('iCoA Register'!$B:$B,MATCH("P050162|FM|R",'iCoA Register'!$R:$R,0)),"— at issue —")</f>
        <v/>
      </c>
      <c r="D209" s="182" t="inlineStr"/>
      <c r="E209" s="182" t="inlineStr">
        <is>
          <t>CoQ reissue (assigned on issue)</t>
        </is>
      </c>
      <c r="F209" s="182" t="inlineStr">
        <is>
          <t>30.09.2026</t>
        </is>
      </c>
      <c r="G209" s="182" t="inlineStr">
        <is>
          <t>at retest sampling · QP campaign</t>
        </is>
      </c>
      <c r="H209" s="181" t="inlineStr">
        <is>
          <t>CJ052501/01</t>
        </is>
      </c>
      <c r="I209" s="182" t="inlineStr">
        <is>
          <t>P050162</t>
        </is>
      </c>
      <c r="J209" s="182" t="inlineStr">
        <is>
          <t>Cup Junky</t>
        </is>
      </c>
      <c r="K209" s="182" t="inlineStr">
        <is>
          <t>20.08.2025</t>
        </is>
      </c>
      <c r="L209" s="182" t="inlineStr">
        <is>
          <t>30.09.2025 – 01.10.2025</t>
        </is>
      </c>
      <c r="M209" s="182" t="inlineStr">
        <is>
          <t>01.10.2025</t>
        </is>
      </c>
      <c r="N209" s="182" t="inlineStr">
        <is>
          <t>Foreign matter</t>
        </is>
      </c>
      <c r="O209" s="182" t="inlineStr">
        <is>
          <t>iCoA_P07 · Foreign matter</t>
        </is>
      </c>
      <c r="P209" s="182" t="inlineStr">
        <is>
          <t>n/a</t>
        </is>
      </c>
      <c r="Q209" s="182" t="inlineStr">
        <is>
          <t>n/a</t>
        </is>
      </c>
      <c r="R209" s="182" t="inlineStr">
        <is>
          <t>to test</t>
        </is>
      </c>
      <c r="S209" s="182" t="inlineStr">
        <is>
          <t>197-3-K-26, (07.08.2026) [FHM-K]</t>
        </is>
      </c>
      <c r="T209" s="182" t="inlineStr">
        <is>
          <t>197-3-K-26, (07.08.2026) [FHM-K]</t>
        </is>
      </c>
      <c r="U209" s="182" t="inlineStr">
        <is>
          <t>197-3-M-26, (10.08.2026) [FHM-M]</t>
        </is>
      </c>
      <c r="V209" s="182" t="inlineStr">
        <is>
          <t>#8, #9, #11, #12 from the initial testing</t>
        </is>
      </c>
      <c r="W209" s="188" t="inlineStr">
        <is>
          <t>due — retest assay and mycotoxins on file</t>
        </is>
      </c>
    </row>
    <row r="210">
      <c r="A210" s="182" t="n">
        <v>209</v>
      </c>
      <c r="B210" s="182" t="inlineStr">
        <is>
          <t>retest — QP campaign</t>
        </is>
      </c>
      <c r="C210" s="181">
        <f>IFERROR(INDEX('iCoA Register'!$B:$B,MATCH("P050182|AB|R",'iCoA Register'!$R:$R,0)),"— at issue —")</f>
        <v/>
      </c>
      <c r="D210" s="182" t="inlineStr"/>
      <c r="E210" s="182" t="inlineStr">
        <is>
          <t>CoQ reissue (assigned on issue)</t>
        </is>
      </c>
      <c r="F210" s="182" t="inlineStr">
        <is>
          <t>03.10.2026</t>
        </is>
      </c>
      <c r="G210" s="182" t="inlineStr">
        <is>
          <t>at retest sampling · QP campaign</t>
        </is>
      </c>
      <c r="H210" s="181" t="inlineStr">
        <is>
          <t>HPA052501</t>
        </is>
      </c>
      <c r="I210" s="182" t="inlineStr">
        <is>
          <t>P050182</t>
        </is>
      </c>
      <c r="J210" s="182" t="inlineStr">
        <is>
          <t>High Pro Amnesia</t>
        </is>
      </c>
      <c r="K210" s="182" t="inlineStr">
        <is>
          <t>21.08.2025 – 23.08.2025</t>
        </is>
      </c>
      <c r="L210" s="182" t="inlineStr">
        <is>
          <t>03.10.2025 – 09.10.2025</t>
        </is>
      </c>
      <c r="M210" s="182" t="inlineStr">
        <is>
          <t>09.10.2025</t>
        </is>
      </c>
      <c r="N210" s="182" t="inlineStr">
        <is>
          <t>Ident A + Ident B</t>
        </is>
      </c>
      <c r="O210" s="182" t="inlineStr">
        <is>
          <t>iCoA_P01-02 · Appearance &amp; Identification A/B</t>
        </is>
      </c>
      <c r="P210" s="182" t="inlineStr">
        <is>
          <t>to test</t>
        </is>
      </c>
      <c r="Q210" s="182" t="inlineStr">
        <is>
          <t>to test</t>
        </is>
      </c>
      <c r="R210" s="182" t="inlineStr">
        <is>
          <t>n/a</t>
        </is>
      </c>
      <c r="S210" s="189" t="inlineStr">
        <is>
          <t>— retest assay not yet on file —</t>
        </is>
      </c>
      <c r="T210" s="189" t="inlineStr">
        <is>
          <t>— pending —</t>
        </is>
      </c>
      <c r="U210" s="189" t="inlineStr">
        <is>
          <t>— pending —</t>
        </is>
      </c>
      <c r="V210" s="182" t="inlineStr">
        <is>
          <t>#8, #9, #11, #12 from the initial testing</t>
        </is>
      </c>
      <c r="W210" s="189" t="inlineStr">
        <is>
          <t>pending — retest assay not yet on file</t>
        </is>
      </c>
    </row>
    <row r="211">
      <c r="A211" s="182" t="n">
        <v>210</v>
      </c>
      <c r="B211" s="182" t="inlineStr">
        <is>
          <t>retest — QP campaign</t>
        </is>
      </c>
      <c r="C211" s="181">
        <f>IFERROR(INDEX('iCoA Register'!$B:$B,MATCH("P050182|FM|R",'iCoA Register'!$R:$R,0)),"— at issue —")</f>
        <v/>
      </c>
      <c r="D211" s="182" t="inlineStr"/>
      <c r="E211" s="182" t="inlineStr">
        <is>
          <t>CoQ reissue (assigned on issue)</t>
        </is>
      </c>
      <c r="F211" s="182" t="inlineStr">
        <is>
          <t>03.10.2026</t>
        </is>
      </c>
      <c r="G211" s="182" t="inlineStr">
        <is>
          <t>at retest sampling · QP campaign</t>
        </is>
      </c>
      <c r="H211" s="181" t="inlineStr">
        <is>
          <t>HPA052501</t>
        </is>
      </c>
      <c r="I211" s="182" t="inlineStr">
        <is>
          <t>P050182</t>
        </is>
      </c>
      <c r="J211" s="182" t="inlineStr">
        <is>
          <t>High Pro Amnesia</t>
        </is>
      </c>
      <c r="K211" s="182" t="inlineStr">
        <is>
          <t>21.08.2025 – 23.08.2025</t>
        </is>
      </c>
      <c r="L211" s="182" t="inlineStr">
        <is>
          <t>03.10.2025 – 09.10.2025</t>
        </is>
      </c>
      <c r="M211" s="182" t="inlineStr">
        <is>
          <t>09.10.2025</t>
        </is>
      </c>
      <c r="N211" s="182" t="inlineStr">
        <is>
          <t>Foreign matter</t>
        </is>
      </c>
      <c r="O211" s="182" t="inlineStr">
        <is>
          <t>iCoA_P07 · Foreign matter</t>
        </is>
      </c>
      <c r="P211" s="182" t="inlineStr">
        <is>
          <t>n/a</t>
        </is>
      </c>
      <c r="Q211" s="182" t="inlineStr">
        <is>
          <t>n/a</t>
        </is>
      </c>
      <c r="R211" s="182" t="inlineStr">
        <is>
          <t>to test</t>
        </is>
      </c>
      <c r="S211" s="189" t="inlineStr">
        <is>
          <t>— retest assay not yet on file —</t>
        </is>
      </c>
      <c r="T211" s="189" t="inlineStr">
        <is>
          <t>— pending —</t>
        </is>
      </c>
      <c r="U211" s="189" t="inlineStr">
        <is>
          <t>— pending —</t>
        </is>
      </c>
      <c r="V211" s="182" t="inlineStr">
        <is>
          <t>#8, #9, #11, #12 from the initial testing</t>
        </is>
      </c>
      <c r="W211" s="189" t="inlineStr">
        <is>
          <t>pending — retest assay not yet on file</t>
        </is>
      </c>
    </row>
    <row r="212">
      <c r="A212" s="182" t="n">
        <v>211</v>
      </c>
      <c r="B212" s="182" t="inlineStr">
        <is>
          <t>retest — QP campaign</t>
        </is>
      </c>
      <c r="C212" s="181">
        <f>IFERROR(INDEX('iCoA Register'!$B:$B,MATCH("P050192|AB|R",'iCoA Register'!$R:$R,0)),"— at issue —")</f>
        <v/>
      </c>
      <c r="D212" s="182" t="inlineStr"/>
      <c r="E212" s="182" t="inlineStr">
        <is>
          <t>CoQ reissue (assigned on issue)</t>
        </is>
      </c>
      <c r="F212" s="182" t="inlineStr">
        <is>
          <t>10.10.2026</t>
        </is>
      </c>
      <c r="G212" s="182" t="inlineStr">
        <is>
          <t>at retest sampling · QP campaign</t>
        </is>
      </c>
      <c r="H212" s="181" t="inlineStr">
        <is>
          <t>BSS052501</t>
        </is>
      </c>
      <c r="I212" s="182" t="inlineStr">
        <is>
          <t>P050192</t>
        </is>
      </c>
      <c r="J212" s="182" t="inlineStr">
        <is>
          <t>Sleepy Joe</t>
        </is>
      </c>
      <c r="K212" s="182" t="inlineStr">
        <is>
          <t>01.09.2025 – 03.09.2025</t>
        </is>
      </c>
      <c r="L212" s="182" t="inlineStr">
        <is>
          <t>10.10.2025 – 21.10.2025</t>
        </is>
      </c>
      <c r="M212" s="182" t="inlineStr">
        <is>
          <t>21.10.2025</t>
        </is>
      </c>
      <c r="N212" s="182" t="inlineStr">
        <is>
          <t>Ident A + Ident B</t>
        </is>
      </c>
      <c r="O212" s="182" t="inlineStr">
        <is>
          <t>iCoA_P01-02 · Appearance &amp; Identification A/B</t>
        </is>
      </c>
      <c r="P212" s="182" t="inlineStr">
        <is>
          <t>to test</t>
        </is>
      </c>
      <c r="Q212" s="182" t="inlineStr">
        <is>
          <t>to test</t>
        </is>
      </c>
      <c r="R212" s="182" t="inlineStr">
        <is>
          <t>n/a</t>
        </is>
      </c>
      <c r="S212" s="189" t="inlineStr">
        <is>
          <t>— retest assay not yet on file —</t>
        </is>
      </c>
      <c r="T212" s="189" t="inlineStr">
        <is>
          <t>— pending —</t>
        </is>
      </c>
      <c r="U212" s="189" t="inlineStr">
        <is>
          <t>— pending —</t>
        </is>
      </c>
      <c r="V212" s="182" t="inlineStr">
        <is>
          <t>#8, #9, #11, #12 from the initial testing</t>
        </is>
      </c>
      <c r="W212" s="189" t="inlineStr">
        <is>
          <t>pending — retest assay not yet on file</t>
        </is>
      </c>
    </row>
    <row r="213">
      <c r="A213" s="182" t="n">
        <v>212</v>
      </c>
      <c r="B213" s="182" t="inlineStr">
        <is>
          <t>retest — QP campaign</t>
        </is>
      </c>
      <c r="C213" s="181">
        <f>IFERROR(INDEX('iCoA Register'!$B:$B,MATCH("P050192|FM|R",'iCoA Register'!$R:$R,0)),"— at issue —")</f>
        <v/>
      </c>
      <c r="D213" s="182" t="inlineStr"/>
      <c r="E213" s="182" t="inlineStr">
        <is>
          <t>CoQ reissue (assigned on issue)</t>
        </is>
      </c>
      <c r="F213" s="182" t="inlineStr">
        <is>
          <t>10.10.2026</t>
        </is>
      </c>
      <c r="G213" s="182" t="inlineStr">
        <is>
          <t>at retest sampling · QP campaign</t>
        </is>
      </c>
      <c r="H213" s="181" t="inlineStr">
        <is>
          <t>BSS052501</t>
        </is>
      </c>
      <c r="I213" s="182" t="inlineStr">
        <is>
          <t>P050192</t>
        </is>
      </c>
      <c r="J213" s="182" t="inlineStr">
        <is>
          <t>Sleepy Joe</t>
        </is>
      </c>
      <c r="K213" s="182" t="inlineStr">
        <is>
          <t>01.09.2025 – 03.09.2025</t>
        </is>
      </c>
      <c r="L213" s="182" t="inlineStr">
        <is>
          <t>10.10.2025 – 21.10.2025</t>
        </is>
      </c>
      <c r="M213" s="182" t="inlineStr">
        <is>
          <t>21.10.2025</t>
        </is>
      </c>
      <c r="N213" s="182" t="inlineStr">
        <is>
          <t>Foreign matter</t>
        </is>
      </c>
      <c r="O213" s="182" t="inlineStr">
        <is>
          <t>iCoA_P07 · Foreign matter</t>
        </is>
      </c>
      <c r="P213" s="182" t="inlineStr">
        <is>
          <t>n/a</t>
        </is>
      </c>
      <c r="Q213" s="182" t="inlineStr">
        <is>
          <t>n/a</t>
        </is>
      </c>
      <c r="R213" s="182" t="inlineStr">
        <is>
          <t>to test</t>
        </is>
      </c>
      <c r="S213" s="189" t="inlineStr">
        <is>
          <t>— retest assay not yet on file —</t>
        </is>
      </c>
      <c r="T213" s="189" t="inlineStr">
        <is>
          <t>— pending —</t>
        </is>
      </c>
      <c r="U213" s="189" t="inlineStr">
        <is>
          <t>— pending —</t>
        </is>
      </c>
      <c r="V213" s="182" t="inlineStr">
        <is>
          <t>#8, #9, #11, #12 from the initial testing</t>
        </is>
      </c>
      <c r="W213" s="189" t="inlineStr">
        <is>
          <t>pending — retest assay not yet on file</t>
        </is>
      </c>
    </row>
    <row r="214">
      <c r="A214" s="182" t="n">
        <v>213</v>
      </c>
      <c r="B214" s="182" t="inlineStr">
        <is>
          <t>retest — QP campaign</t>
        </is>
      </c>
      <c r="C214" s="181">
        <f>IFERROR(INDEX('iCoA Register'!$B:$B,MATCH("P050222|AB|R",'iCoA Register'!$R:$R,0)),"— at issue —")</f>
        <v/>
      </c>
      <c r="D214" s="182" t="inlineStr"/>
      <c r="E214" s="182" t="inlineStr">
        <is>
          <t>CoQ reissue (assigned on issue)</t>
        </is>
      </c>
      <c r="F214" s="182" t="inlineStr">
        <is>
          <t>24.11.2026</t>
        </is>
      </c>
      <c r="G214" s="182" t="inlineStr">
        <is>
          <t>at retest sampling · QP campaign</t>
        </is>
      </c>
      <c r="H214" s="181" t="inlineStr">
        <is>
          <t>CJ062501/1</t>
        </is>
      </c>
      <c r="I214" s="182" t="inlineStr">
        <is>
          <t>P050222</t>
        </is>
      </c>
      <c r="J214" s="182" t="inlineStr">
        <is>
          <t>Cap Junkie</t>
        </is>
      </c>
      <c r="K214" s="182" t="inlineStr">
        <is>
          <t>23.09.2025</t>
        </is>
      </c>
      <c r="L214" s="182" t="inlineStr">
        <is>
          <t>24.11.2025 – 25.11.2025</t>
        </is>
      </c>
      <c r="M214" s="182" t="inlineStr">
        <is>
          <t>25.11.2025</t>
        </is>
      </c>
      <c r="N214" s="182" t="inlineStr">
        <is>
          <t>Ident A + Ident B</t>
        </is>
      </c>
      <c r="O214" s="182" t="inlineStr">
        <is>
          <t>iCoA_P01-02 · Appearance &amp; Identification A/B</t>
        </is>
      </c>
      <c r="P214" s="182" t="inlineStr">
        <is>
          <t>to test</t>
        </is>
      </c>
      <c r="Q214" s="182" t="inlineStr">
        <is>
          <t>to test</t>
        </is>
      </c>
      <c r="R214" s="182" t="inlineStr">
        <is>
          <t>n/a</t>
        </is>
      </c>
      <c r="S214" s="189" t="inlineStr">
        <is>
          <t>— retest assay not yet on file —</t>
        </is>
      </c>
      <c r="T214" s="189" t="inlineStr">
        <is>
          <t>— pending —</t>
        </is>
      </c>
      <c r="U214" s="189" t="inlineStr">
        <is>
          <t>— pending —</t>
        </is>
      </c>
      <c r="V214" s="182" t="inlineStr">
        <is>
          <t>#8, #9, #11, #12 from the initial testing</t>
        </is>
      </c>
      <c r="W214" s="189" t="inlineStr">
        <is>
          <t>pending — retest assay not yet on file</t>
        </is>
      </c>
    </row>
    <row r="215">
      <c r="A215" s="182" t="n">
        <v>214</v>
      </c>
      <c r="B215" s="182" t="inlineStr">
        <is>
          <t>retest — QP campaign</t>
        </is>
      </c>
      <c r="C215" s="181">
        <f>IFERROR(INDEX('iCoA Register'!$B:$B,MATCH("P050222|FM|R",'iCoA Register'!$R:$R,0)),"— at issue —")</f>
        <v/>
      </c>
      <c r="D215" s="182" t="inlineStr"/>
      <c r="E215" s="182" t="inlineStr">
        <is>
          <t>CoQ reissue (assigned on issue)</t>
        </is>
      </c>
      <c r="F215" s="182" t="inlineStr">
        <is>
          <t>24.11.2026</t>
        </is>
      </c>
      <c r="G215" s="182" t="inlineStr">
        <is>
          <t>at retest sampling · QP campaign</t>
        </is>
      </c>
      <c r="H215" s="181" t="inlineStr">
        <is>
          <t>CJ062501/1</t>
        </is>
      </c>
      <c r="I215" s="182" t="inlineStr">
        <is>
          <t>P050222</t>
        </is>
      </c>
      <c r="J215" s="182" t="inlineStr">
        <is>
          <t>Cap Junkie</t>
        </is>
      </c>
      <c r="K215" s="182" t="inlineStr">
        <is>
          <t>23.09.2025</t>
        </is>
      </c>
      <c r="L215" s="182" t="inlineStr">
        <is>
          <t>24.11.2025 – 25.11.2025</t>
        </is>
      </c>
      <c r="M215" s="182" t="inlineStr">
        <is>
          <t>25.11.2025</t>
        </is>
      </c>
      <c r="N215" s="182" t="inlineStr">
        <is>
          <t>Foreign matter</t>
        </is>
      </c>
      <c r="O215" s="182" t="inlineStr">
        <is>
          <t>iCoA_P07 · Foreign matter</t>
        </is>
      </c>
      <c r="P215" s="182" t="inlineStr">
        <is>
          <t>n/a</t>
        </is>
      </c>
      <c r="Q215" s="182" t="inlineStr">
        <is>
          <t>n/a</t>
        </is>
      </c>
      <c r="R215" s="182" t="inlineStr">
        <is>
          <t>to test</t>
        </is>
      </c>
      <c r="S215" s="189" t="inlineStr">
        <is>
          <t>— retest assay not yet on file —</t>
        </is>
      </c>
      <c r="T215" s="189" t="inlineStr">
        <is>
          <t>— pending —</t>
        </is>
      </c>
      <c r="U215" s="189" t="inlineStr">
        <is>
          <t>— pending —</t>
        </is>
      </c>
      <c r="V215" s="182" t="inlineStr">
        <is>
          <t>#8, #9, #11, #12 from the initial testing</t>
        </is>
      </c>
      <c r="W215" s="189" t="inlineStr">
        <is>
          <t>pending — retest assay not yet on file</t>
        </is>
      </c>
    </row>
    <row r="216">
      <c r="A216" s="182" t="n">
        <v>215</v>
      </c>
      <c r="B216" s="182" t="inlineStr">
        <is>
          <t>retest — QP campaign</t>
        </is>
      </c>
      <c r="C216" s="181">
        <f>IFERROR(INDEX('iCoA Register'!$B:$B,MATCH("P050252|AB|R",'iCoA Register'!$R:$R,0)),"— at issue —")</f>
        <v/>
      </c>
      <c r="D216" s="182" t="inlineStr"/>
      <c r="E216" s="182" t="inlineStr">
        <is>
          <t>CoQ reissue (assigned on issue)</t>
        </is>
      </c>
      <c r="F216" s="182" t="inlineStr">
        <is>
          <t>02.12.2026</t>
        </is>
      </c>
      <c r="G216" s="182" t="inlineStr">
        <is>
          <t>at retest sampling · QP campaign</t>
        </is>
      </c>
      <c r="H216" s="181" t="inlineStr">
        <is>
          <t>CJ072501</t>
        </is>
      </c>
      <c r="I216" s="182" t="inlineStr">
        <is>
          <t>P050252</t>
        </is>
      </c>
      <c r="J216" s="182" t="inlineStr">
        <is>
          <t>Cap Junky</t>
        </is>
      </c>
      <c r="K216" s="182" t="inlineStr">
        <is>
          <t>27.10.2025</t>
        </is>
      </c>
      <c r="L216" s="182" t="inlineStr">
        <is>
          <t>27.11.2025 – 28.11.2025 (the issuance plan's basis: 02.12.2025)</t>
        </is>
      </c>
      <c r="M216" s="182" t="inlineStr">
        <is>
          <t>28.11.2025</t>
        </is>
      </c>
      <c r="N216" s="182" t="inlineStr">
        <is>
          <t>Ident A + Ident B</t>
        </is>
      </c>
      <c r="O216" s="182" t="inlineStr">
        <is>
          <t>iCoA_P01-02 · Appearance &amp; Identification A/B</t>
        </is>
      </c>
      <c r="P216" s="182" t="inlineStr">
        <is>
          <t>to test</t>
        </is>
      </c>
      <c r="Q216" s="182" t="inlineStr">
        <is>
          <t>to test</t>
        </is>
      </c>
      <c r="R216" s="182" t="inlineStr">
        <is>
          <t>n/a</t>
        </is>
      </c>
      <c r="S216" s="189" t="inlineStr">
        <is>
          <t>— retest assay not yet on file —</t>
        </is>
      </c>
      <c r="T216" s="189" t="inlineStr">
        <is>
          <t>— pending —</t>
        </is>
      </c>
      <c r="U216" s="189" t="inlineStr">
        <is>
          <t>— pending —</t>
        </is>
      </c>
      <c r="V216" s="182" t="inlineStr">
        <is>
          <t>#8, #9, #11, #12 from the initial testing</t>
        </is>
      </c>
      <c r="W216" s="189" t="inlineStr">
        <is>
          <t>pending — retest assay not yet on file</t>
        </is>
      </c>
    </row>
    <row r="217">
      <c r="A217" s="182" t="n">
        <v>216</v>
      </c>
      <c r="B217" s="182" t="inlineStr">
        <is>
          <t>retest — QP campaign</t>
        </is>
      </c>
      <c r="C217" s="181">
        <f>IFERROR(INDEX('iCoA Register'!$B:$B,MATCH("P050252|FM|R",'iCoA Register'!$R:$R,0)),"— at issue —")</f>
        <v/>
      </c>
      <c r="D217" s="182" t="inlineStr"/>
      <c r="E217" s="182" t="inlineStr">
        <is>
          <t>CoQ reissue (assigned on issue)</t>
        </is>
      </c>
      <c r="F217" s="182" t="inlineStr">
        <is>
          <t>02.12.2026</t>
        </is>
      </c>
      <c r="G217" s="182" t="inlineStr">
        <is>
          <t>at retest sampling · QP campaign</t>
        </is>
      </c>
      <c r="H217" s="181" t="inlineStr">
        <is>
          <t>CJ072501</t>
        </is>
      </c>
      <c r="I217" s="182" t="inlineStr">
        <is>
          <t>P050252</t>
        </is>
      </c>
      <c r="J217" s="182" t="inlineStr">
        <is>
          <t>Cap Junky</t>
        </is>
      </c>
      <c r="K217" s="182" t="inlineStr">
        <is>
          <t>27.10.2025</t>
        </is>
      </c>
      <c r="L217" s="182" t="inlineStr">
        <is>
          <t>27.11.2025 – 28.11.2025 (the issuance plan's basis: 02.12.2025)</t>
        </is>
      </c>
      <c r="M217" s="182" t="inlineStr">
        <is>
          <t>28.11.2025</t>
        </is>
      </c>
      <c r="N217" s="182" t="inlineStr">
        <is>
          <t>Foreign matter</t>
        </is>
      </c>
      <c r="O217" s="182" t="inlineStr">
        <is>
          <t>iCoA_P07 · Foreign matter</t>
        </is>
      </c>
      <c r="P217" s="182" t="inlineStr">
        <is>
          <t>n/a</t>
        </is>
      </c>
      <c r="Q217" s="182" t="inlineStr">
        <is>
          <t>n/a</t>
        </is>
      </c>
      <c r="R217" s="182" t="inlineStr">
        <is>
          <t>to test</t>
        </is>
      </c>
      <c r="S217" s="189" t="inlineStr">
        <is>
          <t>— retest assay not yet on file —</t>
        </is>
      </c>
      <c r="T217" s="189" t="inlineStr">
        <is>
          <t>— pending —</t>
        </is>
      </c>
      <c r="U217" s="189" t="inlineStr">
        <is>
          <t>— pending —</t>
        </is>
      </c>
      <c r="V217" s="182" t="inlineStr">
        <is>
          <t>#8, #9, #11, #12 from the initial testing</t>
        </is>
      </c>
      <c r="W217" s="189" t="inlineStr">
        <is>
          <t>pending — retest assay not yet on file</t>
        </is>
      </c>
    </row>
    <row r="218">
      <c r="A218" s="182" t="n">
        <v>217</v>
      </c>
      <c r="B218" s="182" t="inlineStr">
        <is>
          <t>retest — QP campaign</t>
        </is>
      </c>
      <c r="C218" s="181">
        <f>IFERROR(INDEX('iCoA Register'!$B:$B,MATCH("P050262|AB|R",'iCoA Register'!$R:$R,0)),"— at issue —")</f>
        <v/>
      </c>
      <c r="D218" s="182" t="inlineStr"/>
      <c r="E218" s="182" t="inlineStr">
        <is>
          <t>CoQ reissue (assigned on issue)</t>
        </is>
      </c>
      <c r="F218" s="182" t="inlineStr">
        <is>
          <t>02.12.2026</t>
        </is>
      </c>
      <c r="G218" s="182" t="inlineStr">
        <is>
          <t>at retest sampling · QP campaign</t>
        </is>
      </c>
      <c r="H218" s="181" t="inlineStr">
        <is>
          <t>WC072501</t>
        </is>
      </c>
      <c r="I218" s="182" t="inlineStr">
        <is>
          <t>P050262</t>
        </is>
      </c>
      <c r="J218" s="182" t="inlineStr">
        <is>
          <t>Wedding Crusher</t>
        </is>
      </c>
      <c r="K218" s="182" t="inlineStr">
        <is>
          <t>27.10.2025 – 28.10.2025</t>
        </is>
      </c>
      <c r="L218" s="182" t="inlineStr">
        <is>
          <t>01.12.2025 (the issuance plan's basis: 02.12.2025)</t>
        </is>
      </c>
      <c r="M218" s="182" t="inlineStr">
        <is>
          <t>01.12.2025</t>
        </is>
      </c>
      <c r="N218" s="182" t="inlineStr">
        <is>
          <t>Ident A + Ident B</t>
        </is>
      </c>
      <c r="O218" s="182" t="inlineStr">
        <is>
          <t>iCoA_P01-02 · Appearance &amp; Identification A/B</t>
        </is>
      </c>
      <c r="P218" s="182" t="inlineStr">
        <is>
          <t>to test</t>
        </is>
      </c>
      <c r="Q218" s="182" t="inlineStr">
        <is>
          <t>to test</t>
        </is>
      </c>
      <c r="R218" s="182" t="inlineStr">
        <is>
          <t>n/a</t>
        </is>
      </c>
      <c r="S218" s="189" t="inlineStr">
        <is>
          <t>— retest assay not yet on file —</t>
        </is>
      </c>
      <c r="T218" s="189" t="inlineStr">
        <is>
          <t>— pending —</t>
        </is>
      </c>
      <c r="U218" s="189" t="inlineStr">
        <is>
          <t>— pending —</t>
        </is>
      </c>
      <c r="V218" s="182" t="inlineStr">
        <is>
          <t>#8, #9, #11, #12 from the initial testing</t>
        </is>
      </c>
      <c r="W218" s="189" t="inlineStr">
        <is>
          <t>pending — retest assay not yet on file</t>
        </is>
      </c>
    </row>
    <row r="219">
      <c r="A219" s="182" t="n">
        <v>218</v>
      </c>
      <c r="B219" s="182" t="inlineStr">
        <is>
          <t>retest — QP campaign</t>
        </is>
      </c>
      <c r="C219" s="181">
        <f>IFERROR(INDEX('iCoA Register'!$B:$B,MATCH("P050262|FM|R",'iCoA Register'!$R:$R,0)),"— at issue —")</f>
        <v/>
      </c>
      <c r="D219" s="182" t="inlineStr"/>
      <c r="E219" s="182" t="inlineStr">
        <is>
          <t>CoQ reissue (assigned on issue)</t>
        </is>
      </c>
      <c r="F219" s="182" t="inlineStr">
        <is>
          <t>02.12.2026</t>
        </is>
      </c>
      <c r="G219" s="182" t="inlineStr">
        <is>
          <t>at retest sampling · QP campaign</t>
        </is>
      </c>
      <c r="H219" s="181" t="inlineStr">
        <is>
          <t>WC072501</t>
        </is>
      </c>
      <c r="I219" s="182" t="inlineStr">
        <is>
          <t>P050262</t>
        </is>
      </c>
      <c r="J219" s="182" t="inlineStr">
        <is>
          <t>Wedding Crusher</t>
        </is>
      </c>
      <c r="K219" s="182" t="inlineStr">
        <is>
          <t>27.10.2025 – 28.10.2025</t>
        </is>
      </c>
      <c r="L219" s="182" t="inlineStr">
        <is>
          <t>01.12.2025 (the issuance plan's basis: 02.12.2025)</t>
        </is>
      </c>
      <c r="M219" s="182" t="inlineStr">
        <is>
          <t>01.12.2025</t>
        </is>
      </c>
      <c r="N219" s="182" t="inlineStr">
        <is>
          <t>Foreign matter</t>
        </is>
      </c>
      <c r="O219" s="182" t="inlineStr">
        <is>
          <t>iCoA_P07 · Foreign matter</t>
        </is>
      </c>
      <c r="P219" s="182" t="inlineStr">
        <is>
          <t>n/a</t>
        </is>
      </c>
      <c r="Q219" s="182" t="inlineStr">
        <is>
          <t>n/a</t>
        </is>
      </c>
      <c r="R219" s="182" t="inlineStr">
        <is>
          <t>to test</t>
        </is>
      </c>
      <c r="S219" s="189" t="inlineStr">
        <is>
          <t>— retest assay not yet on file —</t>
        </is>
      </c>
      <c r="T219" s="189" t="inlineStr">
        <is>
          <t>— pending —</t>
        </is>
      </c>
      <c r="U219" s="189" t="inlineStr">
        <is>
          <t>— pending —</t>
        </is>
      </c>
      <c r="V219" s="182" t="inlineStr">
        <is>
          <t>#8, #9, #11, #12 from the initial testing</t>
        </is>
      </c>
      <c r="W219" s="189" t="inlineStr">
        <is>
          <t>pending — retest assay not yet on file</t>
        </is>
      </c>
    </row>
    <row r="220">
      <c r="A220" s="182" t="n">
        <v>219</v>
      </c>
      <c r="B220" s="182" t="inlineStr">
        <is>
          <t>retest — QP campaign</t>
        </is>
      </c>
      <c r="C220" s="181">
        <f>IFERROR(INDEX('iCoA Register'!$B:$B,MATCH("P050282|AB|R",'iCoA Register'!$R:$R,0)),"— at issue —")</f>
        <v/>
      </c>
      <c r="D220" s="182" t="inlineStr"/>
      <c r="E220" s="182" t="inlineStr">
        <is>
          <t>CoQ reissue (assigned on issue)</t>
        </is>
      </c>
      <c r="F220" s="182" t="inlineStr">
        <is>
          <t>03.12.2026</t>
        </is>
      </c>
      <c r="G220" s="182" t="inlineStr">
        <is>
          <t>at retest sampling · QP campaign</t>
        </is>
      </c>
      <c r="H220" s="181" t="inlineStr">
        <is>
          <t>CLE072501</t>
        </is>
      </c>
      <c r="I220" s="182" t="inlineStr">
        <is>
          <t>P050282</t>
        </is>
      </c>
      <c r="J220" s="182" t="inlineStr">
        <is>
          <t>Clemosa a bud</t>
        </is>
      </c>
      <c r="K220" s="182" t="inlineStr">
        <is>
          <t>28.10.2025</t>
        </is>
      </c>
      <c r="L220" s="182" t="inlineStr">
        <is>
          <t>03.12.2025 – 04.12.2025</t>
        </is>
      </c>
      <c r="M220" s="182" t="inlineStr">
        <is>
          <t>04.12.2025</t>
        </is>
      </c>
      <c r="N220" s="182" t="inlineStr">
        <is>
          <t>Ident A + Ident B</t>
        </is>
      </c>
      <c r="O220" s="182" t="inlineStr">
        <is>
          <t>iCoA_P01-02 · Appearance &amp; Identification A/B</t>
        </is>
      </c>
      <c r="P220" s="182" t="inlineStr">
        <is>
          <t>to test</t>
        </is>
      </c>
      <c r="Q220" s="182" t="inlineStr">
        <is>
          <t>to test</t>
        </is>
      </c>
      <c r="R220" s="182" t="inlineStr">
        <is>
          <t>n/a</t>
        </is>
      </c>
      <c r="S220" s="189" t="inlineStr">
        <is>
          <t>— retest assay not yet on file —</t>
        </is>
      </c>
      <c r="T220" s="189" t="inlineStr">
        <is>
          <t>— pending —</t>
        </is>
      </c>
      <c r="U220" s="189" t="inlineStr">
        <is>
          <t>— pending —</t>
        </is>
      </c>
      <c r="V220" s="182" t="inlineStr">
        <is>
          <t>#8, #9, #11, #12 from the initial testing</t>
        </is>
      </c>
      <c r="W220" s="189" t="inlineStr">
        <is>
          <t>pending — retest assay not yet on file</t>
        </is>
      </c>
    </row>
    <row r="221">
      <c r="A221" s="182" t="n">
        <v>220</v>
      </c>
      <c r="B221" s="182" t="inlineStr">
        <is>
          <t>retest — QP campaign</t>
        </is>
      </c>
      <c r="C221" s="181">
        <f>IFERROR(INDEX('iCoA Register'!$B:$B,MATCH("P050282|FM|R",'iCoA Register'!$R:$R,0)),"— at issue —")</f>
        <v/>
      </c>
      <c r="D221" s="182" t="inlineStr"/>
      <c r="E221" s="182" t="inlineStr">
        <is>
          <t>CoQ reissue (assigned on issue)</t>
        </is>
      </c>
      <c r="F221" s="182" t="inlineStr">
        <is>
          <t>03.12.2026</t>
        </is>
      </c>
      <c r="G221" s="182" t="inlineStr">
        <is>
          <t>at retest sampling · QP campaign</t>
        </is>
      </c>
      <c r="H221" s="181" t="inlineStr">
        <is>
          <t>CLE072501</t>
        </is>
      </c>
      <c r="I221" s="182" t="inlineStr">
        <is>
          <t>P050282</t>
        </is>
      </c>
      <c r="J221" s="182" t="inlineStr">
        <is>
          <t>Clemosa a bud</t>
        </is>
      </c>
      <c r="K221" s="182" t="inlineStr">
        <is>
          <t>28.10.2025</t>
        </is>
      </c>
      <c r="L221" s="182" t="inlineStr">
        <is>
          <t>03.12.2025 – 04.12.2025</t>
        </is>
      </c>
      <c r="M221" s="182" t="inlineStr">
        <is>
          <t>04.12.2025</t>
        </is>
      </c>
      <c r="N221" s="182" t="inlineStr">
        <is>
          <t>Foreign matter</t>
        </is>
      </c>
      <c r="O221" s="182" t="inlineStr">
        <is>
          <t>iCoA_P07 · Foreign matter</t>
        </is>
      </c>
      <c r="P221" s="182" t="inlineStr">
        <is>
          <t>n/a</t>
        </is>
      </c>
      <c r="Q221" s="182" t="inlineStr">
        <is>
          <t>n/a</t>
        </is>
      </c>
      <c r="R221" s="182" t="inlineStr">
        <is>
          <t>to test</t>
        </is>
      </c>
      <c r="S221" s="189" t="inlineStr">
        <is>
          <t>— retest assay not yet on file —</t>
        </is>
      </c>
      <c r="T221" s="189" t="inlineStr">
        <is>
          <t>— pending —</t>
        </is>
      </c>
      <c r="U221" s="189" t="inlineStr">
        <is>
          <t>— pending —</t>
        </is>
      </c>
      <c r="V221" s="182" t="inlineStr">
        <is>
          <t>#8, #9, #11, #12 from the initial testing</t>
        </is>
      </c>
      <c r="W221" s="189" t="inlineStr">
        <is>
          <t>pending — retest assay not yet on file</t>
        </is>
      </c>
    </row>
    <row r="222">
      <c r="A222" s="182" t="n">
        <v>221</v>
      </c>
      <c r="B222" s="182" t="inlineStr">
        <is>
          <t>retest — QP campaign</t>
        </is>
      </c>
      <c r="C222" s="181">
        <f>IFERROR(INDEX('iCoA Register'!$B:$B,MATCH("P050302|AB|R",'iCoA Register'!$R:$R,0)),"— at issue —")</f>
        <v/>
      </c>
      <c r="D222" s="182" t="inlineStr"/>
      <c r="E222" s="182" t="inlineStr">
        <is>
          <t>CoQ reissue (assigned on issue)</t>
        </is>
      </c>
      <c r="F222" s="182" t="inlineStr">
        <is>
          <t>22.12.2026</t>
        </is>
      </c>
      <c r="G222" s="182" t="inlineStr">
        <is>
          <t>at retest sampling · QP campaign</t>
        </is>
      </c>
      <c r="H222" s="181" t="inlineStr">
        <is>
          <t>GP072501/2</t>
        </is>
      </c>
      <c r="I222" s="182" t="inlineStr">
        <is>
          <t>P050302</t>
        </is>
      </c>
      <c r="J222" s="182" t="inlineStr">
        <is>
          <t>Grape Pie</t>
        </is>
      </c>
      <c r="K222" s="182" t="inlineStr">
        <is>
          <t>13.11.2025</t>
        </is>
      </c>
      <c r="L222" s="182" t="inlineStr">
        <is>
          <t>22.12.2025</t>
        </is>
      </c>
      <c r="M222" s="182" t="inlineStr">
        <is>
          <t>22.12.2025</t>
        </is>
      </c>
      <c r="N222" s="182" t="inlineStr">
        <is>
          <t>Ident A + Ident B</t>
        </is>
      </c>
      <c r="O222" s="182" t="inlineStr">
        <is>
          <t>iCoA_P01-02 · Appearance &amp; Identification A/B</t>
        </is>
      </c>
      <c r="P222" s="182" t="inlineStr">
        <is>
          <t>to test</t>
        </is>
      </c>
      <c r="Q222" s="182" t="inlineStr">
        <is>
          <t>to test</t>
        </is>
      </c>
      <c r="R222" s="182" t="inlineStr">
        <is>
          <t>n/a</t>
        </is>
      </c>
      <c r="S222" s="189" t="inlineStr">
        <is>
          <t>— retest assay not yet on file —</t>
        </is>
      </c>
      <c r="T222" s="189" t="inlineStr">
        <is>
          <t>— pending —</t>
        </is>
      </c>
      <c r="U222" s="189" t="inlineStr">
        <is>
          <t>— pending —</t>
        </is>
      </c>
      <c r="V222" s="182" t="inlineStr">
        <is>
          <t>#8, #9, #11, #12 from the initial testing</t>
        </is>
      </c>
      <c r="W222" s="189" t="inlineStr">
        <is>
          <t>pending — retest assay not yet on file</t>
        </is>
      </c>
    </row>
    <row r="223">
      <c r="A223" s="182" t="n">
        <v>222</v>
      </c>
      <c r="B223" s="182" t="inlineStr">
        <is>
          <t>retest — QP campaign</t>
        </is>
      </c>
      <c r="C223" s="181">
        <f>IFERROR(INDEX('iCoA Register'!$B:$B,MATCH("P050302|FM|R",'iCoA Register'!$R:$R,0)),"— at issue —")</f>
        <v/>
      </c>
      <c r="D223" s="182" t="inlineStr"/>
      <c r="E223" s="182" t="inlineStr">
        <is>
          <t>CoQ reissue (assigned on issue)</t>
        </is>
      </c>
      <c r="F223" s="182" t="inlineStr">
        <is>
          <t>22.12.2026</t>
        </is>
      </c>
      <c r="G223" s="182" t="inlineStr">
        <is>
          <t>at retest sampling · QP campaign</t>
        </is>
      </c>
      <c r="H223" s="181" t="inlineStr">
        <is>
          <t>GP072501/2</t>
        </is>
      </c>
      <c r="I223" s="182" t="inlineStr">
        <is>
          <t>P050302</t>
        </is>
      </c>
      <c r="J223" s="182" t="inlineStr">
        <is>
          <t>Grape Pie</t>
        </is>
      </c>
      <c r="K223" s="182" t="inlineStr">
        <is>
          <t>13.11.2025</t>
        </is>
      </c>
      <c r="L223" s="182" t="inlineStr">
        <is>
          <t>22.12.2025</t>
        </is>
      </c>
      <c r="M223" s="182" t="inlineStr">
        <is>
          <t>22.12.2025</t>
        </is>
      </c>
      <c r="N223" s="182" t="inlineStr">
        <is>
          <t>Foreign matter</t>
        </is>
      </c>
      <c r="O223" s="182" t="inlineStr">
        <is>
          <t>iCoA_P07 · Foreign matter</t>
        </is>
      </c>
      <c r="P223" s="182" t="inlineStr">
        <is>
          <t>n/a</t>
        </is>
      </c>
      <c r="Q223" s="182" t="inlineStr">
        <is>
          <t>n/a</t>
        </is>
      </c>
      <c r="R223" s="182" t="inlineStr">
        <is>
          <t>to test</t>
        </is>
      </c>
      <c r="S223" s="189" t="inlineStr">
        <is>
          <t>— retest assay not yet on file —</t>
        </is>
      </c>
      <c r="T223" s="189" t="inlineStr">
        <is>
          <t>— pending —</t>
        </is>
      </c>
      <c r="U223" s="189" t="inlineStr">
        <is>
          <t>— pending —</t>
        </is>
      </c>
      <c r="V223" s="182" t="inlineStr">
        <is>
          <t>#8, #9, #11, #12 from the initial testing</t>
        </is>
      </c>
      <c r="W223" s="189" t="inlineStr">
        <is>
          <t>pending — retest assay not yet on file</t>
        </is>
      </c>
    </row>
    <row r="224">
      <c r="A224" s="182" t="n">
        <v>223</v>
      </c>
      <c r="B224" s="182" t="inlineStr">
        <is>
          <t>retest — QP campaign</t>
        </is>
      </c>
      <c r="C224" s="181">
        <f>IFERROR(INDEX('iCoA Register'!$B:$B,MATCH("P050312|AB|R",'iCoA Register'!$R:$R,0)),"— at issue —")</f>
        <v/>
      </c>
      <c r="D224" s="182" t="inlineStr"/>
      <c r="E224" s="182" t="inlineStr">
        <is>
          <t>CoQ reissue (assigned on issue)</t>
        </is>
      </c>
      <c r="F224" s="182" t="inlineStr">
        <is>
          <t>23.12.2026</t>
        </is>
      </c>
      <c r="G224" s="182" t="inlineStr">
        <is>
          <t>at retest sampling · QP campaign</t>
        </is>
      </c>
      <c r="H224" s="181" t="inlineStr">
        <is>
          <t>GP082501/1</t>
        </is>
      </c>
      <c r="I224" s="182" t="inlineStr">
        <is>
          <t>P050312</t>
        </is>
      </c>
      <c r="J224" s="182" t="inlineStr">
        <is>
          <t>Grape Pie</t>
        </is>
      </c>
      <c r="K224" s="182" t="inlineStr">
        <is>
          <t>19.11.2025 – 20.11.2025</t>
        </is>
      </c>
      <c r="L224" s="182" t="inlineStr">
        <is>
          <t>23.12.2025 – 26.12.2025</t>
        </is>
      </c>
      <c r="M224" s="182" t="inlineStr">
        <is>
          <t>26.12.2025</t>
        </is>
      </c>
      <c r="N224" s="182" t="inlineStr">
        <is>
          <t>Ident A + Ident B</t>
        </is>
      </c>
      <c r="O224" s="182" t="inlineStr">
        <is>
          <t>iCoA_P01-02 · Appearance &amp; Identification A/B</t>
        </is>
      </c>
      <c r="P224" s="182" t="inlineStr">
        <is>
          <t>to test</t>
        </is>
      </c>
      <c r="Q224" s="182" t="inlineStr">
        <is>
          <t>to test</t>
        </is>
      </c>
      <c r="R224" s="182" t="inlineStr">
        <is>
          <t>n/a</t>
        </is>
      </c>
      <c r="S224" s="189" t="inlineStr">
        <is>
          <t>— retest assay not yet on file —</t>
        </is>
      </c>
      <c r="T224" s="189" t="inlineStr">
        <is>
          <t>— pending —</t>
        </is>
      </c>
      <c r="U224" s="189" t="inlineStr">
        <is>
          <t>— pending —</t>
        </is>
      </c>
      <c r="V224" s="182" t="inlineStr">
        <is>
          <t>#8, #9, #11, #12 from the initial testing</t>
        </is>
      </c>
      <c r="W224" s="189" t="inlineStr">
        <is>
          <t>pending — retest assay not yet on file</t>
        </is>
      </c>
    </row>
    <row r="225">
      <c r="A225" s="182" t="n">
        <v>224</v>
      </c>
      <c r="B225" s="182" t="inlineStr">
        <is>
          <t>retest — QP campaign</t>
        </is>
      </c>
      <c r="C225" s="181">
        <f>IFERROR(INDEX('iCoA Register'!$B:$B,MATCH("P050312|FM|R",'iCoA Register'!$R:$R,0)),"— at issue —")</f>
        <v/>
      </c>
      <c r="D225" s="182" t="inlineStr"/>
      <c r="E225" s="182" t="inlineStr">
        <is>
          <t>CoQ reissue (assigned on issue)</t>
        </is>
      </c>
      <c r="F225" s="182" t="inlineStr">
        <is>
          <t>23.12.2026</t>
        </is>
      </c>
      <c r="G225" s="182" t="inlineStr">
        <is>
          <t>at retest sampling · QP campaign</t>
        </is>
      </c>
      <c r="H225" s="181" t="inlineStr">
        <is>
          <t>GP082501/1</t>
        </is>
      </c>
      <c r="I225" s="182" t="inlineStr">
        <is>
          <t>P050312</t>
        </is>
      </c>
      <c r="J225" s="182" t="inlineStr">
        <is>
          <t>Grape Pie</t>
        </is>
      </c>
      <c r="K225" s="182" t="inlineStr">
        <is>
          <t>19.11.2025 – 20.11.2025</t>
        </is>
      </c>
      <c r="L225" s="182" t="inlineStr">
        <is>
          <t>23.12.2025 – 26.12.2025</t>
        </is>
      </c>
      <c r="M225" s="182" t="inlineStr">
        <is>
          <t>26.12.2025</t>
        </is>
      </c>
      <c r="N225" s="182" t="inlineStr">
        <is>
          <t>Foreign matter</t>
        </is>
      </c>
      <c r="O225" s="182" t="inlineStr">
        <is>
          <t>iCoA_P07 · Foreign matter</t>
        </is>
      </c>
      <c r="P225" s="182" t="inlineStr">
        <is>
          <t>n/a</t>
        </is>
      </c>
      <c r="Q225" s="182" t="inlineStr">
        <is>
          <t>n/a</t>
        </is>
      </c>
      <c r="R225" s="182" t="inlineStr">
        <is>
          <t>to test</t>
        </is>
      </c>
      <c r="S225" s="189" t="inlineStr">
        <is>
          <t>— retest assay not yet on file —</t>
        </is>
      </c>
      <c r="T225" s="189" t="inlineStr">
        <is>
          <t>— pending —</t>
        </is>
      </c>
      <c r="U225" s="189" t="inlineStr">
        <is>
          <t>— pending —</t>
        </is>
      </c>
      <c r="V225" s="182" t="inlineStr">
        <is>
          <t>#8, #9, #11, #12 from the initial testing</t>
        </is>
      </c>
      <c r="W225" s="189" t="inlineStr">
        <is>
          <t>pending — retest assay not yet on file</t>
        </is>
      </c>
    </row>
    <row r="226">
      <c r="A226" s="182" t="n">
        <v>225</v>
      </c>
      <c r="B226" s="182" t="inlineStr">
        <is>
          <t>retest — QP campaign</t>
        </is>
      </c>
      <c r="C226" s="181">
        <f>IFERROR(INDEX('iCoA Register'!$B:$B,MATCH("P050322|AB|R",'iCoA Register'!$R:$R,0)),"— at issue —")</f>
        <v/>
      </c>
      <c r="D226" s="182" t="inlineStr"/>
      <c r="E226" s="182" t="inlineStr">
        <is>
          <t>CoQ reissue (assigned on issue)</t>
        </is>
      </c>
      <c r="F226" s="182" t="inlineStr">
        <is>
          <t>26.12.2026</t>
        </is>
      </c>
      <c r="G226" s="182" t="inlineStr">
        <is>
          <t>at retest sampling · QP campaign</t>
        </is>
      </c>
      <c r="H226" s="181" t="inlineStr">
        <is>
          <t>GP082501/2</t>
        </is>
      </c>
      <c r="I226" s="182" t="inlineStr">
        <is>
          <t>P050322</t>
        </is>
      </c>
      <c r="J226" s="182" t="inlineStr">
        <is>
          <t>Grape Pie</t>
        </is>
      </c>
      <c r="K226" s="182" t="inlineStr">
        <is>
          <t>20.11.2025</t>
        </is>
      </c>
      <c r="L226" s="182" t="inlineStr">
        <is>
          <t>26.12.2025</t>
        </is>
      </c>
      <c r="M226" s="182" t="inlineStr">
        <is>
          <t>26.12.2025</t>
        </is>
      </c>
      <c r="N226" s="182" t="inlineStr">
        <is>
          <t>Ident A + Ident B</t>
        </is>
      </c>
      <c r="O226" s="182" t="inlineStr">
        <is>
          <t>iCoA_P01-02 · Appearance &amp; Identification A/B</t>
        </is>
      </c>
      <c r="P226" s="182" t="inlineStr">
        <is>
          <t>to test</t>
        </is>
      </c>
      <c r="Q226" s="182" t="inlineStr">
        <is>
          <t>to test</t>
        </is>
      </c>
      <c r="R226" s="182" t="inlineStr">
        <is>
          <t>n/a</t>
        </is>
      </c>
      <c r="S226" s="182" t="inlineStr">
        <is>
          <t>197-12-K-26, (07.08.2026) [FHM-K]</t>
        </is>
      </c>
      <c r="T226" s="182" t="inlineStr">
        <is>
          <t>197-12-K-26, (07.08.2026) [FHM-K]</t>
        </is>
      </c>
      <c r="U226" s="182" t="inlineStr">
        <is>
          <t>197-12-M-26, (10.08.2026) [FHM-M]</t>
        </is>
      </c>
      <c r="V226" s="182" t="inlineStr">
        <is>
          <t>#8, #9, #11, #12 from the initial testing</t>
        </is>
      </c>
      <c r="W226" s="188" t="inlineStr">
        <is>
          <t>due — retest assay and mycotoxins on file</t>
        </is>
      </c>
    </row>
    <row r="227">
      <c r="A227" s="182" t="n">
        <v>226</v>
      </c>
      <c r="B227" s="182" t="inlineStr">
        <is>
          <t>retest — QP campaign</t>
        </is>
      </c>
      <c r="C227" s="181">
        <f>IFERROR(INDEX('iCoA Register'!$B:$B,MATCH("P050322|FM|R",'iCoA Register'!$R:$R,0)),"— at issue —")</f>
        <v/>
      </c>
      <c r="D227" s="182" t="inlineStr"/>
      <c r="E227" s="182" t="inlineStr">
        <is>
          <t>CoQ reissue (assigned on issue)</t>
        </is>
      </c>
      <c r="F227" s="182" t="inlineStr">
        <is>
          <t>26.12.2026</t>
        </is>
      </c>
      <c r="G227" s="182" t="inlineStr">
        <is>
          <t>at retest sampling · QP campaign</t>
        </is>
      </c>
      <c r="H227" s="181" t="inlineStr">
        <is>
          <t>GP082501/2</t>
        </is>
      </c>
      <c r="I227" s="182" t="inlineStr">
        <is>
          <t>P050322</t>
        </is>
      </c>
      <c r="J227" s="182" t="inlineStr">
        <is>
          <t>Grape Pie</t>
        </is>
      </c>
      <c r="K227" s="182" t="inlineStr">
        <is>
          <t>20.11.2025</t>
        </is>
      </c>
      <c r="L227" s="182" t="inlineStr">
        <is>
          <t>26.12.2025</t>
        </is>
      </c>
      <c r="M227" s="182" t="inlineStr">
        <is>
          <t>26.12.2025</t>
        </is>
      </c>
      <c r="N227" s="182" t="inlineStr">
        <is>
          <t>Foreign matter</t>
        </is>
      </c>
      <c r="O227" s="182" t="inlineStr">
        <is>
          <t>iCoA_P07 · Foreign matter</t>
        </is>
      </c>
      <c r="P227" s="182" t="inlineStr">
        <is>
          <t>n/a</t>
        </is>
      </c>
      <c r="Q227" s="182" t="inlineStr">
        <is>
          <t>n/a</t>
        </is>
      </c>
      <c r="R227" s="182" t="inlineStr">
        <is>
          <t>to test</t>
        </is>
      </c>
      <c r="S227" s="182" t="inlineStr">
        <is>
          <t>197-12-K-26, (07.08.2026) [FHM-K]</t>
        </is>
      </c>
      <c r="T227" s="182" t="inlineStr">
        <is>
          <t>197-12-K-26, (07.08.2026) [FHM-K]</t>
        </is>
      </c>
      <c r="U227" s="182" t="inlineStr">
        <is>
          <t>197-12-M-26, (10.08.2026) [FHM-M]</t>
        </is>
      </c>
      <c r="V227" s="182" t="inlineStr">
        <is>
          <t>#8, #9, #11, #12 from the initial testing</t>
        </is>
      </c>
      <c r="W227" s="188" t="inlineStr">
        <is>
          <t>due — retest assay and mycotoxins on file</t>
        </is>
      </c>
    </row>
    <row r="228">
      <c r="A228" s="182" t="n">
        <v>227</v>
      </c>
      <c r="B228" s="182" t="inlineStr">
        <is>
          <t>retest — QP campaign</t>
        </is>
      </c>
      <c r="C228" s="181">
        <f>IFERROR(INDEX('iCoA Register'!$B:$B,MATCH("P060012|AB|R",'iCoA Register'!$R:$R,0)),"— at issue —")</f>
        <v/>
      </c>
      <c r="D228" s="182" t="inlineStr"/>
      <c r="E228" s="182" t="inlineStr">
        <is>
          <t>CoQ reissue (assigned on issue)</t>
        </is>
      </c>
      <c r="F228" s="182" t="inlineStr">
        <is>
          <t>13.01.2027</t>
        </is>
      </c>
      <c r="G228" s="182" t="inlineStr">
        <is>
          <t>at retest sampling · QP campaign</t>
        </is>
      </c>
      <c r="H228" s="181" t="inlineStr">
        <is>
          <t>WC082501</t>
        </is>
      </c>
      <c r="I228" s="182" t="inlineStr">
        <is>
          <t>P060012</t>
        </is>
      </c>
      <c r="J228" s="182" t="inlineStr">
        <is>
          <t>Wedding Crasher</t>
        </is>
      </c>
      <c r="K228" s="182" t="inlineStr">
        <is>
          <t>09.12.2025</t>
        </is>
      </c>
      <c r="L228" s="182" t="inlineStr">
        <is>
          <t>13.01.2026 – 14.01.2026</t>
        </is>
      </c>
      <c r="M228" s="182" t="inlineStr">
        <is>
          <t>14.01.2026</t>
        </is>
      </c>
      <c r="N228" s="182" t="inlineStr">
        <is>
          <t>Ident A + Ident B</t>
        </is>
      </c>
      <c r="O228" s="182" t="inlineStr">
        <is>
          <t>iCoA_P01-02 · Appearance &amp; Identification A/B</t>
        </is>
      </c>
      <c r="P228" s="182" t="inlineStr">
        <is>
          <t>to test</t>
        </is>
      </c>
      <c r="Q228" s="182" t="inlineStr">
        <is>
          <t>to test</t>
        </is>
      </c>
      <c r="R228" s="182" t="inlineStr">
        <is>
          <t>n/a</t>
        </is>
      </c>
      <c r="S228" s="189" t="inlineStr">
        <is>
          <t>— retest assay not yet on file —</t>
        </is>
      </c>
      <c r="T228" s="189" t="inlineStr">
        <is>
          <t>— pending —</t>
        </is>
      </c>
      <c r="U228" s="189" t="inlineStr">
        <is>
          <t>— pending —</t>
        </is>
      </c>
      <c r="V228" s="182" t="inlineStr">
        <is>
          <t>#8, #9, #11, #12 from the initial testing</t>
        </is>
      </c>
      <c r="W228" s="189" t="inlineStr">
        <is>
          <t>pending — retest assay not yet on file</t>
        </is>
      </c>
    </row>
    <row r="229">
      <c r="A229" s="182" t="n">
        <v>228</v>
      </c>
      <c r="B229" s="182" t="inlineStr">
        <is>
          <t>retest — QP campaign</t>
        </is>
      </c>
      <c r="C229" s="181">
        <f>IFERROR(INDEX('iCoA Register'!$B:$B,MATCH("P060012|FM|R",'iCoA Register'!$R:$R,0)),"— at issue —")</f>
        <v/>
      </c>
      <c r="D229" s="182" t="inlineStr"/>
      <c r="E229" s="182" t="inlineStr">
        <is>
          <t>CoQ reissue (assigned on issue)</t>
        </is>
      </c>
      <c r="F229" s="182" t="inlineStr">
        <is>
          <t>13.01.2027</t>
        </is>
      </c>
      <c r="G229" s="182" t="inlineStr">
        <is>
          <t>at retest sampling · QP campaign</t>
        </is>
      </c>
      <c r="H229" s="181" t="inlineStr">
        <is>
          <t>WC082501</t>
        </is>
      </c>
      <c r="I229" s="182" t="inlineStr">
        <is>
          <t>P060012</t>
        </is>
      </c>
      <c r="J229" s="182" t="inlineStr">
        <is>
          <t>Wedding Crasher</t>
        </is>
      </c>
      <c r="K229" s="182" t="inlineStr">
        <is>
          <t>09.12.2025</t>
        </is>
      </c>
      <c r="L229" s="182" t="inlineStr">
        <is>
          <t>13.01.2026 – 14.01.2026</t>
        </is>
      </c>
      <c r="M229" s="182" t="inlineStr">
        <is>
          <t>14.01.2026</t>
        </is>
      </c>
      <c r="N229" s="182" t="inlineStr">
        <is>
          <t>Foreign matter</t>
        </is>
      </c>
      <c r="O229" s="182" t="inlineStr">
        <is>
          <t>iCoA_P07 · Foreign matter</t>
        </is>
      </c>
      <c r="P229" s="182" t="inlineStr">
        <is>
          <t>n/a</t>
        </is>
      </c>
      <c r="Q229" s="182" t="inlineStr">
        <is>
          <t>n/a</t>
        </is>
      </c>
      <c r="R229" s="182" t="inlineStr">
        <is>
          <t>to test</t>
        </is>
      </c>
      <c r="S229" s="189" t="inlineStr">
        <is>
          <t>— retest assay not yet on file —</t>
        </is>
      </c>
      <c r="T229" s="189" t="inlineStr">
        <is>
          <t>— pending —</t>
        </is>
      </c>
      <c r="U229" s="189" t="inlineStr">
        <is>
          <t>— pending —</t>
        </is>
      </c>
      <c r="V229" s="182" t="inlineStr">
        <is>
          <t>#8, #9, #11, #12 from the initial testing</t>
        </is>
      </c>
      <c r="W229" s="189" t="inlineStr">
        <is>
          <t>pending — retest assay not yet on file</t>
        </is>
      </c>
    </row>
    <row r="230">
      <c r="A230" s="182" t="n">
        <v>229</v>
      </c>
      <c r="B230" s="182" t="inlineStr">
        <is>
          <t>retest — QP campaign</t>
        </is>
      </c>
      <c r="C230" s="181">
        <f>IFERROR(INDEX('iCoA Register'!$B:$B,MATCH("P060022|AB|R",'iCoA Register'!$R:$R,0)),"— at issue —")</f>
        <v/>
      </c>
      <c r="D230" s="182" t="inlineStr"/>
      <c r="E230" s="182" t="inlineStr">
        <is>
          <t>CoQ reissue (assigned on issue)</t>
        </is>
      </c>
      <c r="F230" s="182" t="inlineStr">
        <is>
          <t>16.01.2027</t>
        </is>
      </c>
      <c r="G230" s="182" t="inlineStr">
        <is>
          <t>at retest sampling · QP campaign</t>
        </is>
      </c>
      <c r="H230" s="181" t="inlineStr">
        <is>
          <t>CJ082501/1</t>
        </is>
      </c>
      <c r="I230" s="182" t="inlineStr">
        <is>
          <t>P060022</t>
        </is>
      </c>
      <c r="J230" s="182" t="inlineStr">
        <is>
          <t>Cap Junky</t>
        </is>
      </c>
      <c r="K230" s="182" t="inlineStr">
        <is>
          <t>09.12.2025 – 10.12.2025</t>
        </is>
      </c>
      <c r="L230" s="182" t="inlineStr">
        <is>
          <t>16.01.2026</t>
        </is>
      </c>
      <c r="M230" s="182" t="inlineStr">
        <is>
          <t>16.01.2026</t>
        </is>
      </c>
      <c r="N230" s="182" t="inlineStr">
        <is>
          <t>Ident A + Ident B</t>
        </is>
      </c>
      <c r="O230" s="182" t="inlineStr">
        <is>
          <t>iCoA_P01-02 · Appearance &amp; Identification A/B</t>
        </is>
      </c>
      <c r="P230" s="182" t="inlineStr">
        <is>
          <t>to test</t>
        </is>
      </c>
      <c r="Q230" s="182" t="inlineStr">
        <is>
          <t>to test</t>
        </is>
      </c>
      <c r="R230" s="182" t="inlineStr">
        <is>
          <t>n/a</t>
        </is>
      </c>
      <c r="S230" s="189" t="inlineStr">
        <is>
          <t>— retest assay not yet on file —</t>
        </is>
      </c>
      <c r="T230" s="189" t="inlineStr">
        <is>
          <t>— pending —</t>
        </is>
      </c>
      <c r="U230" s="189" t="inlineStr">
        <is>
          <t>— pending —</t>
        </is>
      </c>
      <c r="V230" s="182" t="inlineStr">
        <is>
          <t>#8, #9, #11, #12 from the initial testing</t>
        </is>
      </c>
      <c r="W230" s="189" t="inlineStr">
        <is>
          <t>pending — retest assay not yet on file</t>
        </is>
      </c>
    </row>
    <row r="231">
      <c r="A231" s="182" t="n">
        <v>230</v>
      </c>
      <c r="B231" s="182" t="inlineStr">
        <is>
          <t>retest — QP campaign</t>
        </is>
      </c>
      <c r="C231" s="181">
        <f>IFERROR(INDEX('iCoA Register'!$B:$B,MATCH("P060022|FM|R",'iCoA Register'!$R:$R,0)),"— at issue —")</f>
        <v/>
      </c>
      <c r="D231" s="182" t="inlineStr"/>
      <c r="E231" s="182" t="inlineStr">
        <is>
          <t>CoQ reissue (assigned on issue)</t>
        </is>
      </c>
      <c r="F231" s="182" t="inlineStr">
        <is>
          <t>16.01.2027</t>
        </is>
      </c>
      <c r="G231" s="182" t="inlineStr">
        <is>
          <t>at retest sampling · QP campaign</t>
        </is>
      </c>
      <c r="H231" s="181" t="inlineStr">
        <is>
          <t>CJ082501/1</t>
        </is>
      </c>
      <c r="I231" s="182" t="inlineStr">
        <is>
          <t>P060022</t>
        </is>
      </c>
      <c r="J231" s="182" t="inlineStr">
        <is>
          <t>Cap Junky</t>
        </is>
      </c>
      <c r="K231" s="182" t="inlineStr">
        <is>
          <t>09.12.2025 – 10.12.2025</t>
        </is>
      </c>
      <c r="L231" s="182" t="inlineStr">
        <is>
          <t>16.01.2026</t>
        </is>
      </c>
      <c r="M231" s="182" t="inlineStr">
        <is>
          <t>16.01.2026</t>
        </is>
      </c>
      <c r="N231" s="182" t="inlineStr">
        <is>
          <t>Foreign matter</t>
        </is>
      </c>
      <c r="O231" s="182" t="inlineStr">
        <is>
          <t>iCoA_P07 · Foreign matter</t>
        </is>
      </c>
      <c r="P231" s="182" t="inlineStr">
        <is>
          <t>n/a</t>
        </is>
      </c>
      <c r="Q231" s="182" t="inlineStr">
        <is>
          <t>n/a</t>
        </is>
      </c>
      <c r="R231" s="182" t="inlineStr">
        <is>
          <t>to test</t>
        </is>
      </c>
      <c r="S231" s="189" t="inlineStr">
        <is>
          <t>— retest assay not yet on file —</t>
        </is>
      </c>
      <c r="T231" s="189" t="inlineStr">
        <is>
          <t>— pending —</t>
        </is>
      </c>
      <c r="U231" s="189" t="inlineStr">
        <is>
          <t>— pending —</t>
        </is>
      </c>
      <c r="V231" s="182" t="inlineStr">
        <is>
          <t>#8, #9, #11, #12 from the initial testing</t>
        </is>
      </c>
      <c r="W231" s="189" t="inlineStr">
        <is>
          <t>pending — retest assay not yet on file</t>
        </is>
      </c>
    </row>
    <row r="232">
      <c r="A232" s="182" t="n">
        <v>231</v>
      </c>
      <c r="B232" s="182" t="inlineStr">
        <is>
          <t>retest — QP campaign</t>
        </is>
      </c>
      <c r="C232" s="181">
        <f>IFERROR(INDEX('iCoA Register'!$B:$B,MATCH("P050292|AB|R",'iCoA Register'!$R:$R,0)),"— at issue —")</f>
        <v/>
      </c>
      <c r="D232" s="182" t="inlineStr"/>
      <c r="E232" s="182" t="inlineStr">
        <is>
          <t>CoQ reissue (assigned on issue)</t>
        </is>
      </c>
      <c r="F232" s="182" t="inlineStr">
        <is>
          <t>21.01.2027</t>
        </is>
      </c>
      <c r="G232" s="182" t="inlineStr">
        <is>
          <t>at retest sampling · QP campaign</t>
        </is>
      </c>
      <c r="H232" s="181" t="inlineStr">
        <is>
          <t>GP072501/1</t>
        </is>
      </c>
      <c r="I232" s="182" t="inlineStr">
        <is>
          <t>P050292</t>
        </is>
      </c>
      <c r="J232" s="182" t="inlineStr">
        <is>
          <t>Grape Pie</t>
        </is>
      </c>
      <c r="K232" s="182" t="inlineStr">
        <is>
          <t>11.11.2025 – 13.11.2025</t>
        </is>
      </c>
      <c r="L232" s="182" t="inlineStr">
        <is>
          <t>15.12.2025 – 21.12.2025 (the issuance plan's basis: 21.01.2026)</t>
        </is>
      </c>
      <c r="M232" s="182" t="inlineStr">
        <is>
          <t>21.12.2025</t>
        </is>
      </c>
      <c r="N232" s="182" t="inlineStr">
        <is>
          <t>Ident A + Ident B</t>
        </is>
      </c>
      <c r="O232" s="182" t="inlineStr">
        <is>
          <t>iCoA_P01-02 · Appearance &amp; Identification A/B</t>
        </is>
      </c>
      <c r="P232" s="182" t="inlineStr">
        <is>
          <t>to test</t>
        </is>
      </c>
      <c r="Q232" s="182" t="inlineStr">
        <is>
          <t>to test</t>
        </is>
      </c>
      <c r="R232" s="182" t="inlineStr">
        <is>
          <t>n/a</t>
        </is>
      </c>
      <c r="S232" s="189" t="inlineStr">
        <is>
          <t>— retest assay not yet on file —</t>
        </is>
      </c>
      <c r="T232" s="189" t="inlineStr">
        <is>
          <t>— pending —</t>
        </is>
      </c>
      <c r="U232" s="189" t="inlineStr">
        <is>
          <t>— pending —</t>
        </is>
      </c>
      <c r="V232" s="182" t="inlineStr">
        <is>
          <t>#8, #9, #11, #12 from the initial testing</t>
        </is>
      </c>
      <c r="W232" s="189" t="inlineStr">
        <is>
          <t>pending — retest assay not yet on file</t>
        </is>
      </c>
    </row>
    <row r="233">
      <c r="A233" s="182" t="n">
        <v>232</v>
      </c>
      <c r="B233" s="182" t="inlineStr">
        <is>
          <t>retest — QP campaign</t>
        </is>
      </c>
      <c r="C233" s="181">
        <f>IFERROR(INDEX('iCoA Register'!$B:$B,MATCH("P050292|FM|R",'iCoA Register'!$R:$R,0)),"— at issue —")</f>
        <v/>
      </c>
      <c r="D233" s="182" t="inlineStr"/>
      <c r="E233" s="182" t="inlineStr">
        <is>
          <t>CoQ reissue (assigned on issue)</t>
        </is>
      </c>
      <c r="F233" s="182" t="inlineStr">
        <is>
          <t>21.01.2027</t>
        </is>
      </c>
      <c r="G233" s="182" t="inlineStr">
        <is>
          <t>at retest sampling · QP campaign</t>
        </is>
      </c>
      <c r="H233" s="181" t="inlineStr">
        <is>
          <t>GP072501/1</t>
        </is>
      </c>
      <c r="I233" s="182" t="inlineStr">
        <is>
          <t>P050292</t>
        </is>
      </c>
      <c r="J233" s="182" t="inlineStr">
        <is>
          <t>Grape Pie</t>
        </is>
      </c>
      <c r="K233" s="182" t="inlineStr">
        <is>
          <t>11.11.2025 – 13.11.2025</t>
        </is>
      </c>
      <c r="L233" s="182" t="inlineStr">
        <is>
          <t>15.12.2025 – 21.12.2025 (the issuance plan's basis: 21.01.2026)</t>
        </is>
      </c>
      <c r="M233" s="182" t="inlineStr">
        <is>
          <t>21.12.2025</t>
        </is>
      </c>
      <c r="N233" s="182" t="inlineStr">
        <is>
          <t>Foreign matter</t>
        </is>
      </c>
      <c r="O233" s="182" t="inlineStr">
        <is>
          <t>iCoA_P07 · Foreign matter</t>
        </is>
      </c>
      <c r="P233" s="182" t="inlineStr">
        <is>
          <t>n/a</t>
        </is>
      </c>
      <c r="Q233" s="182" t="inlineStr">
        <is>
          <t>n/a</t>
        </is>
      </c>
      <c r="R233" s="182" t="inlineStr">
        <is>
          <t>to test</t>
        </is>
      </c>
      <c r="S233" s="189" t="inlineStr">
        <is>
          <t>— retest assay not yet on file —</t>
        </is>
      </c>
      <c r="T233" s="189" t="inlineStr">
        <is>
          <t>— pending —</t>
        </is>
      </c>
      <c r="U233" s="189" t="inlineStr">
        <is>
          <t>— pending —</t>
        </is>
      </c>
      <c r="V233" s="182" t="inlineStr">
        <is>
          <t>#8, #9, #11, #12 from the initial testing</t>
        </is>
      </c>
      <c r="W233" s="189" t="inlineStr">
        <is>
          <t>pending — retest assay not yet on file</t>
        </is>
      </c>
    </row>
    <row r="234">
      <c r="A234" s="182" t="n">
        <v>233</v>
      </c>
      <c r="B234" s="182" t="inlineStr">
        <is>
          <t>retest — QP campaign</t>
        </is>
      </c>
      <c r="C234" s="181">
        <f>IFERROR(INDEX('iCoA Register'!$B:$B,MATCH("P050272|AB|R",'iCoA Register'!$R:$R,0)),"— at issue —")</f>
        <v/>
      </c>
      <c r="D234" s="182" t="inlineStr"/>
      <c r="E234" s="182" t="inlineStr">
        <is>
          <t>CoQ reissue (assigned on issue)</t>
        </is>
      </c>
      <c r="F234" s="182" t="inlineStr">
        <is>
          <t>21.01.2027</t>
        </is>
      </c>
      <c r="G234" s="182" t="inlineStr">
        <is>
          <t>at retest sampling · QP campaign</t>
        </is>
      </c>
      <c r="H234" s="181" t="inlineStr">
        <is>
          <t>PM072501</t>
        </is>
      </c>
      <c r="I234" s="182" t="inlineStr">
        <is>
          <t>P050272</t>
        </is>
      </c>
      <c r="J234" s="182" t="inlineStr">
        <is>
          <t>Permanent Marker</t>
        </is>
      </c>
      <c r="K234" s="182" t="inlineStr">
        <is>
          <t>27.10.2025</t>
        </is>
      </c>
      <c r="L234" s="182" t="inlineStr">
        <is>
          <t>02.12.2025 – 03.12.2025 (the issuance plan's basis: 21.01.2026)</t>
        </is>
      </c>
      <c r="M234" s="182" t="inlineStr">
        <is>
          <t>03.12.2025</t>
        </is>
      </c>
      <c r="N234" s="182" t="inlineStr">
        <is>
          <t>Ident A + Ident B</t>
        </is>
      </c>
      <c r="O234" s="182" t="inlineStr">
        <is>
          <t>iCoA_P01-02 · Appearance &amp; Identification A/B</t>
        </is>
      </c>
      <c r="P234" s="182" t="inlineStr">
        <is>
          <t>to test</t>
        </is>
      </c>
      <c r="Q234" s="182" t="inlineStr">
        <is>
          <t>to test</t>
        </is>
      </c>
      <c r="R234" s="182" t="inlineStr">
        <is>
          <t>n/a</t>
        </is>
      </c>
      <c r="S234" s="189" t="inlineStr">
        <is>
          <t>— retest assay not yet on file —</t>
        </is>
      </c>
      <c r="T234" s="189" t="inlineStr">
        <is>
          <t>— pending —</t>
        </is>
      </c>
      <c r="U234" s="189" t="inlineStr">
        <is>
          <t>— pending —</t>
        </is>
      </c>
      <c r="V234" s="182" t="inlineStr">
        <is>
          <t>#8, #9, #11, #12 from the initial testing</t>
        </is>
      </c>
      <c r="W234" s="189" t="inlineStr">
        <is>
          <t>pending — retest assay not yet on file</t>
        </is>
      </c>
    </row>
    <row r="235">
      <c r="A235" s="182" t="n">
        <v>234</v>
      </c>
      <c r="B235" s="182" t="inlineStr">
        <is>
          <t>retest — QP campaign</t>
        </is>
      </c>
      <c r="C235" s="181">
        <f>IFERROR(INDEX('iCoA Register'!$B:$B,MATCH("P050272|FM|R",'iCoA Register'!$R:$R,0)),"— at issue —")</f>
        <v/>
      </c>
      <c r="D235" s="182" t="inlineStr"/>
      <c r="E235" s="182" t="inlineStr">
        <is>
          <t>CoQ reissue (assigned on issue)</t>
        </is>
      </c>
      <c r="F235" s="182" t="inlineStr">
        <is>
          <t>21.01.2027</t>
        </is>
      </c>
      <c r="G235" s="182" t="inlineStr">
        <is>
          <t>at retest sampling · QP campaign</t>
        </is>
      </c>
      <c r="H235" s="181" t="inlineStr">
        <is>
          <t>PM072501</t>
        </is>
      </c>
      <c r="I235" s="182" t="inlineStr">
        <is>
          <t>P050272</t>
        </is>
      </c>
      <c r="J235" s="182" t="inlineStr">
        <is>
          <t>Permanent Marker</t>
        </is>
      </c>
      <c r="K235" s="182" t="inlineStr">
        <is>
          <t>27.10.2025</t>
        </is>
      </c>
      <c r="L235" s="182" t="inlineStr">
        <is>
          <t>02.12.2025 – 03.12.2025 (the issuance plan's basis: 21.01.2026)</t>
        </is>
      </c>
      <c r="M235" s="182" t="inlineStr">
        <is>
          <t>03.12.2025</t>
        </is>
      </c>
      <c r="N235" s="182" t="inlineStr">
        <is>
          <t>Foreign matter</t>
        </is>
      </c>
      <c r="O235" s="182" t="inlineStr">
        <is>
          <t>iCoA_P07 · Foreign matter</t>
        </is>
      </c>
      <c r="P235" s="182" t="inlineStr">
        <is>
          <t>n/a</t>
        </is>
      </c>
      <c r="Q235" s="182" t="inlineStr">
        <is>
          <t>n/a</t>
        </is>
      </c>
      <c r="R235" s="182" t="inlineStr">
        <is>
          <t>to test</t>
        </is>
      </c>
      <c r="S235" s="189" t="inlineStr">
        <is>
          <t>— retest assay not yet on file —</t>
        </is>
      </c>
      <c r="T235" s="189" t="inlineStr">
        <is>
          <t>— pending —</t>
        </is>
      </c>
      <c r="U235" s="189" t="inlineStr">
        <is>
          <t>— pending —</t>
        </is>
      </c>
      <c r="V235" s="182" t="inlineStr">
        <is>
          <t>#8, #9, #11, #12 from the initial testing</t>
        </is>
      </c>
      <c r="W235" s="189" t="inlineStr">
        <is>
          <t>pending — retest assay not yet on file</t>
        </is>
      </c>
    </row>
    <row r="236">
      <c r="A236" s="182" t="n">
        <v>235</v>
      </c>
      <c r="B236" s="182" t="inlineStr">
        <is>
          <t>retest — QP campaign</t>
        </is>
      </c>
      <c r="C236" s="181">
        <f>IFERROR(INDEX('iCoA Register'!$B:$B,MATCH("P050212|AB|R",'iCoA Register'!$R:$R,0)),"— at issue —")</f>
        <v/>
      </c>
      <c r="D236" s="182" t="inlineStr"/>
      <c r="E236" s="182" t="inlineStr">
        <is>
          <t>CoQ reissue (assigned on issue)</t>
        </is>
      </c>
      <c r="F236" s="182" t="inlineStr">
        <is>
          <t>24.01.2027</t>
        </is>
      </c>
      <c r="G236" s="182" t="inlineStr">
        <is>
          <t>at retest sampling · QP campaign</t>
        </is>
      </c>
      <c r="H236" s="181" t="inlineStr">
        <is>
          <t>CJ062501/2</t>
        </is>
      </c>
      <c r="I236" s="182" t="inlineStr">
        <is>
          <t>P050212</t>
        </is>
      </c>
      <c r="J236" s="182" t="inlineStr">
        <is>
          <t>Cap Junkie</t>
        </is>
      </c>
      <c r="K236" s="182" t="inlineStr">
        <is>
          <t>23.09.2025 – 24.09.2025</t>
        </is>
      </c>
      <c r="L236" s="182" t="inlineStr">
        <is>
          <t>18.11.2025 – 24.11.2025 (the issuance plan's basis: 24.01.2026)</t>
        </is>
      </c>
      <c r="M236" s="182" t="inlineStr">
        <is>
          <t>24.11.2025</t>
        </is>
      </c>
      <c r="N236" s="182" t="inlineStr">
        <is>
          <t>Ident A + Ident B</t>
        </is>
      </c>
      <c r="O236" s="182" t="inlineStr">
        <is>
          <t>iCoA_P01-02 · Appearance &amp; Identification A/B</t>
        </is>
      </c>
      <c r="P236" s="182" t="inlineStr">
        <is>
          <t>to test</t>
        </is>
      </c>
      <c r="Q236" s="182" t="inlineStr">
        <is>
          <t>to test</t>
        </is>
      </c>
      <c r="R236" s="182" t="inlineStr">
        <is>
          <t>n/a</t>
        </is>
      </c>
      <c r="S236" s="182" t="inlineStr">
        <is>
          <t>197-4-K-26, (07.08.2026) [FHM-K]</t>
        </is>
      </c>
      <c r="T236" s="182" t="inlineStr">
        <is>
          <t>197-4-K-26, (07.08.2026) [FHM-K]</t>
        </is>
      </c>
      <c r="U236" s="182" t="inlineStr">
        <is>
          <t>197-4-M-26, (10.08.2026) [FHM-M]</t>
        </is>
      </c>
      <c r="V236" s="182" t="inlineStr">
        <is>
          <t>#8, #9, #11, #12 from the initial testing</t>
        </is>
      </c>
      <c r="W236" s="188" t="inlineStr">
        <is>
          <t>due — retest assay and mycotoxins on file</t>
        </is>
      </c>
    </row>
    <row r="237">
      <c r="A237" s="182" t="n">
        <v>236</v>
      </c>
      <c r="B237" s="182" t="inlineStr">
        <is>
          <t>retest — QP campaign</t>
        </is>
      </c>
      <c r="C237" s="181">
        <f>IFERROR(INDEX('iCoA Register'!$B:$B,MATCH("P050212|FM|R",'iCoA Register'!$R:$R,0)),"— at issue —")</f>
        <v/>
      </c>
      <c r="D237" s="182" t="inlineStr"/>
      <c r="E237" s="182" t="inlineStr">
        <is>
          <t>CoQ reissue (assigned on issue)</t>
        </is>
      </c>
      <c r="F237" s="182" t="inlineStr">
        <is>
          <t>24.01.2027</t>
        </is>
      </c>
      <c r="G237" s="182" t="inlineStr">
        <is>
          <t>at retest sampling · QP campaign</t>
        </is>
      </c>
      <c r="H237" s="181" t="inlineStr">
        <is>
          <t>CJ062501/2</t>
        </is>
      </c>
      <c r="I237" s="182" t="inlineStr">
        <is>
          <t>P050212</t>
        </is>
      </c>
      <c r="J237" s="182" t="inlineStr">
        <is>
          <t>Cap Junkie</t>
        </is>
      </c>
      <c r="K237" s="182" t="inlineStr">
        <is>
          <t>23.09.2025 – 24.09.2025</t>
        </is>
      </c>
      <c r="L237" s="182" t="inlineStr">
        <is>
          <t>18.11.2025 – 24.11.2025 (the issuance plan's basis: 24.01.2026)</t>
        </is>
      </c>
      <c r="M237" s="182" t="inlineStr">
        <is>
          <t>24.11.2025</t>
        </is>
      </c>
      <c r="N237" s="182" t="inlineStr">
        <is>
          <t>Foreign matter</t>
        </is>
      </c>
      <c r="O237" s="182" t="inlineStr">
        <is>
          <t>iCoA_P07 · Foreign matter</t>
        </is>
      </c>
      <c r="P237" s="182" t="inlineStr">
        <is>
          <t>n/a</t>
        </is>
      </c>
      <c r="Q237" s="182" t="inlineStr">
        <is>
          <t>n/a</t>
        </is>
      </c>
      <c r="R237" s="182" t="inlineStr">
        <is>
          <t>to test</t>
        </is>
      </c>
      <c r="S237" s="182" t="inlineStr">
        <is>
          <t>197-4-K-26, (07.08.2026) [FHM-K]</t>
        </is>
      </c>
      <c r="T237" s="182" t="inlineStr">
        <is>
          <t>197-4-K-26, (07.08.2026) [FHM-K]</t>
        </is>
      </c>
      <c r="U237" s="182" t="inlineStr">
        <is>
          <t>197-4-M-26, (10.08.2026) [FHM-M]</t>
        </is>
      </c>
      <c r="V237" s="182" t="inlineStr">
        <is>
          <t>#8, #9, #11, #12 from the initial testing</t>
        </is>
      </c>
      <c r="W237" s="188" t="inlineStr">
        <is>
          <t>due — retest assay and mycotoxins on file</t>
        </is>
      </c>
    </row>
    <row r="238">
      <c r="A238" s="182" t="n">
        <v>237</v>
      </c>
      <c r="B238" s="182" t="inlineStr">
        <is>
          <t>retest — QP campaign</t>
        </is>
      </c>
      <c r="C238" s="181">
        <f>IFERROR(INDEX('iCoA Register'!$B:$B,MATCH("P060032|AB|R",'iCoA Register'!$R:$R,0)),"— at issue —")</f>
        <v/>
      </c>
      <c r="D238" s="182" t="inlineStr"/>
      <c r="E238" s="182" t="inlineStr">
        <is>
          <t>CoQ reissue (assigned on issue)</t>
        </is>
      </c>
      <c r="F238" s="182" t="inlineStr">
        <is>
          <t>29.01.2027</t>
        </is>
      </c>
      <c r="G238" s="182" t="inlineStr">
        <is>
          <t>at retest sampling · QP campaign</t>
        </is>
      </c>
      <c r="H238" s="181" t="inlineStr">
        <is>
          <t>CJ082501/2</t>
        </is>
      </c>
      <c r="I238" s="182" t="inlineStr">
        <is>
          <t>P060032</t>
        </is>
      </c>
      <c r="J238" s="182" t="inlineStr">
        <is>
          <t>Cap Junky</t>
        </is>
      </c>
      <c r="K238" s="182" t="inlineStr">
        <is>
          <t>10.12.2025</t>
        </is>
      </c>
      <c r="L238" s="182" t="inlineStr">
        <is>
          <t>29.01.2026</t>
        </is>
      </c>
      <c r="M238" s="182" t="inlineStr">
        <is>
          <t>29.01.2026</t>
        </is>
      </c>
      <c r="N238" s="182" t="inlineStr">
        <is>
          <t>Ident A + Ident B</t>
        </is>
      </c>
      <c r="O238" s="182" t="inlineStr">
        <is>
          <t>iCoA_P01-02 · Appearance &amp; Identification A/B</t>
        </is>
      </c>
      <c r="P238" s="182" t="inlineStr">
        <is>
          <t>to test</t>
        </is>
      </c>
      <c r="Q238" s="182" t="inlineStr">
        <is>
          <t>to test</t>
        </is>
      </c>
      <c r="R238" s="182" t="inlineStr">
        <is>
          <t>n/a</t>
        </is>
      </c>
      <c r="S238" s="182" t="inlineStr">
        <is>
          <t>197-5-K-26, (07.08.2026) [FHM-K]</t>
        </is>
      </c>
      <c r="T238" s="182" t="inlineStr">
        <is>
          <t>197-5-K-26, (07.08.2026) [FHM-K]</t>
        </is>
      </c>
      <c r="U238" s="182" t="inlineStr">
        <is>
          <t>197-5-M-26, (10.08.2026) [FHM-M]</t>
        </is>
      </c>
      <c r="V238" s="182" t="inlineStr">
        <is>
          <t>#8, #9, #11, #12 from the initial testing</t>
        </is>
      </c>
      <c r="W238" s="188" t="inlineStr">
        <is>
          <t>due — retest assay and mycotoxins on file</t>
        </is>
      </c>
    </row>
    <row r="239">
      <c r="A239" s="182" t="n">
        <v>238</v>
      </c>
      <c r="B239" s="182" t="inlineStr">
        <is>
          <t>retest — QP campaign</t>
        </is>
      </c>
      <c r="C239" s="181">
        <f>IFERROR(INDEX('iCoA Register'!$B:$B,MATCH("P060032|FM|R",'iCoA Register'!$R:$R,0)),"— at issue —")</f>
        <v/>
      </c>
      <c r="D239" s="182" t="inlineStr"/>
      <c r="E239" s="182" t="inlineStr">
        <is>
          <t>CoQ reissue (assigned on issue)</t>
        </is>
      </c>
      <c r="F239" s="182" t="inlineStr">
        <is>
          <t>29.01.2027</t>
        </is>
      </c>
      <c r="G239" s="182" t="inlineStr">
        <is>
          <t>at retest sampling · QP campaign</t>
        </is>
      </c>
      <c r="H239" s="181" t="inlineStr">
        <is>
          <t>CJ082501/2</t>
        </is>
      </c>
      <c r="I239" s="182" t="inlineStr">
        <is>
          <t>P060032</t>
        </is>
      </c>
      <c r="J239" s="182" t="inlineStr">
        <is>
          <t>Cap Junky</t>
        </is>
      </c>
      <c r="K239" s="182" t="inlineStr">
        <is>
          <t>10.12.2025</t>
        </is>
      </c>
      <c r="L239" s="182" t="inlineStr">
        <is>
          <t>29.01.2026</t>
        </is>
      </c>
      <c r="M239" s="182" t="inlineStr">
        <is>
          <t>29.01.2026</t>
        </is>
      </c>
      <c r="N239" s="182" t="inlineStr">
        <is>
          <t>Foreign matter</t>
        </is>
      </c>
      <c r="O239" s="182" t="inlineStr">
        <is>
          <t>iCoA_P07 · Foreign matter</t>
        </is>
      </c>
      <c r="P239" s="182" t="inlineStr">
        <is>
          <t>n/a</t>
        </is>
      </c>
      <c r="Q239" s="182" t="inlineStr">
        <is>
          <t>n/a</t>
        </is>
      </c>
      <c r="R239" s="182" t="inlineStr">
        <is>
          <t>to test</t>
        </is>
      </c>
      <c r="S239" s="182" t="inlineStr">
        <is>
          <t>197-5-K-26, (07.08.2026) [FHM-K]</t>
        </is>
      </c>
      <c r="T239" s="182" t="inlineStr">
        <is>
          <t>197-5-K-26, (07.08.2026) [FHM-K]</t>
        </is>
      </c>
      <c r="U239" s="182" t="inlineStr">
        <is>
          <t>197-5-M-26, (10.08.2026) [FHM-M]</t>
        </is>
      </c>
      <c r="V239" s="182" t="inlineStr">
        <is>
          <t>#8, #9, #11, #12 from the initial testing</t>
        </is>
      </c>
      <c r="W239" s="188" t="inlineStr">
        <is>
          <t>due — retest assay and mycotoxins on file</t>
        </is>
      </c>
    </row>
    <row r="240">
      <c r="A240" s="182" t="n">
        <v>239</v>
      </c>
      <c r="B240" s="182" t="inlineStr">
        <is>
          <t>retest — QP campaign</t>
        </is>
      </c>
      <c r="C240" s="181">
        <f>IFERROR(INDEX('iCoA Register'!$B:$B,MATCH("P060042|AB|R",'iCoA Register'!$R:$R,0)),"— at issue —")</f>
        <v/>
      </c>
      <c r="D240" s="182" t="inlineStr"/>
      <c r="E240" s="182" t="inlineStr">
        <is>
          <t>CoQ reissue (assigned on issue)</t>
        </is>
      </c>
      <c r="F240" s="182" t="inlineStr">
        <is>
          <t>29.01.2027</t>
        </is>
      </c>
      <c r="G240" s="182" t="inlineStr">
        <is>
          <t>at retest sampling · QP campaign</t>
        </is>
      </c>
      <c r="H240" s="181" t="inlineStr">
        <is>
          <t>OPM092501</t>
        </is>
      </c>
      <c r="I240" s="182" t="inlineStr">
        <is>
          <t>P060042</t>
        </is>
      </c>
      <c r="J240" s="182" t="inlineStr">
        <is>
          <t>Orange Punch Mimosa</t>
        </is>
      </c>
      <c r="K240" s="182" t="inlineStr">
        <is>
          <t>12.12.2025</t>
        </is>
      </c>
      <c r="L240" s="182" t="inlineStr">
        <is>
          <t>29.01.2026</t>
        </is>
      </c>
      <c r="M240" s="182" t="inlineStr">
        <is>
          <t>29.01.2026</t>
        </is>
      </c>
      <c r="N240" s="182" t="inlineStr">
        <is>
          <t>Ident A + Ident B</t>
        </is>
      </c>
      <c r="O240" s="182" t="inlineStr">
        <is>
          <t>iCoA_P01-02 · Appearance &amp; Identification A/B</t>
        </is>
      </c>
      <c r="P240" s="182" t="inlineStr">
        <is>
          <t>to test</t>
        </is>
      </c>
      <c r="Q240" s="182" t="inlineStr">
        <is>
          <t>to test</t>
        </is>
      </c>
      <c r="R240" s="182" t="inlineStr">
        <is>
          <t>n/a</t>
        </is>
      </c>
      <c r="S240" s="189" t="inlineStr">
        <is>
          <t>— retest assay not yet on file —</t>
        </is>
      </c>
      <c r="T240" s="189" t="inlineStr">
        <is>
          <t>— pending —</t>
        </is>
      </c>
      <c r="U240" s="189" t="inlineStr">
        <is>
          <t>— pending —</t>
        </is>
      </c>
      <c r="V240" s="182" t="inlineStr">
        <is>
          <t>#8, #9, #11, #12 from the initial testing</t>
        </is>
      </c>
      <c r="W240" s="189" t="inlineStr">
        <is>
          <t>pending — retest assay not yet on file</t>
        </is>
      </c>
    </row>
    <row r="241">
      <c r="A241" s="182" t="n">
        <v>240</v>
      </c>
      <c r="B241" s="182" t="inlineStr">
        <is>
          <t>retest — QP campaign</t>
        </is>
      </c>
      <c r="C241" s="181">
        <f>IFERROR(INDEX('iCoA Register'!$B:$B,MATCH("P060042|FM|R",'iCoA Register'!$R:$R,0)),"— at issue —")</f>
        <v/>
      </c>
      <c r="D241" s="182" t="inlineStr"/>
      <c r="E241" s="182" t="inlineStr">
        <is>
          <t>CoQ reissue (assigned on issue)</t>
        </is>
      </c>
      <c r="F241" s="182" t="inlineStr">
        <is>
          <t>29.01.2027</t>
        </is>
      </c>
      <c r="G241" s="182" t="inlineStr">
        <is>
          <t>at retest sampling · QP campaign</t>
        </is>
      </c>
      <c r="H241" s="181" t="inlineStr">
        <is>
          <t>OPM092501</t>
        </is>
      </c>
      <c r="I241" s="182" t="inlineStr">
        <is>
          <t>P060042</t>
        </is>
      </c>
      <c r="J241" s="182" t="inlineStr">
        <is>
          <t>Orange Punch Mimosa</t>
        </is>
      </c>
      <c r="K241" s="182" t="inlineStr">
        <is>
          <t>12.12.2025</t>
        </is>
      </c>
      <c r="L241" s="182" t="inlineStr">
        <is>
          <t>29.01.2026</t>
        </is>
      </c>
      <c r="M241" s="182" t="inlineStr">
        <is>
          <t>29.01.2026</t>
        </is>
      </c>
      <c r="N241" s="182" t="inlineStr">
        <is>
          <t>Foreign matter</t>
        </is>
      </c>
      <c r="O241" s="182" t="inlineStr">
        <is>
          <t>iCoA_P07 · Foreign matter</t>
        </is>
      </c>
      <c r="P241" s="182" t="inlineStr">
        <is>
          <t>n/a</t>
        </is>
      </c>
      <c r="Q241" s="182" t="inlineStr">
        <is>
          <t>n/a</t>
        </is>
      </c>
      <c r="R241" s="182" t="inlineStr">
        <is>
          <t>to test</t>
        </is>
      </c>
      <c r="S241" s="189" t="inlineStr">
        <is>
          <t>— retest assay not yet on file —</t>
        </is>
      </c>
      <c r="T241" s="189" t="inlineStr">
        <is>
          <t>— pending —</t>
        </is>
      </c>
      <c r="U241" s="189" t="inlineStr">
        <is>
          <t>— pending —</t>
        </is>
      </c>
      <c r="V241" s="182" t="inlineStr">
        <is>
          <t>#8, #9, #11, #12 from the initial testing</t>
        </is>
      </c>
      <c r="W241" s="189" t="inlineStr">
        <is>
          <t>pending — retest assay not yet on file</t>
        </is>
      </c>
    </row>
    <row r="242">
      <c r="A242" s="182" t="n">
        <v>241</v>
      </c>
      <c r="B242" s="182" t="inlineStr">
        <is>
          <t>retest — QP campaign</t>
        </is>
      </c>
      <c r="C242" s="181">
        <f>IFERROR(INDEX('iCoA Register'!$B:$B,MATCH("P060062|AB|R",'iCoA Register'!$R:$R,0)),"— at issue —")</f>
        <v/>
      </c>
      <c r="D242" s="182" t="inlineStr"/>
      <c r="E242" s="182" t="inlineStr">
        <is>
          <t>CoQ reissue (assigned on issue)</t>
        </is>
      </c>
      <c r="F242" s="182" t="inlineStr">
        <is>
          <t>30.01.2027</t>
        </is>
      </c>
      <c r="G242" s="182" t="inlineStr">
        <is>
          <t>at retest sampling · QP campaign</t>
        </is>
      </c>
      <c r="H242" s="181" t="inlineStr">
        <is>
          <t>PM092501</t>
        </is>
      </c>
      <c r="I242" s="182" t="inlineStr">
        <is>
          <t>P060062</t>
        </is>
      </c>
      <c r="J242" s="182" t="inlineStr">
        <is>
          <t>Permanent Market</t>
        </is>
      </c>
      <c r="K242" s="182" t="inlineStr">
        <is>
          <t>11.12.2025</t>
        </is>
      </c>
      <c r="L242" s="182" t="inlineStr">
        <is>
          <t>30.01.2026</t>
        </is>
      </c>
      <c r="M242" s="182" t="inlineStr">
        <is>
          <t>30.01.2026</t>
        </is>
      </c>
      <c r="N242" s="182" t="inlineStr">
        <is>
          <t>Ident A + Ident B</t>
        </is>
      </c>
      <c r="O242" s="182" t="inlineStr">
        <is>
          <t>iCoA_P01-02 · Appearance &amp; Identification A/B</t>
        </is>
      </c>
      <c r="P242" s="182" t="inlineStr">
        <is>
          <t>to test</t>
        </is>
      </c>
      <c r="Q242" s="182" t="inlineStr">
        <is>
          <t>to test</t>
        </is>
      </c>
      <c r="R242" s="182" t="inlineStr">
        <is>
          <t>n/a</t>
        </is>
      </c>
      <c r="S242" s="182" t="inlineStr">
        <is>
          <t>197-20-K-26, (07.08.2026) [FHM-K]</t>
        </is>
      </c>
      <c r="T242" s="182" t="inlineStr">
        <is>
          <t>197-20-K-26, (07.08.2026) [FHM-K]</t>
        </is>
      </c>
      <c r="U242" s="182" t="inlineStr">
        <is>
          <t>197-20-M-26, (10.08.2026) [FHM-M]</t>
        </is>
      </c>
      <c r="V242" s="182" t="inlineStr">
        <is>
          <t>#8, #9, #11, #12 from the initial testing</t>
        </is>
      </c>
      <c r="W242" s="188" t="inlineStr">
        <is>
          <t>due — retest assay and mycotoxins on file</t>
        </is>
      </c>
    </row>
    <row r="243">
      <c r="A243" s="182" t="n">
        <v>242</v>
      </c>
      <c r="B243" s="182" t="inlineStr">
        <is>
          <t>retest — QP campaign</t>
        </is>
      </c>
      <c r="C243" s="181">
        <f>IFERROR(INDEX('iCoA Register'!$B:$B,MATCH("P060062|FM|R",'iCoA Register'!$R:$R,0)),"— at issue —")</f>
        <v/>
      </c>
      <c r="D243" s="182" t="inlineStr"/>
      <c r="E243" s="182" t="inlineStr">
        <is>
          <t>CoQ reissue (assigned on issue)</t>
        </is>
      </c>
      <c r="F243" s="182" t="inlineStr">
        <is>
          <t>30.01.2027</t>
        </is>
      </c>
      <c r="G243" s="182" t="inlineStr">
        <is>
          <t>at retest sampling · QP campaign</t>
        </is>
      </c>
      <c r="H243" s="181" t="inlineStr">
        <is>
          <t>PM092501</t>
        </is>
      </c>
      <c r="I243" s="182" t="inlineStr">
        <is>
          <t>P060062</t>
        </is>
      </c>
      <c r="J243" s="182" t="inlineStr">
        <is>
          <t>Permanent Market</t>
        </is>
      </c>
      <c r="K243" s="182" t="inlineStr">
        <is>
          <t>11.12.2025</t>
        </is>
      </c>
      <c r="L243" s="182" t="inlineStr">
        <is>
          <t>30.01.2026</t>
        </is>
      </c>
      <c r="M243" s="182" t="inlineStr">
        <is>
          <t>30.01.2026</t>
        </is>
      </c>
      <c r="N243" s="182" t="inlineStr">
        <is>
          <t>Foreign matter</t>
        </is>
      </c>
      <c r="O243" s="182" t="inlineStr">
        <is>
          <t>iCoA_P07 · Foreign matter</t>
        </is>
      </c>
      <c r="P243" s="182" t="inlineStr">
        <is>
          <t>n/a</t>
        </is>
      </c>
      <c r="Q243" s="182" t="inlineStr">
        <is>
          <t>n/a</t>
        </is>
      </c>
      <c r="R243" s="182" t="inlineStr">
        <is>
          <t>to test</t>
        </is>
      </c>
      <c r="S243" s="182" t="inlineStr">
        <is>
          <t>197-20-K-26, (07.08.2026) [FHM-K]</t>
        </is>
      </c>
      <c r="T243" s="182" t="inlineStr">
        <is>
          <t>197-20-K-26, (07.08.2026) [FHM-K]</t>
        </is>
      </c>
      <c r="U243" s="182" t="inlineStr">
        <is>
          <t>197-20-M-26, (10.08.2026) [FHM-M]</t>
        </is>
      </c>
      <c r="V243" s="182" t="inlineStr">
        <is>
          <t>#8, #9, #11, #12 from the initial testing</t>
        </is>
      </c>
      <c r="W243" s="188" t="inlineStr">
        <is>
          <t>due — retest assay and mycotoxins on file</t>
        </is>
      </c>
    </row>
    <row r="244">
      <c r="A244" s="182" t="n">
        <v>243</v>
      </c>
      <c r="B244" s="182" t="inlineStr">
        <is>
          <t>retest — QP campaign</t>
        </is>
      </c>
      <c r="C244" s="181">
        <f>IFERROR(INDEX('iCoA Register'!$B:$B,MATCH("P060072|AB|R",'iCoA Register'!$R:$R,0)),"— at issue —")</f>
        <v/>
      </c>
      <c r="D244" s="182" t="inlineStr"/>
      <c r="E244" s="182" t="inlineStr">
        <is>
          <t>CoQ reissue (assigned on issue)</t>
        </is>
      </c>
      <c r="F244" s="182" t="inlineStr">
        <is>
          <t>02.02.2027</t>
        </is>
      </c>
      <c r="G244" s="182" t="inlineStr">
        <is>
          <t>at retest sampling · QP campaign</t>
        </is>
      </c>
      <c r="H244" s="181" t="inlineStr">
        <is>
          <t>CJ092501</t>
        </is>
      </c>
      <c r="I244" s="182" t="inlineStr">
        <is>
          <t>P060072</t>
        </is>
      </c>
      <c r="J244" s="182" t="inlineStr">
        <is>
          <t>Cap Junky</t>
        </is>
      </c>
      <c r="K244" s="182" t="inlineStr">
        <is>
          <t>12.12.2025</t>
        </is>
      </c>
      <c r="L244" s="182" t="inlineStr">
        <is>
          <t>02.02.2026</t>
        </is>
      </c>
      <c r="M244" s="182" t="inlineStr">
        <is>
          <t>02.02.2026</t>
        </is>
      </c>
      <c r="N244" s="182" t="inlineStr">
        <is>
          <t>Ident A + Ident B</t>
        </is>
      </c>
      <c r="O244" s="182" t="inlineStr">
        <is>
          <t>iCoA_P01-02 · Appearance &amp; Identification A/B</t>
        </is>
      </c>
      <c r="P244" s="182" t="inlineStr">
        <is>
          <t>to test</t>
        </is>
      </c>
      <c r="Q244" s="182" t="inlineStr">
        <is>
          <t>to test</t>
        </is>
      </c>
      <c r="R244" s="182" t="inlineStr">
        <is>
          <t>n/a</t>
        </is>
      </c>
      <c r="S244" s="189" t="inlineStr">
        <is>
          <t>— retest assay not yet on file —</t>
        </is>
      </c>
      <c r="T244" s="189" t="inlineStr">
        <is>
          <t>— pending —</t>
        </is>
      </c>
      <c r="U244" s="189" t="inlineStr">
        <is>
          <t>— pending —</t>
        </is>
      </c>
      <c r="V244" s="182" t="inlineStr">
        <is>
          <t>#8, #9, #11, #12 from the initial testing</t>
        </is>
      </c>
      <c r="W244" s="189" t="inlineStr">
        <is>
          <t>pending — retest assay not yet on file</t>
        </is>
      </c>
    </row>
    <row r="245">
      <c r="A245" s="182" t="n">
        <v>244</v>
      </c>
      <c r="B245" s="182" t="inlineStr">
        <is>
          <t>retest — QP campaign</t>
        </is>
      </c>
      <c r="C245" s="181">
        <f>IFERROR(INDEX('iCoA Register'!$B:$B,MATCH("P060072|FM|R",'iCoA Register'!$R:$R,0)),"— at issue —")</f>
        <v/>
      </c>
      <c r="D245" s="182" t="inlineStr"/>
      <c r="E245" s="182" t="inlineStr">
        <is>
          <t>CoQ reissue (assigned on issue)</t>
        </is>
      </c>
      <c r="F245" s="182" t="inlineStr">
        <is>
          <t>02.02.2027</t>
        </is>
      </c>
      <c r="G245" s="182" t="inlineStr">
        <is>
          <t>at retest sampling · QP campaign</t>
        </is>
      </c>
      <c r="H245" s="181" t="inlineStr">
        <is>
          <t>CJ092501</t>
        </is>
      </c>
      <c r="I245" s="182" t="inlineStr">
        <is>
          <t>P060072</t>
        </is>
      </c>
      <c r="J245" s="182" t="inlineStr">
        <is>
          <t>Cap Junky</t>
        </is>
      </c>
      <c r="K245" s="182" t="inlineStr">
        <is>
          <t>12.12.2025</t>
        </is>
      </c>
      <c r="L245" s="182" t="inlineStr">
        <is>
          <t>02.02.2026</t>
        </is>
      </c>
      <c r="M245" s="182" t="inlineStr">
        <is>
          <t>02.02.2026</t>
        </is>
      </c>
      <c r="N245" s="182" t="inlineStr">
        <is>
          <t>Foreign matter</t>
        </is>
      </c>
      <c r="O245" s="182" t="inlineStr">
        <is>
          <t>iCoA_P07 · Foreign matter</t>
        </is>
      </c>
      <c r="P245" s="182" t="inlineStr">
        <is>
          <t>n/a</t>
        </is>
      </c>
      <c r="Q245" s="182" t="inlineStr">
        <is>
          <t>n/a</t>
        </is>
      </c>
      <c r="R245" s="182" t="inlineStr">
        <is>
          <t>to test</t>
        </is>
      </c>
      <c r="S245" s="189" t="inlineStr">
        <is>
          <t>— retest assay not yet on file —</t>
        </is>
      </c>
      <c r="T245" s="189" t="inlineStr">
        <is>
          <t>— pending —</t>
        </is>
      </c>
      <c r="U245" s="189" t="inlineStr">
        <is>
          <t>— pending —</t>
        </is>
      </c>
      <c r="V245" s="182" t="inlineStr">
        <is>
          <t>#8, #9, #11, #12 from the initial testing</t>
        </is>
      </c>
      <c r="W245" s="189" t="inlineStr">
        <is>
          <t>pending — retest assay not yet on file</t>
        </is>
      </c>
    </row>
    <row r="246">
      <c r="A246" s="182" t="n">
        <v>245</v>
      </c>
      <c r="B246" s="182" t="inlineStr">
        <is>
          <t>retest — QP campaign</t>
        </is>
      </c>
      <c r="C246" s="181">
        <f>IFERROR(INDEX('iCoA Register'!$B:$B,MATCH("P060082|AB|R",'iCoA Register'!$R:$R,0)),"— at issue —")</f>
        <v/>
      </c>
      <c r="D246" s="182" t="inlineStr"/>
      <c r="E246" s="182" t="inlineStr">
        <is>
          <t>CoQ reissue (assigned on issue)</t>
        </is>
      </c>
      <c r="F246" s="182" t="inlineStr">
        <is>
          <t>02.02.2027</t>
        </is>
      </c>
      <c r="G246" s="182" t="inlineStr">
        <is>
          <t>at retest sampling · QP campaign</t>
        </is>
      </c>
      <c r="H246" s="181" t="inlineStr">
        <is>
          <t>SJ0925021</t>
        </is>
      </c>
      <c r="I246" s="182" t="inlineStr">
        <is>
          <t>P060082</t>
        </is>
      </c>
      <c r="J246" s="182" t="inlineStr"/>
      <c r="K246" s="182" t="inlineStr">
        <is>
          <t>11.12.2025 – 12.12.2025</t>
        </is>
      </c>
      <c r="L246" s="182" t="inlineStr">
        <is>
          <t>02.02.2026</t>
        </is>
      </c>
      <c r="M246" s="182" t="inlineStr">
        <is>
          <t>02.02.2026</t>
        </is>
      </c>
      <c r="N246" s="182" t="inlineStr">
        <is>
          <t>Ident A + Ident B</t>
        </is>
      </c>
      <c r="O246" s="182" t="inlineStr">
        <is>
          <t>iCoA_P01-02 · Appearance &amp; Identification A/B</t>
        </is>
      </c>
      <c r="P246" s="182" t="inlineStr">
        <is>
          <t>to test</t>
        </is>
      </c>
      <c r="Q246" s="182" t="inlineStr">
        <is>
          <t>to test</t>
        </is>
      </c>
      <c r="R246" s="182" t="inlineStr">
        <is>
          <t>n/a</t>
        </is>
      </c>
      <c r="S246" s="189" t="inlineStr">
        <is>
          <t>— retest assay not yet on file —</t>
        </is>
      </c>
      <c r="T246" s="189" t="inlineStr">
        <is>
          <t>— pending —</t>
        </is>
      </c>
      <c r="U246" s="189" t="inlineStr">
        <is>
          <t>— pending —</t>
        </is>
      </c>
      <c r="V246" s="182" t="inlineStr">
        <is>
          <t>#8, #9, #11, #12 from the initial testing</t>
        </is>
      </c>
      <c r="W246" s="189" t="inlineStr">
        <is>
          <t>pending — retest assay not yet on file</t>
        </is>
      </c>
    </row>
    <row r="247">
      <c r="A247" s="182" t="n">
        <v>246</v>
      </c>
      <c r="B247" s="182" t="inlineStr">
        <is>
          <t>retest — QP campaign</t>
        </is>
      </c>
      <c r="C247" s="181">
        <f>IFERROR(INDEX('iCoA Register'!$B:$B,MATCH("P060082|FM|R",'iCoA Register'!$R:$R,0)),"— at issue —")</f>
        <v/>
      </c>
      <c r="D247" s="182" t="inlineStr"/>
      <c r="E247" s="182" t="inlineStr">
        <is>
          <t>CoQ reissue (assigned on issue)</t>
        </is>
      </c>
      <c r="F247" s="182" t="inlineStr">
        <is>
          <t>02.02.2027</t>
        </is>
      </c>
      <c r="G247" s="182" t="inlineStr">
        <is>
          <t>at retest sampling · QP campaign</t>
        </is>
      </c>
      <c r="H247" s="181" t="inlineStr">
        <is>
          <t>SJ0925021</t>
        </is>
      </c>
      <c r="I247" s="182" t="inlineStr">
        <is>
          <t>P060082</t>
        </is>
      </c>
      <c r="J247" s="182" t="inlineStr"/>
      <c r="K247" s="182" t="inlineStr">
        <is>
          <t>11.12.2025 – 12.12.2025</t>
        </is>
      </c>
      <c r="L247" s="182" t="inlineStr">
        <is>
          <t>02.02.2026</t>
        </is>
      </c>
      <c r="M247" s="182" t="inlineStr">
        <is>
          <t>02.02.2026</t>
        </is>
      </c>
      <c r="N247" s="182" t="inlineStr">
        <is>
          <t>Foreign matter</t>
        </is>
      </c>
      <c r="O247" s="182" t="inlineStr">
        <is>
          <t>iCoA_P07 · Foreign matter</t>
        </is>
      </c>
      <c r="P247" s="182" t="inlineStr">
        <is>
          <t>n/a</t>
        </is>
      </c>
      <c r="Q247" s="182" t="inlineStr">
        <is>
          <t>n/a</t>
        </is>
      </c>
      <c r="R247" s="182" t="inlineStr">
        <is>
          <t>to test</t>
        </is>
      </c>
      <c r="S247" s="189" t="inlineStr">
        <is>
          <t>— retest assay not yet on file —</t>
        </is>
      </c>
      <c r="T247" s="189" t="inlineStr">
        <is>
          <t>— pending —</t>
        </is>
      </c>
      <c r="U247" s="189" t="inlineStr">
        <is>
          <t>— pending —</t>
        </is>
      </c>
      <c r="V247" s="182" t="inlineStr">
        <is>
          <t>#8, #9, #11, #12 from the initial testing</t>
        </is>
      </c>
      <c r="W247" s="189" t="inlineStr">
        <is>
          <t>pending — retest assay not yet on file</t>
        </is>
      </c>
    </row>
    <row r="248">
      <c r="A248" s="182" t="n">
        <v>247</v>
      </c>
      <c r="B248" s="182" t="inlineStr">
        <is>
          <t>retest — QP campaign</t>
        </is>
      </c>
      <c r="C248" s="181">
        <f>IFERROR(INDEX('iCoA Register'!$B:$B,MATCH("P060092|AB|R",'iCoA Register'!$R:$R,0)),"— at issue —")</f>
        <v/>
      </c>
      <c r="D248" s="182" t="inlineStr"/>
      <c r="E248" s="182" t="inlineStr">
        <is>
          <t>CoQ reissue (assigned on issue)</t>
        </is>
      </c>
      <c r="F248" s="182" t="inlineStr">
        <is>
          <t>03.02.2027</t>
        </is>
      </c>
      <c r="G248" s="182" t="inlineStr">
        <is>
          <t>at retest sampling · QP campaign</t>
        </is>
      </c>
      <c r="H248" s="181" t="inlineStr">
        <is>
          <t>GP092501</t>
        </is>
      </c>
      <c r="I248" s="182" t="inlineStr">
        <is>
          <t>P060092</t>
        </is>
      </c>
      <c r="J248" s="182" t="inlineStr">
        <is>
          <t>Grape Pie</t>
        </is>
      </c>
      <c r="K248" s="182" t="inlineStr">
        <is>
          <t>16.12.2025 – 17.12.2025</t>
        </is>
      </c>
      <c r="L248" s="182" t="inlineStr">
        <is>
          <t>03.02.2026 – 09.02.2026</t>
        </is>
      </c>
      <c r="M248" s="182" t="inlineStr">
        <is>
          <t>09.02.2026</t>
        </is>
      </c>
      <c r="N248" s="182" t="inlineStr">
        <is>
          <t>Ident A + Ident B</t>
        </is>
      </c>
      <c r="O248" s="182" t="inlineStr">
        <is>
          <t>iCoA_P01-02 · Appearance &amp; Identification A/B</t>
        </is>
      </c>
      <c r="P248" s="182" t="inlineStr">
        <is>
          <t>to test</t>
        </is>
      </c>
      <c r="Q248" s="182" t="inlineStr">
        <is>
          <t>to test</t>
        </is>
      </c>
      <c r="R248" s="182" t="inlineStr">
        <is>
          <t>n/a</t>
        </is>
      </c>
      <c r="S248" s="189" t="inlineStr">
        <is>
          <t>— retest assay not yet on file —</t>
        </is>
      </c>
      <c r="T248" s="189" t="inlineStr">
        <is>
          <t>— pending —</t>
        </is>
      </c>
      <c r="U248" s="189" t="inlineStr">
        <is>
          <t>— pending —</t>
        </is>
      </c>
      <c r="V248" s="182" t="inlineStr">
        <is>
          <t>#8, #9, #11, #12 from the initial testing</t>
        </is>
      </c>
      <c r="W248" s="189" t="inlineStr">
        <is>
          <t>pending — retest assay not yet on file</t>
        </is>
      </c>
    </row>
    <row r="249">
      <c r="A249" s="182" t="n">
        <v>248</v>
      </c>
      <c r="B249" s="182" t="inlineStr">
        <is>
          <t>retest — QP campaign</t>
        </is>
      </c>
      <c r="C249" s="181">
        <f>IFERROR(INDEX('iCoA Register'!$B:$B,MATCH("P060092|FM|R",'iCoA Register'!$R:$R,0)),"— at issue —")</f>
        <v/>
      </c>
      <c r="D249" s="182" t="inlineStr"/>
      <c r="E249" s="182" t="inlineStr">
        <is>
          <t>CoQ reissue (assigned on issue)</t>
        </is>
      </c>
      <c r="F249" s="182" t="inlineStr">
        <is>
          <t>03.02.2027</t>
        </is>
      </c>
      <c r="G249" s="182" t="inlineStr">
        <is>
          <t>at retest sampling · QP campaign</t>
        </is>
      </c>
      <c r="H249" s="181" t="inlineStr">
        <is>
          <t>GP092501</t>
        </is>
      </c>
      <c r="I249" s="182" t="inlineStr">
        <is>
          <t>P060092</t>
        </is>
      </c>
      <c r="J249" s="182" t="inlineStr">
        <is>
          <t>Grape Pie</t>
        </is>
      </c>
      <c r="K249" s="182" t="inlineStr">
        <is>
          <t>16.12.2025 – 17.12.2025</t>
        </is>
      </c>
      <c r="L249" s="182" t="inlineStr">
        <is>
          <t>03.02.2026 – 09.02.2026</t>
        </is>
      </c>
      <c r="M249" s="182" t="inlineStr">
        <is>
          <t>09.02.2026</t>
        </is>
      </c>
      <c r="N249" s="182" t="inlineStr">
        <is>
          <t>Foreign matter</t>
        </is>
      </c>
      <c r="O249" s="182" t="inlineStr">
        <is>
          <t>iCoA_P07 · Foreign matter</t>
        </is>
      </c>
      <c r="P249" s="182" t="inlineStr">
        <is>
          <t>n/a</t>
        </is>
      </c>
      <c r="Q249" s="182" t="inlineStr">
        <is>
          <t>n/a</t>
        </is>
      </c>
      <c r="R249" s="182" t="inlineStr">
        <is>
          <t>to test</t>
        </is>
      </c>
      <c r="S249" s="189" t="inlineStr">
        <is>
          <t>— retest assay not yet on file —</t>
        </is>
      </c>
      <c r="T249" s="189" t="inlineStr">
        <is>
          <t>— pending —</t>
        </is>
      </c>
      <c r="U249" s="189" t="inlineStr">
        <is>
          <t>— pending —</t>
        </is>
      </c>
      <c r="V249" s="182" t="inlineStr">
        <is>
          <t>#8, #9, #11, #12 from the initial testing</t>
        </is>
      </c>
      <c r="W249" s="189" t="inlineStr">
        <is>
          <t>pending — retest assay not yet on file</t>
        </is>
      </c>
    </row>
    <row r="250">
      <c r="A250" s="182" t="n">
        <v>249</v>
      </c>
      <c r="B250" s="182" t="inlineStr">
        <is>
          <t>retest — QP campaign</t>
        </is>
      </c>
      <c r="C250" s="181">
        <f>IFERROR(INDEX('iCoA Register'!$B:$B,MATCH("P060052|AB|R",'iCoA Register'!$R:$R,0)),"— at issue —")</f>
        <v/>
      </c>
      <c r="D250" s="182" t="inlineStr"/>
      <c r="E250" s="182" t="inlineStr">
        <is>
          <t>CoQ reissue (assigned on issue)</t>
        </is>
      </c>
      <c r="F250" s="182" t="inlineStr">
        <is>
          <t>20.02.2027</t>
        </is>
      </c>
      <c r="G250" s="182" t="inlineStr">
        <is>
          <t>at retest sampling · QP campaign</t>
        </is>
      </c>
      <c r="H250" s="181" t="inlineStr">
        <is>
          <t>AB092501</t>
        </is>
      </c>
      <c r="I250" s="182" t="inlineStr">
        <is>
          <t>P060052</t>
        </is>
      </c>
      <c r="J250" s="182" t="inlineStr">
        <is>
          <t>Apple and Banana</t>
        </is>
      </c>
      <c r="K250" s="182" t="inlineStr">
        <is>
          <t>11.12.2025</t>
        </is>
      </c>
      <c r="L250" s="182" t="inlineStr">
        <is>
          <t>30.01.2026 (the issuance plan's basis: 20.02.2026)</t>
        </is>
      </c>
      <c r="M250" s="182" t="inlineStr">
        <is>
          <t>30.01.2026</t>
        </is>
      </c>
      <c r="N250" s="182" t="inlineStr">
        <is>
          <t>Ident A + Ident B</t>
        </is>
      </c>
      <c r="O250" s="182" t="inlineStr">
        <is>
          <t>iCoA_P01-02 · Appearance &amp; Identification A/B</t>
        </is>
      </c>
      <c r="P250" s="182" t="inlineStr">
        <is>
          <t>to test</t>
        </is>
      </c>
      <c r="Q250" s="182" t="inlineStr">
        <is>
          <t>to test</t>
        </is>
      </c>
      <c r="R250" s="182" t="inlineStr">
        <is>
          <t>n/a</t>
        </is>
      </c>
      <c r="S250" s="189" t="inlineStr">
        <is>
          <t>— retest assay not yet on file —</t>
        </is>
      </c>
      <c r="T250" s="189" t="inlineStr">
        <is>
          <t>— pending —</t>
        </is>
      </c>
      <c r="U250" s="189" t="inlineStr">
        <is>
          <t>— pending —</t>
        </is>
      </c>
      <c r="V250" s="182" t="inlineStr">
        <is>
          <t>#8, #9, #11, #12 from the initial testing</t>
        </is>
      </c>
      <c r="W250" s="189" t="inlineStr">
        <is>
          <t>pending — retest assay not yet on file</t>
        </is>
      </c>
    </row>
    <row r="251">
      <c r="A251" s="182" t="n">
        <v>250</v>
      </c>
      <c r="B251" s="182" t="inlineStr">
        <is>
          <t>retest — QP campaign</t>
        </is>
      </c>
      <c r="C251" s="181">
        <f>IFERROR(INDEX('iCoA Register'!$B:$B,MATCH("P060052|FM|R",'iCoA Register'!$R:$R,0)),"— at issue —")</f>
        <v/>
      </c>
      <c r="D251" s="182" t="inlineStr"/>
      <c r="E251" s="182" t="inlineStr">
        <is>
          <t>CoQ reissue (assigned on issue)</t>
        </is>
      </c>
      <c r="F251" s="182" t="inlineStr">
        <is>
          <t>20.02.2027</t>
        </is>
      </c>
      <c r="G251" s="182" t="inlineStr">
        <is>
          <t>at retest sampling · QP campaign</t>
        </is>
      </c>
      <c r="H251" s="181" t="inlineStr">
        <is>
          <t>AB092501</t>
        </is>
      </c>
      <c r="I251" s="182" t="inlineStr">
        <is>
          <t>P060052</t>
        </is>
      </c>
      <c r="J251" s="182" t="inlineStr">
        <is>
          <t>Apple and Banana</t>
        </is>
      </c>
      <c r="K251" s="182" t="inlineStr">
        <is>
          <t>11.12.2025</t>
        </is>
      </c>
      <c r="L251" s="182" t="inlineStr">
        <is>
          <t>30.01.2026 (the issuance plan's basis: 20.02.2026)</t>
        </is>
      </c>
      <c r="M251" s="182" t="inlineStr">
        <is>
          <t>30.01.2026</t>
        </is>
      </c>
      <c r="N251" s="182" t="inlineStr">
        <is>
          <t>Foreign matter</t>
        </is>
      </c>
      <c r="O251" s="182" t="inlineStr">
        <is>
          <t>iCoA_P07 · Foreign matter</t>
        </is>
      </c>
      <c r="P251" s="182" t="inlineStr">
        <is>
          <t>n/a</t>
        </is>
      </c>
      <c r="Q251" s="182" t="inlineStr">
        <is>
          <t>n/a</t>
        </is>
      </c>
      <c r="R251" s="182" t="inlineStr">
        <is>
          <t>to test</t>
        </is>
      </c>
      <c r="S251" s="189" t="inlineStr">
        <is>
          <t>— retest assay not yet on file —</t>
        </is>
      </c>
      <c r="T251" s="189" t="inlineStr">
        <is>
          <t>— pending —</t>
        </is>
      </c>
      <c r="U251" s="189" t="inlineStr">
        <is>
          <t>— pending —</t>
        </is>
      </c>
      <c r="V251" s="182" t="inlineStr">
        <is>
          <t>#8, #9, #11, #12 from the initial testing</t>
        </is>
      </c>
      <c r="W251" s="189" t="inlineStr">
        <is>
          <t>pending — retest assay not yet on file</t>
        </is>
      </c>
    </row>
    <row r="252">
      <c r="A252" s="182" t="n">
        <v>251</v>
      </c>
      <c r="B252" s="182" t="inlineStr">
        <is>
          <t>retest — QP campaign</t>
        </is>
      </c>
      <c r="C252" s="181">
        <f>IFERROR(INDEX('iCoA Register'!$B:$B,MATCH("P060162|AB|R",'iCoA Register'!$R:$R,0)),"— at issue —")</f>
        <v/>
      </c>
      <c r="D252" s="182" t="inlineStr"/>
      <c r="E252" s="182" t="inlineStr">
        <is>
          <t>CoQ reissue (assigned on issue)</t>
        </is>
      </c>
      <c r="F252" s="182" t="inlineStr">
        <is>
          <t>04.03.2027</t>
        </is>
      </c>
      <c r="G252" s="182" t="inlineStr">
        <is>
          <t>at retest sampling · QP campaign</t>
        </is>
      </c>
      <c r="H252" s="181" t="inlineStr">
        <is>
          <t>SJ102501</t>
        </is>
      </c>
      <c r="I252" s="182" t="inlineStr">
        <is>
          <t>P060162</t>
        </is>
      </c>
      <c r="J252" s="182" t="inlineStr">
        <is>
          <t>Sleepy Joe</t>
        </is>
      </c>
      <c r="K252" s="182" t="inlineStr">
        <is>
          <t>20.01.2026</t>
        </is>
      </c>
      <c r="L252" s="182" t="inlineStr">
        <is>
          <t>09.03.2026 (the issuance plan's basis: 04.03.2026)</t>
        </is>
      </c>
      <c r="M252" s="182" t="inlineStr">
        <is>
          <t>09.03.2026</t>
        </is>
      </c>
      <c r="N252" s="182" t="inlineStr">
        <is>
          <t>Ident A + Ident B</t>
        </is>
      </c>
      <c r="O252" s="182" t="inlineStr">
        <is>
          <t>iCoA_P01-02 · Appearance &amp; Identification A/B</t>
        </is>
      </c>
      <c r="P252" s="182" t="inlineStr">
        <is>
          <t>to test</t>
        </is>
      </c>
      <c r="Q252" s="182" t="inlineStr">
        <is>
          <t>to test</t>
        </is>
      </c>
      <c r="R252" s="182" t="inlineStr">
        <is>
          <t>n/a</t>
        </is>
      </c>
      <c r="S252" s="189" t="inlineStr">
        <is>
          <t>— retest assay not yet on file —</t>
        </is>
      </c>
      <c r="T252" s="189" t="inlineStr">
        <is>
          <t>— pending —</t>
        </is>
      </c>
      <c r="U252" s="189" t="inlineStr">
        <is>
          <t>— pending —</t>
        </is>
      </c>
      <c r="V252" s="182" t="inlineStr">
        <is>
          <t>#8, #9, #11, #12 from the initial testing</t>
        </is>
      </c>
      <c r="W252" s="189" t="inlineStr">
        <is>
          <t>pending — retest assay not yet on file</t>
        </is>
      </c>
    </row>
    <row r="253">
      <c r="A253" s="182" t="n">
        <v>252</v>
      </c>
      <c r="B253" s="182" t="inlineStr">
        <is>
          <t>retest — QP campaign</t>
        </is>
      </c>
      <c r="C253" s="181">
        <f>IFERROR(INDEX('iCoA Register'!$B:$B,MATCH("P060162|FM|R",'iCoA Register'!$R:$R,0)),"— at issue —")</f>
        <v/>
      </c>
      <c r="D253" s="182" t="inlineStr"/>
      <c r="E253" s="182" t="inlineStr">
        <is>
          <t>CoQ reissue (assigned on issue)</t>
        </is>
      </c>
      <c r="F253" s="182" t="inlineStr">
        <is>
          <t>04.03.2027</t>
        </is>
      </c>
      <c r="G253" s="182" t="inlineStr">
        <is>
          <t>at retest sampling · QP campaign</t>
        </is>
      </c>
      <c r="H253" s="181" t="inlineStr">
        <is>
          <t>SJ102501</t>
        </is>
      </c>
      <c r="I253" s="182" t="inlineStr">
        <is>
          <t>P060162</t>
        </is>
      </c>
      <c r="J253" s="182" t="inlineStr">
        <is>
          <t>Sleepy Joe</t>
        </is>
      </c>
      <c r="K253" s="182" t="inlineStr">
        <is>
          <t>20.01.2026</t>
        </is>
      </c>
      <c r="L253" s="182" t="inlineStr">
        <is>
          <t>09.03.2026 (the issuance plan's basis: 04.03.2026)</t>
        </is>
      </c>
      <c r="M253" s="182" t="inlineStr">
        <is>
          <t>09.03.2026</t>
        </is>
      </c>
      <c r="N253" s="182" t="inlineStr">
        <is>
          <t>Foreign matter</t>
        </is>
      </c>
      <c r="O253" s="182" t="inlineStr">
        <is>
          <t>iCoA_P07 · Foreign matter</t>
        </is>
      </c>
      <c r="P253" s="182" t="inlineStr">
        <is>
          <t>n/a</t>
        </is>
      </c>
      <c r="Q253" s="182" t="inlineStr">
        <is>
          <t>n/a</t>
        </is>
      </c>
      <c r="R253" s="182" t="inlineStr">
        <is>
          <t>to test</t>
        </is>
      </c>
      <c r="S253" s="189" t="inlineStr">
        <is>
          <t>— retest assay not yet on file —</t>
        </is>
      </c>
      <c r="T253" s="189" t="inlineStr">
        <is>
          <t>— pending —</t>
        </is>
      </c>
      <c r="U253" s="189" t="inlineStr">
        <is>
          <t>— pending —</t>
        </is>
      </c>
      <c r="V253" s="182" t="inlineStr">
        <is>
          <t>#8, #9, #11, #12 from the initial testing</t>
        </is>
      </c>
      <c r="W253" s="189" t="inlineStr">
        <is>
          <t>pending — retest assay not yet on file</t>
        </is>
      </c>
    </row>
    <row r="254">
      <c r="A254" s="182" t="n">
        <v>253</v>
      </c>
      <c r="B254" s="182" t="inlineStr">
        <is>
          <t>retest — QP campaign</t>
        </is>
      </c>
      <c r="C254" s="181">
        <f>IFERROR(INDEX('iCoA Register'!$B:$B,MATCH("P060192|AB|R",'iCoA Register'!$R:$R,0)),"— at issue —")</f>
        <v/>
      </c>
      <c r="D254" s="182" t="inlineStr"/>
      <c r="E254" s="182" t="inlineStr">
        <is>
          <t>CoQ reissue (assigned on issue)</t>
        </is>
      </c>
      <c r="F254" s="182" t="inlineStr">
        <is>
          <t>04.03.2027</t>
        </is>
      </c>
      <c r="G254" s="182" t="inlineStr">
        <is>
          <t>at retest sampling · QP campaign</t>
        </is>
      </c>
      <c r="H254" s="181" t="inlineStr">
        <is>
          <t>SJ112501</t>
        </is>
      </c>
      <c r="I254" s="182" t="inlineStr">
        <is>
          <t>P060192</t>
        </is>
      </c>
      <c r="J254" s="182" t="inlineStr">
        <is>
          <t>Sleepy Joy</t>
        </is>
      </c>
      <c r="K254" s="182" t="inlineStr">
        <is>
          <t>26.01.2026 – 27.01.2026</t>
        </is>
      </c>
      <c r="L254" s="182" t="inlineStr">
        <is>
          <t>31.03.2026 (the issuance plan's basis: 04.03.2026)</t>
        </is>
      </c>
      <c r="M254" s="182" t="inlineStr">
        <is>
          <t>31.03.2026</t>
        </is>
      </c>
      <c r="N254" s="182" t="inlineStr">
        <is>
          <t>Ident A + Ident B</t>
        </is>
      </c>
      <c r="O254" s="182" t="inlineStr">
        <is>
          <t>iCoA_P01-02 · Appearance &amp; Identification A/B</t>
        </is>
      </c>
      <c r="P254" s="182" t="inlineStr">
        <is>
          <t>to test</t>
        </is>
      </c>
      <c r="Q254" s="182" t="inlineStr">
        <is>
          <t>to test</t>
        </is>
      </c>
      <c r="R254" s="182" t="inlineStr">
        <is>
          <t>n/a</t>
        </is>
      </c>
      <c r="S254" s="189" t="inlineStr">
        <is>
          <t>— retest assay not yet on file —</t>
        </is>
      </c>
      <c r="T254" s="189" t="inlineStr">
        <is>
          <t>— pending —</t>
        </is>
      </c>
      <c r="U254" s="189" t="inlineStr">
        <is>
          <t>— pending —</t>
        </is>
      </c>
      <c r="V254" s="182" t="inlineStr">
        <is>
          <t>#8, #9, #11, #12 from the initial testing</t>
        </is>
      </c>
      <c r="W254" s="189" t="inlineStr">
        <is>
          <t>pending — retest assay not yet on file</t>
        </is>
      </c>
    </row>
    <row r="255">
      <c r="A255" s="182" t="n">
        <v>254</v>
      </c>
      <c r="B255" s="182" t="inlineStr">
        <is>
          <t>retest — QP campaign</t>
        </is>
      </c>
      <c r="C255" s="181">
        <f>IFERROR(INDEX('iCoA Register'!$B:$B,MATCH("P060192|FM|R",'iCoA Register'!$R:$R,0)),"— at issue —")</f>
        <v/>
      </c>
      <c r="D255" s="182" t="inlineStr"/>
      <c r="E255" s="182" t="inlineStr">
        <is>
          <t>CoQ reissue (assigned on issue)</t>
        </is>
      </c>
      <c r="F255" s="182" t="inlineStr">
        <is>
          <t>04.03.2027</t>
        </is>
      </c>
      <c r="G255" s="182" t="inlineStr">
        <is>
          <t>at retest sampling · QP campaign</t>
        </is>
      </c>
      <c r="H255" s="181" t="inlineStr">
        <is>
          <t>SJ112501</t>
        </is>
      </c>
      <c r="I255" s="182" t="inlineStr">
        <is>
          <t>P060192</t>
        </is>
      </c>
      <c r="J255" s="182" t="inlineStr">
        <is>
          <t>Sleepy Joy</t>
        </is>
      </c>
      <c r="K255" s="182" t="inlineStr">
        <is>
          <t>26.01.2026 – 27.01.2026</t>
        </is>
      </c>
      <c r="L255" s="182" t="inlineStr">
        <is>
          <t>31.03.2026 (the issuance plan's basis: 04.03.2026)</t>
        </is>
      </c>
      <c r="M255" s="182" t="inlineStr">
        <is>
          <t>31.03.2026</t>
        </is>
      </c>
      <c r="N255" s="182" t="inlineStr">
        <is>
          <t>Foreign matter</t>
        </is>
      </c>
      <c r="O255" s="182" t="inlineStr">
        <is>
          <t>iCoA_P07 · Foreign matter</t>
        </is>
      </c>
      <c r="P255" s="182" t="inlineStr">
        <is>
          <t>n/a</t>
        </is>
      </c>
      <c r="Q255" s="182" t="inlineStr">
        <is>
          <t>n/a</t>
        </is>
      </c>
      <c r="R255" s="182" t="inlineStr">
        <is>
          <t>to test</t>
        </is>
      </c>
      <c r="S255" s="189" t="inlineStr">
        <is>
          <t>— retest assay not yet on file —</t>
        </is>
      </c>
      <c r="T255" s="189" t="inlineStr">
        <is>
          <t>— pending —</t>
        </is>
      </c>
      <c r="U255" s="189" t="inlineStr">
        <is>
          <t>— pending —</t>
        </is>
      </c>
      <c r="V255" s="182" t="inlineStr">
        <is>
          <t>#8, #9, #11, #12 from the initial testing</t>
        </is>
      </c>
      <c r="W255" s="189" t="inlineStr">
        <is>
          <t>pending — retest assay not yet on file</t>
        </is>
      </c>
    </row>
    <row r="256">
      <c r="A256" s="182" t="n">
        <v>255</v>
      </c>
      <c r="B256" s="182" t="inlineStr">
        <is>
          <t>retest — QP campaign</t>
        </is>
      </c>
      <c r="C256" s="181">
        <f>IFERROR(INDEX('iCoA Register'!$B:$B,MATCH("P060152|AB|R",'iCoA Register'!$R:$R,0)),"— at issue —")</f>
        <v/>
      </c>
      <c r="D256" s="182" t="inlineStr"/>
      <c r="E256" s="182" t="inlineStr">
        <is>
          <t>CoQ reissue (assigned on issue)</t>
        </is>
      </c>
      <c r="F256" s="182" t="inlineStr">
        <is>
          <t>05.03.2027</t>
        </is>
      </c>
      <c r="G256" s="182" t="inlineStr">
        <is>
          <t>at retest sampling · QP campaign</t>
        </is>
      </c>
      <c r="H256" s="181" t="inlineStr">
        <is>
          <t>J31102501</t>
        </is>
      </c>
      <c r="I256" s="182" t="inlineStr">
        <is>
          <t>P060152</t>
        </is>
      </c>
      <c r="J256" s="182" t="inlineStr">
        <is>
          <t>Jokerz 31</t>
        </is>
      </c>
      <c r="K256" s="182" t="inlineStr">
        <is>
          <t>21.01.2026</t>
        </is>
      </c>
      <c r="L256" s="182" t="inlineStr">
        <is>
          <t>05.03.2026</t>
        </is>
      </c>
      <c r="M256" s="182" t="inlineStr">
        <is>
          <t>05.03.2026</t>
        </is>
      </c>
      <c r="N256" s="182" t="inlineStr">
        <is>
          <t>Ident A + Ident B</t>
        </is>
      </c>
      <c r="O256" s="182" t="inlineStr">
        <is>
          <t>iCoA_P01-02 · Appearance &amp; Identification A/B</t>
        </is>
      </c>
      <c r="P256" s="182" t="inlineStr">
        <is>
          <t>to test</t>
        </is>
      </c>
      <c r="Q256" s="182" t="inlineStr">
        <is>
          <t>to test</t>
        </is>
      </c>
      <c r="R256" s="182" t="inlineStr">
        <is>
          <t>n/a</t>
        </is>
      </c>
      <c r="S256" s="182" t="inlineStr">
        <is>
          <t>197-16-K-26, (07.08.2026) [FHM-K]</t>
        </is>
      </c>
      <c r="T256" s="182" t="inlineStr">
        <is>
          <t>197-16-K-26, (07.08.2026) [FHM-K]</t>
        </is>
      </c>
      <c r="U256" s="182" t="inlineStr">
        <is>
          <t>197-16-M-26, (10.08.2026) [FHM-M]</t>
        </is>
      </c>
      <c r="V256" s="182" t="inlineStr">
        <is>
          <t>#8, #9, #11, #12 from the initial testing</t>
        </is>
      </c>
      <c r="W256" s="188" t="inlineStr">
        <is>
          <t>due — retest assay and mycotoxins on file</t>
        </is>
      </c>
    </row>
    <row r="257">
      <c r="A257" s="182" t="n">
        <v>256</v>
      </c>
      <c r="B257" s="182" t="inlineStr">
        <is>
          <t>retest — QP campaign</t>
        </is>
      </c>
      <c r="C257" s="181">
        <f>IFERROR(INDEX('iCoA Register'!$B:$B,MATCH("P060152|FM|R",'iCoA Register'!$R:$R,0)),"— at issue —")</f>
        <v/>
      </c>
      <c r="D257" s="182" t="inlineStr"/>
      <c r="E257" s="182" t="inlineStr">
        <is>
          <t>CoQ reissue (assigned on issue)</t>
        </is>
      </c>
      <c r="F257" s="182" t="inlineStr">
        <is>
          <t>05.03.2027</t>
        </is>
      </c>
      <c r="G257" s="182" t="inlineStr">
        <is>
          <t>at retest sampling · QP campaign</t>
        </is>
      </c>
      <c r="H257" s="181" t="inlineStr">
        <is>
          <t>J31102501</t>
        </is>
      </c>
      <c r="I257" s="182" t="inlineStr">
        <is>
          <t>P060152</t>
        </is>
      </c>
      <c r="J257" s="182" t="inlineStr">
        <is>
          <t>Jokerz 31</t>
        </is>
      </c>
      <c r="K257" s="182" t="inlineStr">
        <is>
          <t>21.01.2026</t>
        </is>
      </c>
      <c r="L257" s="182" t="inlineStr">
        <is>
          <t>05.03.2026</t>
        </is>
      </c>
      <c r="M257" s="182" t="inlineStr">
        <is>
          <t>05.03.2026</t>
        </is>
      </c>
      <c r="N257" s="182" t="inlineStr">
        <is>
          <t>Foreign matter</t>
        </is>
      </c>
      <c r="O257" s="182" t="inlineStr">
        <is>
          <t>iCoA_P07 · Foreign matter</t>
        </is>
      </c>
      <c r="P257" s="182" t="inlineStr">
        <is>
          <t>n/a</t>
        </is>
      </c>
      <c r="Q257" s="182" t="inlineStr">
        <is>
          <t>n/a</t>
        </is>
      </c>
      <c r="R257" s="182" t="inlineStr">
        <is>
          <t>to test</t>
        </is>
      </c>
      <c r="S257" s="182" t="inlineStr">
        <is>
          <t>197-16-K-26, (07.08.2026) [FHM-K]</t>
        </is>
      </c>
      <c r="T257" s="182" t="inlineStr">
        <is>
          <t>197-16-K-26, (07.08.2026) [FHM-K]</t>
        </is>
      </c>
      <c r="U257" s="182" t="inlineStr">
        <is>
          <t>197-16-M-26, (10.08.2026) [FHM-M]</t>
        </is>
      </c>
      <c r="V257" s="182" t="inlineStr">
        <is>
          <t>#8, #9, #11, #12 from the initial testing</t>
        </is>
      </c>
      <c r="W257" s="188" t="inlineStr">
        <is>
          <t>due — retest assay and mycotoxins on file</t>
        </is>
      </c>
    </row>
    <row r="258">
      <c r="A258" s="182" t="n">
        <v>257</v>
      </c>
      <c r="B258" s="182" t="inlineStr">
        <is>
          <t>retest — QP campaign</t>
        </is>
      </c>
      <c r="C258" s="181">
        <f>IFERROR(INDEX('iCoA Register'!$B:$B,MATCH("P060222|AB|R",'iCoA Register'!$R:$R,0)),"— at issue —")</f>
        <v/>
      </c>
      <c r="D258" s="182" t="inlineStr"/>
      <c r="E258" s="182" t="inlineStr">
        <is>
          <t>CoQ reissue (assigned on issue)</t>
        </is>
      </c>
      <c r="F258" s="182" t="inlineStr">
        <is>
          <t>05.03.2027</t>
        </is>
      </c>
      <c r="G258" s="182" t="inlineStr">
        <is>
          <t>at retest sampling · QP campaign</t>
        </is>
      </c>
      <c r="H258" s="181" t="inlineStr">
        <is>
          <t>OPM112501</t>
        </is>
      </c>
      <c r="I258" s="182" t="inlineStr">
        <is>
          <t>P060222</t>
        </is>
      </c>
      <c r="J258" s="182" t="inlineStr">
        <is>
          <t>Orange Punch Mimosa</t>
        </is>
      </c>
      <c r="K258" s="182" t="inlineStr">
        <is>
          <t>05.02.2026</t>
        </is>
      </c>
      <c r="L258" s="182" t="inlineStr">
        <is>
          <t>24.04.2026 (the issuance plan's basis: 05.03.2026)</t>
        </is>
      </c>
      <c r="M258" s="182" t="inlineStr">
        <is>
          <t>24.04.2026</t>
        </is>
      </c>
      <c r="N258" s="182" t="inlineStr">
        <is>
          <t>Ident A + Ident B</t>
        </is>
      </c>
      <c r="O258" s="182" t="inlineStr">
        <is>
          <t>iCoA_P01-02 · Appearance &amp; Identification A/B</t>
        </is>
      </c>
      <c r="P258" s="182" t="inlineStr">
        <is>
          <t>to test</t>
        </is>
      </c>
      <c r="Q258" s="182" t="inlineStr">
        <is>
          <t>to test</t>
        </is>
      </c>
      <c r="R258" s="182" t="inlineStr">
        <is>
          <t>n/a</t>
        </is>
      </c>
      <c r="S258" s="189" t="inlineStr">
        <is>
          <t>— retest assay not yet on file —</t>
        </is>
      </c>
      <c r="T258" s="189" t="inlineStr">
        <is>
          <t>— pending —</t>
        </is>
      </c>
      <c r="U258" s="189" t="inlineStr">
        <is>
          <t>— pending —</t>
        </is>
      </c>
      <c r="V258" s="182" t="inlineStr">
        <is>
          <t>#8, #9, #11, #12 from the initial testing</t>
        </is>
      </c>
      <c r="W258" s="189" t="inlineStr">
        <is>
          <t>pending — retest assay not yet on file</t>
        </is>
      </c>
    </row>
    <row r="259">
      <c r="A259" s="182" t="n">
        <v>258</v>
      </c>
      <c r="B259" s="182" t="inlineStr">
        <is>
          <t>retest — QP campaign</t>
        </is>
      </c>
      <c r="C259" s="181">
        <f>IFERROR(INDEX('iCoA Register'!$B:$B,MATCH("P060222|FM|R",'iCoA Register'!$R:$R,0)),"— at issue —")</f>
        <v/>
      </c>
      <c r="D259" s="182" t="inlineStr"/>
      <c r="E259" s="182" t="inlineStr">
        <is>
          <t>CoQ reissue (assigned on issue)</t>
        </is>
      </c>
      <c r="F259" s="182" t="inlineStr">
        <is>
          <t>05.03.2027</t>
        </is>
      </c>
      <c r="G259" s="182" t="inlineStr">
        <is>
          <t>at retest sampling · QP campaign</t>
        </is>
      </c>
      <c r="H259" s="181" t="inlineStr">
        <is>
          <t>OPM112501</t>
        </is>
      </c>
      <c r="I259" s="182" t="inlineStr">
        <is>
          <t>P060222</t>
        </is>
      </c>
      <c r="J259" s="182" t="inlineStr">
        <is>
          <t>Orange Punch Mimosa</t>
        </is>
      </c>
      <c r="K259" s="182" t="inlineStr">
        <is>
          <t>05.02.2026</t>
        </is>
      </c>
      <c r="L259" s="182" t="inlineStr">
        <is>
          <t>24.04.2026 (the issuance plan's basis: 05.03.2026)</t>
        </is>
      </c>
      <c r="M259" s="182" t="inlineStr">
        <is>
          <t>24.04.2026</t>
        </is>
      </c>
      <c r="N259" s="182" t="inlineStr">
        <is>
          <t>Foreign matter</t>
        </is>
      </c>
      <c r="O259" s="182" t="inlineStr">
        <is>
          <t>iCoA_P07 · Foreign matter</t>
        </is>
      </c>
      <c r="P259" s="182" t="inlineStr">
        <is>
          <t>n/a</t>
        </is>
      </c>
      <c r="Q259" s="182" t="inlineStr">
        <is>
          <t>n/a</t>
        </is>
      </c>
      <c r="R259" s="182" t="inlineStr">
        <is>
          <t>to test</t>
        </is>
      </c>
      <c r="S259" s="189" t="inlineStr">
        <is>
          <t>— retest assay not yet on file —</t>
        </is>
      </c>
      <c r="T259" s="189" t="inlineStr">
        <is>
          <t>— pending —</t>
        </is>
      </c>
      <c r="U259" s="189" t="inlineStr">
        <is>
          <t>— pending —</t>
        </is>
      </c>
      <c r="V259" s="182" t="inlineStr">
        <is>
          <t>#8, #9, #11, #12 from the initial testing</t>
        </is>
      </c>
      <c r="W259" s="189" t="inlineStr">
        <is>
          <t>pending — retest assay not yet on file</t>
        </is>
      </c>
    </row>
    <row r="260">
      <c r="A260" s="182" t="n">
        <v>259</v>
      </c>
      <c r="B260" s="182" t="inlineStr">
        <is>
          <t>retest — QP campaign</t>
        </is>
      </c>
      <c r="C260" s="181">
        <f>IFERROR(INDEX('iCoA Register'!$B:$B,MATCH("P060172|AB|R",'iCoA Register'!$R:$R,0)),"— at issue —")</f>
        <v/>
      </c>
      <c r="D260" s="182" t="inlineStr"/>
      <c r="E260" s="182" t="inlineStr">
        <is>
          <t>CoQ reissue (assigned on issue)</t>
        </is>
      </c>
      <c r="F260" s="182" t="inlineStr">
        <is>
          <t>12.03.2027</t>
        </is>
      </c>
      <c r="G260" s="182" t="inlineStr">
        <is>
          <t>at retest sampling · QP campaign</t>
        </is>
      </c>
      <c r="H260" s="181" t="inlineStr">
        <is>
          <t>KC102501</t>
        </is>
      </c>
      <c r="I260" s="182" t="inlineStr">
        <is>
          <t>P060172</t>
        </is>
      </c>
      <c r="J260" s="182" t="inlineStr">
        <is>
          <t>Kush Crasher</t>
        </is>
      </c>
      <c r="K260" s="182" t="inlineStr">
        <is>
          <t>20.01.2026 – 21.01.2026</t>
        </is>
      </c>
      <c r="L260" s="182" t="inlineStr">
        <is>
          <t>12.03.2026</t>
        </is>
      </c>
      <c r="M260" s="182" t="inlineStr">
        <is>
          <t>12.03.2026</t>
        </is>
      </c>
      <c r="N260" s="182" t="inlineStr">
        <is>
          <t>Ident A + Ident B</t>
        </is>
      </c>
      <c r="O260" s="182" t="inlineStr">
        <is>
          <t>iCoA_P01-02 · Appearance &amp; Identification A/B</t>
        </is>
      </c>
      <c r="P260" s="182" t="inlineStr">
        <is>
          <t>to test</t>
        </is>
      </c>
      <c r="Q260" s="182" t="inlineStr">
        <is>
          <t>to test</t>
        </is>
      </c>
      <c r="R260" s="182" t="inlineStr">
        <is>
          <t>n/a</t>
        </is>
      </c>
      <c r="S260" s="189" t="inlineStr">
        <is>
          <t>— retest assay not yet on file —</t>
        </is>
      </c>
      <c r="T260" s="189" t="inlineStr">
        <is>
          <t>— pending —</t>
        </is>
      </c>
      <c r="U260" s="189" t="inlineStr">
        <is>
          <t>— pending —</t>
        </is>
      </c>
      <c r="V260" s="182" t="inlineStr">
        <is>
          <t>#8, #9, #11, #12 from the initial testing</t>
        </is>
      </c>
      <c r="W260" s="189" t="inlineStr">
        <is>
          <t>pending — retest assay not yet on file</t>
        </is>
      </c>
    </row>
    <row r="261">
      <c r="A261" s="182" t="n">
        <v>260</v>
      </c>
      <c r="B261" s="182" t="inlineStr">
        <is>
          <t>retest — QP campaign</t>
        </is>
      </c>
      <c r="C261" s="181">
        <f>IFERROR(INDEX('iCoA Register'!$B:$B,MATCH("P060172|FM|R",'iCoA Register'!$R:$R,0)),"— at issue —")</f>
        <v/>
      </c>
      <c r="D261" s="182" t="inlineStr"/>
      <c r="E261" s="182" t="inlineStr">
        <is>
          <t>CoQ reissue (assigned on issue)</t>
        </is>
      </c>
      <c r="F261" s="182" t="inlineStr">
        <is>
          <t>12.03.2027</t>
        </is>
      </c>
      <c r="G261" s="182" t="inlineStr">
        <is>
          <t>at retest sampling · QP campaign</t>
        </is>
      </c>
      <c r="H261" s="181" t="inlineStr">
        <is>
          <t>KC102501</t>
        </is>
      </c>
      <c r="I261" s="182" t="inlineStr">
        <is>
          <t>P060172</t>
        </is>
      </c>
      <c r="J261" s="182" t="inlineStr">
        <is>
          <t>Kush Crasher</t>
        </is>
      </c>
      <c r="K261" s="182" t="inlineStr">
        <is>
          <t>20.01.2026 – 21.01.2026</t>
        </is>
      </c>
      <c r="L261" s="182" t="inlineStr">
        <is>
          <t>12.03.2026</t>
        </is>
      </c>
      <c r="M261" s="182" t="inlineStr">
        <is>
          <t>12.03.2026</t>
        </is>
      </c>
      <c r="N261" s="182" t="inlineStr">
        <is>
          <t>Foreign matter</t>
        </is>
      </c>
      <c r="O261" s="182" t="inlineStr">
        <is>
          <t>iCoA_P07 · Foreign matter</t>
        </is>
      </c>
      <c r="P261" s="182" t="inlineStr">
        <is>
          <t>n/a</t>
        </is>
      </c>
      <c r="Q261" s="182" t="inlineStr">
        <is>
          <t>n/a</t>
        </is>
      </c>
      <c r="R261" s="182" t="inlineStr">
        <is>
          <t>to test</t>
        </is>
      </c>
      <c r="S261" s="189" t="inlineStr">
        <is>
          <t>— retest assay not yet on file —</t>
        </is>
      </c>
      <c r="T261" s="189" t="inlineStr">
        <is>
          <t>— pending —</t>
        </is>
      </c>
      <c r="U261" s="189" t="inlineStr">
        <is>
          <t>— pending —</t>
        </is>
      </c>
      <c r="V261" s="182" t="inlineStr">
        <is>
          <t>#8, #9, #11, #12 from the initial testing</t>
        </is>
      </c>
      <c r="W261" s="189" t="inlineStr">
        <is>
          <t>pending — retest assay not yet on file</t>
        </is>
      </c>
    </row>
    <row r="262">
      <c r="A262" s="182" t="n">
        <v>261</v>
      </c>
      <c r="B262" s="182" t="inlineStr">
        <is>
          <t>retest — QP campaign</t>
        </is>
      </c>
      <c r="C262" s="181">
        <f>IFERROR(INDEX('iCoA Register'!$B:$B,MATCH("P060182|AB|R",'iCoA Register'!$R:$R,0)),"— at issue —")</f>
        <v/>
      </c>
      <c r="D262" s="182" t="inlineStr"/>
      <c r="E262" s="182" t="inlineStr">
        <is>
          <t>CoQ reissue (assigned on issue)</t>
        </is>
      </c>
      <c r="F262" s="182" t="inlineStr">
        <is>
          <t>14.03.2027</t>
        </is>
      </c>
      <c r="G262" s="182" t="inlineStr">
        <is>
          <t>at retest sampling · QP campaign</t>
        </is>
      </c>
      <c r="H262" s="181" t="inlineStr">
        <is>
          <t>GRC102501</t>
        </is>
      </c>
      <c r="I262" s="182" t="inlineStr">
        <is>
          <t>P060182</t>
        </is>
      </c>
      <c r="J262" s="182" t="inlineStr">
        <is>
          <t>Graps &amp; Creme</t>
        </is>
      </c>
      <c r="K262" s="182" t="inlineStr">
        <is>
          <t>20.01.2026</t>
        </is>
      </c>
      <c r="L262" s="182" t="inlineStr">
        <is>
          <t>14.03.2026</t>
        </is>
      </c>
      <c r="M262" s="182" t="inlineStr">
        <is>
          <t>14.03.2026</t>
        </is>
      </c>
      <c r="N262" s="182" t="inlineStr">
        <is>
          <t>Ident A + Ident B</t>
        </is>
      </c>
      <c r="O262" s="182" t="inlineStr">
        <is>
          <t>iCoA_P01-02 · Appearance &amp; Identification A/B</t>
        </is>
      </c>
      <c r="P262" s="182" t="inlineStr">
        <is>
          <t>to test</t>
        </is>
      </c>
      <c r="Q262" s="182" t="inlineStr">
        <is>
          <t>to test</t>
        </is>
      </c>
      <c r="R262" s="182" t="inlineStr">
        <is>
          <t>n/a</t>
        </is>
      </c>
      <c r="S262" s="189" t="inlineStr">
        <is>
          <t>— retest assay not yet on file —</t>
        </is>
      </c>
      <c r="T262" s="189" t="inlineStr">
        <is>
          <t>— pending —</t>
        </is>
      </c>
      <c r="U262" s="189" t="inlineStr">
        <is>
          <t>— pending —</t>
        </is>
      </c>
      <c r="V262" s="182" t="inlineStr">
        <is>
          <t>#8, #9, #11, #12 from the initial testing</t>
        </is>
      </c>
      <c r="W262" s="189" t="inlineStr">
        <is>
          <t>pending — retest assay not yet on file</t>
        </is>
      </c>
    </row>
    <row r="263">
      <c r="A263" s="182" t="n">
        <v>262</v>
      </c>
      <c r="B263" s="182" t="inlineStr">
        <is>
          <t>retest — QP campaign</t>
        </is>
      </c>
      <c r="C263" s="181">
        <f>IFERROR(INDEX('iCoA Register'!$B:$B,MATCH("P060182|FM|R",'iCoA Register'!$R:$R,0)),"— at issue —")</f>
        <v/>
      </c>
      <c r="D263" s="182" t="inlineStr"/>
      <c r="E263" s="182" t="inlineStr">
        <is>
          <t>CoQ reissue (assigned on issue)</t>
        </is>
      </c>
      <c r="F263" s="182" t="inlineStr">
        <is>
          <t>14.03.2027</t>
        </is>
      </c>
      <c r="G263" s="182" t="inlineStr">
        <is>
          <t>at retest sampling · QP campaign</t>
        </is>
      </c>
      <c r="H263" s="181" t="inlineStr">
        <is>
          <t>GRC102501</t>
        </is>
      </c>
      <c r="I263" s="182" t="inlineStr">
        <is>
          <t>P060182</t>
        </is>
      </c>
      <c r="J263" s="182" t="inlineStr">
        <is>
          <t>Graps &amp; Creme</t>
        </is>
      </c>
      <c r="K263" s="182" t="inlineStr">
        <is>
          <t>20.01.2026</t>
        </is>
      </c>
      <c r="L263" s="182" t="inlineStr">
        <is>
          <t>14.03.2026</t>
        </is>
      </c>
      <c r="M263" s="182" t="inlineStr">
        <is>
          <t>14.03.2026</t>
        </is>
      </c>
      <c r="N263" s="182" t="inlineStr">
        <is>
          <t>Foreign matter</t>
        </is>
      </c>
      <c r="O263" s="182" t="inlineStr">
        <is>
          <t>iCoA_P07 · Foreign matter</t>
        </is>
      </c>
      <c r="P263" s="182" t="inlineStr">
        <is>
          <t>n/a</t>
        </is>
      </c>
      <c r="Q263" s="182" t="inlineStr">
        <is>
          <t>n/a</t>
        </is>
      </c>
      <c r="R263" s="182" t="inlineStr">
        <is>
          <t>to test</t>
        </is>
      </c>
      <c r="S263" s="189" t="inlineStr">
        <is>
          <t>— retest assay not yet on file —</t>
        </is>
      </c>
      <c r="T263" s="189" t="inlineStr">
        <is>
          <t>— pending —</t>
        </is>
      </c>
      <c r="U263" s="189" t="inlineStr">
        <is>
          <t>— pending —</t>
        </is>
      </c>
      <c r="V263" s="182" t="inlineStr">
        <is>
          <t>#8, #9, #11, #12 from the initial testing</t>
        </is>
      </c>
      <c r="W263" s="189" t="inlineStr">
        <is>
          <t>pending — retest assay not yet on file</t>
        </is>
      </c>
    </row>
    <row r="264">
      <c r="A264" s="182" t="n">
        <v>263</v>
      </c>
      <c r="B264" s="182" t="inlineStr">
        <is>
          <t>retest — QP campaign</t>
        </is>
      </c>
      <c r="C264" s="181">
        <f>IFERROR(INDEX('iCoA Register'!$B:$B,MATCH("P060202|AB|R",'iCoA Register'!$R:$R,0)),"— at issue —")</f>
        <v/>
      </c>
      <c r="D264" s="182" t="inlineStr"/>
      <c r="E264" s="182" t="inlineStr">
        <is>
          <t>CoQ reissue (assigned on issue)</t>
        </is>
      </c>
      <c r="F264" s="182" t="inlineStr">
        <is>
          <t>09.04.2027</t>
        </is>
      </c>
      <c r="G264" s="182" t="inlineStr">
        <is>
          <t>at retest sampling · QP campaign</t>
        </is>
      </c>
      <c r="H264" s="181" t="inlineStr">
        <is>
          <t>J31112501</t>
        </is>
      </c>
      <c r="I264" s="182" t="inlineStr">
        <is>
          <t>P060202</t>
        </is>
      </c>
      <c r="J264" s="182" t="inlineStr">
        <is>
          <t>Jokerz 31</t>
        </is>
      </c>
      <c r="K264" s="182" t="inlineStr">
        <is>
          <t>26.01.2026</t>
        </is>
      </c>
      <c r="L264" s="182" t="inlineStr">
        <is>
          <t>17.04.2026 (the issuance plan's basis: 09.04.2026)</t>
        </is>
      </c>
      <c r="M264" s="182" t="inlineStr">
        <is>
          <t>17.04.2026</t>
        </is>
      </c>
      <c r="N264" s="182" t="inlineStr">
        <is>
          <t>Ident A + Ident B</t>
        </is>
      </c>
      <c r="O264" s="182" t="inlineStr">
        <is>
          <t>iCoA_P01-02 · Appearance &amp; Identification A/B</t>
        </is>
      </c>
      <c r="P264" s="182" t="inlineStr">
        <is>
          <t>to test</t>
        </is>
      </c>
      <c r="Q264" s="182" t="inlineStr">
        <is>
          <t>to test</t>
        </is>
      </c>
      <c r="R264" s="182" t="inlineStr">
        <is>
          <t>n/a</t>
        </is>
      </c>
      <c r="S264" s="189" t="inlineStr">
        <is>
          <t>— retest assay not yet on file —</t>
        </is>
      </c>
      <c r="T264" s="189" t="inlineStr">
        <is>
          <t>— pending —</t>
        </is>
      </c>
      <c r="U264" s="189" t="inlineStr">
        <is>
          <t>— pending —</t>
        </is>
      </c>
      <c r="V264" s="182" t="inlineStr">
        <is>
          <t>#8, #9, #11, #12 from the initial testing</t>
        </is>
      </c>
      <c r="W264" s="189" t="inlineStr">
        <is>
          <t>pending — retest assay not yet on file</t>
        </is>
      </c>
    </row>
    <row r="265">
      <c r="A265" s="182" t="n">
        <v>264</v>
      </c>
      <c r="B265" s="182" t="inlineStr">
        <is>
          <t>retest — QP campaign</t>
        </is>
      </c>
      <c r="C265" s="181">
        <f>IFERROR(INDEX('iCoA Register'!$B:$B,MATCH("P060202|FM|R",'iCoA Register'!$R:$R,0)),"— at issue —")</f>
        <v/>
      </c>
      <c r="D265" s="182" t="inlineStr"/>
      <c r="E265" s="182" t="inlineStr">
        <is>
          <t>CoQ reissue (assigned on issue)</t>
        </is>
      </c>
      <c r="F265" s="182" t="inlineStr">
        <is>
          <t>09.04.2027</t>
        </is>
      </c>
      <c r="G265" s="182" t="inlineStr">
        <is>
          <t>at retest sampling · QP campaign</t>
        </is>
      </c>
      <c r="H265" s="181" t="inlineStr">
        <is>
          <t>J31112501</t>
        </is>
      </c>
      <c r="I265" s="182" t="inlineStr">
        <is>
          <t>P060202</t>
        </is>
      </c>
      <c r="J265" s="182" t="inlineStr">
        <is>
          <t>Jokerz 31</t>
        </is>
      </c>
      <c r="K265" s="182" t="inlineStr">
        <is>
          <t>26.01.2026</t>
        </is>
      </c>
      <c r="L265" s="182" t="inlineStr">
        <is>
          <t>17.04.2026 (the issuance plan's basis: 09.04.2026)</t>
        </is>
      </c>
      <c r="M265" s="182" t="inlineStr">
        <is>
          <t>17.04.2026</t>
        </is>
      </c>
      <c r="N265" s="182" t="inlineStr">
        <is>
          <t>Foreign matter</t>
        </is>
      </c>
      <c r="O265" s="182" t="inlineStr">
        <is>
          <t>iCoA_P07 · Foreign matter</t>
        </is>
      </c>
      <c r="P265" s="182" t="inlineStr">
        <is>
          <t>n/a</t>
        </is>
      </c>
      <c r="Q265" s="182" t="inlineStr">
        <is>
          <t>n/a</t>
        </is>
      </c>
      <c r="R265" s="182" t="inlineStr">
        <is>
          <t>to test</t>
        </is>
      </c>
      <c r="S265" s="189" t="inlineStr">
        <is>
          <t>— retest assay not yet on file —</t>
        </is>
      </c>
      <c r="T265" s="189" t="inlineStr">
        <is>
          <t>— pending —</t>
        </is>
      </c>
      <c r="U265" s="189" t="inlineStr">
        <is>
          <t>— pending —</t>
        </is>
      </c>
      <c r="V265" s="182" t="inlineStr">
        <is>
          <t>#8, #9, #11, #12 from the initial testing</t>
        </is>
      </c>
      <c r="W265" s="189" t="inlineStr">
        <is>
          <t>pending — retest assay not yet on file</t>
        </is>
      </c>
    </row>
    <row r="266">
      <c r="A266" s="182" t="n">
        <v>265</v>
      </c>
      <c r="B266" s="182" t="inlineStr">
        <is>
          <t>retest — QP campaign</t>
        </is>
      </c>
      <c r="C266" s="181">
        <f>IFERROR(INDEX('iCoA Register'!$B:$B,MATCH("P060212|AB|R",'iCoA Register'!$R:$R,0)),"— at issue —")</f>
        <v/>
      </c>
      <c r="D266" s="182" t="inlineStr"/>
      <c r="E266" s="182" t="inlineStr">
        <is>
          <t>CoQ reissue (assigned on issue)</t>
        </is>
      </c>
      <c r="F266" s="182" t="inlineStr">
        <is>
          <t>21.04.2027</t>
        </is>
      </c>
      <c r="G266" s="182" t="inlineStr">
        <is>
          <t>at retest sampling · QP campaign</t>
        </is>
      </c>
      <c r="H266" s="181" t="inlineStr">
        <is>
          <t>JD112501</t>
        </is>
      </c>
      <c r="I266" s="182" t="inlineStr">
        <is>
          <t>P060212</t>
        </is>
      </c>
      <c r="J266" s="182" t="inlineStr">
        <is>
          <t>Jelly Donutz</t>
        </is>
      </c>
      <c r="K266" s="182" t="inlineStr">
        <is>
          <t>25.03.2026</t>
        </is>
      </c>
      <c r="L266" s="182" t="inlineStr">
        <is>
          <t>21.04.2026</t>
        </is>
      </c>
      <c r="M266" s="182" t="inlineStr">
        <is>
          <t>21.04.2026</t>
        </is>
      </c>
      <c r="N266" s="182" t="inlineStr">
        <is>
          <t>Ident A + Ident B</t>
        </is>
      </c>
      <c r="O266" s="182" t="inlineStr">
        <is>
          <t>iCoA_P01-02 · Appearance &amp; Identification A/B</t>
        </is>
      </c>
      <c r="P266" s="182" t="inlineStr">
        <is>
          <t>to test</t>
        </is>
      </c>
      <c r="Q266" s="182" t="inlineStr">
        <is>
          <t>to test</t>
        </is>
      </c>
      <c r="R266" s="182" t="inlineStr">
        <is>
          <t>n/a</t>
        </is>
      </c>
      <c r="S266" s="182" t="inlineStr">
        <is>
          <t>197-15-K-26, (07.08.2026) [FHM-K]</t>
        </is>
      </c>
      <c r="T266" s="182" t="inlineStr">
        <is>
          <t>197-15-K-26, (07.08.2026) [FHM-K]</t>
        </is>
      </c>
      <c r="U266" s="182" t="inlineStr">
        <is>
          <t>197-15-M-26, (10.08.2026) [FHM-M]</t>
        </is>
      </c>
      <c r="V266" s="182" t="inlineStr">
        <is>
          <t>#8, #9, #11, #12 from the initial testing</t>
        </is>
      </c>
      <c r="W266" s="188" t="inlineStr">
        <is>
          <t>due — retest assay and mycotoxins on file</t>
        </is>
      </c>
    </row>
    <row r="267">
      <c r="A267" s="182" t="n">
        <v>266</v>
      </c>
      <c r="B267" s="182" t="inlineStr">
        <is>
          <t>retest — QP campaign</t>
        </is>
      </c>
      <c r="C267" s="181">
        <f>IFERROR(INDEX('iCoA Register'!$B:$B,MATCH("P060212|FM|R",'iCoA Register'!$R:$R,0)),"— at issue —")</f>
        <v/>
      </c>
      <c r="D267" s="182" t="inlineStr"/>
      <c r="E267" s="182" t="inlineStr">
        <is>
          <t>CoQ reissue (assigned on issue)</t>
        </is>
      </c>
      <c r="F267" s="182" t="inlineStr">
        <is>
          <t>21.04.2027</t>
        </is>
      </c>
      <c r="G267" s="182" t="inlineStr">
        <is>
          <t>at retest sampling · QP campaign</t>
        </is>
      </c>
      <c r="H267" s="181" t="inlineStr">
        <is>
          <t>JD112501</t>
        </is>
      </c>
      <c r="I267" s="182" t="inlineStr">
        <is>
          <t>P060212</t>
        </is>
      </c>
      <c r="J267" s="182" t="inlineStr">
        <is>
          <t>Jelly Donutz</t>
        </is>
      </c>
      <c r="K267" s="182" t="inlineStr">
        <is>
          <t>25.03.2026</t>
        </is>
      </c>
      <c r="L267" s="182" t="inlineStr">
        <is>
          <t>21.04.2026</t>
        </is>
      </c>
      <c r="M267" s="182" t="inlineStr">
        <is>
          <t>21.04.2026</t>
        </is>
      </c>
      <c r="N267" s="182" t="inlineStr">
        <is>
          <t>Foreign matter</t>
        </is>
      </c>
      <c r="O267" s="182" t="inlineStr">
        <is>
          <t>iCoA_P07 · Foreign matter</t>
        </is>
      </c>
      <c r="P267" s="182" t="inlineStr">
        <is>
          <t>n/a</t>
        </is>
      </c>
      <c r="Q267" s="182" t="inlineStr">
        <is>
          <t>n/a</t>
        </is>
      </c>
      <c r="R267" s="182" t="inlineStr">
        <is>
          <t>to test</t>
        </is>
      </c>
      <c r="S267" s="182" t="inlineStr">
        <is>
          <t>197-15-K-26, (07.08.2026) [FHM-K]</t>
        </is>
      </c>
      <c r="T267" s="182" t="inlineStr">
        <is>
          <t>197-15-K-26, (07.08.2026) [FHM-K]</t>
        </is>
      </c>
      <c r="U267" s="182" t="inlineStr">
        <is>
          <t>197-15-M-26, (10.08.2026) [FHM-M]</t>
        </is>
      </c>
      <c r="V267" s="182" t="inlineStr">
        <is>
          <t>#8, #9, #11, #12 from the initial testing</t>
        </is>
      </c>
      <c r="W267" s="188" t="inlineStr">
        <is>
          <t>due — retest assay and mycotoxins on file</t>
        </is>
      </c>
    </row>
    <row r="268">
      <c r="A268" s="182" t="n">
        <v>267</v>
      </c>
      <c r="B268" s="182" t="inlineStr">
        <is>
          <t>retest — QP campaign</t>
        </is>
      </c>
      <c r="C268" s="181">
        <f>IFERROR(INDEX('iCoA Register'!$B:$B,MATCH("JD112501|AB|R",'iCoA Register'!$R:$R,0)),"— at issue —")</f>
        <v/>
      </c>
      <c r="D268" s="182" t="inlineStr"/>
      <c r="E268" s="182" t="inlineStr">
        <is>
          <t>CoQ reissue (assigned on issue)</t>
        </is>
      </c>
      <c r="F268" s="182" t="inlineStr">
        <is>
          <t>21.04.2027</t>
        </is>
      </c>
      <c r="G268" s="182" t="inlineStr">
        <is>
          <t>at retest sampling · QP campaign</t>
        </is>
      </c>
      <c r="H268" s="181" t="inlineStr">
        <is>
          <t>JD112501＊</t>
        </is>
      </c>
      <c r="I268" s="182" t="inlineStr">
        <is>
          <t>N/A — no P batch assigned</t>
        </is>
      </c>
      <c r="J268" s="182" t="inlineStr">
        <is>
          <t>Jelly Donutz</t>
        </is>
      </c>
      <c r="K268" s="182" t="inlineStr">
        <is>
          <t>25.03.2026</t>
        </is>
      </c>
      <c r="L268" s="182" t="inlineStr">
        <is>
          <t>21.04.2026</t>
        </is>
      </c>
      <c r="M268" s="182" t="inlineStr">
        <is>
          <t>21.04.2026</t>
        </is>
      </c>
      <c r="N268" s="182" t="inlineStr">
        <is>
          <t>Ident A + Ident B</t>
        </is>
      </c>
      <c r="O268" s="182" t="inlineStr">
        <is>
          <t>iCoA_P01-02 · Appearance &amp; Identification A/B</t>
        </is>
      </c>
      <c r="P268" s="182" t="inlineStr">
        <is>
          <t>to test</t>
        </is>
      </c>
      <c r="Q268" s="182" t="inlineStr">
        <is>
          <t>to test</t>
        </is>
      </c>
      <c r="R268" s="182" t="inlineStr">
        <is>
          <t>n/a</t>
        </is>
      </c>
      <c r="S268" s="189" t="inlineStr">
        <is>
          <t>— retest assay not yet on file —</t>
        </is>
      </c>
      <c r="T268" s="189" t="inlineStr">
        <is>
          <t>— pending —</t>
        </is>
      </c>
      <c r="U268" s="189" t="inlineStr">
        <is>
          <t>— pending —</t>
        </is>
      </c>
      <c r="V268" s="182" t="inlineStr">
        <is>
          <t>#8, #9, #11, #12 from the initial testing</t>
        </is>
      </c>
      <c r="W268" s="189" t="inlineStr">
        <is>
          <t>pending — retest assay not yet on file</t>
        </is>
      </c>
    </row>
    <row r="269">
      <c r="A269" s="182" t="n">
        <v>268</v>
      </c>
      <c r="B269" s="182" t="inlineStr">
        <is>
          <t>retest — QP campaign</t>
        </is>
      </c>
      <c r="C269" s="181">
        <f>IFERROR(INDEX('iCoA Register'!$B:$B,MATCH("JD112501|FM|R",'iCoA Register'!$R:$R,0)),"— at issue —")</f>
        <v/>
      </c>
      <c r="D269" s="182" t="inlineStr"/>
      <c r="E269" s="182" t="inlineStr">
        <is>
          <t>CoQ reissue (assigned on issue)</t>
        </is>
      </c>
      <c r="F269" s="182" t="inlineStr">
        <is>
          <t>21.04.2027</t>
        </is>
      </c>
      <c r="G269" s="182" t="inlineStr">
        <is>
          <t>at retest sampling · QP campaign</t>
        </is>
      </c>
      <c r="H269" s="181" t="inlineStr">
        <is>
          <t>JD112501＊</t>
        </is>
      </c>
      <c r="I269" s="182" t="inlineStr">
        <is>
          <t>N/A — no P batch assigned</t>
        </is>
      </c>
      <c r="J269" s="182" t="inlineStr">
        <is>
          <t>Jelly Donutz</t>
        </is>
      </c>
      <c r="K269" s="182" t="inlineStr">
        <is>
          <t>25.03.2026</t>
        </is>
      </c>
      <c r="L269" s="182" t="inlineStr">
        <is>
          <t>21.04.2026</t>
        </is>
      </c>
      <c r="M269" s="182" t="inlineStr">
        <is>
          <t>21.04.2026</t>
        </is>
      </c>
      <c r="N269" s="182" t="inlineStr">
        <is>
          <t>Foreign matter</t>
        </is>
      </c>
      <c r="O269" s="182" t="inlineStr">
        <is>
          <t>iCoA_P07 · Foreign matter</t>
        </is>
      </c>
      <c r="P269" s="182" t="inlineStr">
        <is>
          <t>n/a</t>
        </is>
      </c>
      <c r="Q269" s="182" t="inlineStr">
        <is>
          <t>n/a</t>
        </is>
      </c>
      <c r="R269" s="182" t="inlineStr">
        <is>
          <t>to test</t>
        </is>
      </c>
      <c r="S269" s="189" t="inlineStr">
        <is>
          <t>— retest assay not yet on file —</t>
        </is>
      </c>
      <c r="T269" s="189" t="inlineStr">
        <is>
          <t>— pending —</t>
        </is>
      </c>
      <c r="U269" s="189" t="inlineStr">
        <is>
          <t>— pending —</t>
        </is>
      </c>
      <c r="V269" s="182" t="inlineStr">
        <is>
          <t>#8, #9, #11, #12 from the initial testing</t>
        </is>
      </c>
      <c r="W269" s="189" t="inlineStr">
        <is>
          <t>pending — retest assay not yet on file</t>
        </is>
      </c>
    </row>
    <row r="270">
      <c r="A270" s="182" t="n">
        <v>269</v>
      </c>
      <c r="B270" s="182" t="inlineStr">
        <is>
          <t>retest — QP campaign</t>
        </is>
      </c>
      <c r="C270" s="181">
        <f>IFERROR(INDEX('iCoA Register'!$B:$B,MATCH("P060262|AB|R",'iCoA Register'!$R:$R,0)),"— at issue —")</f>
        <v/>
      </c>
      <c r="D270" s="182" t="inlineStr"/>
      <c r="E270" s="182" t="inlineStr">
        <is>
          <t>CoQ reissue (assigned on issue)</t>
        </is>
      </c>
      <c r="F270" s="182" t="inlineStr">
        <is>
          <t>23.04.2027</t>
        </is>
      </c>
      <c r="G270" s="182" t="inlineStr">
        <is>
          <t>at retest sampling · QP campaign</t>
        </is>
      </c>
      <c r="H270" s="181" t="inlineStr">
        <is>
          <t>J31122501</t>
        </is>
      </c>
      <c r="I270" s="182" t="inlineStr">
        <is>
          <t>P060262</t>
        </is>
      </c>
      <c r="J270" s="182" t="inlineStr">
        <is>
          <t>Jokerz 31</t>
        </is>
      </c>
      <c r="K270" s="182" t="inlineStr">
        <is>
          <t>04.03.2026</t>
        </is>
      </c>
      <c r="L270" s="182" t="inlineStr">
        <is>
          <t>14.05.2026 (the issuance plan's basis: 23.04.2026)</t>
        </is>
      </c>
      <c r="M270" s="182" t="inlineStr">
        <is>
          <t>14.05.2026</t>
        </is>
      </c>
      <c r="N270" s="182" t="inlineStr">
        <is>
          <t>Ident A + Ident B</t>
        </is>
      </c>
      <c r="O270" s="182" t="inlineStr">
        <is>
          <t>iCoA_P01-02 · Appearance &amp; Identification A/B</t>
        </is>
      </c>
      <c r="P270" s="182" t="inlineStr">
        <is>
          <t>to test</t>
        </is>
      </c>
      <c r="Q270" s="182" t="inlineStr">
        <is>
          <t>to test</t>
        </is>
      </c>
      <c r="R270" s="182" t="inlineStr">
        <is>
          <t>n/a</t>
        </is>
      </c>
      <c r="S270" s="189" t="inlineStr">
        <is>
          <t>— retest assay not yet on file —</t>
        </is>
      </c>
      <c r="T270" s="189" t="inlineStr">
        <is>
          <t>— pending —</t>
        </is>
      </c>
      <c r="U270" s="189" t="inlineStr">
        <is>
          <t>— pending —</t>
        </is>
      </c>
      <c r="V270" s="182" t="inlineStr">
        <is>
          <t>#8, #9, #11, #12 from the initial testing</t>
        </is>
      </c>
      <c r="W270" s="189" t="inlineStr">
        <is>
          <t>pending — retest assay not yet on file</t>
        </is>
      </c>
    </row>
    <row r="271">
      <c r="A271" s="182" t="n">
        <v>270</v>
      </c>
      <c r="B271" s="182" t="inlineStr">
        <is>
          <t>retest — QP campaign</t>
        </is>
      </c>
      <c r="C271" s="181">
        <f>IFERROR(INDEX('iCoA Register'!$B:$B,MATCH("P060262|FM|R",'iCoA Register'!$R:$R,0)),"— at issue —")</f>
        <v/>
      </c>
      <c r="D271" s="182" t="inlineStr"/>
      <c r="E271" s="182" t="inlineStr">
        <is>
          <t>CoQ reissue (assigned on issue)</t>
        </is>
      </c>
      <c r="F271" s="182" t="inlineStr">
        <is>
          <t>23.04.2027</t>
        </is>
      </c>
      <c r="G271" s="182" t="inlineStr">
        <is>
          <t>at retest sampling · QP campaign</t>
        </is>
      </c>
      <c r="H271" s="181" t="inlineStr">
        <is>
          <t>J31122501</t>
        </is>
      </c>
      <c r="I271" s="182" t="inlineStr">
        <is>
          <t>P060262</t>
        </is>
      </c>
      <c r="J271" s="182" t="inlineStr">
        <is>
          <t>Jokerz 31</t>
        </is>
      </c>
      <c r="K271" s="182" t="inlineStr">
        <is>
          <t>04.03.2026</t>
        </is>
      </c>
      <c r="L271" s="182" t="inlineStr">
        <is>
          <t>14.05.2026 (the issuance plan's basis: 23.04.2026)</t>
        </is>
      </c>
      <c r="M271" s="182" t="inlineStr">
        <is>
          <t>14.05.2026</t>
        </is>
      </c>
      <c r="N271" s="182" t="inlineStr">
        <is>
          <t>Foreign matter</t>
        </is>
      </c>
      <c r="O271" s="182" t="inlineStr">
        <is>
          <t>iCoA_P07 · Foreign matter</t>
        </is>
      </c>
      <c r="P271" s="182" t="inlineStr">
        <is>
          <t>n/a</t>
        </is>
      </c>
      <c r="Q271" s="182" t="inlineStr">
        <is>
          <t>n/a</t>
        </is>
      </c>
      <c r="R271" s="182" t="inlineStr">
        <is>
          <t>to test</t>
        </is>
      </c>
      <c r="S271" s="189" t="inlineStr">
        <is>
          <t>— retest assay not yet on file —</t>
        </is>
      </c>
      <c r="T271" s="189" t="inlineStr">
        <is>
          <t>— pending —</t>
        </is>
      </c>
      <c r="U271" s="189" t="inlineStr">
        <is>
          <t>— pending —</t>
        </is>
      </c>
      <c r="V271" s="182" t="inlineStr">
        <is>
          <t>#8, #9, #11, #12 from the initial testing</t>
        </is>
      </c>
      <c r="W271" s="189" t="inlineStr">
        <is>
          <t>pending — retest assay not yet on file</t>
        </is>
      </c>
    </row>
    <row r="272">
      <c r="A272" s="182" t="n">
        <v>271</v>
      </c>
      <c r="B272" s="182" t="inlineStr">
        <is>
          <t>retest — QP campaign</t>
        </is>
      </c>
      <c r="C272" s="181">
        <f>IFERROR(INDEX('iCoA Register'!$B:$B,MATCH("P060232|AB|R",'iCoA Register'!$R:$R,0)),"— at issue —")</f>
        <v/>
      </c>
      <c r="D272" s="182" t="inlineStr"/>
      <c r="E272" s="182" t="inlineStr">
        <is>
          <t>CoQ reissue (assigned on issue)</t>
        </is>
      </c>
      <c r="F272" s="182" t="inlineStr">
        <is>
          <t>27.04.2027</t>
        </is>
      </c>
      <c r="G272" s="182" t="inlineStr">
        <is>
          <t>at retest sampling · QP campaign</t>
        </is>
      </c>
      <c r="H272" s="181" t="inlineStr">
        <is>
          <t>PM112501</t>
        </is>
      </c>
      <c r="I272" s="182" t="inlineStr">
        <is>
          <t>P060232</t>
        </is>
      </c>
      <c r="J272" s="182" t="inlineStr">
        <is>
          <t>Permanent Market</t>
        </is>
      </c>
      <c r="K272" s="182" t="inlineStr">
        <is>
          <t>05.02.2026</t>
        </is>
      </c>
      <c r="L272" s="182" t="inlineStr">
        <is>
          <t>27.04.2026</t>
        </is>
      </c>
      <c r="M272" s="182" t="inlineStr">
        <is>
          <t>27.04.2026</t>
        </is>
      </c>
      <c r="N272" s="182" t="inlineStr">
        <is>
          <t>Ident A + Ident B</t>
        </is>
      </c>
      <c r="O272" s="182" t="inlineStr">
        <is>
          <t>iCoA_P01-02 · Appearance &amp; Identification A/B</t>
        </is>
      </c>
      <c r="P272" s="182" t="inlineStr">
        <is>
          <t>to test</t>
        </is>
      </c>
      <c r="Q272" s="182" t="inlineStr">
        <is>
          <t>to test</t>
        </is>
      </c>
      <c r="R272" s="182" t="inlineStr">
        <is>
          <t>n/a</t>
        </is>
      </c>
      <c r="S272" s="189" t="inlineStr">
        <is>
          <t>— retest assay not yet on file —</t>
        </is>
      </c>
      <c r="T272" s="189" t="inlineStr">
        <is>
          <t>— pending —</t>
        </is>
      </c>
      <c r="U272" s="189" t="inlineStr">
        <is>
          <t>— pending —</t>
        </is>
      </c>
      <c r="V272" s="182" t="inlineStr">
        <is>
          <t>#8, #9, #11, #12 from the initial testing</t>
        </is>
      </c>
      <c r="W272" s="189" t="inlineStr">
        <is>
          <t>pending — retest assay not yet on file</t>
        </is>
      </c>
    </row>
    <row r="273">
      <c r="A273" s="182" t="n">
        <v>272</v>
      </c>
      <c r="B273" s="182" t="inlineStr">
        <is>
          <t>retest — QP campaign</t>
        </is>
      </c>
      <c r="C273" s="181">
        <f>IFERROR(INDEX('iCoA Register'!$B:$B,MATCH("P060232|FM|R",'iCoA Register'!$R:$R,0)),"— at issue —")</f>
        <v/>
      </c>
      <c r="D273" s="182" t="inlineStr"/>
      <c r="E273" s="182" t="inlineStr">
        <is>
          <t>CoQ reissue (assigned on issue)</t>
        </is>
      </c>
      <c r="F273" s="182" t="inlineStr">
        <is>
          <t>27.04.2027</t>
        </is>
      </c>
      <c r="G273" s="182" t="inlineStr">
        <is>
          <t>at retest sampling · QP campaign</t>
        </is>
      </c>
      <c r="H273" s="181" t="inlineStr">
        <is>
          <t>PM112501</t>
        </is>
      </c>
      <c r="I273" s="182" t="inlineStr">
        <is>
          <t>P060232</t>
        </is>
      </c>
      <c r="J273" s="182" t="inlineStr">
        <is>
          <t>Permanent Market</t>
        </is>
      </c>
      <c r="K273" s="182" t="inlineStr">
        <is>
          <t>05.02.2026</t>
        </is>
      </c>
      <c r="L273" s="182" t="inlineStr">
        <is>
          <t>27.04.2026</t>
        </is>
      </c>
      <c r="M273" s="182" t="inlineStr">
        <is>
          <t>27.04.2026</t>
        </is>
      </c>
      <c r="N273" s="182" t="inlineStr">
        <is>
          <t>Foreign matter</t>
        </is>
      </c>
      <c r="O273" s="182" t="inlineStr">
        <is>
          <t>iCoA_P07 · Foreign matter</t>
        </is>
      </c>
      <c r="P273" s="182" t="inlineStr">
        <is>
          <t>n/a</t>
        </is>
      </c>
      <c r="Q273" s="182" t="inlineStr">
        <is>
          <t>n/a</t>
        </is>
      </c>
      <c r="R273" s="182" t="inlineStr">
        <is>
          <t>to test</t>
        </is>
      </c>
      <c r="S273" s="189" t="inlineStr">
        <is>
          <t>— retest assay not yet on file —</t>
        </is>
      </c>
      <c r="T273" s="189" t="inlineStr">
        <is>
          <t>— pending —</t>
        </is>
      </c>
      <c r="U273" s="189" t="inlineStr">
        <is>
          <t>— pending —</t>
        </is>
      </c>
      <c r="V273" s="182" t="inlineStr">
        <is>
          <t>#8, #9, #11, #12 from the initial testing</t>
        </is>
      </c>
      <c r="W273" s="189" t="inlineStr">
        <is>
          <t>pending — retest assay not yet on file</t>
        </is>
      </c>
    </row>
    <row r="274">
      <c r="A274" s="182" t="n">
        <v>273</v>
      </c>
      <c r="B274" s="182" t="inlineStr">
        <is>
          <t>retest — QP campaign</t>
        </is>
      </c>
      <c r="C274" s="181">
        <f>IFERROR(INDEX('iCoA Register'!$B:$B,MATCH("P060242|AB|R",'iCoA Register'!$R:$R,0)),"— at issue —")</f>
        <v/>
      </c>
      <c r="D274" s="182" t="inlineStr"/>
      <c r="E274" s="182" t="inlineStr">
        <is>
          <t>CoQ reissue (assigned on issue)</t>
        </is>
      </c>
      <c r="F274" s="182" t="inlineStr">
        <is>
          <t>28.04.2027</t>
        </is>
      </c>
      <c r="G274" s="182" t="inlineStr">
        <is>
          <t>at retest sampling · QP campaign</t>
        </is>
      </c>
      <c r="H274" s="181" t="inlineStr">
        <is>
          <t>OPM122501</t>
        </is>
      </c>
      <c r="I274" s="182" t="inlineStr">
        <is>
          <t>P060242</t>
        </is>
      </c>
      <c r="J274" s="182" t="inlineStr">
        <is>
          <t>Orange Punch Mimosa</t>
        </is>
      </c>
      <c r="K274" s="182" t="inlineStr">
        <is>
          <t>11.03.2026</t>
        </is>
      </c>
      <c r="L274" s="182" t="inlineStr">
        <is>
          <t>28.04.2026</t>
        </is>
      </c>
      <c r="M274" s="182" t="inlineStr">
        <is>
          <t>28.04.2026</t>
        </is>
      </c>
      <c r="N274" s="182" t="inlineStr">
        <is>
          <t>Ident A + Ident B</t>
        </is>
      </c>
      <c r="O274" s="182" t="inlineStr">
        <is>
          <t>iCoA_P01-02 · Appearance &amp; Identification A/B</t>
        </is>
      </c>
      <c r="P274" s="182" t="inlineStr">
        <is>
          <t>to test</t>
        </is>
      </c>
      <c r="Q274" s="182" t="inlineStr">
        <is>
          <t>to test</t>
        </is>
      </c>
      <c r="R274" s="182" t="inlineStr">
        <is>
          <t>n/a</t>
        </is>
      </c>
      <c r="S274" s="182" t="inlineStr">
        <is>
          <t>197-19-K-26, (07.08.2026) [FHM-K]</t>
        </is>
      </c>
      <c r="T274" s="182" t="inlineStr">
        <is>
          <t>197-19-K-26, (07.08.2026) [FHM-K]</t>
        </is>
      </c>
      <c r="U274" s="182" t="inlineStr">
        <is>
          <t>197-19-M-26, (10.08.2026) [FHM-M]</t>
        </is>
      </c>
      <c r="V274" s="182" t="inlineStr">
        <is>
          <t>#8, #9, #11, #12 from the initial testing</t>
        </is>
      </c>
      <c r="W274" s="188" t="inlineStr">
        <is>
          <t>due — retest assay and mycotoxins on file</t>
        </is>
      </c>
    </row>
    <row r="275">
      <c r="A275" s="182" t="n">
        <v>274</v>
      </c>
      <c r="B275" s="182" t="inlineStr">
        <is>
          <t>retest — QP campaign</t>
        </is>
      </c>
      <c r="C275" s="181">
        <f>IFERROR(INDEX('iCoA Register'!$B:$B,MATCH("P060242|FM|R",'iCoA Register'!$R:$R,0)),"— at issue —")</f>
        <v/>
      </c>
      <c r="D275" s="182" t="inlineStr"/>
      <c r="E275" s="182" t="inlineStr">
        <is>
          <t>CoQ reissue (assigned on issue)</t>
        </is>
      </c>
      <c r="F275" s="182" t="inlineStr">
        <is>
          <t>28.04.2027</t>
        </is>
      </c>
      <c r="G275" s="182" t="inlineStr">
        <is>
          <t>at retest sampling · QP campaign</t>
        </is>
      </c>
      <c r="H275" s="181" t="inlineStr">
        <is>
          <t>OPM122501</t>
        </is>
      </c>
      <c r="I275" s="182" t="inlineStr">
        <is>
          <t>P060242</t>
        </is>
      </c>
      <c r="J275" s="182" t="inlineStr">
        <is>
          <t>Orange Punch Mimosa</t>
        </is>
      </c>
      <c r="K275" s="182" t="inlineStr">
        <is>
          <t>11.03.2026</t>
        </is>
      </c>
      <c r="L275" s="182" t="inlineStr">
        <is>
          <t>28.04.2026</t>
        </is>
      </c>
      <c r="M275" s="182" t="inlineStr">
        <is>
          <t>28.04.2026</t>
        </is>
      </c>
      <c r="N275" s="182" t="inlineStr">
        <is>
          <t>Foreign matter</t>
        </is>
      </c>
      <c r="O275" s="182" t="inlineStr">
        <is>
          <t>iCoA_P07 · Foreign matter</t>
        </is>
      </c>
      <c r="P275" s="182" t="inlineStr">
        <is>
          <t>n/a</t>
        </is>
      </c>
      <c r="Q275" s="182" t="inlineStr">
        <is>
          <t>n/a</t>
        </is>
      </c>
      <c r="R275" s="182" t="inlineStr">
        <is>
          <t>to test</t>
        </is>
      </c>
      <c r="S275" s="182" t="inlineStr">
        <is>
          <t>197-19-K-26, (07.08.2026) [FHM-K]</t>
        </is>
      </c>
      <c r="T275" s="182" t="inlineStr">
        <is>
          <t>197-19-K-26, (07.08.2026) [FHM-K]</t>
        </is>
      </c>
      <c r="U275" s="182" t="inlineStr">
        <is>
          <t>197-19-M-26, (10.08.2026) [FHM-M]</t>
        </is>
      </c>
      <c r="V275" s="182" t="inlineStr">
        <is>
          <t>#8, #9, #11, #12 from the initial testing</t>
        </is>
      </c>
      <c r="W275" s="188" t="inlineStr">
        <is>
          <t>due — retest assay and mycotoxins on file</t>
        </is>
      </c>
    </row>
    <row r="276">
      <c r="A276" s="182" t="n">
        <v>275</v>
      </c>
      <c r="B276" s="182" t="inlineStr">
        <is>
          <t>retest — QP campaign</t>
        </is>
      </c>
      <c r="C276" s="181">
        <f>IFERROR(INDEX('iCoA Register'!$B:$B,MATCH("P060272|AB|R",'iCoA Register'!$R:$R,0)),"— at issue —")</f>
        <v/>
      </c>
      <c r="D276" s="182" t="inlineStr"/>
      <c r="E276" s="182" t="inlineStr">
        <is>
          <t>CoQ reissue (assigned on issue)</t>
        </is>
      </c>
      <c r="F276" s="182" t="inlineStr">
        <is>
          <t>11.05.2027</t>
        </is>
      </c>
      <c r="G276" s="182" t="inlineStr">
        <is>
          <t>at retest sampling · QP campaign</t>
        </is>
      </c>
      <c r="H276" s="181" t="inlineStr">
        <is>
          <t>CC112501</t>
        </is>
      </c>
      <c r="I276" s="182" t="inlineStr">
        <is>
          <t>P060272</t>
        </is>
      </c>
      <c r="J276" s="182" t="inlineStr">
        <is>
          <t>Cash Cow</t>
        </is>
      </c>
      <c r="K276" s="182" t="inlineStr">
        <is>
          <t>25.03.2026</t>
        </is>
      </c>
      <c r="L276" s="182" t="inlineStr">
        <is>
          <t>18.05.2026 (the issuance plan's basis: 11.05.2026)</t>
        </is>
      </c>
      <c r="M276" s="182" t="inlineStr">
        <is>
          <t>18.05.2026</t>
        </is>
      </c>
      <c r="N276" s="182" t="inlineStr">
        <is>
          <t>Ident A + Ident B</t>
        </is>
      </c>
      <c r="O276" s="182" t="inlineStr">
        <is>
          <t>iCoA_P01-02 · Appearance &amp; Identification A/B</t>
        </is>
      </c>
      <c r="P276" s="182" t="inlineStr">
        <is>
          <t>to test</t>
        </is>
      </c>
      <c r="Q276" s="182" t="inlineStr">
        <is>
          <t>to test</t>
        </is>
      </c>
      <c r="R276" s="182" t="inlineStr">
        <is>
          <t>n/a</t>
        </is>
      </c>
      <c r="S276" s="189" t="inlineStr">
        <is>
          <t>— retest assay not yet on file —</t>
        </is>
      </c>
      <c r="T276" s="189" t="inlineStr">
        <is>
          <t>— pending —</t>
        </is>
      </c>
      <c r="U276" s="189" t="inlineStr">
        <is>
          <t>— pending —</t>
        </is>
      </c>
      <c r="V276" s="182" t="inlineStr">
        <is>
          <t>#8, #9, #11, #12 from the initial testing</t>
        </is>
      </c>
      <c r="W276" s="189" t="inlineStr">
        <is>
          <t>pending — retest assay not yet on file</t>
        </is>
      </c>
    </row>
    <row r="277">
      <c r="A277" s="182" t="n">
        <v>276</v>
      </c>
      <c r="B277" s="182" t="inlineStr">
        <is>
          <t>retest — QP campaign</t>
        </is>
      </c>
      <c r="C277" s="181">
        <f>IFERROR(INDEX('iCoA Register'!$B:$B,MATCH("P060272|FM|R",'iCoA Register'!$R:$R,0)),"— at issue —")</f>
        <v/>
      </c>
      <c r="D277" s="182" t="inlineStr"/>
      <c r="E277" s="182" t="inlineStr">
        <is>
          <t>CoQ reissue (assigned on issue)</t>
        </is>
      </c>
      <c r="F277" s="182" t="inlineStr">
        <is>
          <t>11.05.2027</t>
        </is>
      </c>
      <c r="G277" s="182" t="inlineStr">
        <is>
          <t>at retest sampling · QP campaign</t>
        </is>
      </c>
      <c r="H277" s="181" t="inlineStr">
        <is>
          <t>CC112501</t>
        </is>
      </c>
      <c r="I277" s="182" t="inlineStr">
        <is>
          <t>P060272</t>
        </is>
      </c>
      <c r="J277" s="182" t="inlineStr">
        <is>
          <t>Cash Cow</t>
        </is>
      </c>
      <c r="K277" s="182" t="inlineStr">
        <is>
          <t>25.03.2026</t>
        </is>
      </c>
      <c r="L277" s="182" t="inlineStr">
        <is>
          <t>18.05.2026 (the issuance plan's basis: 11.05.2026)</t>
        </is>
      </c>
      <c r="M277" s="182" t="inlineStr">
        <is>
          <t>18.05.2026</t>
        </is>
      </c>
      <c r="N277" s="182" t="inlineStr">
        <is>
          <t>Foreign matter</t>
        </is>
      </c>
      <c r="O277" s="182" t="inlineStr">
        <is>
          <t>iCoA_P07 · Foreign matter</t>
        </is>
      </c>
      <c r="P277" s="182" t="inlineStr">
        <is>
          <t>n/a</t>
        </is>
      </c>
      <c r="Q277" s="182" t="inlineStr">
        <is>
          <t>n/a</t>
        </is>
      </c>
      <c r="R277" s="182" t="inlineStr">
        <is>
          <t>to test</t>
        </is>
      </c>
      <c r="S277" s="189" t="inlineStr">
        <is>
          <t>— retest assay not yet on file —</t>
        </is>
      </c>
      <c r="T277" s="189" t="inlineStr">
        <is>
          <t>— pending —</t>
        </is>
      </c>
      <c r="U277" s="189" t="inlineStr">
        <is>
          <t>— pending —</t>
        </is>
      </c>
      <c r="V277" s="182" t="inlineStr">
        <is>
          <t>#8, #9, #11, #12 from the initial testing</t>
        </is>
      </c>
      <c r="W277" s="189" t="inlineStr">
        <is>
          <t>pending — retest assay not yet on file</t>
        </is>
      </c>
    </row>
    <row r="278">
      <c r="A278" s="182" t="n">
        <v>277</v>
      </c>
      <c r="B278" s="182" t="inlineStr">
        <is>
          <t>retest — QP campaign</t>
        </is>
      </c>
      <c r="C278" s="181">
        <f>IFERROR(INDEX('iCoA Register'!$B:$B,MATCH("P060292|AB|R",'iCoA Register'!$R:$R,0)),"— at issue —")</f>
        <v/>
      </c>
      <c r="D278" s="182" t="inlineStr"/>
      <c r="E278" s="182" t="inlineStr">
        <is>
          <t>CoQ reissue (assigned on issue)</t>
        </is>
      </c>
      <c r="F278" s="182" t="inlineStr">
        <is>
          <t>11.05.2027</t>
        </is>
      </c>
      <c r="G278" s="182" t="inlineStr">
        <is>
          <t>at retest sampling · QP campaign</t>
        </is>
      </c>
      <c r="H278" s="181" t="inlineStr">
        <is>
          <t>FB112501</t>
        </is>
      </c>
      <c r="I278" s="182" t="inlineStr">
        <is>
          <t>P060292</t>
        </is>
      </c>
      <c r="J278" s="182" t="inlineStr">
        <is>
          <t>Fat Bastard</t>
        </is>
      </c>
      <c r="K278" s="182" t="inlineStr">
        <is>
          <t>25.03.2026</t>
        </is>
      </c>
      <c r="L278" s="182" t="inlineStr">
        <is>
          <t>19.05.2026 (the issuance plan's basis: 11.05.2026)</t>
        </is>
      </c>
      <c r="M278" s="182" t="inlineStr">
        <is>
          <t>19.05.2026</t>
        </is>
      </c>
      <c r="N278" s="182" t="inlineStr">
        <is>
          <t>Ident A + Ident B</t>
        </is>
      </c>
      <c r="O278" s="182" t="inlineStr">
        <is>
          <t>iCoA_P01-02 · Appearance &amp; Identification A/B</t>
        </is>
      </c>
      <c r="P278" s="182" t="inlineStr">
        <is>
          <t>to test</t>
        </is>
      </c>
      <c r="Q278" s="182" t="inlineStr">
        <is>
          <t>to test</t>
        </is>
      </c>
      <c r="R278" s="182" t="inlineStr">
        <is>
          <t>n/a</t>
        </is>
      </c>
      <c r="S278" s="189" t="inlineStr">
        <is>
          <t>— retest assay not yet on file —</t>
        </is>
      </c>
      <c r="T278" s="189" t="inlineStr">
        <is>
          <t>— pending —</t>
        </is>
      </c>
      <c r="U278" s="189" t="inlineStr">
        <is>
          <t>— pending —</t>
        </is>
      </c>
      <c r="V278" s="182" t="inlineStr">
        <is>
          <t>#8, #9, #11, #12 from the initial testing</t>
        </is>
      </c>
      <c r="W278" s="189" t="inlineStr">
        <is>
          <t>pending — retest assay not yet on file</t>
        </is>
      </c>
    </row>
    <row r="279">
      <c r="A279" s="182" t="n">
        <v>278</v>
      </c>
      <c r="B279" s="182" t="inlineStr">
        <is>
          <t>retest — QP campaign</t>
        </is>
      </c>
      <c r="C279" s="181">
        <f>IFERROR(INDEX('iCoA Register'!$B:$B,MATCH("P060292|FM|R",'iCoA Register'!$R:$R,0)),"— at issue —")</f>
        <v/>
      </c>
      <c r="D279" s="182" t="inlineStr"/>
      <c r="E279" s="182" t="inlineStr">
        <is>
          <t>CoQ reissue (assigned on issue)</t>
        </is>
      </c>
      <c r="F279" s="182" t="inlineStr">
        <is>
          <t>11.05.2027</t>
        </is>
      </c>
      <c r="G279" s="182" t="inlineStr">
        <is>
          <t>at retest sampling · QP campaign</t>
        </is>
      </c>
      <c r="H279" s="181" t="inlineStr">
        <is>
          <t>FB112501</t>
        </is>
      </c>
      <c r="I279" s="182" t="inlineStr">
        <is>
          <t>P060292</t>
        </is>
      </c>
      <c r="J279" s="182" t="inlineStr">
        <is>
          <t>Fat Bastard</t>
        </is>
      </c>
      <c r="K279" s="182" t="inlineStr">
        <is>
          <t>25.03.2026</t>
        </is>
      </c>
      <c r="L279" s="182" t="inlineStr">
        <is>
          <t>19.05.2026 (the issuance plan's basis: 11.05.2026)</t>
        </is>
      </c>
      <c r="M279" s="182" t="inlineStr">
        <is>
          <t>19.05.2026</t>
        </is>
      </c>
      <c r="N279" s="182" t="inlineStr">
        <is>
          <t>Foreign matter</t>
        </is>
      </c>
      <c r="O279" s="182" t="inlineStr">
        <is>
          <t>iCoA_P07 · Foreign matter</t>
        </is>
      </c>
      <c r="P279" s="182" t="inlineStr">
        <is>
          <t>n/a</t>
        </is>
      </c>
      <c r="Q279" s="182" t="inlineStr">
        <is>
          <t>n/a</t>
        </is>
      </c>
      <c r="R279" s="182" t="inlineStr">
        <is>
          <t>to test</t>
        </is>
      </c>
      <c r="S279" s="189" t="inlineStr">
        <is>
          <t>— retest assay not yet on file —</t>
        </is>
      </c>
      <c r="T279" s="189" t="inlineStr">
        <is>
          <t>— pending —</t>
        </is>
      </c>
      <c r="U279" s="189" t="inlineStr">
        <is>
          <t>— pending —</t>
        </is>
      </c>
      <c r="V279" s="182" t="inlineStr">
        <is>
          <t>#8, #9, #11, #12 from the initial testing</t>
        </is>
      </c>
      <c r="W279" s="189" t="inlineStr">
        <is>
          <t>pending — retest assay not yet on file</t>
        </is>
      </c>
    </row>
    <row r="280">
      <c r="A280" s="182" t="n">
        <v>279</v>
      </c>
      <c r="B280" s="182" t="inlineStr">
        <is>
          <t>retest — QP campaign</t>
        </is>
      </c>
      <c r="C280" s="181">
        <f>IFERROR(INDEX('iCoA Register'!$B:$B,MATCH("P060302|AB|R",'iCoA Register'!$R:$R,0)),"— at issue —")</f>
        <v/>
      </c>
      <c r="D280" s="182" t="inlineStr"/>
      <c r="E280" s="182" t="inlineStr">
        <is>
          <t>CoQ reissue (assigned on issue)</t>
        </is>
      </c>
      <c r="F280" s="182" t="inlineStr">
        <is>
          <t>11.05.2027</t>
        </is>
      </c>
      <c r="G280" s="182" t="inlineStr">
        <is>
          <t>at retest sampling · QP campaign</t>
        </is>
      </c>
      <c r="H280" s="181" t="inlineStr">
        <is>
          <t>GG012601＊</t>
        </is>
      </c>
      <c r="I280" s="182" t="inlineStr">
        <is>
          <t>P060302</t>
        </is>
      </c>
      <c r="J280" s="182" t="inlineStr">
        <is>
          <t>Gorilla Glue</t>
        </is>
      </c>
      <c r="K280" s="182" t="inlineStr">
        <is>
          <t>27.03.2026</t>
        </is>
      </c>
      <c r="L280" s="182" t="inlineStr">
        <is>
          <t>20.05.2026 (the issuance plan's basis: 11.05.2026)</t>
        </is>
      </c>
      <c r="M280" s="182" t="inlineStr">
        <is>
          <t>20.05.2026</t>
        </is>
      </c>
      <c r="N280" s="182" t="inlineStr">
        <is>
          <t>Ident A + Ident B</t>
        </is>
      </c>
      <c r="O280" s="182" t="inlineStr">
        <is>
          <t>iCoA_P01-02 · Appearance &amp; Identification A/B</t>
        </is>
      </c>
      <c r="P280" s="182" t="inlineStr">
        <is>
          <t>to test</t>
        </is>
      </c>
      <c r="Q280" s="182" t="inlineStr">
        <is>
          <t>to test</t>
        </is>
      </c>
      <c r="R280" s="182" t="inlineStr">
        <is>
          <t>n/a</t>
        </is>
      </c>
      <c r="S280" s="189" t="inlineStr">
        <is>
          <t>— retest assay not yet on file —</t>
        </is>
      </c>
      <c r="T280" s="189" t="inlineStr">
        <is>
          <t>— pending —</t>
        </is>
      </c>
      <c r="U280" s="189" t="inlineStr">
        <is>
          <t>— pending —</t>
        </is>
      </c>
      <c r="V280" s="182" t="inlineStr">
        <is>
          <t>#8, #9, #11, #12 from the initial testing</t>
        </is>
      </c>
      <c r="W280" s="189" t="inlineStr">
        <is>
          <t>pending — retest assay not yet on file</t>
        </is>
      </c>
    </row>
    <row r="281">
      <c r="A281" s="182" t="n">
        <v>280</v>
      </c>
      <c r="B281" s="182" t="inlineStr">
        <is>
          <t>retest — QP campaign</t>
        </is>
      </c>
      <c r="C281" s="181">
        <f>IFERROR(INDEX('iCoA Register'!$B:$B,MATCH("P060302|FM|R",'iCoA Register'!$R:$R,0)),"— at issue —")</f>
        <v/>
      </c>
      <c r="D281" s="182" t="inlineStr"/>
      <c r="E281" s="182" t="inlineStr">
        <is>
          <t>CoQ reissue (assigned on issue)</t>
        </is>
      </c>
      <c r="F281" s="182" t="inlineStr">
        <is>
          <t>11.05.2027</t>
        </is>
      </c>
      <c r="G281" s="182" t="inlineStr">
        <is>
          <t>at retest sampling · QP campaign</t>
        </is>
      </c>
      <c r="H281" s="181" t="inlineStr">
        <is>
          <t>GG012601＊</t>
        </is>
      </c>
      <c r="I281" s="182" t="inlineStr">
        <is>
          <t>P060302</t>
        </is>
      </c>
      <c r="J281" s="182" t="inlineStr">
        <is>
          <t>Gorilla Glue</t>
        </is>
      </c>
      <c r="K281" s="182" t="inlineStr">
        <is>
          <t>27.03.2026</t>
        </is>
      </c>
      <c r="L281" s="182" t="inlineStr">
        <is>
          <t>20.05.2026 (the issuance plan's basis: 11.05.2026)</t>
        </is>
      </c>
      <c r="M281" s="182" t="inlineStr">
        <is>
          <t>20.05.2026</t>
        </is>
      </c>
      <c r="N281" s="182" t="inlineStr">
        <is>
          <t>Foreign matter</t>
        </is>
      </c>
      <c r="O281" s="182" t="inlineStr">
        <is>
          <t>iCoA_P07 · Foreign matter</t>
        </is>
      </c>
      <c r="P281" s="182" t="inlineStr">
        <is>
          <t>n/a</t>
        </is>
      </c>
      <c r="Q281" s="182" t="inlineStr">
        <is>
          <t>n/a</t>
        </is>
      </c>
      <c r="R281" s="182" t="inlineStr">
        <is>
          <t>to test</t>
        </is>
      </c>
      <c r="S281" s="189" t="inlineStr">
        <is>
          <t>— retest assay not yet on file —</t>
        </is>
      </c>
      <c r="T281" s="189" t="inlineStr">
        <is>
          <t>— pending —</t>
        </is>
      </c>
      <c r="U281" s="189" t="inlineStr">
        <is>
          <t>— pending —</t>
        </is>
      </c>
      <c r="V281" s="182" t="inlineStr">
        <is>
          <t>#8, #9, #11, #12 from the initial testing</t>
        </is>
      </c>
      <c r="W281" s="189" t="inlineStr">
        <is>
          <t>pending — retest assay not yet on file</t>
        </is>
      </c>
    </row>
    <row r="282">
      <c r="A282" s="182" t="n">
        <v>281</v>
      </c>
      <c r="B282" s="182" t="inlineStr">
        <is>
          <t>retest — QP campaign</t>
        </is>
      </c>
      <c r="C282" s="181">
        <f>IFERROR(INDEX('iCoA Register'!$B:$B,MATCH("P060252|AB|R",'iCoA Register'!$R:$R,0)),"— at issue —")</f>
        <v/>
      </c>
      <c r="D282" s="182" t="inlineStr"/>
      <c r="E282" s="182" t="inlineStr">
        <is>
          <t>CoQ reissue (assigned on issue)</t>
        </is>
      </c>
      <c r="F282" s="182" t="inlineStr">
        <is>
          <t>11.05.2027</t>
        </is>
      </c>
      <c r="G282" s="182" t="inlineStr">
        <is>
          <t>at retest sampling · QP campaign</t>
        </is>
      </c>
      <c r="H282" s="181" t="inlineStr">
        <is>
          <t>GG112501</t>
        </is>
      </c>
      <c r="I282" s="182" t="inlineStr">
        <is>
          <t>P060252</t>
        </is>
      </c>
      <c r="J282" s="182" t="inlineStr">
        <is>
          <t>Gorilla Glue</t>
        </is>
      </c>
      <c r="K282" s="182" t="inlineStr">
        <is>
          <t>25.03.2026</t>
        </is>
      </c>
      <c r="L282" s="182" t="inlineStr">
        <is>
          <t>05.05.2026 (the issuance plan's basis: 11.05.2026)</t>
        </is>
      </c>
      <c r="M282" s="182" t="inlineStr">
        <is>
          <t>05.05.2026</t>
        </is>
      </c>
      <c r="N282" s="182" t="inlineStr">
        <is>
          <t>Ident A + Ident B</t>
        </is>
      </c>
      <c r="O282" s="182" t="inlineStr">
        <is>
          <t>iCoA_P01-02 · Appearance &amp; Identification A/B</t>
        </is>
      </c>
      <c r="P282" s="182" t="inlineStr">
        <is>
          <t>to test</t>
        </is>
      </c>
      <c r="Q282" s="182" t="inlineStr">
        <is>
          <t>to test</t>
        </is>
      </c>
      <c r="R282" s="182" t="inlineStr">
        <is>
          <t>n/a</t>
        </is>
      </c>
      <c r="S282" s="189" t="inlineStr">
        <is>
          <t>— retest assay not yet on file —</t>
        </is>
      </c>
      <c r="T282" s="189" t="inlineStr">
        <is>
          <t>— pending —</t>
        </is>
      </c>
      <c r="U282" s="189" t="inlineStr">
        <is>
          <t>— pending —</t>
        </is>
      </c>
      <c r="V282" s="182" t="inlineStr">
        <is>
          <t>#8, #9, #11, #12 from the initial testing</t>
        </is>
      </c>
      <c r="W282" s="189" t="inlineStr">
        <is>
          <t>pending — retest assay not yet on file</t>
        </is>
      </c>
    </row>
    <row r="283">
      <c r="A283" s="182" t="n">
        <v>282</v>
      </c>
      <c r="B283" s="182" t="inlineStr">
        <is>
          <t>retest — QP campaign</t>
        </is>
      </c>
      <c r="C283" s="181">
        <f>IFERROR(INDEX('iCoA Register'!$B:$B,MATCH("P060252|FM|R",'iCoA Register'!$R:$R,0)),"— at issue —")</f>
        <v/>
      </c>
      <c r="D283" s="182" t="inlineStr"/>
      <c r="E283" s="182" t="inlineStr">
        <is>
          <t>CoQ reissue (assigned on issue)</t>
        </is>
      </c>
      <c r="F283" s="182" t="inlineStr">
        <is>
          <t>11.05.2027</t>
        </is>
      </c>
      <c r="G283" s="182" t="inlineStr">
        <is>
          <t>at retest sampling · QP campaign</t>
        </is>
      </c>
      <c r="H283" s="181" t="inlineStr">
        <is>
          <t>GG112501</t>
        </is>
      </c>
      <c r="I283" s="182" t="inlineStr">
        <is>
          <t>P060252</t>
        </is>
      </c>
      <c r="J283" s="182" t="inlineStr">
        <is>
          <t>Gorilla Glue</t>
        </is>
      </c>
      <c r="K283" s="182" t="inlineStr">
        <is>
          <t>25.03.2026</t>
        </is>
      </c>
      <c r="L283" s="182" t="inlineStr">
        <is>
          <t>05.05.2026 (the issuance plan's basis: 11.05.2026)</t>
        </is>
      </c>
      <c r="M283" s="182" t="inlineStr">
        <is>
          <t>05.05.2026</t>
        </is>
      </c>
      <c r="N283" s="182" t="inlineStr">
        <is>
          <t>Foreign matter</t>
        </is>
      </c>
      <c r="O283" s="182" t="inlineStr">
        <is>
          <t>iCoA_P07 · Foreign matter</t>
        </is>
      </c>
      <c r="P283" s="182" t="inlineStr">
        <is>
          <t>n/a</t>
        </is>
      </c>
      <c r="Q283" s="182" t="inlineStr">
        <is>
          <t>n/a</t>
        </is>
      </c>
      <c r="R283" s="182" t="inlineStr">
        <is>
          <t>to test</t>
        </is>
      </c>
      <c r="S283" s="189" t="inlineStr">
        <is>
          <t>— retest assay not yet on file —</t>
        </is>
      </c>
      <c r="T283" s="189" t="inlineStr">
        <is>
          <t>— pending —</t>
        </is>
      </c>
      <c r="U283" s="189" t="inlineStr">
        <is>
          <t>— pending —</t>
        </is>
      </c>
      <c r="V283" s="182" t="inlineStr">
        <is>
          <t>#8, #9, #11, #12 from the initial testing</t>
        </is>
      </c>
      <c r="W283" s="189" t="inlineStr">
        <is>
          <t>pending — retest assay not yet on file</t>
        </is>
      </c>
    </row>
    <row r="284">
      <c r="A284" s="182" t="n">
        <v>283</v>
      </c>
      <c r="B284" s="182" t="inlineStr">
        <is>
          <t>retest — QP campaign</t>
        </is>
      </c>
      <c r="C284" s="181">
        <f>IFERROR(INDEX('iCoA Register'!$B:$B,MATCH("P050202|AB|R",'iCoA Register'!$R:$R,0)),"— at issue —")</f>
        <v/>
      </c>
      <c r="D284" s="182" t="inlineStr"/>
      <c r="E284" s="182" t="inlineStr">
        <is>
          <t>CoQ reissue (assigned on issue)</t>
        </is>
      </c>
      <c r="F284" s="182" t="inlineStr">
        <is>
          <t>11.05.2027</t>
        </is>
      </c>
      <c r="G284" s="182" t="inlineStr">
        <is>
          <t>at retest sampling · QP campaign</t>
        </is>
      </c>
      <c r="H284" s="181" t="inlineStr">
        <is>
          <t>GP062501</t>
        </is>
      </c>
      <c r="I284" s="182" t="inlineStr">
        <is>
          <t>P050202</t>
        </is>
      </c>
      <c r="J284" s="182" t="inlineStr">
        <is>
          <t>Grape Pie</t>
        </is>
      </c>
      <c r="K284" s="182" t="inlineStr">
        <is>
          <t>15.09.2025 – 17.09.2025</t>
        </is>
      </c>
      <c r="L284" s="182" t="inlineStr">
        <is>
          <t>30.10.2025 – 07.11.2025 (the issuance plan's basis: 11.05.2026)</t>
        </is>
      </c>
      <c r="M284" s="182" t="inlineStr">
        <is>
          <t>07.11.2025</t>
        </is>
      </c>
      <c r="N284" s="182" t="inlineStr">
        <is>
          <t>Ident A + Ident B</t>
        </is>
      </c>
      <c r="O284" s="182" t="inlineStr">
        <is>
          <t>iCoA_P01-02 · Appearance &amp; Identification A/B</t>
        </is>
      </c>
      <c r="P284" s="182" t="inlineStr">
        <is>
          <t>to test</t>
        </is>
      </c>
      <c r="Q284" s="182" t="inlineStr">
        <is>
          <t>to test</t>
        </is>
      </c>
      <c r="R284" s="182" t="inlineStr">
        <is>
          <t>n/a</t>
        </is>
      </c>
      <c r="S284" s="189" t="inlineStr">
        <is>
          <t>— retest assay not yet on file —</t>
        </is>
      </c>
      <c r="T284" s="189" t="inlineStr">
        <is>
          <t>— pending —</t>
        </is>
      </c>
      <c r="U284" s="189" t="inlineStr">
        <is>
          <t>— pending —</t>
        </is>
      </c>
      <c r="V284" s="182" t="inlineStr">
        <is>
          <t>#8, #9, #11, #12 from the initial testing</t>
        </is>
      </c>
      <c r="W284" s="189" t="inlineStr">
        <is>
          <t>pending — retest assay not yet on file</t>
        </is>
      </c>
    </row>
    <row r="285">
      <c r="A285" s="182" t="n">
        <v>284</v>
      </c>
      <c r="B285" s="182" t="inlineStr">
        <is>
          <t>retest — QP campaign</t>
        </is>
      </c>
      <c r="C285" s="181">
        <f>IFERROR(INDEX('iCoA Register'!$B:$B,MATCH("P050202|FM|R",'iCoA Register'!$R:$R,0)),"— at issue —")</f>
        <v/>
      </c>
      <c r="D285" s="182" t="inlineStr"/>
      <c r="E285" s="182" t="inlineStr">
        <is>
          <t>CoQ reissue (assigned on issue)</t>
        </is>
      </c>
      <c r="F285" s="182" t="inlineStr">
        <is>
          <t>11.05.2027</t>
        </is>
      </c>
      <c r="G285" s="182" t="inlineStr">
        <is>
          <t>at retest sampling · QP campaign</t>
        </is>
      </c>
      <c r="H285" s="181" t="inlineStr">
        <is>
          <t>GP062501</t>
        </is>
      </c>
      <c r="I285" s="182" t="inlineStr">
        <is>
          <t>P050202</t>
        </is>
      </c>
      <c r="J285" s="182" t="inlineStr">
        <is>
          <t>Grape Pie</t>
        </is>
      </c>
      <c r="K285" s="182" t="inlineStr">
        <is>
          <t>15.09.2025 – 17.09.2025</t>
        </is>
      </c>
      <c r="L285" s="182" t="inlineStr">
        <is>
          <t>30.10.2025 – 07.11.2025 (the issuance plan's basis: 11.05.2026)</t>
        </is>
      </c>
      <c r="M285" s="182" t="inlineStr">
        <is>
          <t>07.11.2025</t>
        </is>
      </c>
      <c r="N285" s="182" t="inlineStr">
        <is>
          <t>Foreign matter</t>
        </is>
      </c>
      <c r="O285" s="182" t="inlineStr">
        <is>
          <t>iCoA_P07 · Foreign matter</t>
        </is>
      </c>
      <c r="P285" s="182" t="inlineStr">
        <is>
          <t>n/a</t>
        </is>
      </c>
      <c r="Q285" s="182" t="inlineStr">
        <is>
          <t>n/a</t>
        </is>
      </c>
      <c r="R285" s="182" t="inlineStr">
        <is>
          <t>to test</t>
        </is>
      </c>
      <c r="S285" s="189" t="inlineStr">
        <is>
          <t>— retest assay not yet on file —</t>
        </is>
      </c>
      <c r="T285" s="189" t="inlineStr">
        <is>
          <t>— pending —</t>
        </is>
      </c>
      <c r="U285" s="189" t="inlineStr">
        <is>
          <t>— pending —</t>
        </is>
      </c>
      <c r="V285" s="182" t="inlineStr">
        <is>
          <t>#8, #9, #11, #12 from the initial testing</t>
        </is>
      </c>
      <c r="W285" s="189" t="inlineStr">
        <is>
          <t>pending — retest assay not yet on file</t>
        </is>
      </c>
    </row>
    <row r="286">
      <c r="A286" s="182" t="n">
        <v>285</v>
      </c>
      <c r="B286" s="182" t="inlineStr">
        <is>
          <t>retest — QP campaign</t>
        </is>
      </c>
      <c r="C286" s="181">
        <f>IFERROR(INDEX('iCoA Register'!$B:$B,MATCH("P060312|AB|R",'iCoA Register'!$R:$R,0)),"— at issue —")</f>
        <v/>
      </c>
      <c r="D286" s="182" t="inlineStr"/>
      <c r="E286" s="182" t="inlineStr">
        <is>
          <t>CoQ reissue (assigned on issue)</t>
        </is>
      </c>
      <c r="F286" s="182" t="inlineStr">
        <is>
          <t>11.05.2027</t>
        </is>
      </c>
      <c r="G286" s="182" t="inlineStr">
        <is>
          <t>at retest sampling · QP campaign</t>
        </is>
      </c>
      <c r="H286" s="181" t="inlineStr">
        <is>
          <t>JD012601＊</t>
        </is>
      </c>
      <c r="I286" s="182" t="inlineStr">
        <is>
          <t>P060312</t>
        </is>
      </c>
      <c r="J286" s="182" t="inlineStr">
        <is>
          <t>Jelly Donutz</t>
        </is>
      </c>
      <c r="K286" s="182" t="inlineStr">
        <is>
          <t>27.03.2026</t>
        </is>
      </c>
      <c r="L286" s="182" t="inlineStr">
        <is>
          <t>21.05.2026 (the issuance plan's basis: 11.05.2026)</t>
        </is>
      </c>
      <c r="M286" s="182" t="inlineStr">
        <is>
          <t>21.05.2026</t>
        </is>
      </c>
      <c r="N286" s="182" t="inlineStr">
        <is>
          <t>Ident A + Ident B</t>
        </is>
      </c>
      <c r="O286" s="182" t="inlineStr">
        <is>
          <t>iCoA_P01-02 · Appearance &amp; Identification A/B</t>
        </is>
      </c>
      <c r="P286" s="182" t="inlineStr">
        <is>
          <t>to test</t>
        </is>
      </c>
      <c r="Q286" s="182" t="inlineStr">
        <is>
          <t>to test</t>
        </is>
      </c>
      <c r="R286" s="182" t="inlineStr">
        <is>
          <t>n/a</t>
        </is>
      </c>
      <c r="S286" s="189" t="inlineStr">
        <is>
          <t>— retest assay not yet on file —</t>
        </is>
      </c>
      <c r="T286" s="189" t="inlineStr">
        <is>
          <t>— pending —</t>
        </is>
      </c>
      <c r="U286" s="189" t="inlineStr">
        <is>
          <t>— pending —</t>
        </is>
      </c>
      <c r="V286" s="182" t="inlineStr">
        <is>
          <t>#8, #9, #11, #12 from the initial testing</t>
        </is>
      </c>
      <c r="W286" s="189" t="inlineStr">
        <is>
          <t>pending — retest assay not yet on file</t>
        </is>
      </c>
    </row>
    <row r="287">
      <c r="A287" s="182" t="n">
        <v>286</v>
      </c>
      <c r="B287" s="182" t="inlineStr">
        <is>
          <t>retest — QP campaign</t>
        </is>
      </c>
      <c r="C287" s="181">
        <f>IFERROR(INDEX('iCoA Register'!$B:$B,MATCH("P060312|FM|R",'iCoA Register'!$R:$R,0)),"— at issue —")</f>
        <v/>
      </c>
      <c r="D287" s="182" t="inlineStr"/>
      <c r="E287" s="182" t="inlineStr">
        <is>
          <t>CoQ reissue (assigned on issue)</t>
        </is>
      </c>
      <c r="F287" s="182" t="inlineStr">
        <is>
          <t>11.05.2027</t>
        </is>
      </c>
      <c r="G287" s="182" t="inlineStr">
        <is>
          <t>at retest sampling · QP campaign</t>
        </is>
      </c>
      <c r="H287" s="181" t="inlineStr">
        <is>
          <t>JD012601＊</t>
        </is>
      </c>
      <c r="I287" s="182" t="inlineStr">
        <is>
          <t>P060312</t>
        </is>
      </c>
      <c r="J287" s="182" t="inlineStr">
        <is>
          <t>Jelly Donutz</t>
        </is>
      </c>
      <c r="K287" s="182" t="inlineStr">
        <is>
          <t>27.03.2026</t>
        </is>
      </c>
      <c r="L287" s="182" t="inlineStr">
        <is>
          <t>21.05.2026 (the issuance plan's basis: 11.05.2026)</t>
        </is>
      </c>
      <c r="M287" s="182" t="inlineStr">
        <is>
          <t>21.05.2026</t>
        </is>
      </c>
      <c r="N287" s="182" t="inlineStr">
        <is>
          <t>Foreign matter</t>
        </is>
      </c>
      <c r="O287" s="182" t="inlineStr">
        <is>
          <t>iCoA_P07 · Foreign matter</t>
        </is>
      </c>
      <c r="P287" s="182" t="inlineStr">
        <is>
          <t>n/a</t>
        </is>
      </c>
      <c r="Q287" s="182" t="inlineStr">
        <is>
          <t>n/a</t>
        </is>
      </c>
      <c r="R287" s="182" t="inlineStr">
        <is>
          <t>to test</t>
        </is>
      </c>
      <c r="S287" s="189" t="inlineStr">
        <is>
          <t>— retest assay not yet on file —</t>
        </is>
      </c>
      <c r="T287" s="189" t="inlineStr">
        <is>
          <t>— pending —</t>
        </is>
      </c>
      <c r="U287" s="189" t="inlineStr">
        <is>
          <t>— pending —</t>
        </is>
      </c>
      <c r="V287" s="182" t="inlineStr">
        <is>
          <t>#8, #9, #11, #12 from the initial testing</t>
        </is>
      </c>
      <c r="W287" s="189" t="inlineStr">
        <is>
          <t>pending — retest assay not yet on file</t>
        </is>
      </c>
    </row>
    <row r="288">
      <c r="A288" s="182" t="n">
        <v>287</v>
      </c>
      <c r="B288" s="182" t="inlineStr">
        <is>
          <t>retest — QP campaign</t>
        </is>
      </c>
      <c r="C288" s="181">
        <f>IFERROR(INDEX('iCoA Register'!$B:$B,MATCH("P060282|AB|R",'iCoA Register'!$R:$R,0)),"— at issue —")</f>
        <v/>
      </c>
      <c r="D288" s="182" t="inlineStr"/>
      <c r="E288" s="182" t="inlineStr">
        <is>
          <t>CoQ reissue (assigned on issue)</t>
        </is>
      </c>
      <c r="F288" s="182" t="inlineStr">
        <is>
          <t>18.05.2027</t>
        </is>
      </c>
      <c r="G288" s="182" t="inlineStr">
        <is>
          <t>at retest sampling · QP campaign</t>
        </is>
      </c>
      <c r="H288" s="181" t="inlineStr">
        <is>
          <t>SCR112501</t>
        </is>
      </c>
      <c r="I288" s="182" t="inlineStr">
        <is>
          <t>P060282</t>
        </is>
      </c>
      <c r="J288" s="182" t="inlineStr">
        <is>
          <t>Scrambler</t>
        </is>
      </c>
      <c r="K288" s="182" t="inlineStr">
        <is>
          <t>25.03.2026</t>
        </is>
      </c>
      <c r="L288" s="182" t="inlineStr">
        <is>
          <t>18.05.2026</t>
        </is>
      </c>
      <c r="M288" s="182" t="inlineStr">
        <is>
          <t>18.05.2026</t>
        </is>
      </c>
      <c r="N288" s="182" t="inlineStr">
        <is>
          <t>Ident A + Ident B</t>
        </is>
      </c>
      <c r="O288" s="182" t="inlineStr">
        <is>
          <t>iCoA_P01-02 · Appearance &amp; Identification A/B</t>
        </is>
      </c>
      <c r="P288" s="182" t="inlineStr">
        <is>
          <t>to test</t>
        </is>
      </c>
      <c r="Q288" s="182" t="inlineStr">
        <is>
          <t>to test</t>
        </is>
      </c>
      <c r="R288" s="182" t="inlineStr">
        <is>
          <t>n/a</t>
        </is>
      </c>
      <c r="S288" s="189" t="inlineStr">
        <is>
          <t>— retest assay not yet on file —</t>
        </is>
      </c>
      <c r="T288" s="189" t="inlineStr">
        <is>
          <t>— pending —</t>
        </is>
      </c>
      <c r="U288" s="189" t="inlineStr">
        <is>
          <t>— pending —</t>
        </is>
      </c>
      <c r="V288" s="182" t="inlineStr">
        <is>
          <t>#8, #9, #11, #12 from the initial testing</t>
        </is>
      </c>
      <c r="W288" s="189" t="inlineStr">
        <is>
          <t>pending — retest assay not yet on file</t>
        </is>
      </c>
    </row>
    <row r="289">
      <c r="A289" s="182" t="n">
        <v>288</v>
      </c>
      <c r="B289" s="182" t="inlineStr">
        <is>
          <t>retest — QP campaign</t>
        </is>
      </c>
      <c r="C289" s="181">
        <f>IFERROR(INDEX('iCoA Register'!$B:$B,MATCH("P060282|FM|R",'iCoA Register'!$R:$R,0)),"— at issue —")</f>
        <v/>
      </c>
      <c r="D289" s="182" t="inlineStr"/>
      <c r="E289" s="182" t="inlineStr">
        <is>
          <t>CoQ reissue (assigned on issue)</t>
        </is>
      </c>
      <c r="F289" s="182" t="inlineStr">
        <is>
          <t>18.05.2027</t>
        </is>
      </c>
      <c r="G289" s="182" t="inlineStr">
        <is>
          <t>at retest sampling · QP campaign</t>
        </is>
      </c>
      <c r="H289" s="181" t="inlineStr">
        <is>
          <t>SCR112501</t>
        </is>
      </c>
      <c r="I289" s="182" t="inlineStr">
        <is>
          <t>P060282</t>
        </is>
      </c>
      <c r="J289" s="182" t="inlineStr">
        <is>
          <t>Scrambler</t>
        </is>
      </c>
      <c r="K289" s="182" t="inlineStr">
        <is>
          <t>25.03.2026</t>
        </is>
      </c>
      <c r="L289" s="182" t="inlineStr">
        <is>
          <t>18.05.2026</t>
        </is>
      </c>
      <c r="M289" s="182" t="inlineStr">
        <is>
          <t>18.05.2026</t>
        </is>
      </c>
      <c r="N289" s="182" t="inlineStr">
        <is>
          <t>Foreign matter</t>
        </is>
      </c>
      <c r="O289" s="182" t="inlineStr">
        <is>
          <t>iCoA_P07 · Foreign matter</t>
        </is>
      </c>
      <c r="P289" s="182" t="inlineStr">
        <is>
          <t>n/a</t>
        </is>
      </c>
      <c r="Q289" s="182" t="inlineStr">
        <is>
          <t>n/a</t>
        </is>
      </c>
      <c r="R289" s="182" t="inlineStr">
        <is>
          <t>to test</t>
        </is>
      </c>
      <c r="S289" s="189" t="inlineStr">
        <is>
          <t>— retest assay not yet on file —</t>
        </is>
      </c>
      <c r="T289" s="189" t="inlineStr">
        <is>
          <t>— pending —</t>
        </is>
      </c>
      <c r="U289" s="189" t="inlineStr">
        <is>
          <t>— pending —</t>
        </is>
      </c>
      <c r="V289" s="182" t="inlineStr">
        <is>
          <t>#8, #9, #11, #12 from the initial testing</t>
        </is>
      </c>
      <c r="W289" s="189" t="inlineStr">
        <is>
          <t>pending — retest assay not yet on file</t>
        </is>
      </c>
    </row>
    <row r="290">
      <c r="A290" s="182" t="n">
        <v>289</v>
      </c>
      <c r="B290" s="182" t="inlineStr">
        <is>
          <t>retest — QP campaign</t>
        </is>
      </c>
      <c r="C290" s="181">
        <f>IFERROR(INDEX('iCoA Register'!$B:$B,MATCH("P060322|AB|R",'iCoA Register'!$R:$R,0)),"— at issue —")</f>
        <v/>
      </c>
      <c r="D290" s="182" t="inlineStr"/>
      <c r="E290" s="182" t="inlineStr">
        <is>
          <t>CoQ reissue (assigned on issue)</t>
        </is>
      </c>
      <c r="F290" s="182" t="inlineStr">
        <is>
          <t>22.05.2027</t>
        </is>
      </c>
      <c r="G290" s="182" t="inlineStr">
        <is>
          <t>at retest sampling · QP campaign</t>
        </is>
      </c>
      <c r="H290" s="181" t="inlineStr">
        <is>
          <t>FB012601_1</t>
        </is>
      </c>
      <c r="I290" s="182" t="inlineStr">
        <is>
          <t>P060322</t>
        </is>
      </c>
      <c r="J290" s="182" t="inlineStr">
        <is>
          <t>Fat Bastard</t>
        </is>
      </c>
      <c r="K290" s="182" t="inlineStr">
        <is>
          <t>27.03.2026</t>
        </is>
      </c>
      <c r="L290" s="182" t="inlineStr">
        <is>
          <t>22.05.2026</t>
        </is>
      </c>
      <c r="M290" s="182" t="inlineStr">
        <is>
          <t>22.05.2026</t>
        </is>
      </c>
      <c r="N290" s="182" t="inlineStr">
        <is>
          <t>Ident A + Ident B</t>
        </is>
      </c>
      <c r="O290" s="182" t="inlineStr">
        <is>
          <t>iCoA_P01-02 · Appearance &amp; Identification A/B</t>
        </is>
      </c>
      <c r="P290" s="182" t="inlineStr">
        <is>
          <t>to test</t>
        </is>
      </c>
      <c r="Q290" s="182" t="inlineStr">
        <is>
          <t>to test</t>
        </is>
      </c>
      <c r="R290" s="182" t="inlineStr">
        <is>
          <t>n/a</t>
        </is>
      </c>
      <c r="S290" s="189" t="inlineStr">
        <is>
          <t>— retest assay not yet on file —</t>
        </is>
      </c>
      <c r="T290" s="189" t="inlineStr">
        <is>
          <t>— pending —</t>
        </is>
      </c>
      <c r="U290" s="189" t="inlineStr">
        <is>
          <t>— pending —</t>
        </is>
      </c>
      <c r="V290" s="182" t="inlineStr">
        <is>
          <t>#8, #9, #11, #12 from the initial testing</t>
        </is>
      </c>
      <c r="W290" s="189" t="inlineStr">
        <is>
          <t>pending — retest assay not yet on file</t>
        </is>
      </c>
    </row>
    <row r="291">
      <c r="A291" s="182" t="n">
        <v>290</v>
      </c>
      <c r="B291" s="182" t="inlineStr">
        <is>
          <t>retest — QP campaign</t>
        </is>
      </c>
      <c r="C291" s="181">
        <f>IFERROR(INDEX('iCoA Register'!$B:$B,MATCH("P060322|FM|R",'iCoA Register'!$R:$R,0)),"— at issue —")</f>
        <v/>
      </c>
      <c r="D291" s="182" t="inlineStr"/>
      <c r="E291" s="182" t="inlineStr">
        <is>
          <t>CoQ reissue (assigned on issue)</t>
        </is>
      </c>
      <c r="F291" s="182" t="inlineStr">
        <is>
          <t>22.05.2027</t>
        </is>
      </c>
      <c r="G291" s="182" t="inlineStr">
        <is>
          <t>at retest sampling · QP campaign</t>
        </is>
      </c>
      <c r="H291" s="181" t="inlineStr">
        <is>
          <t>FB012601_1</t>
        </is>
      </c>
      <c r="I291" s="182" t="inlineStr">
        <is>
          <t>P060322</t>
        </is>
      </c>
      <c r="J291" s="182" t="inlineStr">
        <is>
          <t>Fat Bastard</t>
        </is>
      </c>
      <c r="K291" s="182" t="inlineStr">
        <is>
          <t>27.03.2026</t>
        </is>
      </c>
      <c r="L291" s="182" t="inlineStr">
        <is>
          <t>22.05.2026</t>
        </is>
      </c>
      <c r="M291" s="182" t="inlineStr">
        <is>
          <t>22.05.2026</t>
        </is>
      </c>
      <c r="N291" s="182" t="inlineStr">
        <is>
          <t>Foreign matter</t>
        </is>
      </c>
      <c r="O291" s="182" t="inlineStr">
        <is>
          <t>iCoA_P07 · Foreign matter</t>
        </is>
      </c>
      <c r="P291" s="182" t="inlineStr">
        <is>
          <t>n/a</t>
        </is>
      </c>
      <c r="Q291" s="182" t="inlineStr">
        <is>
          <t>n/a</t>
        </is>
      </c>
      <c r="R291" s="182" t="inlineStr">
        <is>
          <t>to test</t>
        </is>
      </c>
      <c r="S291" s="189" t="inlineStr">
        <is>
          <t>— retest assay not yet on file —</t>
        </is>
      </c>
      <c r="T291" s="189" t="inlineStr">
        <is>
          <t>— pending —</t>
        </is>
      </c>
      <c r="U291" s="189" t="inlineStr">
        <is>
          <t>— pending —</t>
        </is>
      </c>
      <c r="V291" s="182" t="inlineStr">
        <is>
          <t>#8, #9, #11, #12 from the initial testing</t>
        </is>
      </c>
      <c r="W291" s="189" t="inlineStr">
        <is>
          <t>pending — retest assay not yet on file</t>
        </is>
      </c>
    </row>
    <row r="292">
      <c r="A292" s="182" t="n">
        <v>291</v>
      </c>
      <c r="B292" s="182" t="inlineStr">
        <is>
          <t>retest — QP campaign</t>
        </is>
      </c>
      <c r="C292" s="181">
        <f>IFERROR(INDEX('iCoA Register'!$B:$B,MATCH("P060352|AB|R",'iCoA Register'!$R:$R,0)),"— at issue —")</f>
        <v/>
      </c>
      <c r="D292" s="182" t="inlineStr"/>
      <c r="E292" s="182" t="inlineStr">
        <is>
          <t>CoQ reissue (assigned on issue)</t>
        </is>
      </c>
      <c r="F292" s="182" t="inlineStr">
        <is>
          <t>23.05.2027</t>
        </is>
      </c>
      <c r="G292" s="182" t="inlineStr">
        <is>
          <t>at retest sampling · QP campaign</t>
        </is>
      </c>
      <c r="H292" s="181" t="inlineStr">
        <is>
          <t>FB012602*</t>
        </is>
      </c>
      <c r="I292" s="182" t="inlineStr">
        <is>
          <t>P060352</t>
        </is>
      </c>
      <c r="J292" s="182" t="inlineStr">
        <is>
          <t>Fat Bastard</t>
        </is>
      </c>
      <c r="K292" s="182" t="inlineStr">
        <is>
          <t>16.04.2026</t>
        </is>
      </c>
      <c r="L292" s="182" t="inlineStr">
        <is>
          <t>23.05.2026</t>
        </is>
      </c>
      <c r="M292" s="182" t="inlineStr">
        <is>
          <t>23.05.2026</t>
        </is>
      </c>
      <c r="N292" s="182" t="inlineStr">
        <is>
          <t>Ident A + Ident B</t>
        </is>
      </c>
      <c r="O292" s="182" t="inlineStr">
        <is>
          <t>iCoA_P01-02 · Appearance &amp; Identification A/B</t>
        </is>
      </c>
      <c r="P292" s="182" t="inlineStr">
        <is>
          <t>to test</t>
        </is>
      </c>
      <c r="Q292" s="182" t="inlineStr">
        <is>
          <t>to test</t>
        </is>
      </c>
      <c r="R292" s="182" t="inlineStr">
        <is>
          <t>n/a</t>
        </is>
      </c>
      <c r="S292" s="182" t="inlineStr">
        <is>
          <t>197-7-K-26, (07.08.2026) [FHM-K]</t>
        </is>
      </c>
      <c r="T292" s="182" t="inlineStr">
        <is>
          <t>197-7-K-26, (07.08.2026) [FHM-K]</t>
        </is>
      </c>
      <c r="U292" s="182" t="inlineStr">
        <is>
          <t>197-7-M-26, (10.08.2026) [FHM-M]</t>
        </is>
      </c>
      <c r="V292" s="182" t="inlineStr">
        <is>
          <t>#8, #9, #11, #12 from the initial testing</t>
        </is>
      </c>
      <c r="W292" s="188" t="inlineStr">
        <is>
          <t>due — retest assay and mycotoxins on file</t>
        </is>
      </c>
    </row>
    <row r="293">
      <c r="A293" s="182" t="n">
        <v>292</v>
      </c>
      <c r="B293" s="182" t="inlineStr">
        <is>
          <t>retest — QP campaign</t>
        </is>
      </c>
      <c r="C293" s="181">
        <f>IFERROR(INDEX('iCoA Register'!$B:$B,MATCH("P060352|FM|R",'iCoA Register'!$R:$R,0)),"— at issue —")</f>
        <v/>
      </c>
      <c r="D293" s="182" t="inlineStr"/>
      <c r="E293" s="182" t="inlineStr">
        <is>
          <t>CoQ reissue (assigned on issue)</t>
        </is>
      </c>
      <c r="F293" s="182" t="inlineStr">
        <is>
          <t>23.05.2027</t>
        </is>
      </c>
      <c r="G293" s="182" t="inlineStr">
        <is>
          <t>at retest sampling · QP campaign</t>
        </is>
      </c>
      <c r="H293" s="181" t="inlineStr">
        <is>
          <t>FB012602*</t>
        </is>
      </c>
      <c r="I293" s="182" t="inlineStr">
        <is>
          <t>P060352</t>
        </is>
      </c>
      <c r="J293" s="182" t="inlineStr">
        <is>
          <t>Fat Bastard</t>
        </is>
      </c>
      <c r="K293" s="182" t="inlineStr">
        <is>
          <t>16.04.2026</t>
        </is>
      </c>
      <c r="L293" s="182" t="inlineStr">
        <is>
          <t>23.05.2026</t>
        </is>
      </c>
      <c r="M293" s="182" t="inlineStr">
        <is>
          <t>23.05.2026</t>
        </is>
      </c>
      <c r="N293" s="182" t="inlineStr">
        <is>
          <t>Foreign matter</t>
        </is>
      </c>
      <c r="O293" s="182" t="inlineStr">
        <is>
          <t>iCoA_P07 · Foreign matter</t>
        </is>
      </c>
      <c r="P293" s="182" t="inlineStr">
        <is>
          <t>n/a</t>
        </is>
      </c>
      <c r="Q293" s="182" t="inlineStr">
        <is>
          <t>n/a</t>
        </is>
      </c>
      <c r="R293" s="182" t="inlineStr">
        <is>
          <t>to test</t>
        </is>
      </c>
      <c r="S293" s="182" t="inlineStr">
        <is>
          <t>197-7-K-26, (07.08.2026) [FHM-K]</t>
        </is>
      </c>
      <c r="T293" s="182" t="inlineStr">
        <is>
          <t>197-7-K-26, (07.08.2026) [FHM-K]</t>
        </is>
      </c>
      <c r="U293" s="182" t="inlineStr">
        <is>
          <t>197-7-M-26, (10.08.2026) [FHM-M]</t>
        </is>
      </c>
      <c r="V293" s="182" t="inlineStr">
        <is>
          <t>#8, #9, #11, #12 from the initial testing</t>
        </is>
      </c>
      <c r="W293" s="188" t="inlineStr">
        <is>
          <t>due — retest assay and mycotoxins on file</t>
        </is>
      </c>
    </row>
    <row r="294">
      <c r="A294" s="182" t="n">
        <v>293</v>
      </c>
      <c r="B294" s="182" t="inlineStr">
        <is>
          <t>retest — QP campaign</t>
        </is>
      </c>
      <c r="C294" s="181">
        <f>IFERROR(INDEX('iCoA Register'!$B:$B,MATCH("P060362|AB|R",'iCoA Register'!$R:$R,0)),"— at issue —")</f>
        <v/>
      </c>
      <c r="D294" s="182" t="inlineStr"/>
      <c r="E294" s="182" t="inlineStr">
        <is>
          <t>CoQ reissue (assigned on issue)</t>
        </is>
      </c>
      <c r="F294" s="182" t="inlineStr">
        <is>
          <t>23.05.2027</t>
        </is>
      </c>
      <c r="G294" s="182" t="inlineStr">
        <is>
          <t>at retest sampling · QP campaign</t>
        </is>
      </c>
      <c r="H294" s="181" t="inlineStr">
        <is>
          <t>JD012603</t>
        </is>
      </c>
      <c r="I294" s="182" t="inlineStr">
        <is>
          <t>P060362</t>
        </is>
      </c>
      <c r="J294" s="182" t="inlineStr"/>
      <c r="K294" s="182" t="inlineStr">
        <is>
          <t>22.04.2026</t>
        </is>
      </c>
      <c r="L294" s="182" t="inlineStr">
        <is>
          <t>23.05.2026</t>
        </is>
      </c>
      <c r="M294" s="182" t="inlineStr">
        <is>
          <t>23.05.2026</t>
        </is>
      </c>
      <c r="N294" s="182" t="inlineStr">
        <is>
          <t>Ident A + Ident B</t>
        </is>
      </c>
      <c r="O294" s="182" t="inlineStr">
        <is>
          <t>iCoA_P01-02 · Appearance &amp; Identification A/B</t>
        </is>
      </c>
      <c r="P294" s="182" t="inlineStr">
        <is>
          <t>to test</t>
        </is>
      </c>
      <c r="Q294" s="182" t="inlineStr">
        <is>
          <t>to test</t>
        </is>
      </c>
      <c r="R294" s="182" t="inlineStr">
        <is>
          <t>n/a</t>
        </is>
      </c>
      <c r="S294" s="189" t="inlineStr">
        <is>
          <t>— retest assay not yet on file —</t>
        </is>
      </c>
      <c r="T294" s="189" t="inlineStr">
        <is>
          <t>— pending —</t>
        </is>
      </c>
      <c r="U294" s="189" t="inlineStr">
        <is>
          <t>— pending —</t>
        </is>
      </c>
      <c r="V294" s="182" t="inlineStr">
        <is>
          <t>#8, #9, #11, #12 from the initial testing</t>
        </is>
      </c>
      <c r="W294" s="189" t="inlineStr">
        <is>
          <t>pending — retest assay not yet on file</t>
        </is>
      </c>
    </row>
    <row r="295">
      <c r="A295" s="182" t="n">
        <v>294</v>
      </c>
      <c r="B295" s="182" t="inlineStr">
        <is>
          <t>retest — QP campaign</t>
        </is>
      </c>
      <c r="C295" s="181">
        <f>IFERROR(INDEX('iCoA Register'!$B:$B,MATCH("P060362|FM|R",'iCoA Register'!$R:$R,0)),"— at issue —")</f>
        <v/>
      </c>
      <c r="D295" s="182" t="inlineStr"/>
      <c r="E295" s="182" t="inlineStr">
        <is>
          <t>CoQ reissue (assigned on issue)</t>
        </is>
      </c>
      <c r="F295" s="182" t="inlineStr">
        <is>
          <t>23.05.2027</t>
        </is>
      </c>
      <c r="G295" s="182" t="inlineStr">
        <is>
          <t>at retest sampling · QP campaign</t>
        </is>
      </c>
      <c r="H295" s="181" t="inlineStr">
        <is>
          <t>JD012603</t>
        </is>
      </c>
      <c r="I295" s="182" t="inlineStr">
        <is>
          <t>P060362</t>
        </is>
      </c>
      <c r="J295" s="182" t="inlineStr"/>
      <c r="K295" s="182" t="inlineStr">
        <is>
          <t>22.04.2026</t>
        </is>
      </c>
      <c r="L295" s="182" t="inlineStr">
        <is>
          <t>23.05.2026</t>
        </is>
      </c>
      <c r="M295" s="182" t="inlineStr">
        <is>
          <t>23.05.2026</t>
        </is>
      </c>
      <c r="N295" s="182" t="inlineStr">
        <is>
          <t>Foreign matter</t>
        </is>
      </c>
      <c r="O295" s="182" t="inlineStr">
        <is>
          <t>iCoA_P07 · Foreign matter</t>
        </is>
      </c>
      <c r="P295" s="182" t="inlineStr">
        <is>
          <t>n/a</t>
        </is>
      </c>
      <c r="Q295" s="182" t="inlineStr">
        <is>
          <t>n/a</t>
        </is>
      </c>
      <c r="R295" s="182" t="inlineStr">
        <is>
          <t>to test</t>
        </is>
      </c>
      <c r="S295" s="189" t="inlineStr">
        <is>
          <t>— retest assay not yet on file —</t>
        </is>
      </c>
      <c r="T295" s="189" t="inlineStr">
        <is>
          <t>— pending —</t>
        </is>
      </c>
      <c r="U295" s="189" t="inlineStr">
        <is>
          <t>— pending —</t>
        </is>
      </c>
      <c r="V295" s="182" t="inlineStr">
        <is>
          <t>#8, #9, #11, #12 from the initial testing</t>
        </is>
      </c>
      <c r="W295" s="189" t="inlineStr">
        <is>
          <t>pending — retest assay not yet on file</t>
        </is>
      </c>
    </row>
    <row r="296">
      <c r="A296" s="182" t="n">
        <v>295</v>
      </c>
      <c r="B296" s="182" t="inlineStr">
        <is>
          <t>retest — QP campaign</t>
        </is>
      </c>
      <c r="C296" s="181">
        <f>IFERROR(INDEX('iCoA Register'!$B:$B,MATCH("P060422|AB|R",'iCoA Register'!$R:$R,0)),"— at issue —")</f>
        <v/>
      </c>
      <c r="D296" s="182" t="inlineStr"/>
      <c r="E296" s="182" t="inlineStr">
        <is>
          <t>CoQ reissue (assigned on issue)</t>
        </is>
      </c>
      <c r="F296" s="182" t="inlineStr">
        <is>
          <t>23.05.2027</t>
        </is>
      </c>
      <c r="G296" s="182" t="inlineStr">
        <is>
          <t>at retest sampling · QP campaign</t>
        </is>
      </c>
      <c r="H296" s="181" t="inlineStr">
        <is>
          <t>JD012603</t>
        </is>
      </c>
      <c r="I296" s="182" t="inlineStr">
        <is>
          <t>P060422</t>
        </is>
      </c>
      <c r="J296" s="182" t="inlineStr"/>
      <c r="K296" s="182" t="inlineStr">
        <is>
          <t>29.04.2026</t>
        </is>
      </c>
      <c r="L296" s="182" t="inlineStr">
        <is>
          <t>23.05.2026</t>
        </is>
      </c>
      <c r="M296" s="182" t="inlineStr">
        <is>
          <t>23.05.2026</t>
        </is>
      </c>
      <c r="N296" s="182" t="inlineStr">
        <is>
          <t>Ident A + Ident B</t>
        </is>
      </c>
      <c r="O296" s="182" t="inlineStr">
        <is>
          <t>iCoA_P01-02 · Appearance &amp; Identification A/B</t>
        </is>
      </c>
      <c r="P296" s="182" t="inlineStr">
        <is>
          <t>to test</t>
        </is>
      </c>
      <c r="Q296" s="182" t="inlineStr">
        <is>
          <t>to test</t>
        </is>
      </c>
      <c r="R296" s="182" t="inlineStr">
        <is>
          <t>n/a</t>
        </is>
      </c>
      <c r="S296" s="189" t="inlineStr">
        <is>
          <t>— retest assay not yet on file —</t>
        </is>
      </c>
      <c r="T296" s="189" t="inlineStr">
        <is>
          <t>— pending —</t>
        </is>
      </c>
      <c r="U296" s="189" t="inlineStr">
        <is>
          <t>— pending —</t>
        </is>
      </c>
      <c r="V296" s="182" t="inlineStr">
        <is>
          <t>#8, #9, #11, #12 from the initial testing</t>
        </is>
      </c>
      <c r="W296" s="189" t="inlineStr">
        <is>
          <t>pending — retest assay not yet on file</t>
        </is>
      </c>
    </row>
    <row r="297">
      <c r="A297" s="182" t="n">
        <v>296</v>
      </c>
      <c r="B297" s="182" t="inlineStr">
        <is>
          <t>retest — QP campaign</t>
        </is>
      </c>
      <c r="C297" s="181">
        <f>IFERROR(INDEX('iCoA Register'!$B:$B,MATCH("P060422|FM|R",'iCoA Register'!$R:$R,0)),"— at issue —")</f>
        <v/>
      </c>
      <c r="D297" s="182" t="inlineStr"/>
      <c r="E297" s="182" t="inlineStr">
        <is>
          <t>CoQ reissue (assigned on issue)</t>
        </is>
      </c>
      <c r="F297" s="182" t="inlineStr">
        <is>
          <t>23.05.2027</t>
        </is>
      </c>
      <c r="G297" s="182" t="inlineStr">
        <is>
          <t>at retest sampling · QP campaign</t>
        </is>
      </c>
      <c r="H297" s="181" t="inlineStr">
        <is>
          <t>JD012603</t>
        </is>
      </c>
      <c r="I297" s="182" t="inlineStr">
        <is>
          <t>P060422</t>
        </is>
      </c>
      <c r="J297" s="182" t="inlineStr"/>
      <c r="K297" s="182" t="inlineStr">
        <is>
          <t>29.04.2026</t>
        </is>
      </c>
      <c r="L297" s="182" t="inlineStr">
        <is>
          <t>23.05.2026</t>
        </is>
      </c>
      <c r="M297" s="182" t="inlineStr">
        <is>
          <t>23.05.2026</t>
        </is>
      </c>
      <c r="N297" s="182" t="inlineStr">
        <is>
          <t>Foreign matter</t>
        </is>
      </c>
      <c r="O297" s="182" t="inlineStr">
        <is>
          <t>iCoA_P07 · Foreign matter</t>
        </is>
      </c>
      <c r="P297" s="182" t="inlineStr">
        <is>
          <t>n/a</t>
        </is>
      </c>
      <c r="Q297" s="182" t="inlineStr">
        <is>
          <t>n/a</t>
        </is>
      </c>
      <c r="R297" s="182" t="inlineStr">
        <is>
          <t>to test</t>
        </is>
      </c>
      <c r="S297" s="189" t="inlineStr">
        <is>
          <t>— retest assay not yet on file —</t>
        </is>
      </c>
      <c r="T297" s="189" t="inlineStr">
        <is>
          <t>— pending —</t>
        </is>
      </c>
      <c r="U297" s="189" t="inlineStr">
        <is>
          <t>— pending —</t>
        </is>
      </c>
      <c r="V297" s="182" t="inlineStr">
        <is>
          <t>#8, #9, #11, #12 from the initial testing</t>
        </is>
      </c>
      <c r="W297" s="189" t="inlineStr">
        <is>
          <t>pending — retest assay not yet on file</t>
        </is>
      </c>
    </row>
    <row r="298">
      <c r="A298" s="182" t="n">
        <v>297</v>
      </c>
      <c r="B298" s="182" t="inlineStr">
        <is>
          <t>retest — QP campaign</t>
        </is>
      </c>
      <c r="C298" s="181">
        <f>IFERROR(INDEX('iCoA Register'!$B:$B,MATCH("P060402|AB|R",'iCoA Register'!$R:$R,0)),"— at issue —")</f>
        <v/>
      </c>
      <c r="D298" s="182" t="inlineStr"/>
      <c r="E298" s="182" t="inlineStr">
        <is>
          <t>CoQ reissue (assigned on issue)</t>
        </is>
      </c>
      <c r="F298" s="182" t="inlineStr">
        <is>
          <t>24.05.2027</t>
        </is>
      </c>
      <c r="G298" s="182" t="inlineStr">
        <is>
          <t>at retest sampling · QP campaign</t>
        </is>
      </c>
      <c r="H298" s="181" t="inlineStr">
        <is>
          <t>GG012603</t>
        </is>
      </c>
      <c r="I298" s="182" t="inlineStr">
        <is>
          <t>P060402</t>
        </is>
      </c>
      <c r="J298" s="182" t="inlineStr">
        <is>
          <t>GorillaGlue</t>
        </is>
      </c>
      <c r="K298" s="182" t="inlineStr">
        <is>
          <t>04.05.2026</t>
        </is>
      </c>
      <c r="L298" s="182" t="inlineStr">
        <is>
          <t>24.05.2026</t>
        </is>
      </c>
      <c r="M298" s="182" t="inlineStr">
        <is>
          <t>24.05.2026</t>
        </is>
      </c>
      <c r="N298" s="182" t="inlineStr">
        <is>
          <t>Ident A + Ident B</t>
        </is>
      </c>
      <c r="O298" s="182" t="inlineStr">
        <is>
          <t>iCoA_P01-02 · Appearance &amp; Identification A/B</t>
        </is>
      </c>
      <c r="P298" s="182" t="inlineStr">
        <is>
          <t>to test</t>
        </is>
      </c>
      <c r="Q298" s="182" t="inlineStr">
        <is>
          <t>to test</t>
        </is>
      </c>
      <c r="R298" s="182" t="inlineStr">
        <is>
          <t>n/a</t>
        </is>
      </c>
      <c r="S298" s="182" t="inlineStr">
        <is>
          <t>197-8-K-26, (07.08.2026) [FHM-K]</t>
        </is>
      </c>
      <c r="T298" s="182" t="inlineStr">
        <is>
          <t>197-8-K-26, (07.08.2026) [FHM-K]</t>
        </is>
      </c>
      <c r="U298" s="182" t="inlineStr">
        <is>
          <t>197-8-M-26, (10.08.2026) [FHM-M]</t>
        </is>
      </c>
      <c r="V298" s="182" t="inlineStr">
        <is>
          <t>#8, #9, #11, #12 from the initial testing</t>
        </is>
      </c>
      <c r="W298" s="188" t="inlineStr">
        <is>
          <t>due — retest assay and mycotoxins on file</t>
        </is>
      </c>
    </row>
    <row r="299">
      <c r="A299" s="182" t="n">
        <v>298</v>
      </c>
      <c r="B299" s="182" t="inlineStr">
        <is>
          <t>retest — QP campaign</t>
        </is>
      </c>
      <c r="C299" s="181">
        <f>IFERROR(INDEX('iCoA Register'!$B:$B,MATCH("P060402|FM|R",'iCoA Register'!$R:$R,0)),"— at issue —")</f>
        <v/>
      </c>
      <c r="D299" s="182" t="inlineStr"/>
      <c r="E299" s="182" t="inlineStr">
        <is>
          <t>CoQ reissue (assigned on issue)</t>
        </is>
      </c>
      <c r="F299" s="182" t="inlineStr">
        <is>
          <t>24.05.2027</t>
        </is>
      </c>
      <c r="G299" s="182" t="inlineStr">
        <is>
          <t>at retest sampling · QP campaign</t>
        </is>
      </c>
      <c r="H299" s="181" t="inlineStr">
        <is>
          <t>GG012603</t>
        </is>
      </c>
      <c r="I299" s="182" t="inlineStr">
        <is>
          <t>P060402</t>
        </is>
      </c>
      <c r="J299" s="182" t="inlineStr">
        <is>
          <t>GorillaGlue</t>
        </is>
      </c>
      <c r="K299" s="182" t="inlineStr">
        <is>
          <t>04.05.2026</t>
        </is>
      </c>
      <c r="L299" s="182" t="inlineStr">
        <is>
          <t>24.05.2026</t>
        </is>
      </c>
      <c r="M299" s="182" t="inlineStr">
        <is>
          <t>24.05.2026</t>
        </is>
      </c>
      <c r="N299" s="182" t="inlineStr">
        <is>
          <t>Foreign matter</t>
        </is>
      </c>
      <c r="O299" s="182" t="inlineStr">
        <is>
          <t>iCoA_P07 · Foreign matter</t>
        </is>
      </c>
      <c r="P299" s="182" t="inlineStr">
        <is>
          <t>n/a</t>
        </is>
      </c>
      <c r="Q299" s="182" t="inlineStr">
        <is>
          <t>n/a</t>
        </is>
      </c>
      <c r="R299" s="182" t="inlineStr">
        <is>
          <t>to test</t>
        </is>
      </c>
      <c r="S299" s="182" t="inlineStr">
        <is>
          <t>197-8-K-26, (07.08.2026) [FHM-K]</t>
        </is>
      </c>
      <c r="T299" s="182" t="inlineStr">
        <is>
          <t>197-8-K-26, (07.08.2026) [FHM-K]</t>
        </is>
      </c>
      <c r="U299" s="182" t="inlineStr">
        <is>
          <t>197-8-M-26, (10.08.2026) [FHM-M]</t>
        </is>
      </c>
      <c r="V299" s="182" t="inlineStr">
        <is>
          <t>#8, #9, #11, #12 from the initial testing</t>
        </is>
      </c>
      <c r="W299" s="188" t="inlineStr">
        <is>
          <t>due — retest assay and mycotoxins on file</t>
        </is>
      </c>
    </row>
    <row r="300">
      <c r="A300" s="182" t="n">
        <v>299</v>
      </c>
      <c r="B300" s="182" t="inlineStr">
        <is>
          <t>retest — QP campaign</t>
        </is>
      </c>
      <c r="C300" s="181">
        <f>IFERROR(INDEX('iCoA Register'!$B:$B,MATCH("P060412|AB|R",'iCoA Register'!$R:$R,0)),"— at issue —")</f>
        <v/>
      </c>
      <c r="D300" s="182" t="inlineStr"/>
      <c r="E300" s="182" t="inlineStr">
        <is>
          <t>CoQ reissue (assigned on issue)</t>
        </is>
      </c>
      <c r="F300" s="182" t="inlineStr">
        <is>
          <t>24.05.2027</t>
        </is>
      </c>
      <c r="G300" s="182" t="inlineStr">
        <is>
          <t>at retest sampling · QP campaign</t>
        </is>
      </c>
      <c r="H300" s="181" t="inlineStr">
        <is>
          <t>JD012603</t>
        </is>
      </c>
      <c r="I300" s="182" t="inlineStr">
        <is>
          <t>P060412</t>
        </is>
      </c>
      <c r="J300" s="182" t="inlineStr"/>
      <c r="K300" s="182" t="inlineStr">
        <is>
          <t>04.05.2026</t>
        </is>
      </c>
      <c r="L300" s="182" t="inlineStr">
        <is>
          <t>24.05.2026</t>
        </is>
      </c>
      <c r="M300" s="182" t="inlineStr">
        <is>
          <t>24.05.2026</t>
        </is>
      </c>
      <c r="N300" s="182" t="inlineStr">
        <is>
          <t>Ident A + Ident B</t>
        </is>
      </c>
      <c r="O300" s="182" t="inlineStr">
        <is>
          <t>iCoA_P01-02 · Appearance &amp; Identification A/B</t>
        </is>
      </c>
      <c r="P300" s="182" t="inlineStr">
        <is>
          <t>to test</t>
        </is>
      </c>
      <c r="Q300" s="182" t="inlineStr">
        <is>
          <t>to test</t>
        </is>
      </c>
      <c r="R300" s="182" t="inlineStr">
        <is>
          <t>n/a</t>
        </is>
      </c>
      <c r="S300" s="189" t="inlineStr">
        <is>
          <t>— retest assay not yet on file —</t>
        </is>
      </c>
      <c r="T300" s="189" t="inlineStr">
        <is>
          <t>— pending —</t>
        </is>
      </c>
      <c r="U300" s="189" t="inlineStr">
        <is>
          <t>— pending —</t>
        </is>
      </c>
      <c r="V300" s="182" t="inlineStr">
        <is>
          <t>#8, #9, #11, #12 from the initial testing</t>
        </is>
      </c>
      <c r="W300" s="189" t="inlineStr">
        <is>
          <t>pending — retest assay not yet on file</t>
        </is>
      </c>
    </row>
    <row r="301">
      <c r="A301" s="182" t="n">
        <v>300</v>
      </c>
      <c r="B301" s="182" t="inlineStr">
        <is>
          <t>retest — QP campaign</t>
        </is>
      </c>
      <c r="C301" s="181">
        <f>IFERROR(INDEX('iCoA Register'!$B:$B,MATCH("P060412|FM|R",'iCoA Register'!$R:$R,0)),"— at issue —")</f>
        <v/>
      </c>
      <c r="D301" s="182" t="inlineStr"/>
      <c r="E301" s="182" t="inlineStr">
        <is>
          <t>CoQ reissue (assigned on issue)</t>
        </is>
      </c>
      <c r="F301" s="182" t="inlineStr">
        <is>
          <t>24.05.2027</t>
        </is>
      </c>
      <c r="G301" s="182" t="inlineStr">
        <is>
          <t>at retest sampling · QP campaign</t>
        </is>
      </c>
      <c r="H301" s="181" t="inlineStr">
        <is>
          <t>JD012603</t>
        </is>
      </c>
      <c r="I301" s="182" t="inlineStr">
        <is>
          <t>P060412</t>
        </is>
      </c>
      <c r="J301" s="182" t="inlineStr"/>
      <c r="K301" s="182" t="inlineStr">
        <is>
          <t>04.05.2026</t>
        </is>
      </c>
      <c r="L301" s="182" t="inlineStr">
        <is>
          <t>24.05.2026</t>
        </is>
      </c>
      <c r="M301" s="182" t="inlineStr">
        <is>
          <t>24.05.2026</t>
        </is>
      </c>
      <c r="N301" s="182" t="inlineStr">
        <is>
          <t>Foreign matter</t>
        </is>
      </c>
      <c r="O301" s="182" t="inlineStr">
        <is>
          <t>iCoA_P07 · Foreign matter</t>
        </is>
      </c>
      <c r="P301" s="182" t="inlineStr">
        <is>
          <t>n/a</t>
        </is>
      </c>
      <c r="Q301" s="182" t="inlineStr">
        <is>
          <t>n/a</t>
        </is>
      </c>
      <c r="R301" s="182" t="inlineStr">
        <is>
          <t>to test</t>
        </is>
      </c>
      <c r="S301" s="189" t="inlineStr">
        <is>
          <t>— retest assay not yet on file —</t>
        </is>
      </c>
      <c r="T301" s="189" t="inlineStr">
        <is>
          <t>— pending —</t>
        </is>
      </c>
      <c r="U301" s="189" t="inlineStr">
        <is>
          <t>— pending —</t>
        </is>
      </c>
      <c r="V301" s="182" t="inlineStr">
        <is>
          <t>#8, #9, #11, #12 from the initial testing</t>
        </is>
      </c>
      <c r="W301" s="189" t="inlineStr">
        <is>
          <t>pending — retest assay not yet on file</t>
        </is>
      </c>
    </row>
    <row r="302">
      <c r="A302" s="182" t="n">
        <v>301</v>
      </c>
      <c r="B302" s="182" t="inlineStr">
        <is>
          <t>retest — QP campaign</t>
        </is>
      </c>
      <c r="C302" s="181">
        <f>IFERROR(INDEX('iCoA Register'!$B:$B,MATCH("P060382|AB|R",'iCoA Register'!$R:$R,0)),"— at issue —")</f>
        <v/>
      </c>
      <c r="D302" s="182" t="inlineStr"/>
      <c r="E302" s="182" t="inlineStr">
        <is>
          <t>CoQ reissue (assigned on issue)</t>
        </is>
      </c>
      <c r="F302" s="182" t="inlineStr">
        <is>
          <t>25.05.2027</t>
        </is>
      </c>
      <c r="G302" s="182" t="inlineStr">
        <is>
          <t>at retest sampling · QP campaign</t>
        </is>
      </c>
      <c r="H302" s="181" t="inlineStr">
        <is>
          <t>SCR012603</t>
        </is>
      </c>
      <c r="I302" s="182" t="inlineStr">
        <is>
          <t>P060382</t>
        </is>
      </c>
      <c r="J302" s="182" t="inlineStr">
        <is>
          <t>Scrambler</t>
        </is>
      </c>
      <c r="K302" s="182" t="inlineStr">
        <is>
          <t>22.04.2026</t>
        </is>
      </c>
      <c r="L302" s="182" t="inlineStr">
        <is>
          <t>25.05.2026</t>
        </is>
      </c>
      <c r="M302" s="182" t="inlineStr">
        <is>
          <t>25.05.2026</t>
        </is>
      </c>
      <c r="N302" s="182" t="inlineStr">
        <is>
          <t>Ident A + Ident B</t>
        </is>
      </c>
      <c r="O302" s="182" t="inlineStr">
        <is>
          <t>iCoA_P01-02 · Appearance &amp; Identification A/B</t>
        </is>
      </c>
      <c r="P302" s="182" t="inlineStr">
        <is>
          <t>to test</t>
        </is>
      </c>
      <c r="Q302" s="182" t="inlineStr">
        <is>
          <t>to test</t>
        </is>
      </c>
      <c r="R302" s="182" t="inlineStr">
        <is>
          <t>n/a</t>
        </is>
      </c>
      <c r="S302" s="182" t="inlineStr">
        <is>
          <t>197-21-K-26, (07.08.2026) [FHM-K]</t>
        </is>
      </c>
      <c r="T302" s="182" t="inlineStr">
        <is>
          <t>197-21-K-26, (07.08.2026) [FHM-K]</t>
        </is>
      </c>
      <c r="U302" s="182" t="inlineStr">
        <is>
          <t>197-21-M-26, (10.08.2026) [FHM-M]</t>
        </is>
      </c>
      <c r="V302" s="182" t="inlineStr">
        <is>
          <t>#8, #9, #11, #12 from the initial testing</t>
        </is>
      </c>
      <c r="W302" s="188" t="inlineStr">
        <is>
          <t>due — retest assay and mycotoxins on file</t>
        </is>
      </c>
    </row>
    <row r="303">
      <c r="A303" s="182" t="n">
        <v>302</v>
      </c>
      <c r="B303" s="182" t="inlineStr">
        <is>
          <t>retest — QP campaign</t>
        </is>
      </c>
      <c r="C303" s="181">
        <f>IFERROR(INDEX('iCoA Register'!$B:$B,MATCH("P060382|FM|R",'iCoA Register'!$R:$R,0)),"— at issue —")</f>
        <v/>
      </c>
      <c r="D303" s="182" t="inlineStr"/>
      <c r="E303" s="182" t="inlineStr">
        <is>
          <t>CoQ reissue (assigned on issue)</t>
        </is>
      </c>
      <c r="F303" s="182" t="inlineStr">
        <is>
          <t>25.05.2027</t>
        </is>
      </c>
      <c r="G303" s="182" t="inlineStr">
        <is>
          <t>at retest sampling · QP campaign</t>
        </is>
      </c>
      <c r="H303" s="181" t="inlineStr">
        <is>
          <t>SCR012603</t>
        </is>
      </c>
      <c r="I303" s="182" t="inlineStr">
        <is>
          <t>P060382</t>
        </is>
      </c>
      <c r="J303" s="182" t="inlineStr">
        <is>
          <t>Scrambler</t>
        </is>
      </c>
      <c r="K303" s="182" t="inlineStr">
        <is>
          <t>22.04.2026</t>
        </is>
      </c>
      <c r="L303" s="182" t="inlineStr">
        <is>
          <t>25.05.2026</t>
        </is>
      </c>
      <c r="M303" s="182" t="inlineStr">
        <is>
          <t>25.05.2026</t>
        </is>
      </c>
      <c r="N303" s="182" t="inlineStr">
        <is>
          <t>Foreign matter</t>
        </is>
      </c>
      <c r="O303" s="182" t="inlineStr">
        <is>
          <t>iCoA_P07 · Foreign matter</t>
        </is>
      </c>
      <c r="P303" s="182" t="inlineStr">
        <is>
          <t>n/a</t>
        </is>
      </c>
      <c r="Q303" s="182" t="inlineStr">
        <is>
          <t>n/a</t>
        </is>
      </c>
      <c r="R303" s="182" t="inlineStr">
        <is>
          <t>to test</t>
        </is>
      </c>
      <c r="S303" s="182" t="inlineStr">
        <is>
          <t>197-21-K-26, (07.08.2026) [FHM-K]</t>
        </is>
      </c>
      <c r="T303" s="182" t="inlineStr">
        <is>
          <t>197-21-K-26, (07.08.2026) [FHM-K]</t>
        </is>
      </c>
      <c r="U303" s="182" t="inlineStr">
        <is>
          <t>197-21-M-26, (10.08.2026) [FHM-M]</t>
        </is>
      </c>
      <c r="V303" s="182" t="inlineStr">
        <is>
          <t>#8, #9, #11, #12 from the initial testing</t>
        </is>
      </c>
      <c r="W303" s="188" t="inlineStr">
        <is>
          <t>due — retest assay and mycotoxins on file</t>
        </is>
      </c>
    </row>
    <row r="304">
      <c r="A304" s="182" t="n">
        <v>303</v>
      </c>
      <c r="B304" s="182" t="inlineStr">
        <is>
          <t>retest — QP campaign</t>
        </is>
      </c>
      <c r="C304" s="181">
        <f>IFERROR(INDEX('iCoA Register'!$B:$B,MATCH("P060432|AB|R",'iCoA Register'!$R:$R,0)),"— at issue —")</f>
        <v/>
      </c>
      <c r="D304" s="182" t="inlineStr"/>
      <c r="E304" s="182" t="inlineStr">
        <is>
          <t>CoQ reissue (assigned on issue)</t>
        </is>
      </c>
      <c r="F304" s="182" t="inlineStr">
        <is>
          <t>30.06.2027</t>
        </is>
      </c>
      <c r="G304" s="182" t="inlineStr">
        <is>
          <t>at retest sampling · QP campaign</t>
        </is>
      </c>
      <c r="H304" s="181" t="inlineStr">
        <is>
          <t>FB012603</t>
        </is>
      </c>
      <c r="I304" s="182" t="inlineStr">
        <is>
          <t>P060432</t>
        </is>
      </c>
      <c r="J304" s="182" t="inlineStr">
        <is>
          <t>Fat Bastard</t>
        </is>
      </c>
      <c r="K304" s="182" t="inlineStr">
        <is>
          <t>04.05.2026</t>
        </is>
      </c>
      <c r="L304" s="182" t="inlineStr">
        <is>
          <t>15.06.2026 (the issuance plan's basis: 30.06.2026)</t>
        </is>
      </c>
      <c r="M304" s="182" t="inlineStr">
        <is>
          <t>15.06.2026</t>
        </is>
      </c>
      <c r="N304" s="182" t="inlineStr">
        <is>
          <t>Ident A + Ident B</t>
        </is>
      </c>
      <c r="O304" s="182" t="inlineStr">
        <is>
          <t>iCoA_P01-02 · Appearance &amp; Identification A/B</t>
        </is>
      </c>
      <c r="P304" s="182" t="inlineStr">
        <is>
          <t>to test</t>
        </is>
      </c>
      <c r="Q304" s="182" t="inlineStr">
        <is>
          <t>to test</t>
        </is>
      </c>
      <c r="R304" s="182" t="inlineStr">
        <is>
          <t>n/a</t>
        </is>
      </c>
      <c r="S304" s="189" t="inlineStr">
        <is>
          <t>— retest assay not yet on file —</t>
        </is>
      </c>
      <c r="T304" s="189" t="inlineStr">
        <is>
          <t>— pending —</t>
        </is>
      </c>
      <c r="U304" s="189" t="inlineStr">
        <is>
          <t>— pending —</t>
        </is>
      </c>
      <c r="V304" s="182" t="inlineStr">
        <is>
          <t>#8, #9, #11, #12 from the initial testing</t>
        </is>
      </c>
      <c r="W304" s="189" t="inlineStr">
        <is>
          <t>pending — retest assay not yet on file</t>
        </is>
      </c>
    </row>
    <row r="305">
      <c r="A305" s="182" t="n">
        <v>304</v>
      </c>
      <c r="B305" s="182" t="inlineStr">
        <is>
          <t>retest — QP campaign</t>
        </is>
      </c>
      <c r="C305" s="181">
        <f>IFERROR(INDEX('iCoA Register'!$B:$B,MATCH("P060432|FM|R",'iCoA Register'!$R:$R,0)),"— at issue —")</f>
        <v/>
      </c>
      <c r="D305" s="182" t="inlineStr"/>
      <c r="E305" s="182" t="inlineStr">
        <is>
          <t>CoQ reissue (assigned on issue)</t>
        </is>
      </c>
      <c r="F305" s="182" t="inlineStr">
        <is>
          <t>30.06.2027</t>
        </is>
      </c>
      <c r="G305" s="182" t="inlineStr">
        <is>
          <t>at retest sampling · QP campaign</t>
        </is>
      </c>
      <c r="H305" s="181" t="inlineStr">
        <is>
          <t>FB012603</t>
        </is>
      </c>
      <c r="I305" s="182" t="inlineStr">
        <is>
          <t>P060432</t>
        </is>
      </c>
      <c r="J305" s="182" t="inlineStr">
        <is>
          <t>Fat Bastard</t>
        </is>
      </c>
      <c r="K305" s="182" t="inlineStr">
        <is>
          <t>04.05.2026</t>
        </is>
      </c>
      <c r="L305" s="182" t="inlineStr">
        <is>
          <t>15.06.2026 (the issuance plan's basis: 30.06.2026)</t>
        </is>
      </c>
      <c r="M305" s="182" t="inlineStr">
        <is>
          <t>15.06.2026</t>
        </is>
      </c>
      <c r="N305" s="182" t="inlineStr">
        <is>
          <t>Foreign matter</t>
        </is>
      </c>
      <c r="O305" s="182" t="inlineStr">
        <is>
          <t>iCoA_P07 · Foreign matter</t>
        </is>
      </c>
      <c r="P305" s="182" t="inlineStr">
        <is>
          <t>n/a</t>
        </is>
      </c>
      <c r="Q305" s="182" t="inlineStr">
        <is>
          <t>n/a</t>
        </is>
      </c>
      <c r="R305" s="182" t="inlineStr">
        <is>
          <t>to test</t>
        </is>
      </c>
      <c r="S305" s="189" t="inlineStr">
        <is>
          <t>— retest assay not yet on file —</t>
        </is>
      </c>
      <c r="T305" s="189" t="inlineStr">
        <is>
          <t>— pending —</t>
        </is>
      </c>
      <c r="U305" s="189" t="inlineStr">
        <is>
          <t>— pending —</t>
        </is>
      </c>
      <c r="V305" s="182" t="inlineStr">
        <is>
          <t>#8, #9, #11, #12 from the initial testing</t>
        </is>
      </c>
      <c r="W305" s="189" t="inlineStr">
        <is>
          <t>pending — retest assay not yet on file</t>
        </is>
      </c>
    </row>
    <row r="306">
      <c r="A306" s="182" t="n">
        <v>305</v>
      </c>
      <c r="B306" s="182" t="inlineStr">
        <is>
          <t>retest — QP campaign</t>
        </is>
      </c>
      <c r="C306" s="181">
        <f>IFERROR(INDEX('iCoA Register'!$B:$B,MATCH("P060392|AB|R",'iCoA Register'!$R:$R,0)),"— at issue —")</f>
        <v/>
      </c>
      <c r="D306" s="182" t="inlineStr"/>
      <c r="E306" s="182" t="inlineStr">
        <is>
          <t>CoQ reissue (assigned on issue)</t>
        </is>
      </c>
      <c r="F306" s="182" t="inlineStr">
        <is>
          <t>30.06.2027</t>
        </is>
      </c>
      <c r="G306" s="182" t="inlineStr">
        <is>
          <t>at retest sampling · QP campaign</t>
        </is>
      </c>
      <c r="H306" s="181" t="inlineStr">
        <is>
          <t>FB012603V</t>
        </is>
      </c>
      <c r="I306" s="182" t="inlineStr">
        <is>
          <t>P060392</t>
        </is>
      </c>
      <c r="J306" s="182" t="inlineStr">
        <is>
          <t>Fat Bastard</t>
        </is>
      </c>
      <c r="K306" s="182" t="inlineStr">
        <is>
          <t>29.04.2026</t>
        </is>
      </c>
      <c r="L306" s="182" t="inlineStr">
        <is>
          <t>23.05.2026 (the issuance plan's basis: 30.06.2026)</t>
        </is>
      </c>
      <c r="M306" s="182" t="inlineStr">
        <is>
          <t>23.05.2026</t>
        </is>
      </c>
      <c r="N306" s="182" t="inlineStr">
        <is>
          <t>Ident A + Ident B</t>
        </is>
      </c>
      <c r="O306" s="182" t="inlineStr">
        <is>
          <t>iCoA_P01-02 · Appearance &amp; Identification A/B</t>
        </is>
      </c>
      <c r="P306" s="182" t="inlineStr">
        <is>
          <t>to test</t>
        </is>
      </c>
      <c r="Q306" s="182" t="inlineStr">
        <is>
          <t>to test</t>
        </is>
      </c>
      <c r="R306" s="182" t="inlineStr">
        <is>
          <t>n/a</t>
        </is>
      </c>
      <c r="S306" s="189" t="inlineStr">
        <is>
          <t>— retest assay not yet on file —</t>
        </is>
      </c>
      <c r="T306" s="189" t="inlineStr">
        <is>
          <t>— pending —</t>
        </is>
      </c>
      <c r="U306" s="189" t="inlineStr">
        <is>
          <t>— pending —</t>
        </is>
      </c>
      <c r="V306" s="182" t="inlineStr">
        <is>
          <t>#8, #9, #11, #12 from the initial testing</t>
        </is>
      </c>
      <c r="W306" s="189" t="inlineStr">
        <is>
          <t>pending — retest assay not yet on file</t>
        </is>
      </c>
    </row>
    <row r="307">
      <c r="A307" s="182" t="n">
        <v>306</v>
      </c>
      <c r="B307" s="182" t="inlineStr">
        <is>
          <t>retest — QP campaign</t>
        </is>
      </c>
      <c r="C307" s="181">
        <f>IFERROR(INDEX('iCoA Register'!$B:$B,MATCH("P060392|FM|R",'iCoA Register'!$R:$R,0)),"— at issue —")</f>
        <v/>
      </c>
      <c r="D307" s="182" t="inlineStr"/>
      <c r="E307" s="182" t="inlineStr">
        <is>
          <t>CoQ reissue (assigned on issue)</t>
        </is>
      </c>
      <c r="F307" s="182" t="inlineStr">
        <is>
          <t>30.06.2027</t>
        </is>
      </c>
      <c r="G307" s="182" t="inlineStr">
        <is>
          <t>at retest sampling · QP campaign</t>
        </is>
      </c>
      <c r="H307" s="181" t="inlineStr">
        <is>
          <t>FB012603V</t>
        </is>
      </c>
      <c r="I307" s="182" t="inlineStr">
        <is>
          <t>P060392</t>
        </is>
      </c>
      <c r="J307" s="182" t="inlineStr">
        <is>
          <t>Fat Bastard</t>
        </is>
      </c>
      <c r="K307" s="182" t="inlineStr">
        <is>
          <t>29.04.2026</t>
        </is>
      </c>
      <c r="L307" s="182" t="inlineStr">
        <is>
          <t>23.05.2026 (the issuance plan's basis: 30.06.2026)</t>
        </is>
      </c>
      <c r="M307" s="182" t="inlineStr">
        <is>
          <t>23.05.2026</t>
        </is>
      </c>
      <c r="N307" s="182" t="inlineStr">
        <is>
          <t>Foreign matter</t>
        </is>
      </c>
      <c r="O307" s="182" t="inlineStr">
        <is>
          <t>iCoA_P07 · Foreign matter</t>
        </is>
      </c>
      <c r="P307" s="182" t="inlineStr">
        <is>
          <t>n/a</t>
        </is>
      </c>
      <c r="Q307" s="182" t="inlineStr">
        <is>
          <t>n/a</t>
        </is>
      </c>
      <c r="R307" s="182" t="inlineStr">
        <is>
          <t>to test</t>
        </is>
      </c>
      <c r="S307" s="189" t="inlineStr">
        <is>
          <t>— retest assay not yet on file —</t>
        </is>
      </c>
      <c r="T307" s="189" t="inlineStr">
        <is>
          <t>— pending —</t>
        </is>
      </c>
      <c r="U307" s="189" t="inlineStr">
        <is>
          <t>— pending —</t>
        </is>
      </c>
      <c r="V307" s="182" t="inlineStr">
        <is>
          <t>#8, #9, #11, #12 from the initial testing</t>
        </is>
      </c>
      <c r="W307" s="189" t="inlineStr">
        <is>
          <t>pending — retest assay not yet on file</t>
        </is>
      </c>
    </row>
    <row r="308">
      <c r="A308" s="182" t="n">
        <v>307</v>
      </c>
      <c r="B308" s="182" t="inlineStr">
        <is>
          <t>retest — QP campaign</t>
        </is>
      </c>
      <c r="C308" s="181">
        <f>IFERROR(INDEX('iCoA Register'!$B:$B,MATCH("P060482|AB|R",'iCoA Register'!$R:$R,0)),"— at issue —")</f>
        <v/>
      </c>
      <c r="D308" s="182" t="inlineStr"/>
      <c r="E308" s="182" t="inlineStr">
        <is>
          <t>CoQ reissue (assigned on issue)</t>
        </is>
      </c>
      <c r="F308" s="182" t="inlineStr">
        <is>
          <t>30.06.2027</t>
        </is>
      </c>
      <c r="G308" s="182" t="inlineStr">
        <is>
          <t>at retest sampling · QP campaign</t>
        </is>
      </c>
      <c r="H308" s="181" t="inlineStr">
        <is>
          <t>JD022601</t>
        </is>
      </c>
      <c r="I308" s="182" t="inlineStr">
        <is>
          <t>P060482</t>
        </is>
      </c>
      <c r="J308" s="182" t="inlineStr">
        <is>
          <t>JellyDonutz</t>
        </is>
      </c>
      <c r="K308" s="182" t="inlineStr">
        <is>
          <t>18.05.2026</t>
        </is>
      </c>
      <c r="L308" s="182" t="inlineStr">
        <is>
          <t>05.08.2026 (the issuance plan's basis: 30.06.2026)</t>
        </is>
      </c>
      <c r="M308" s="182" t="inlineStr">
        <is>
          <t>05.08.2026</t>
        </is>
      </c>
      <c r="N308" s="182" t="inlineStr">
        <is>
          <t>Ident A + Ident B</t>
        </is>
      </c>
      <c r="O308" s="182" t="inlineStr">
        <is>
          <t>iCoA_P01-02 · Appearance &amp; Identification A/B</t>
        </is>
      </c>
      <c r="P308" s="182" t="inlineStr">
        <is>
          <t>to test</t>
        </is>
      </c>
      <c r="Q308" s="182" t="inlineStr">
        <is>
          <t>to test</t>
        </is>
      </c>
      <c r="R308" s="182" t="inlineStr">
        <is>
          <t>n/a</t>
        </is>
      </c>
      <c r="S308" s="189" t="inlineStr">
        <is>
          <t>— retest assay not yet on file —</t>
        </is>
      </c>
      <c r="T308" s="189" t="inlineStr">
        <is>
          <t>— pending —</t>
        </is>
      </c>
      <c r="U308" s="189" t="inlineStr">
        <is>
          <t>— pending —</t>
        </is>
      </c>
      <c r="V308" s="182" t="inlineStr">
        <is>
          <t>#8, #9, #11, #12 from the initial testing</t>
        </is>
      </c>
      <c r="W308" s="189" t="inlineStr">
        <is>
          <t>pending — retest assay not yet on file</t>
        </is>
      </c>
    </row>
    <row r="309">
      <c r="A309" s="182" t="n">
        <v>308</v>
      </c>
      <c r="B309" s="182" t="inlineStr">
        <is>
          <t>retest — QP campaign</t>
        </is>
      </c>
      <c r="C309" s="181">
        <f>IFERROR(INDEX('iCoA Register'!$B:$B,MATCH("P060482|FM|R",'iCoA Register'!$R:$R,0)),"— at issue —")</f>
        <v/>
      </c>
      <c r="D309" s="182" t="inlineStr"/>
      <c r="E309" s="182" t="inlineStr">
        <is>
          <t>CoQ reissue (assigned on issue)</t>
        </is>
      </c>
      <c r="F309" s="182" t="inlineStr">
        <is>
          <t>30.06.2027</t>
        </is>
      </c>
      <c r="G309" s="182" t="inlineStr">
        <is>
          <t>at retest sampling · QP campaign</t>
        </is>
      </c>
      <c r="H309" s="181" t="inlineStr">
        <is>
          <t>JD022601</t>
        </is>
      </c>
      <c r="I309" s="182" t="inlineStr">
        <is>
          <t>P060482</t>
        </is>
      </c>
      <c r="J309" s="182" t="inlineStr">
        <is>
          <t>JellyDonutz</t>
        </is>
      </c>
      <c r="K309" s="182" t="inlineStr">
        <is>
          <t>18.05.2026</t>
        </is>
      </c>
      <c r="L309" s="182" t="inlineStr">
        <is>
          <t>05.08.2026 (the issuance plan's basis: 30.06.2026)</t>
        </is>
      </c>
      <c r="M309" s="182" t="inlineStr">
        <is>
          <t>05.08.2026</t>
        </is>
      </c>
      <c r="N309" s="182" t="inlineStr">
        <is>
          <t>Foreign matter</t>
        </is>
      </c>
      <c r="O309" s="182" t="inlineStr">
        <is>
          <t>iCoA_P07 · Foreign matter</t>
        </is>
      </c>
      <c r="P309" s="182" t="inlineStr">
        <is>
          <t>n/a</t>
        </is>
      </c>
      <c r="Q309" s="182" t="inlineStr">
        <is>
          <t>n/a</t>
        </is>
      </c>
      <c r="R309" s="182" t="inlineStr">
        <is>
          <t>to test</t>
        </is>
      </c>
      <c r="S309" s="189" t="inlineStr">
        <is>
          <t>— retest assay not yet on file —</t>
        </is>
      </c>
      <c r="T309" s="189" t="inlineStr">
        <is>
          <t>— pending —</t>
        </is>
      </c>
      <c r="U309" s="189" t="inlineStr">
        <is>
          <t>— pending —</t>
        </is>
      </c>
      <c r="V309" s="182" t="inlineStr">
        <is>
          <t>#8, #9, #11, #12 from the initial testing</t>
        </is>
      </c>
      <c r="W309" s="189" t="inlineStr">
        <is>
          <t>pending — retest assay not yet on file</t>
        </is>
      </c>
    </row>
    <row r="310">
      <c r="A310" s="182" t="n">
        <v>309</v>
      </c>
      <c r="B310" s="182" t="inlineStr">
        <is>
          <t>retest — QP campaign</t>
        </is>
      </c>
      <c r="C310" s="181">
        <f>IFERROR(INDEX('iCoA Register'!$B:$B,MATCH("P060442|AB|R",'iCoA Register'!$R:$R,0)),"— at issue —")</f>
        <v/>
      </c>
      <c r="D310" s="182" t="inlineStr"/>
      <c r="E310" s="182" t="inlineStr">
        <is>
          <t>CoQ reissue (assigned on issue)</t>
        </is>
      </c>
      <c r="F310" s="182" t="inlineStr">
        <is>
          <t>06.07.2027</t>
        </is>
      </c>
      <c r="G310" s="182" t="inlineStr">
        <is>
          <t>at retest sampling · QP campaign</t>
        </is>
      </c>
      <c r="H310" s="181" t="inlineStr">
        <is>
          <t>SCR022601</t>
        </is>
      </c>
      <c r="I310" s="182" t="inlineStr">
        <is>
          <t>P060442</t>
        </is>
      </c>
      <c r="J310" s="182" t="inlineStr">
        <is>
          <t>Scrambler</t>
        </is>
      </c>
      <c r="K310" s="182" t="inlineStr">
        <is>
          <t>13.05.2026</t>
        </is>
      </c>
      <c r="L310" s="182" t="inlineStr">
        <is>
          <t>18.06.2026 (the issuance plan's basis: 06.07.2026)</t>
        </is>
      </c>
      <c r="M310" s="182" t="inlineStr">
        <is>
          <t>18.06.2026</t>
        </is>
      </c>
      <c r="N310" s="182" t="inlineStr">
        <is>
          <t>Ident A + Ident B</t>
        </is>
      </c>
      <c r="O310" s="182" t="inlineStr">
        <is>
          <t>iCoA_P01-02 · Appearance &amp; Identification A/B</t>
        </is>
      </c>
      <c r="P310" s="182" t="inlineStr">
        <is>
          <t>to test</t>
        </is>
      </c>
      <c r="Q310" s="182" t="inlineStr">
        <is>
          <t>to test</t>
        </is>
      </c>
      <c r="R310" s="182" t="inlineStr">
        <is>
          <t>n/a</t>
        </is>
      </c>
      <c r="S310" s="189" t="inlineStr">
        <is>
          <t>— retest assay not yet on file —</t>
        </is>
      </c>
      <c r="T310" s="189" t="inlineStr">
        <is>
          <t>— pending —</t>
        </is>
      </c>
      <c r="U310" s="189" t="inlineStr">
        <is>
          <t>— pending —</t>
        </is>
      </c>
      <c r="V310" s="182" t="inlineStr">
        <is>
          <t>#8, #9, #11, #12 from the initial testing</t>
        </is>
      </c>
      <c r="W310" s="189" t="inlineStr">
        <is>
          <t>pending — retest assay not yet on file</t>
        </is>
      </c>
    </row>
    <row r="311">
      <c r="A311" s="182" t="n">
        <v>310</v>
      </c>
      <c r="B311" s="182" t="inlineStr">
        <is>
          <t>retest — QP campaign</t>
        </is>
      </c>
      <c r="C311" s="181">
        <f>IFERROR(INDEX('iCoA Register'!$B:$B,MATCH("P060442|FM|R",'iCoA Register'!$R:$R,0)),"— at issue —")</f>
        <v/>
      </c>
      <c r="D311" s="182" t="inlineStr"/>
      <c r="E311" s="182" t="inlineStr">
        <is>
          <t>CoQ reissue (assigned on issue)</t>
        </is>
      </c>
      <c r="F311" s="182" t="inlineStr">
        <is>
          <t>06.07.2027</t>
        </is>
      </c>
      <c r="G311" s="182" t="inlineStr">
        <is>
          <t>at retest sampling · QP campaign</t>
        </is>
      </c>
      <c r="H311" s="181" t="inlineStr">
        <is>
          <t>SCR022601</t>
        </is>
      </c>
      <c r="I311" s="182" t="inlineStr">
        <is>
          <t>P060442</t>
        </is>
      </c>
      <c r="J311" s="182" t="inlineStr">
        <is>
          <t>Scrambler</t>
        </is>
      </c>
      <c r="K311" s="182" t="inlineStr">
        <is>
          <t>13.05.2026</t>
        </is>
      </c>
      <c r="L311" s="182" t="inlineStr">
        <is>
          <t>18.06.2026 (the issuance plan's basis: 06.07.2026)</t>
        </is>
      </c>
      <c r="M311" s="182" t="inlineStr">
        <is>
          <t>18.06.2026</t>
        </is>
      </c>
      <c r="N311" s="182" t="inlineStr">
        <is>
          <t>Foreign matter</t>
        </is>
      </c>
      <c r="O311" s="182" t="inlineStr">
        <is>
          <t>iCoA_P07 · Foreign matter</t>
        </is>
      </c>
      <c r="P311" s="182" t="inlineStr">
        <is>
          <t>n/a</t>
        </is>
      </c>
      <c r="Q311" s="182" t="inlineStr">
        <is>
          <t>n/a</t>
        </is>
      </c>
      <c r="R311" s="182" t="inlineStr">
        <is>
          <t>to test</t>
        </is>
      </c>
      <c r="S311" s="189" t="inlineStr">
        <is>
          <t>— retest assay not yet on file —</t>
        </is>
      </c>
      <c r="T311" s="189" t="inlineStr">
        <is>
          <t>— pending —</t>
        </is>
      </c>
      <c r="U311" s="189" t="inlineStr">
        <is>
          <t>— pending —</t>
        </is>
      </c>
      <c r="V311" s="182" t="inlineStr">
        <is>
          <t>#8, #9, #11, #12 from the initial testing</t>
        </is>
      </c>
      <c r="W311" s="189" t="inlineStr">
        <is>
          <t>pending — retest assay not yet on file</t>
        </is>
      </c>
    </row>
    <row r="312">
      <c r="A312" s="182" t="n">
        <v>311</v>
      </c>
      <c r="B312" s="182" t="inlineStr">
        <is>
          <t>retest — QP campaign</t>
        </is>
      </c>
      <c r="C312" s="181">
        <f>IFERROR(INDEX('iCoA Register'!$B:$B,MATCH("P060452|AB|R",'iCoA Register'!$R:$R,0)),"— at issue —")</f>
        <v/>
      </c>
      <c r="D312" s="182" t="inlineStr"/>
      <c r="E312" s="182" t="inlineStr">
        <is>
          <t>CoQ reissue (assigned on issue)</t>
        </is>
      </c>
      <c r="F312" s="182" t="inlineStr">
        <is>
          <t>21.07.2027</t>
        </is>
      </c>
      <c r="G312" s="182" t="inlineStr">
        <is>
          <t>at retest sampling · QP campaign</t>
        </is>
      </c>
      <c r="H312" s="181" t="inlineStr">
        <is>
          <t>FB032601</t>
        </is>
      </c>
      <c r="I312" s="182" t="inlineStr">
        <is>
          <t>P060452</t>
        </is>
      </c>
      <c r="J312" s="182" t="inlineStr">
        <is>
          <t>FatBastard</t>
        </is>
      </c>
      <c r="K312" s="182" t="inlineStr">
        <is>
          <t>02.06.2026</t>
        </is>
      </c>
      <c r="L312" s="182" t="inlineStr">
        <is>
          <t>29.06.2026 (the issuance plan's basis: 21.07.2026)</t>
        </is>
      </c>
      <c r="M312" s="182" t="inlineStr">
        <is>
          <t>29.06.2026</t>
        </is>
      </c>
      <c r="N312" s="182" t="inlineStr">
        <is>
          <t>Ident A + Ident B</t>
        </is>
      </c>
      <c r="O312" s="182" t="inlineStr">
        <is>
          <t>iCoA_P01-02 · Appearance &amp; Identification A/B</t>
        </is>
      </c>
      <c r="P312" s="182" t="inlineStr">
        <is>
          <t>to test</t>
        </is>
      </c>
      <c r="Q312" s="182" t="inlineStr">
        <is>
          <t>to test</t>
        </is>
      </c>
      <c r="R312" s="182" t="inlineStr">
        <is>
          <t>n/a</t>
        </is>
      </c>
      <c r="S312" s="189" t="inlineStr">
        <is>
          <t>— retest assay not yet on file —</t>
        </is>
      </c>
      <c r="T312" s="189" t="inlineStr">
        <is>
          <t>— pending —</t>
        </is>
      </c>
      <c r="U312" s="189" t="inlineStr">
        <is>
          <t>— pending —</t>
        </is>
      </c>
      <c r="V312" s="182" t="inlineStr">
        <is>
          <t>#8, #9, #11, #12 from the initial testing</t>
        </is>
      </c>
      <c r="W312" s="189" t="inlineStr">
        <is>
          <t>pending — retest assay not yet on file</t>
        </is>
      </c>
    </row>
    <row r="313">
      <c r="A313" s="182" t="n">
        <v>312</v>
      </c>
      <c r="B313" s="182" t="inlineStr">
        <is>
          <t>retest — QP campaign</t>
        </is>
      </c>
      <c r="C313" s="181">
        <f>IFERROR(INDEX('iCoA Register'!$B:$B,MATCH("P060452|FM|R",'iCoA Register'!$R:$R,0)),"— at issue —")</f>
        <v/>
      </c>
      <c r="D313" s="182" t="inlineStr"/>
      <c r="E313" s="182" t="inlineStr">
        <is>
          <t>CoQ reissue (assigned on issue)</t>
        </is>
      </c>
      <c r="F313" s="182" t="inlineStr">
        <is>
          <t>21.07.2027</t>
        </is>
      </c>
      <c r="G313" s="182" t="inlineStr">
        <is>
          <t>at retest sampling · QP campaign</t>
        </is>
      </c>
      <c r="H313" s="181" t="inlineStr">
        <is>
          <t>FB032601</t>
        </is>
      </c>
      <c r="I313" s="182" t="inlineStr">
        <is>
          <t>P060452</t>
        </is>
      </c>
      <c r="J313" s="182" t="inlineStr">
        <is>
          <t>FatBastard</t>
        </is>
      </c>
      <c r="K313" s="182" t="inlineStr">
        <is>
          <t>02.06.2026</t>
        </is>
      </c>
      <c r="L313" s="182" t="inlineStr">
        <is>
          <t>29.06.2026 (the issuance plan's basis: 21.07.2026)</t>
        </is>
      </c>
      <c r="M313" s="182" t="inlineStr">
        <is>
          <t>29.06.2026</t>
        </is>
      </c>
      <c r="N313" s="182" t="inlineStr">
        <is>
          <t>Foreign matter</t>
        </is>
      </c>
      <c r="O313" s="182" t="inlineStr">
        <is>
          <t>iCoA_P07 · Foreign matter</t>
        </is>
      </c>
      <c r="P313" s="182" t="inlineStr">
        <is>
          <t>n/a</t>
        </is>
      </c>
      <c r="Q313" s="182" t="inlineStr">
        <is>
          <t>n/a</t>
        </is>
      </c>
      <c r="R313" s="182" t="inlineStr">
        <is>
          <t>to test</t>
        </is>
      </c>
      <c r="S313" s="189" t="inlineStr">
        <is>
          <t>— retest assay not yet on file —</t>
        </is>
      </c>
      <c r="T313" s="189" t="inlineStr">
        <is>
          <t>— pending —</t>
        </is>
      </c>
      <c r="U313" s="189" t="inlineStr">
        <is>
          <t>— pending —</t>
        </is>
      </c>
      <c r="V313" s="182" t="inlineStr">
        <is>
          <t>#8, #9, #11, #12 from the initial testing</t>
        </is>
      </c>
      <c r="W313" s="189" t="inlineStr">
        <is>
          <t>pending — retest assay not yet on file</t>
        </is>
      </c>
    </row>
    <row r="314">
      <c r="A314" s="182" t="n">
        <v>313</v>
      </c>
      <c r="B314" s="182" t="inlineStr">
        <is>
          <t>retest — QP campaign</t>
        </is>
      </c>
      <c r="C314" s="181">
        <f>IFERROR(INDEX('iCoA Register'!$B:$B,MATCH("P060462|AB|R",'iCoA Register'!$R:$R,0)),"— at issue —")</f>
        <v/>
      </c>
      <c r="D314" s="182" t="inlineStr"/>
      <c r="E314" s="182" t="inlineStr">
        <is>
          <t>CoQ reissue (assigned on issue)</t>
        </is>
      </c>
      <c r="F314" s="182" t="inlineStr">
        <is>
          <t>21.07.2027</t>
        </is>
      </c>
      <c r="G314" s="182" t="inlineStr">
        <is>
          <t>at retest sampling · QP campaign</t>
        </is>
      </c>
      <c r="H314" s="181" t="inlineStr">
        <is>
          <t>GG032601</t>
        </is>
      </c>
      <c r="I314" s="182" t="inlineStr">
        <is>
          <t>P060462</t>
        </is>
      </c>
      <c r="J314" s="182" t="inlineStr">
        <is>
          <t>GorillaGlue</t>
        </is>
      </c>
      <c r="K314" s="182" t="inlineStr">
        <is>
          <t>16.06.2026</t>
        </is>
      </c>
      <c r="L314" s="182" t="inlineStr">
        <is>
          <t>16.07.2026 (the issuance plan's basis: 21.07.2026)</t>
        </is>
      </c>
      <c r="M314" s="182" t="inlineStr">
        <is>
          <t>16.07.2026</t>
        </is>
      </c>
      <c r="N314" s="182" t="inlineStr">
        <is>
          <t>Ident A + Ident B</t>
        </is>
      </c>
      <c r="O314" s="182" t="inlineStr">
        <is>
          <t>iCoA_P01-02 · Appearance &amp; Identification A/B</t>
        </is>
      </c>
      <c r="P314" s="182" t="inlineStr">
        <is>
          <t>to test</t>
        </is>
      </c>
      <c r="Q314" s="182" t="inlineStr">
        <is>
          <t>to test</t>
        </is>
      </c>
      <c r="R314" s="182" t="inlineStr">
        <is>
          <t>n/a</t>
        </is>
      </c>
      <c r="S314" s="189" t="inlineStr">
        <is>
          <t>— retest assay not yet on file —</t>
        </is>
      </c>
      <c r="T314" s="189" t="inlineStr">
        <is>
          <t>— pending —</t>
        </is>
      </c>
      <c r="U314" s="189" t="inlineStr">
        <is>
          <t>— pending —</t>
        </is>
      </c>
      <c r="V314" s="182" t="inlineStr">
        <is>
          <t>#8, #9, #11, #12 from the initial testing</t>
        </is>
      </c>
      <c r="W314" s="189" t="inlineStr">
        <is>
          <t>pending — retest assay not yet on file</t>
        </is>
      </c>
    </row>
    <row r="315">
      <c r="A315" s="182" t="n">
        <v>314</v>
      </c>
      <c r="B315" s="182" t="inlineStr">
        <is>
          <t>retest — QP campaign</t>
        </is>
      </c>
      <c r="C315" s="181">
        <f>IFERROR(INDEX('iCoA Register'!$B:$B,MATCH("P060462|FM|R",'iCoA Register'!$R:$R,0)),"— at issue —")</f>
        <v/>
      </c>
      <c r="D315" s="182" t="inlineStr"/>
      <c r="E315" s="182" t="inlineStr">
        <is>
          <t>CoQ reissue (assigned on issue)</t>
        </is>
      </c>
      <c r="F315" s="182" t="inlineStr">
        <is>
          <t>21.07.2027</t>
        </is>
      </c>
      <c r="G315" s="182" t="inlineStr">
        <is>
          <t>at retest sampling · QP campaign</t>
        </is>
      </c>
      <c r="H315" s="181" t="inlineStr">
        <is>
          <t>GG032601</t>
        </is>
      </c>
      <c r="I315" s="182" t="inlineStr">
        <is>
          <t>P060462</t>
        </is>
      </c>
      <c r="J315" s="182" t="inlineStr">
        <is>
          <t>GorillaGlue</t>
        </is>
      </c>
      <c r="K315" s="182" t="inlineStr">
        <is>
          <t>16.06.2026</t>
        </is>
      </c>
      <c r="L315" s="182" t="inlineStr">
        <is>
          <t>16.07.2026 (the issuance plan's basis: 21.07.2026)</t>
        </is>
      </c>
      <c r="M315" s="182" t="inlineStr">
        <is>
          <t>16.07.2026</t>
        </is>
      </c>
      <c r="N315" s="182" t="inlineStr">
        <is>
          <t>Foreign matter</t>
        </is>
      </c>
      <c r="O315" s="182" t="inlineStr">
        <is>
          <t>iCoA_P07 · Foreign matter</t>
        </is>
      </c>
      <c r="P315" s="182" t="inlineStr">
        <is>
          <t>n/a</t>
        </is>
      </c>
      <c r="Q315" s="182" t="inlineStr">
        <is>
          <t>n/a</t>
        </is>
      </c>
      <c r="R315" s="182" t="inlineStr">
        <is>
          <t>to test</t>
        </is>
      </c>
      <c r="S315" s="189" t="inlineStr">
        <is>
          <t>— retest assay not yet on file —</t>
        </is>
      </c>
      <c r="T315" s="189" t="inlineStr">
        <is>
          <t>— pending —</t>
        </is>
      </c>
      <c r="U315" s="189" t="inlineStr">
        <is>
          <t>— pending —</t>
        </is>
      </c>
      <c r="V315" s="182" t="inlineStr">
        <is>
          <t>#8, #9, #11, #12 from the initial testing</t>
        </is>
      </c>
      <c r="W315" s="189" t="inlineStr">
        <is>
          <t>pending — retest assay not yet on file</t>
        </is>
      </c>
    </row>
    <row r="317" ht="64" customHeight="1" s="70">
      <c r="A317" s="172" t="inlineStr">
        <is>
          <t>Chronological issuance: one iCoA per batch, in the order of the release basis date its initial-release CoQ follows (the issuance plan of 31.08.2026; numbers iCoA-PP-YYYY-NNNN, one series per calendar year), then the RETEST SERIES: the same scope again for every batch, for the QP's retesting campaign (medical use, GACP product / API), dated at the retest sampling, in the order of the additional-testing CoQ each one belongs to. The reissued CoQ carries a NEW cannabinoid assay (#4–#6) and NEW mycotoxins (#10); #8, #9, #11 and #12 are carried forward from the initial testing; identification C is the new Farmahem K certificate. NUMBERING: a retest iCoA is a new document — a new number in the year of issue, never the initial iCoA's number (the plan of 31.08.2026 reused it; that is corrected here). 'due' where the retest certificates are on file, 'pending' where they are not. Where a CNP certificate reports identification A, B or foreign matter, its document code is the reference for them (grey cells) and the iCoA covers only the rest; where CNP reports all three, no iCoA is needed. Farmahem: identification C is the K (potency) certificate. Head of QC, 04.09.2026: identification A (appearance) and B (microscopy) are tested at Purely Plant together with foreign matter, at the date of packaging, and ONE iCoA per batch carries the three results for release. Numbers follow the issuance plan (iCoA-PP-YYYY-NNNN); a lot without a planned number takes its number at issue. Harvest and packaging dates are the Head of QC's list of 04.09.2026 (sheet Batch Dates): the iCoA is dated on the FIRST day of packaging, the day the issuance plan already uses as the CoQ basis, and a packaging that ran over several days shows its whole span; a lot the list does not carry keeps 'packaging date — to record'. ONE iCoA PER P LOT: a tracker row that holds several P lots (GRC102501, JD012603) has one row per P lot, each with its own number, CoQ and dates. PACKAGING COMPLETE is the last day of packaging — the earliest day the iCoA can be issued: the sample is taken before primary packaging (QCSOP 005), the certificate attests the complete packaged lot. Foreign matter is 'Conforms' by the declaration of 13.08.2026, except FB032601, where ППК26127 reports 0.08 % (Не одговара): held for the Head of QC. Identification C is not on the iCoA: it conforms to the ImB specification on the certificate that carries the cannabinoid assay (#4), named per batch in the last column.</t>
        </is>
      </c>
    </row>
  </sheetData>
  <autoFilter ref="A1:W315"/>
  <mergeCells count="1">
    <mergeCell ref="A317:W31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182" t="n">
        <v>1</v>
      </c>
      <c r="B2" s="181" t="inlineStr">
        <is>
          <t>CJ1024</t>
        </is>
      </c>
      <c r="C2" s="181" t="inlineStr"/>
      <c r="D2" s="183" t="n">
        <v>45677</v>
      </c>
      <c r="E2" s="183" t="n">
        <v>45677</v>
      </c>
      <c r="F2" s="183" t="n">
        <v>45719</v>
      </c>
      <c r="G2" s="183" t="n">
        <v>45719</v>
      </c>
      <c r="H2" s="183">
        <f>F2</f>
        <v/>
      </c>
      <c r="I2" s="182" t="inlineStr">
        <is>
          <t>CJ1024</t>
        </is>
      </c>
      <c r="J2" s="184" t="inlineStr">
        <is>
          <t>listed as 'CJ1024 - R&amp;D'</t>
        </is>
      </c>
    </row>
    <row r="3">
      <c r="A3" s="182" t="n">
        <v>2</v>
      </c>
      <c r="B3" s="181" t="inlineStr">
        <is>
          <t>GG1024</t>
        </is>
      </c>
      <c r="C3" s="181" t="inlineStr"/>
      <c r="D3" s="183" t="n">
        <v>45677</v>
      </c>
      <c r="E3" s="183" t="n">
        <v>45677</v>
      </c>
      <c r="F3" s="183" t="n">
        <v>45727</v>
      </c>
      <c r="G3" s="183" t="n">
        <v>45727</v>
      </c>
      <c r="H3" s="183">
        <f>F3</f>
        <v/>
      </c>
      <c r="I3" s="182" t="inlineStr">
        <is>
          <t>GG1024</t>
        </is>
      </c>
      <c r="J3" s="184" t="inlineStr">
        <is>
          <t>listed as 'GG1024- R&amp;D'</t>
        </is>
      </c>
    </row>
    <row r="4">
      <c r="A4" s="182" t="n">
        <v>3</v>
      </c>
      <c r="B4" s="181" t="inlineStr">
        <is>
          <t>OPM1024</t>
        </is>
      </c>
      <c r="C4" s="181" t="inlineStr"/>
      <c r="D4" s="183" t="n">
        <v>45678</v>
      </c>
      <c r="E4" s="183" t="n">
        <v>45678</v>
      </c>
      <c r="F4" s="183" t="n">
        <v>45771</v>
      </c>
      <c r="G4" s="183" t="n">
        <v>45772</v>
      </c>
      <c r="H4" s="183">
        <f>F4</f>
        <v/>
      </c>
      <c r="I4" s="182" t="inlineStr">
        <is>
          <t>OPM1024</t>
        </is>
      </c>
      <c r="J4" s="184" t="inlineStr">
        <is>
          <t>listed as 'OPM1024- R&amp;D'</t>
        </is>
      </c>
    </row>
    <row r="5">
      <c r="A5" s="182" t="n">
        <v>4</v>
      </c>
      <c r="B5" s="181" t="inlineStr">
        <is>
          <t>BG1024</t>
        </is>
      </c>
      <c r="C5" s="181" t="inlineStr"/>
      <c r="D5" s="183" t="n">
        <v>45678</v>
      </c>
      <c r="E5" s="183" t="n">
        <v>45678</v>
      </c>
      <c r="F5" s="183" t="n">
        <v>45723</v>
      </c>
      <c r="G5" s="183" t="n">
        <v>45723</v>
      </c>
      <c r="H5" s="183">
        <f>F5</f>
        <v/>
      </c>
      <c r="I5" s="182" t="inlineStr">
        <is>
          <t>BG1024</t>
        </is>
      </c>
      <c r="J5" s="184" t="inlineStr">
        <is>
          <t>listed as 'BG1024- R&amp;D'</t>
        </is>
      </c>
    </row>
    <row r="6">
      <c r="A6" s="182" t="n">
        <v>5</v>
      </c>
      <c r="B6" s="181" t="inlineStr">
        <is>
          <t>BSS1024</t>
        </is>
      </c>
      <c r="C6" s="181" t="inlineStr"/>
      <c r="D6" s="183" t="n">
        <v>45679</v>
      </c>
      <c r="E6" s="183" t="n">
        <v>45679</v>
      </c>
      <c r="F6" s="183" t="n">
        <v>45720</v>
      </c>
      <c r="G6" s="183" t="n">
        <v>45720</v>
      </c>
      <c r="H6" s="183">
        <f>F6</f>
        <v/>
      </c>
      <c r="I6" s="182" t="inlineStr">
        <is>
          <t>BSS1024</t>
        </is>
      </c>
      <c r="J6" s="184" t="inlineStr">
        <is>
          <t>listed as 'BSS1024- R&amp;D'</t>
        </is>
      </c>
    </row>
    <row r="7">
      <c r="A7" s="182" t="n">
        <v>6</v>
      </c>
      <c r="B7" s="181" t="inlineStr">
        <is>
          <t>HPA1024</t>
        </is>
      </c>
      <c r="C7" s="181" t="inlineStr"/>
      <c r="D7" s="183" t="n">
        <v>45679</v>
      </c>
      <c r="E7" s="183" t="n">
        <v>45679</v>
      </c>
      <c r="F7" s="183" t="n">
        <v>45758</v>
      </c>
      <c r="G7" s="183" t="n">
        <v>45758</v>
      </c>
      <c r="H7" s="183">
        <f>F7</f>
        <v/>
      </c>
      <c r="I7" s="182" t="inlineStr">
        <is>
          <t>HPA1024</t>
        </is>
      </c>
      <c r="J7" s="184" t="inlineStr">
        <is>
          <t>listed as 'HPA1024- R&amp;D'</t>
        </is>
      </c>
    </row>
    <row r="8">
      <c r="A8" s="182" t="n">
        <v>7</v>
      </c>
      <c r="B8" s="181" t="inlineStr">
        <is>
          <t>GG1024_01</t>
        </is>
      </c>
      <c r="C8" s="181" t="inlineStr">
        <is>
          <t>P050092</t>
        </is>
      </c>
      <c r="D8" s="183" t="n">
        <v>45733</v>
      </c>
      <c r="E8" s="183" t="n">
        <v>45734</v>
      </c>
      <c r="F8" s="183" t="n">
        <v>45869</v>
      </c>
      <c r="G8" s="183" t="n">
        <v>45874</v>
      </c>
      <c r="H8" s="183">
        <f>F8</f>
        <v/>
      </c>
      <c r="I8" s="182" t="inlineStr">
        <is>
          <t>GG1024_01</t>
        </is>
      </c>
      <c r="J8" s="184" t="inlineStr">
        <is>
          <t>packaging: year 2025 inferred (not printed)</t>
        </is>
      </c>
    </row>
    <row r="9">
      <c r="A9" s="182" t="n">
        <v>8</v>
      </c>
      <c r="B9" s="181" t="inlineStr">
        <is>
          <t>GP0824_01</t>
        </is>
      </c>
      <c r="C9" s="181" t="inlineStr">
        <is>
          <t>P050102</t>
        </is>
      </c>
      <c r="D9" s="183" t="n">
        <v>45736</v>
      </c>
      <c r="E9" s="183" t="n">
        <v>45737</v>
      </c>
      <c r="F9" s="183" t="n">
        <v>45874</v>
      </c>
      <c r="G9" s="183" t="n">
        <v>45876</v>
      </c>
      <c r="H9" s="183">
        <f>F9</f>
        <v/>
      </c>
      <c r="I9" s="182" t="inlineStr">
        <is>
          <t>GP0824_01</t>
        </is>
      </c>
      <c r="J9" s="184" t="inlineStr">
        <is>
          <t>packaging: year 2025 inferred (not printed)</t>
        </is>
      </c>
    </row>
    <row r="10">
      <c r="A10" s="182" t="n">
        <v>9</v>
      </c>
      <c r="B10" s="181" t="inlineStr">
        <is>
          <t>OMP1024_01</t>
        </is>
      </c>
      <c r="C10" s="181" t="inlineStr">
        <is>
          <t>P050042</t>
        </is>
      </c>
      <c r="D10" s="183" t="n">
        <v>45742</v>
      </c>
      <c r="E10" s="183" t="n">
        <v>45743</v>
      </c>
      <c r="F10" s="183" t="n">
        <v>45828</v>
      </c>
      <c r="G10" s="183" t="n">
        <v>45828</v>
      </c>
      <c r="H10" s="183">
        <f>F10</f>
        <v/>
      </c>
      <c r="I10" s="182" t="inlineStr">
        <is>
          <t>OMP1024_01</t>
        </is>
      </c>
      <c r="J10" s="184" t="inlineStr"/>
    </row>
    <row r="11">
      <c r="A11" s="182" t="n">
        <v>10</v>
      </c>
      <c r="B11" s="181" t="inlineStr">
        <is>
          <t>MB0824_04</t>
        </is>
      </c>
      <c r="C11" s="181" t="inlineStr">
        <is>
          <t>P050032</t>
        </is>
      </c>
      <c r="D11" s="183" t="n">
        <v>45749</v>
      </c>
      <c r="E11" s="183" t="n">
        <v>45750</v>
      </c>
      <c r="F11" s="183" t="n">
        <v>45824</v>
      </c>
      <c r="G11" s="183" t="n">
        <v>45827</v>
      </c>
      <c r="H11" s="183">
        <f>F11</f>
        <v/>
      </c>
      <c r="I11" s="182" t="inlineStr">
        <is>
          <t>MB0824_04</t>
        </is>
      </c>
      <c r="J11" s="184" t="inlineStr"/>
    </row>
    <row r="12">
      <c r="A12" s="182" t="n">
        <v>11</v>
      </c>
      <c r="B12" s="181" t="inlineStr">
        <is>
          <t>GG1024_02</t>
        </is>
      </c>
      <c r="C12" s="181" t="inlineStr">
        <is>
          <t>P050012</t>
        </is>
      </c>
      <c r="D12" s="183" t="n">
        <v>45761</v>
      </c>
      <c r="E12" s="183" t="n">
        <v>45762</v>
      </c>
      <c r="F12" s="183" t="n">
        <v>45819</v>
      </c>
      <c r="G12" s="183" t="n">
        <v>45824</v>
      </c>
      <c r="H12" s="183">
        <f>F12</f>
        <v/>
      </c>
      <c r="I12" s="182" t="inlineStr">
        <is>
          <t>GG1024_02</t>
        </is>
      </c>
      <c r="J12" s="184" t="inlineStr"/>
    </row>
    <row r="13">
      <c r="A13" s="182" t="n">
        <v>12</v>
      </c>
      <c r="B13" s="181" t="inlineStr">
        <is>
          <t>GP0824_02</t>
        </is>
      </c>
      <c r="C13" s="181" t="inlineStr">
        <is>
          <t>P050022</t>
        </is>
      </c>
      <c r="D13" s="183" t="n">
        <v>45769</v>
      </c>
      <c r="E13" s="183" t="n">
        <v>45770</v>
      </c>
      <c r="F13" s="183" t="n">
        <v>45811</v>
      </c>
      <c r="G13" s="183" t="n">
        <v>45819</v>
      </c>
      <c r="H13" s="183">
        <f>F13</f>
        <v/>
      </c>
      <c r="I13" s="182" t="inlineStr">
        <is>
          <t>GP0824_02</t>
        </is>
      </c>
      <c r="J13" s="184" t="inlineStr"/>
    </row>
    <row r="14">
      <c r="A14" s="182" t="n">
        <v>13</v>
      </c>
      <c r="B14" s="181" t="inlineStr">
        <is>
          <t>HPA1024_01</t>
        </is>
      </c>
      <c r="C14" s="181" t="inlineStr">
        <is>
          <t>P050052</t>
        </is>
      </c>
      <c r="D14" s="183" t="n">
        <v>45804</v>
      </c>
      <c r="E14" s="183" t="n">
        <v>45805</v>
      </c>
      <c r="F14" s="183" t="n">
        <v>45835</v>
      </c>
      <c r="G14" s="183" t="n">
        <v>45842</v>
      </c>
      <c r="H14" s="183">
        <f>F14</f>
        <v/>
      </c>
      <c r="I14" s="182" t="inlineStr">
        <is>
          <t>HPA1024_01</t>
        </is>
      </c>
      <c r="J14" s="184" t="inlineStr"/>
    </row>
    <row r="15">
      <c r="A15" s="182" t="n">
        <v>14</v>
      </c>
      <c r="B15" s="181" t="inlineStr">
        <is>
          <t>OPM1024_02</t>
        </is>
      </c>
      <c r="C15" s="181" t="inlineStr">
        <is>
          <t>P050062</t>
        </is>
      </c>
      <c r="D15" s="183" t="n">
        <v>45806</v>
      </c>
      <c r="E15" s="183" t="n">
        <v>45807</v>
      </c>
      <c r="F15" s="183" t="n">
        <v>45842</v>
      </c>
      <c r="G15" s="183" t="n">
        <v>45848</v>
      </c>
      <c r="H15" s="183">
        <f>F15</f>
        <v/>
      </c>
      <c r="I15" s="182" t="inlineStr">
        <is>
          <t>OPM1024_02</t>
        </is>
      </c>
      <c r="J15" s="184" t="inlineStr"/>
    </row>
    <row r="16">
      <c r="A16" s="182" t="n">
        <v>15</v>
      </c>
      <c r="B16" s="181" t="inlineStr">
        <is>
          <t>BSS1024_01/1</t>
        </is>
      </c>
      <c r="C16" s="181" t="inlineStr">
        <is>
          <t>P050122</t>
        </is>
      </c>
      <c r="D16" s="183" t="n">
        <v>45812</v>
      </c>
      <c r="E16" s="183" t="n">
        <v>45813</v>
      </c>
      <c r="F16" s="183" t="n">
        <v>45901</v>
      </c>
      <c r="G16" s="183" t="n">
        <v>45909</v>
      </c>
      <c r="H16" s="183">
        <f>F16</f>
        <v/>
      </c>
      <c r="I16" s="182" t="inlineStr">
        <is>
          <t>BSS1024_01/1</t>
        </is>
      </c>
      <c r="J16" s="184" t="inlineStr">
        <is>
          <t>packaging: year 2025 inferred (not printed)</t>
        </is>
      </c>
    </row>
    <row r="17">
      <c r="A17" s="182" t="n">
        <v>16</v>
      </c>
      <c r="B17" s="181" t="inlineStr">
        <is>
          <t>BSS1024_01/2</t>
        </is>
      </c>
      <c r="C17" s="181" t="inlineStr">
        <is>
          <t>P050142</t>
        </is>
      </c>
      <c r="D17" s="191" t="inlineStr">
        <is>
          <t>— not given —</t>
        </is>
      </c>
      <c r="E17" s="191" t="inlineStr">
        <is>
          <t>— not given —</t>
        </is>
      </c>
      <c r="F17" s="183" t="n">
        <v>45930</v>
      </c>
      <c r="G17" s="183" t="n">
        <v>45930</v>
      </c>
      <c r="H17" s="183">
        <f>F17</f>
        <v/>
      </c>
      <c r="I17" s="182" t="inlineStr">
        <is>
          <t>P050142</t>
        </is>
      </c>
      <c r="J17" s="184" t="inlineStr">
        <is>
          <t>harvest: no date given; packaging: year 2025 inferred (not printed)</t>
        </is>
      </c>
    </row>
    <row r="18">
      <c r="A18" s="182" t="n">
        <v>17</v>
      </c>
      <c r="B18" s="181" t="inlineStr">
        <is>
          <t>GP0824_03</t>
        </is>
      </c>
      <c r="C18" s="181" t="inlineStr">
        <is>
          <t>P050072</t>
        </is>
      </c>
      <c r="D18" s="183" t="n">
        <v>45817</v>
      </c>
      <c r="E18" s="183" t="n">
        <v>45818</v>
      </c>
      <c r="F18" s="183" t="n">
        <v>45852</v>
      </c>
      <c r="G18" s="183" t="n">
        <v>45855</v>
      </c>
      <c r="H18" s="183">
        <f>F18</f>
        <v/>
      </c>
      <c r="I18" s="182" t="inlineStr">
        <is>
          <t>GP0824_03</t>
        </is>
      </c>
      <c r="J18" s="184" t="inlineStr">
        <is>
          <t>packaging: year 2025 inferred (not printed)</t>
        </is>
      </c>
    </row>
    <row r="19">
      <c r="A19" s="182" t="n">
        <v>18</v>
      </c>
      <c r="B19" s="181" t="inlineStr">
        <is>
          <t>OPM1024_03</t>
        </is>
      </c>
      <c r="C19" s="181" t="inlineStr">
        <is>
          <t>P050082</t>
        </is>
      </c>
      <c r="D19" s="183" t="n">
        <v>45839</v>
      </c>
      <c r="E19" s="183" t="n">
        <v>45840</v>
      </c>
      <c r="F19" s="183" t="n">
        <v>45860</v>
      </c>
      <c r="G19" s="183" t="n">
        <v>45868</v>
      </c>
      <c r="H19" s="183">
        <f>F19</f>
        <v/>
      </c>
      <c r="I19" s="182" t="inlineStr">
        <is>
          <t>OPM1024_03</t>
        </is>
      </c>
      <c r="J19" s="184" t="inlineStr"/>
    </row>
    <row r="20">
      <c r="A20" s="182" t="n">
        <v>19</v>
      </c>
      <c r="B20" s="181" t="inlineStr">
        <is>
          <t>MB0824_05</t>
        </is>
      </c>
      <c r="C20" s="181" t="inlineStr">
        <is>
          <t>P050112</t>
        </is>
      </c>
      <c r="D20" s="183" t="n">
        <v>45846</v>
      </c>
      <c r="E20" s="183" t="n">
        <v>45847</v>
      </c>
      <c r="F20" s="183" t="n">
        <v>45894</v>
      </c>
      <c r="G20" s="183" t="n">
        <v>45900</v>
      </c>
      <c r="H20" s="183">
        <f>F20</f>
        <v/>
      </c>
      <c r="I20" s="182" t="inlineStr">
        <is>
          <t>MB0824_05</t>
        </is>
      </c>
      <c r="J20" s="184" t="inlineStr">
        <is>
          <t>packaging: year 2025 inferred (not printed)</t>
        </is>
      </c>
    </row>
    <row r="21">
      <c r="A21" s="182" t="n">
        <v>20</v>
      </c>
      <c r="B21" s="181" t="inlineStr">
        <is>
          <t>OPM052501</t>
        </is>
      </c>
      <c r="C21" s="181" t="inlineStr">
        <is>
          <t>P050132</t>
        </is>
      </c>
      <c r="D21" s="183" t="n">
        <v>45880</v>
      </c>
      <c r="E21" s="183" t="n">
        <v>45882</v>
      </c>
      <c r="F21" s="183" t="n">
        <v>45909</v>
      </c>
      <c r="G21" s="183" t="n">
        <v>45915</v>
      </c>
      <c r="H21" s="183">
        <f>F21</f>
        <v/>
      </c>
      <c r="I21" s="182" t="inlineStr">
        <is>
          <t>OPM052501</t>
        </is>
      </c>
      <c r="J21" s="184" t="inlineStr">
        <is>
          <t>packaging: year 2025 inferred (not printed)</t>
        </is>
      </c>
    </row>
    <row r="22">
      <c r="A22" s="182" t="n">
        <v>21</v>
      </c>
      <c r="B22" s="181" t="inlineStr">
        <is>
          <t>GP052501</t>
        </is>
      </c>
      <c r="C22" s="181" t="inlineStr">
        <is>
          <t>P050152</t>
        </is>
      </c>
      <c r="D22" s="191" t="inlineStr">
        <is>
          <t>— not given —</t>
        </is>
      </c>
      <c r="E22" s="191" t="inlineStr">
        <is>
          <t>— not given —</t>
        </is>
      </c>
      <c r="F22" s="183" t="n">
        <v>45925</v>
      </c>
      <c r="G22" s="183" t="n">
        <v>45925</v>
      </c>
      <c r="H22" s="183">
        <f>F22</f>
        <v/>
      </c>
      <c r="I22" s="182" t="inlineStr">
        <is>
          <t>GP052501</t>
        </is>
      </c>
      <c r="J22" s="184" t="inlineStr">
        <is>
          <t>harvest: no date given</t>
        </is>
      </c>
    </row>
    <row r="23">
      <c r="A23" s="182" t="n">
        <v>22</v>
      </c>
      <c r="B23" s="181" t="inlineStr">
        <is>
          <t>CJ052501/01</t>
        </is>
      </c>
      <c r="C23" s="181" t="inlineStr">
        <is>
          <t>P050162</t>
        </is>
      </c>
      <c r="D23" s="183" t="n">
        <v>45889</v>
      </c>
      <c r="E23" s="183" t="n">
        <v>45889</v>
      </c>
      <c r="F23" s="183" t="n">
        <v>45930</v>
      </c>
      <c r="G23" s="183" t="n">
        <v>45931</v>
      </c>
      <c r="H23" s="183">
        <f>F23</f>
        <v/>
      </c>
      <c r="I23" s="182" t="inlineStr">
        <is>
          <t>CJ052501/01</t>
        </is>
      </c>
      <c r="J23" s="184" t="inlineStr"/>
    </row>
    <row r="24">
      <c r="A24" s="182" t="n">
        <v>23</v>
      </c>
      <c r="B24" s="181" t="inlineStr">
        <is>
          <t>CJ052501/02</t>
        </is>
      </c>
      <c r="C24" s="181" t="inlineStr">
        <is>
          <t>P050172</t>
        </is>
      </c>
      <c r="D24" s="183" t="n">
        <v>45889</v>
      </c>
      <c r="E24" s="183" t="n">
        <v>45889</v>
      </c>
      <c r="F24" s="183" t="n">
        <v>45931</v>
      </c>
      <c r="G24" s="183" t="n">
        <v>45932</v>
      </c>
      <c r="H24" s="183">
        <f>F24</f>
        <v/>
      </c>
      <c r="I24" s="182" t="inlineStr">
        <is>
          <t>CJ052501/02</t>
        </is>
      </c>
      <c r="J24" s="184" t="inlineStr"/>
    </row>
    <row r="25">
      <c r="A25" s="182" t="n">
        <v>24</v>
      </c>
      <c r="B25" s="181" t="inlineStr">
        <is>
          <t>HPA052501</t>
        </is>
      </c>
      <c r="C25" s="181" t="inlineStr">
        <is>
          <t>P050182</t>
        </is>
      </c>
      <c r="D25" s="183" t="n">
        <v>45890</v>
      </c>
      <c r="E25" s="183" t="n">
        <v>45892</v>
      </c>
      <c r="F25" s="183" t="n">
        <v>45933</v>
      </c>
      <c r="G25" s="183" t="n">
        <v>45939</v>
      </c>
      <c r="H25" s="183">
        <f>F25</f>
        <v/>
      </c>
      <c r="I25" s="182" t="inlineStr">
        <is>
          <t>HPA052501</t>
        </is>
      </c>
      <c r="J25" s="184" t="inlineStr"/>
    </row>
    <row r="26">
      <c r="A26" s="182" t="n">
        <v>25</v>
      </c>
      <c r="B26" s="181" t="inlineStr">
        <is>
          <t>BSS052501</t>
        </is>
      </c>
      <c r="C26" s="181" t="inlineStr">
        <is>
          <t>P050192</t>
        </is>
      </c>
      <c r="D26" s="183" t="n">
        <v>45901</v>
      </c>
      <c r="E26" s="183" t="n">
        <v>45903</v>
      </c>
      <c r="F26" s="183" t="n">
        <v>45940</v>
      </c>
      <c r="G26" s="183" t="n">
        <v>45951</v>
      </c>
      <c r="H26" s="183">
        <f>F26</f>
        <v/>
      </c>
      <c r="I26" s="182" t="inlineStr">
        <is>
          <t>BSS052501</t>
        </is>
      </c>
      <c r="J26" s="184" t="inlineStr"/>
    </row>
    <row r="27">
      <c r="A27" s="182" t="n">
        <v>26</v>
      </c>
      <c r="B27" s="181" t="inlineStr">
        <is>
          <t>GP062501</t>
        </is>
      </c>
      <c r="C27" s="181" t="inlineStr">
        <is>
          <t>P050202</t>
        </is>
      </c>
      <c r="D27" s="183" t="n">
        <v>45915</v>
      </c>
      <c r="E27" s="183" t="n">
        <v>45917</v>
      </c>
      <c r="F27" s="183" t="n">
        <v>45960</v>
      </c>
      <c r="G27" s="183" t="n">
        <v>45968</v>
      </c>
      <c r="H27" s="183">
        <f>F27</f>
        <v/>
      </c>
      <c r="I27" s="182" t="inlineStr">
        <is>
          <t>GP062501</t>
        </is>
      </c>
      <c r="J27" s="184" t="inlineStr"/>
    </row>
    <row r="28">
      <c r="A28" s="182" t="n">
        <v>27</v>
      </c>
      <c r="B28" s="181" t="inlineStr">
        <is>
          <t>SC062501</t>
        </is>
      </c>
      <c r="C28" s="181" t="inlineStr">
        <is>
          <t>P050242</t>
        </is>
      </c>
      <c r="D28" s="183" t="n">
        <v>45917</v>
      </c>
      <c r="E28" s="183" t="n">
        <v>45917</v>
      </c>
      <c r="F28" s="183" t="n">
        <v>45988</v>
      </c>
      <c r="G28" s="183" t="n">
        <v>45988</v>
      </c>
      <c r="H28" s="183">
        <f>F28</f>
        <v/>
      </c>
      <c r="I28" s="189" t="inlineStr">
        <is>
          <t>— not on the tracker —</t>
        </is>
      </c>
      <c r="J28" s="184" t="inlineStr"/>
    </row>
    <row r="29">
      <c r="A29" s="182" t="n">
        <v>28</v>
      </c>
      <c r="B29" s="181" t="inlineStr">
        <is>
          <t>GOG062501</t>
        </is>
      </c>
      <c r="C29" s="181" t="inlineStr">
        <is>
          <t>P050232</t>
        </is>
      </c>
      <c r="D29" s="183" t="n">
        <v>45917</v>
      </c>
      <c r="E29" s="183" t="n">
        <v>45917</v>
      </c>
      <c r="F29" s="183" t="n">
        <v>45988</v>
      </c>
      <c r="G29" s="183" t="n">
        <v>45988</v>
      </c>
      <c r="H29" s="183">
        <f>F29</f>
        <v/>
      </c>
      <c r="I29" s="189" t="inlineStr">
        <is>
          <t>— not on the tracker —</t>
        </is>
      </c>
      <c r="J29" s="184" t="inlineStr"/>
    </row>
    <row r="30">
      <c r="A30" s="182" t="n">
        <v>29</v>
      </c>
      <c r="B30" s="181" t="inlineStr">
        <is>
          <t>CJ062501/1</t>
        </is>
      </c>
      <c r="C30" s="181" t="inlineStr">
        <is>
          <t>P050222</t>
        </is>
      </c>
      <c r="D30" s="183" t="n">
        <v>45923</v>
      </c>
      <c r="E30" s="183" t="n">
        <v>45923</v>
      </c>
      <c r="F30" s="183" t="n">
        <v>45985</v>
      </c>
      <c r="G30" s="183" t="n">
        <v>45986</v>
      </c>
      <c r="H30" s="183">
        <f>F30</f>
        <v/>
      </c>
      <c r="I30" s="182" t="inlineStr">
        <is>
          <t>CJ062501/1</t>
        </is>
      </c>
      <c r="J30" s="184" t="inlineStr"/>
    </row>
    <row r="31">
      <c r="A31" s="182" t="n">
        <v>30</v>
      </c>
      <c r="B31" s="181" t="inlineStr">
        <is>
          <t>CJ062501/2</t>
        </is>
      </c>
      <c r="C31" s="181" t="inlineStr">
        <is>
          <t>P050212</t>
        </is>
      </c>
      <c r="D31" s="183" t="n">
        <v>45923</v>
      </c>
      <c r="E31" s="183" t="n">
        <v>45924</v>
      </c>
      <c r="F31" s="183" t="n">
        <v>45979</v>
      </c>
      <c r="G31" s="183" t="n">
        <v>45985</v>
      </c>
      <c r="H31" s="183">
        <f>F31</f>
        <v/>
      </c>
      <c r="I31" s="182" t="inlineStr">
        <is>
          <t>CJ062501/2</t>
        </is>
      </c>
      <c r="J31" s="184" t="inlineStr"/>
    </row>
    <row r="32">
      <c r="A32" s="182" t="n">
        <v>31</v>
      </c>
      <c r="B32" s="181" t="inlineStr">
        <is>
          <t>CJ072501</t>
        </is>
      </c>
      <c r="C32" s="181" t="inlineStr">
        <is>
          <t>P050252</t>
        </is>
      </c>
      <c r="D32" s="183" t="n">
        <v>45957</v>
      </c>
      <c r="E32" s="183" t="n">
        <v>45957</v>
      </c>
      <c r="F32" s="183" t="n">
        <v>45988</v>
      </c>
      <c r="G32" s="183" t="n">
        <v>45989</v>
      </c>
      <c r="H32" s="183">
        <f>F32</f>
        <v/>
      </c>
      <c r="I32" s="182" t="inlineStr">
        <is>
          <t>CJ072501</t>
        </is>
      </c>
      <c r="J32" s="184" t="inlineStr"/>
    </row>
    <row r="33">
      <c r="A33" s="182" t="n">
        <v>32</v>
      </c>
      <c r="B33" s="181" t="inlineStr">
        <is>
          <t>PM072501</t>
        </is>
      </c>
      <c r="C33" s="181" t="inlineStr">
        <is>
          <t>P050272</t>
        </is>
      </c>
      <c r="D33" s="183" t="n">
        <v>45957</v>
      </c>
      <c r="E33" s="183" t="n">
        <v>45957</v>
      </c>
      <c r="F33" s="183" t="n">
        <v>45993</v>
      </c>
      <c r="G33" s="183" t="n">
        <v>45994</v>
      </c>
      <c r="H33" s="183">
        <f>F33</f>
        <v/>
      </c>
      <c r="I33" s="182" t="inlineStr">
        <is>
          <t>PM072501</t>
        </is>
      </c>
      <c r="J33" s="184" t="inlineStr"/>
    </row>
    <row r="34">
      <c r="A34" s="182" t="n">
        <v>33</v>
      </c>
      <c r="B34" s="181" t="inlineStr">
        <is>
          <t>WC072501</t>
        </is>
      </c>
      <c r="C34" s="181" t="inlineStr">
        <is>
          <t>P050262</t>
        </is>
      </c>
      <c r="D34" s="183" t="n">
        <v>45957</v>
      </c>
      <c r="E34" s="183" t="n">
        <v>45958</v>
      </c>
      <c r="F34" s="183" t="n">
        <v>45992</v>
      </c>
      <c r="G34" s="183" t="n">
        <v>45992</v>
      </c>
      <c r="H34" s="183">
        <f>F34</f>
        <v/>
      </c>
      <c r="I34" s="182" t="inlineStr">
        <is>
          <t>WC072501</t>
        </is>
      </c>
      <c r="J34" s="184" t="inlineStr"/>
    </row>
    <row r="35">
      <c r="A35" s="182" t="n">
        <v>34</v>
      </c>
      <c r="B35" s="181" t="inlineStr">
        <is>
          <t>CLE072501</t>
        </is>
      </c>
      <c r="C35" s="181" t="inlineStr">
        <is>
          <t>P050282</t>
        </is>
      </c>
      <c r="D35" s="183" t="n">
        <v>45958</v>
      </c>
      <c r="E35" s="183" t="n">
        <v>45958</v>
      </c>
      <c r="F35" s="183" t="n">
        <v>45994</v>
      </c>
      <c r="G35" s="183" t="n">
        <v>45995</v>
      </c>
      <c r="H35" s="183">
        <f>F35</f>
        <v/>
      </c>
      <c r="I35" s="182" t="inlineStr">
        <is>
          <t>CLE072501</t>
        </is>
      </c>
      <c r="J35" s="184" t="inlineStr"/>
    </row>
    <row r="36">
      <c r="A36" s="182" t="n">
        <v>35</v>
      </c>
      <c r="B36" s="181" t="inlineStr">
        <is>
          <t>GP072501/1</t>
        </is>
      </c>
      <c r="C36" s="181" t="inlineStr">
        <is>
          <t>P050292</t>
        </is>
      </c>
      <c r="D36" s="183" t="n">
        <v>45972</v>
      </c>
      <c r="E36" s="183" t="n">
        <v>45974</v>
      </c>
      <c r="F36" s="183" t="n">
        <v>46006</v>
      </c>
      <c r="G36" s="183" t="n">
        <v>46012</v>
      </c>
      <c r="H36" s="183">
        <f>F36</f>
        <v/>
      </c>
      <c r="I36" s="182" t="inlineStr">
        <is>
          <t>GP072501/1</t>
        </is>
      </c>
      <c r="J36" s="184" t="inlineStr">
        <is>
          <t>harvest: printed 11-13-11.2025, read as 11-13.11.2025</t>
        </is>
      </c>
    </row>
    <row r="37">
      <c r="A37" s="182" t="n">
        <v>36</v>
      </c>
      <c r="B37" s="181" t="inlineStr">
        <is>
          <t>GP072501/2</t>
        </is>
      </c>
      <c r="C37" s="181" t="inlineStr">
        <is>
          <t>P050302</t>
        </is>
      </c>
      <c r="D37" s="183" t="n">
        <v>45974</v>
      </c>
      <c r="E37" s="183" t="n">
        <v>45974</v>
      </c>
      <c r="F37" s="183" t="n">
        <v>46013</v>
      </c>
      <c r="G37" s="183" t="n">
        <v>46013</v>
      </c>
      <c r="H37" s="183">
        <f>F37</f>
        <v/>
      </c>
      <c r="I37" s="182" t="inlineStr">
        <is>
          <t>GP072501/2</t>
        </is>
      </c>
      <c r="J37" s="184" t="inlineStr"/>
    </row>
    <row r="38">
      <c r="A38" s="182" t="n">
        <v>37</v>
      </c>
      <c r="B38" s="181" t="inlineStr">
        <is>
          <t>GP082501/1</t>
        </is>
      </c>
      <c r="C38" s="181" t="inlineStr">
        <is>
          <t>P050312</t>
        </is>
      </c>
      <c r="D38" s="183" t="n">
        <v>45980</v>
      </c>
      <c r="E38" s="183" t="n">
        <v>45981</v>
      </c>
      <c r="F38" s="183" t="n">
        <v>46014</v>
      </c>
      <c r="G38" s="183" t="n">
        <v>46017</v>
      </c>
      <c r="H38" s="183">
        <f>F38</f>
        <v/>
      </c>
      <c r="I38" s="182" t="inlineStr">
        <is>
          <t>GP082501/1</t>
        </is>
      </c>
      <c r="J38" s="184" t="inlineStr"/>
    </row>
    <row r="39">
      <c r="A39" s="182" t="n">
        <v>38</v>
      </c>
      <c r="B39" s="181" t="inlineStr">
        <is>
          <t>GP082501/2</t>
        </is>
      </c>
      <c r="C39" s="181" t="inlineStr">
        <is>
          <t>P050322</t>
        </is>
      </c>
      <c r="D39" s="183" t="n">
        <v>45981</v>
      </c>
      <c r="E39" s="183" t="n">
        <v>45981</v>
      </c>
      <c r="F39" s="183" t="n">
        <v>46017</v>
      </c>
      <c r="G39" s="183" t="n">
        <v>46017</v>
      </c>
      <c r="H39" s="183">
        <f>F39</f>
        <v/>
      </c>
      <c r="I39" s="182" t="inlineStr">
        <is>
          <t>GP082501/2</t>
        </is>
      </c>
      <c r="J39" s="184" t="inlineStr"/>
    </row>
    <row r="40">
      <c r="A40" s="182" t="n">
        <v>39</v>
      </c>
      <c r="B40" s="181" t="inlineStr">
        <is>
          <t>WC082501</t>
        </is>
      </c>
      <c r="C40" s="181" t="inlineStr">
        <is>
          <t>P060012</t>
        </is>
      </c>
      <c r="D40" s="183" t="n">
        <v>46000</v>
      </c>
      <c r="E40" s="183" t="n">
        <v>46000</v>
      </c>
      <c r="F40" s="183" t="n">
        <v>46035</v>
      </c>
      <c r="G40" s="183" t="n">
        <v>46036</v>
      </c>
      <c r="H40" s="183">
        <f>F40</f>
        <v/>
      </c>
      <c r="I40" s="182" t="inlineStr">
        <is>
          <t>WC082501</t>
        </is>
      </c>
      <c r="J40" s="184" t="inlineStr"/>
    </row>
    <row r="41">
      <c r="A41" s="182" t="n">
        <v>40</v>
      </c>
      <c r="B41" s="181" t="inlineStr">
        <is>
          <t>CJ082501/1</t>
        </is>
      </c>
      <c r="C41" s="181" t="inlineStr">
        <is>
          <t>P060022</t>
        </is>
      </c>
      <c r="D41" s="183" t="n">
        <v>46000</v>
      </c>
      <c r="E41" s="183" t="n">
        <v>46001</v>
      </c>
      <c r="F41" s="183" t="n">
        <v>46038</v>
      </c>
      <c r="G41" s="183" t="n">
        <v>46038</v>
      </c>
      <c r="H41" s="183">
        <f>F41</f>
        <v/>
      </c>
      <c r="I41" s="182" t="inlineStr">
        <is>
          <t>CJ082501/1</t>
        </is>
      </c>
      <c r="J41" s="184" t="inlineStr"/>
    </row>
    <row r="42">
      <c r="A42" s="182" t="n">
        <v>41</v>
      </c>
      <c r="B42" s="181" t="inlineStr">
        <is>
          <t>CJ082501/2</t>
        </is>
      </c>
      <c r="C42" s="181" t="inlineStr">
        <is>
          <t>P060032</t>
        </is>
      </c>
      <c r="D42" s="183" t="n">
        <v>46001</v>
      </c>
      <c r="E42" s="183" t="n">
        <v>46001</v>
      </c>
      <c r="F42" s="183" t="n">
        <v>46051</v>
      </c>
      <c r="G42" s="183" t="n">
        <v>46051</v>
      </c>
      <c r="H42" s="183">
        <f>F42</f>
        <v/>
      </c>
      <c r="I42" s="182" t="inlineStr">
        <is>
          <t>CJ082501/2</t>
        </is>
      </c>
      <c r="J42" s="184" t="inlineStr"/>
    </row>
    <row r="43">
      <c r="A43" s="182" t="n">
        <v>42</v>
      </c>
      <c r="B43" s="181" t="inlineStr">
        <is>
          <t>PM092501</t>
        </is>
      </c>
      <c r="C43" s="181" t="inlineStr">
        <is>
          <t>P060062</t>
        </is>
      </c>
      <c r="D43" s="183" t="n">
        <v>46002</v>
      </c>
      <c r="E43" s="183" t="n">
        <v>46002</v>
      </c>
      <c r="F43" s="183" t="n">
        <v>46052</v>
      </c>
      <c r="G43" s="183" t="n">
        <v>46052</v>
      </c>
      <c r="H43" s="183">
        <f>F43</f>
        <v/>
      </c>
      <c r="I43" s="182" t="inlineStr">
        <is>
          <t>PM092501</t>
        </is>
      </c>
      <c r="J43" s="184" t="inlineStr"/>
    </row>
    <row r="44">
      <c r="A44" s="182" t="n">
        <v>43</v>
      </c>
      <c r="B44" s="181" t="inlineStr">
        <is>
          <t>AB092501</t>
        </is>
      </c>
      <c r="C44" s="181" t="inlineStr">
        <is>
          <t>P060052</t>
        </is>
      </c>
      <c r="D44" s="183" t="n">
        <v>46002</v>
      </c>
      <c r="E44" s="183" t="n">
        <v>46002</v>
      </c>
      <c r="F44" s="183" t="n">
        <v>46052</v>
      </c>
      <c r="G44" s="183" t="n">
        <v>46052</v>
      </c>
      <c r="H44" s="183">
        <f>F44</f>
        <v/>
      </c>
      <c r="I44" s="182" t="inlineStr">
        <is>
          <t>AB092501</t>
        </is>
      </c>
      <c r="J44" s="184" t="inlineStr"/>
    </row>
    <row r="45">
      <c r="A45" s="182" t="n">
        <v>44</v>
      </c>
      <c r="B45" s="181" t="inlineStr">
        <is>
          <t>SJ0925021</t>
        </is>
      </c>
      <c r="C45" s="181" t="inlineStr">
        <is>
          <t>P060082</t>
        </is>
      </c>
      <c r="D45" s="183" t="n">
        <v>46002</v>
      </c>
      <c r="E45" s="183" t="n">
        <v>46003</v>
      </c>
      <c r="F45" s="183" t="n">
        <v>46055</v>
      </c>
      <c r="G45" s="183" t="n">
        <v>46055</v>
      </c>
      <c r="H45" s="183">
        <f>F45</f>
        <v/>
      </c>
      <c r="I45" s="182" t="inlineStr">
        <is>
          <t>SJ0925021</t>
        </is>
      </c>
      <c r="J45" s="184" t="inlineStr"/>
    </row>
    <row r="46">
      <c r="A46" s="182" t="n">
        <v>45</v>
      </c>
      <c r="B46" s="181" t="inlineStr">
        <is>
          <t>CJ092501</t>
        </is>
      </c>
      <c r="C46" s="181" t="inlineStr">
        <is>
          <t>P060072</t>
        </is>
      </c>
      <c r="D46" s="183" t="n">
        <v>46003</v>
      </c>
      <c r="E46" s="183" t="n">
        <v>46003</v>
      </c>
      <c r="F46" s="183" t="n">
        <v>46055</v>
      </c>
      <c r="G46" s="183" t="n">
        <v>46055</v>
      </c>
      <c r="H46" s="183">
        <f>F46</f>
        <v/>
      </c>
      <c r="I46" s="182" t="inlineStr">
        <is>
          <t>CJ092501</t>
        </is>
      </c>
      <c r="J46" s="184" t="inlineStr"/>
    </row>
    <row r="47">
      <c r="A47" s="182" t="n">
        <v>46</v>
      </c>
      <c r="B47" s="181" t="inlineStr">
        <is>
          <t>OPM092501</t>
        </is>
      </c>
      <c r="C47" s="181" t="inlineStr">
        <is>
          <t>P060042</t>
        </is>
      </c>
      <c r="D47" s="183" t="n">
        <v>46003</v>
      </c>
      <c r="E47" s="183" t="n">
        <v>46003</v>
      </c>
      <c r="F47" s="183" t="n">
        <v>46051</v>
      </c>
      <c r="G47" s="183" t="n">
        <v>46051</v>
      </c>
      <c r="H47" s="183">
        <f>F47</f>
        <v/>
      </c>
      <c r="I47" s="182" t="inlineStr">
        <is>
          <t>OPM092501</t>
        </is>
      </c>
      <c r="J47" s="184" t="inlineStr"/>
    </row>
    <row r="48">
      <c r="A48" s="182" t="n">
        <v>47</v>
      </c>
      <c r="B48" s="181" t="inlineStr">
        <is>
          <t>GP092501</t>
        </is>
      </c>
      <c r="C48" s="181" t="inlineStr">
        <is>
          <t>P060092</t>
        </is>
      </c>
      <c r="D48" s="183" t="n">
        <v>46007</v>
      </c>
      <c r="E48" s="183" t="n">
        <v>46008</v>
      </c>
      <c r="F48" s="183" t="n">
        <v>46056</v>
      </c>
      <c r="G48" s="183" t="n">
        <v>46062</v>
      </c>
      <c r="H48" s="183">
        <f>F48</f>
        <v/>
      </c>
      <c r="I48" s="182" t="inlineStr">
        <is>
          <t>GP092501</t>
        </is>
      </c>
      <c r="J48" s="184" t="inlineStr"/>
    </row>
    <row r="49">
      <c r="A49" s="182" t="n">
        <v>48</v>
      </c>
      <c r="B49" s="181" t="inlineStr">
        <is>
          <t>ACC102501</t>
        </is>
      </c>
      <c r="C49" s="181" t="inlineStr">
        <is>
          <t>P060122</t>
        </is>
      </c>
      <c r="D49" s="183" t="n">
        <v>46031</v>
      </c>
      <c r="E49" s="183" t="n">
        <v>46031</v>
      </c>
      <c r="F49" s="183" t="n">
        <v>46071</v>
      </c>
      <c r="G49" s="183" t="n">
        <v>46072</v>
      </c>
      <c r="H49" s="183">
        <f>F49</f>
        <v/>
      </c>
      <c r="I49" s="189" t="inlineStr">
        <is>
          <t>— not on the tracker —</t>
        </is>
      </c>
      <c r="J49" s="184" t="inlineStr"/>
    </row>
    <row r="50">
      <c r="A50" s="182" t="n">
        <v>49</v>
      </c>
      <c r="B50" s="181" t="inlineStr">
        <is>
          <t>PUM102501</t>
        </is>
      </c>
      <c r="C50" s="181" t="inlineStr">
        <is>
          <t>P060112</t>
        </is>
      </c>
      <c r="D50" s="183" t="n">
        <v>46030</v>
      </c>
      <c r="E50" s="183" t="n">
        <v>46031</v>
      </c>
      <c r="F50" s="183" t="n">
        <v>46070</v>
      </c>
      <c r="G50" s="183" t="n">
        <v>46070</v>
      </c>
      <c r="H50" s="183">
        <f>F50</f>
        <v/>
      </c>
      <c r="I50" s="189" t="inlineStr">
        <is>
          <t>— not on the tracker —</t>
        </is>
      </c>
      <c r="J50" s="184" t="inlineStr"/>
    </row>
    <row r="51">
      <c r="A51" s="182" t="n">
        <v>50</v>
      </c>
      <c r="B51" s="181" t="inlineStr">
        <is>
          <t>GRC102501/1</t>
        </is>
      </c>
      <c r="C51" s="181" t="inlineStr">
        <is>
          <t>P060142</t>
        </is>
      </c>
      <c r="D51" s="183" t="n">
        <v>46031</v>
      </c>
      <c r="E51" s="183" t="n">
        <v>46031</v>
      </c>
      <c r="F51" s="183" t="n">
        <v>46076</v>
      </c>
      <c r="G51" s="183" t="n">
        <v>46076</v>
      </c>
      <c r="H51" s="183">
        <f>F51</f>
        <v/>
      </c>
      <c r="I51" s="182" t="inlineStr">
        <is>
          <t>GRC102501</t>
        </is>
      </c>
      <c r="J51" s="184" t="inlineStr"/>
    </row>
    <row r="52">
      <c r="A52" s="182" t="n">
        <v>51</v>
      </c>
      <c r="B52" s="181" t="inlineStr">
        <is>
          <t>WED102501</t>
        </is>
      </c>
      <c r="C52" s="181" t="inlineStr">
        <is>
          <t>P060102</t>
        </is>
      </c>
      <c r="D52" s="183" t="n">
        <v>46030</v>
      </c>
      <c r="E52" s="183" t="n">
        <v>46030</v>
      </c>
      <c r="F52" s="183" t="n">
        <v>46069</v>
      </c>
      <c r="G52" s="183" t="n">
        <v>46069</v>
      </c>
      <c r="H52" s="183">
        <f>F52</f>
        <v/>
      </c>
      <c r="I52" s="182" t="inlineStr">
        <is>
          <t>P060102</t>
        </is>
      </c>
      <c r="J52" s="184" t="inlineStr"/>
    </row>
    <row r="53">
      <c r="A53" s="182" t="n">
        <v>52</v>
      </c>
      <c r="B53" s="181" t="inlineStr">
        <is>
          <t>CF102501</t>
        </is>
      </c>
      <c r="C53" s="181" t="inlineStr">
        <is>
          <t>P060132</t>
        </is>
      </c>
      <c r="D53" s="183" t="n">
        <v>46031</v>
      </c>
      <c r="E53" s="183" t="n">
        <v>46031</v>
      </c>
      <c r="F53" s="183" t="n">
        <v>46072</v>
      </c>
      <c r="G53" s="183" t="n">
        <v>46073</v>
      </c>
      <c r="H53" s="183">
        <f>F53</f>
        <v/>
      </c>
      <c r="I53" s="189" t="inlineStr">
        <is>
          <t>— not on the tracker —</t>
        </is>
      </c>
      <c r="J53" s="184" t="inlineStr"/>
    </row>
    <row r="54">
      <c r="A54" s="182" t="n">
        <v>53</v>
      </c>
      <c r="B54" s="181" t="inlineStr">
        <is>
          <t>GRC102501/2</t>
        </is>
      </c>
      <c r="C54" s="181" t="inlineStr">
        <is>
          <t>P060182</t>
        </is>
      </c>
      <c r="D54" s="183" t="n">
        <v>46042</v>
      </c>
      <c r="E54" s="183" t="n">
        <v>46042</v>
      </c>
      <c r="F54" s="183" t="n">
        <v>46095</v>
      </c>
      <c r="G54" s="183" t="n">
        <v>46095</v>
      </c>
      <c r="H54" s="183">
        <f>F54</f>
        <v/>
      </c>
      <c r="I54" s="182" t="inlineStr">
        <is>
          <t>GRC102501</t>
        </is>
      </c>
      <c r="J54" s="184" t="inlineStr"/>
    </row>
    <row r="55">
      <c r="A55" s="182" t="n">
        <v>54</v>
      </c>
      <c r="B55" s="181" t="inlineStr">
        <is>
          <t>SJ102501</t>
        </is>
      </c>
      <c r="C55" s="181" t="inlineStr">
        <is>
          <t>P060162</t>
        </is>
      </c>
      <c r="D55" s="183" t="n">
        <v>46042</v>
      </c>
      <c r="E55" s="183" t="n">
        <v>46042</v>
      </c>
      <c r="F55" s="183" t="n">
        <v>46090</v>
      </c>
      <c r="G55" s="183" t="n">
        <v>46090</v>
      </c>
      <c r="H55" s="183">
        <f>F55</f>
        <v/>
      </c>
      <c r="I55" s="182" t="inlineStr">
        <is>
          <t>SJ102501</t>
        </is>
      </c>
      <c r="J55" s="184" t="inlineStr"/>
    </row>
    <row r="56">
      <c r="A56" s="182" t="n">
        <v>55</v>
      </c>
      <c r="B56" s="181" t="inlineStr">
        <is>
          <t>KC102501</t>
        </is>
      </c>
      <c r="C56" s="181" t="inlineStr">
        <is>
          <t>P060172</t>
        </is>
      </c>
      <c r="D56" s="183" t="n">
        <v>46042</v>
      </c>
      <c r="E56" s="183" t="n">
        <v>46043</v>
      </c>
      <c r="F56" s="183" t="n">
        <v>46093</v>
      </c>
      <c r="G56" s="183" t="n">
        <v>46093</v>
      </c>
      <c r="H56" s="183">
        <f>F56</f>
        <v/>
      </c>
      <c r="I56" s="182" t="inlineStr">
        <is>
          <t>KC102501</t>
        </is>
      </c>
      <c r="J56" s="184" t="inlineStr"/>
    </row>
    <row r="57">
      <c r="A57" s="182" t="n">
        <v>56</v>
      </c>
      <c r="B57" s="181" t="inlineStr">
        <is>
          <t>J31102501</t>
        </is>
      </c>
      <c r="C57" s="181" t="inlineStr">
        <is>
          <t>P060152</t>
        </is>
      </c>
      <c r="D57" s="183" t="n">
        <v>46043</v>
      </c>
      <c r="E57" s="183" t="n">
        <v>46043</v>
      </c>
      <c r="F57" s="183" t="n">
        <v>46086</v>
      </c>
      <c r="G57" s="183" t="n">
        <v>46086</v>
      </c>
      <c r="H57" s="183">
        <f>F57</f>
        <v/>
      </c>
      <c r="I57" s="182" t="inlineStr">
        <is>
          <t>J31102501</t>
        </is>
      </c>
      <c r="J57" s="184" t="inlineStr"/>
    </row>
    <row r="58">
      <c r="A58" s="182" t="n">
        <v>57</v>
      </c>
      <c r="B58" s="181" t="inlineStr">
        <is>
          <t>J31112501</t>
        </is>
      </c>
      <c r="C58" s="181" t="inlineStr">
        <is>
          <t>P060202</t>
        </is>
      </c>
      <c r="D58" s="183" t="n">
        <v>46048</v>
      </c>
      <c r="E58" s="183" t="n">
        <v>46048</v>
      </c>
      <c r="F58" s="183" t="n">
        <v>46129</v>
      </c>
      <c r="G58" s="183" t="n">
        <v>46129</v>
      </c>
      <c r="H58" s="183">
        <f>F58</f>
        <v/>
      </c>
      <c r="I58" s="182" t="inlineStr">
        <is>
          <t>J31112501</t>
        </is>
      </c>
      <c r="J58" s="184" t="inlineStr"/>
    </row>
    <row r="59">
      <c r="A59" s="182" t="n">
        <v>58</v>
      </c>
      <c r="B59" s="181" t="inlineStr">
        <is>
          <t>SJ112501</t>
        </is>
      </c>
      <c r="C59" s="181" t="inlineStr">
        <is>
          <t>P060192</t>
        </is>
      </c>
      <c r="D59" s="183" t="n">
        <v>46048</v>
      </c>
      <c r="E59" s="183" t="n">
        <v>46049</v>
      </c>
      <c r="F59" s="183" t="n">
        <v>46112</v>
      </c>
      <c r="G59" s="183" t="n">
        <v>46112</v>
      </c>
      <c r="H59" s="183">
        <f>F59</f>
        <v/>
      </c>
      <c r="I59" s="182" t="inlineStr">
        <is>
          <t>SJ112501</t>
        </is>
      </c>
      <c r="J59" s="184" t="inlineStr"/>
    </row>
    <row r="60">
      <c r="A60" s="182" t="n">
        <v>59</v>
      </c>
      <c r="B60" s="181" t="inlineStr">
        <is>
          <t>OPM112501</t>
        </is>
      </c>
      <c r="C60" s="181" t="inlineStr">
        <is>
          <t>P060222</t>
        </is>
      </c>
      <c r="D60" s="183" t="n">
        <v>46058</v>
      </c>
      <c r="E60" s="183" t="n">
        <v>46058</v>
      </c>
      <c r="F60" s="183" t="n">
        <v>46136</v>
      </c>
      <c r="G60" s="183" t="n">
        <v>46136</v>
      </c>
      <c r="H60" s="183">
        <f>F60</f>
        <v/>
      </c>
      <c r="I60" s="182" t="inlineStr">
        <is>
          <t>OPM112501</t>
        </is>
      </c>
      <c r="J60" s="184" t="inlineStr"/>
    </row>
    <row r="61">
      <c r="A61" s="182" t="n">
        <v>60</v>
      </c>
      <c r="B61" s="181" t="inlineStr">
        <is>
          <t>PM112501</t>
        </is>
      </c>
      <c r="C61" s="181" t="inlineStr">
        <is>
          <t>P060232</t>
        </is>
      </c>
      <c r="D61" s="183" t="n">
        <v>46058</v>
      </c>
      <c r="E61" s="183" t="n">
        <v>46058</v>
      </c>
      <c r="F61" s="183" t="n">
        <v>46139</v>
      </c>
      <c r="G61" s="183" t="n">
        <v>46139</v>
      </c>
      <c r="H61" s="183">
        <f>F61</f>
        <v/>
      </c>
      <c r="I61" s="182" t="inlineStr">
        <is>
          <t>PM112501</t>
        </is>
      </c>
      <c r="J61" s="184" t="inlineStr"/>
    </row>
    <row r="62">
      <c r="A62" s="182" t="n">
        <v>61</v>
      </c>
      <c r="B62" s="181" t="inlineStr">
        <is>
          <t>JD112501</t>
        </is>
      </c>
      <c r="C62" s="181" t="inlineStr">
        <is>
          <t>P060212</t>
        </is>
      </c>
      <c r="D62" s="183" t="n">
        <v>46106</v>
      </c>
      <c r="E62" s="183" t="n">
        <v>46106</v>
      </c>
      <c r="F62" s="183" t="n">
        <v>46133</v>
      </c>
      <c r="G62" s="183" t="n">
        <v>46133</v>
      </c>
      <c r="H62" s="183">
        <f>F62</f>
        <v/>
      </c>
      <c r="I62" s="182" t="inlineStr">
        <is>
          <t>JD112501＊</t>
        </is>
      </c>
      <c r="J62" s="184" t="inlineStr"/>
    </row>
    <row r="63">
      <c r="A63" s="182" t="n">
        <v>62</v>
      </c>
      <c r="B63" s="181" t="inlineStr">
        <is>
          <t>OPM122501</t>
        </is>
      </c>
      <c r="C63" s="181" t="inlineStr">
        <is>
          <t>P060242</t>
        </is>
      </c>
      <c r="D63" s="183" t="n">
        <v>46092</v>
      </c>
      <c r="E63" s="183" t="n">
        <v>46092</v>
      </c>
      <c r="F63" s="183" t="n">
        <v>46140</v>
      </c>
      <c r="G63" s="183" t="n">
        <v>46140</v>
      </c>
      <c r="H63" s="183">
        <f>F63</f>
        <v/>
      </c>
      <c r="I63" s="182" t="inlineStr">
        <is>
          <t>OPM122501</t>
        </is>
      </c>
      <c r="J63" s="184" t="inlineStr"/>
    </row>
    <row r="64">
      <c r="A64" s="182" t="n">
        <v>63</v>
      </c>
      <c r="B64" s="181" t="inlineStr">
        <is>
          <t>GG112501</t>
        </is>
      </c>
      <c r="C64" s="181" t="inlineStr">
        <is>
          <t>P060252</t>
        </is>
      </c>
      <c r="D64" s="183" t="n">
        <v>46106</v>
      </c>
      <c r="E64" s="183" t="n">
        <v>46106</v>
      </c>
      <c r="F64" s="183" t="n">
        <v>46147</v>
      </c>
      <c r="G64" s="183" t="n">
        <v>46147</v>
      </c>
      <c r="H64" s="183">
        <f>F64</f>
        <v/>
      </c>
      <c r="I64" s="182" t="inlineStr">
        <is>
          <t>GG112501</t>
        </is>
      </c>
      <c r="J64" s="184" t="inlineStr"/>
    </row>
    <row r="65">
      <c r="A65" s="182" t="n">
        <v>64</v>
      </c>
      <c r="B65" s="181" t="inlineStr">
        <is>
          <t>J31122501</t>
        </is>
      </c>
      <c r="C65" s="181" t="inlineStr">
        <is>
          <t>P060262</t>
        </is>
      </c>
      <c r="D65" s="183" t="n">
        <v>46085</v>
      </c>
      <c r="E65" s="183" t="n">
        <v>46085</v>
      </c>
      <c r="F65" s="183" t="n">
        <v>46156</v>
      </c>
      <c r="G65" s="183" t="n">
        <v>46156</v>
      </c>
      <c r="H65" s="183">
        <f>F65</f>
        <v/>
      </c>
      <c r="I65" s="182" t="inlineStr">
        <is>
          <t>J31122501</t>
        </is>
      </c>
      <c r="J65" s="184" t="inlineStr"/>
    </row>
    <row r="66">
      <c r="A66" s="182" t="n">
        <v>65</v>
      </c>
      <c r="B66" s="181" t="inlineStr">
        <is>
          <t>CC112501</t>
        </is>
      </c>
      <c r="C66" s="181" t="inlineStr">
        <is>
          <t>P060272</t>
        </is>
      </c>
      <c r="D66" s="183" t="n">
        <v>46106</v>
      </c>
      <c r="E66" s="183" t="n">
        <v>46106</v>
      </c>
      <c r="F66" s="183" t="n">
        <v>46160</v>
      </c>
      <c r="G66" s="183" t="n">
        <v>46160</v>
      </c>
      <c r="H66" s="183">
        <f>F66</f>
        <v/>
      </c>
      <c r="I66" s="182" t="inlineStr">
        <is>
          <t>CC112501</t>
        </is>
      </c>
      <c r="J66" s="184" t="inlineStr"/>
    </row>
    <row r="67">
      <c r="A67" s="182" t="n">
        <v>66</v>
      </c>
      <c r="B67" s="181" t="inlineStr">
        <is>
          <t>SCR112501</t>
        </is>
      </c>
      <c r="C67" s="181" t="inlineStr">
        <is>
          <t>P060282</t>
        </is>
      </c>
      <c r="D67" s="183" t="n">
        <v>46106</v>
      </c>
      <c r="E67" s="183" t="n">
        <v>46106</v>
      </c>
      <c r="F67" s="183" t="n">
        <v>46160</v>
      </c>
      <c r="G67" s="183" t="n">
        <v>46160</v>
      </c>
      <c r="H67" s="183">
        <f>F67</f>
        <v/>
      </c>
      <c r="I67" s="182" t="inlineStr">
        <is>
          <t>SCR112501</t>
        </is>
      </c>
      <c r="J67" s="184" t="inlineStr"/>
    </row>
    <row r="68">
      <c r="A68" s="182" t="n">
        <v>67</v>
      </c>
      <c r="B68" s="181" t="inlineStr">
        <is>
          <t>FB112501</t>
        </is>
      </c>
      <c r="C68" s="181" t="inlineStr">
        <is>
          <t>P060292</t>
        </is>
      </c>
      <c r="D68" s="183" t="n">
        <v>46106</v>
      </c>
      <c r="E68" s="183" t="n">
        <v>46106</v>
      </c>
      <c r="F68" s="183" t="n">
        <v>46161</v>
      </c>
      <c r="G68" s="183" t="n">
        <v>46161</v>
      </c>
      <c r="H68" s="183">
        <f>F68</f>
        <v/>
      </c>
      <c r="I68" s="182" t="inlineStr">
        <is>
          <t>FB112501</t>
        </is>
      </c>
      <c r="J68" s="184" t="inlineStr"/>
    </row>
    <row r="69">
      <c r="A69" s="182" t="n">
        <v>68</v>
      </c>
      <c r="B69" s="181" t="inlineStr">
        <is>
          <t>GG012601*</t>
        </is>
      </c>
      <c r="C69" s="181" t="inlineStr">
        <is>
          <t>P060302</t>
        </is>
      </c>
      <c r="D69" s="183" t="n">
        <v>46108</v>
      </c>
      <c r="E69" s="183" t="n">
        <v>46108</v>
      </c>
      <c r="F69" s="183" t="n">
        <v>46162</v>
      </c>
      <c r="G69" s="183" t="n">
        <v>46162</v>
      </c>
      <c r="H69" s="183">
        <f>F69</f>
        <v/>
      </c>
      <c r="I69" s="182" t="inlineStr">
        <is>
          <t>GG012601＊</t>
        </is>
      </c>
      <c r="J69" s="184" t="inlineStr"/>
    </row>
    <row r="70">
      <c r="A70" s="182" t="n">
        <v>69</v>
      </c>
      <c r="B70" s="181" t="inlineStr">
        <is>
          <t>JD012601*</t>
        </is>
      </c>
      <c r="C70" s="181" t="inlineStr">
        <is>
          <t>P060312</t>
        </is>
      </c>
      <c r="D70" s="183" t="n">
        <v>46108</v>
      </c>
      <c r="E70" s="183" t="n">
        <v>46108</v>
      </c>
      <c r="F70" s="183" t="n">
        <v>46163</v>
      </c>
      <c r="G70" s="183" t="n">
        <v>46163</v>
      </c>
      <c r="H70" s="183">
        <f>F70</f>
        <v/>
      </c>
      <c r="I70" s="182" t="inlineStr">
        <is>
          <t>JD012601＊</t>
        </is>
      </c>
      <c r="J70" s="184" t="inlineStr"/>
    </row>
    <row r="71">
      <c r="A71" s="182" t="n">
        <v>70</v>
      </c>
      <c r="B71" s="181" t="inlineStr">
        <is>
          <t>FB012601/1</t>
        </is>
      </c>
      <c r="C71" s="181" t="inlineStr">
        <is>
          <t>P060322</t>
        </is>
      </c>
      <c r="D71" s="183" t="n">
        <v>46108</v>
      </c>
      <c r="E71" s="183" t="n">
        <v>46108</v>
      </c>
      <c r="F71" s="183" t="n">
        <v>46164</v>
      </c>
      <c r="G71" s="183" t="n">
        <v>46164</v>
      </c>
      <c r="H71" s="183">
        <f>F71</f>
        <v/>
      </c>
      <c r="I71" s="182" t="inlineStr">
        <is>
          <t>FB012601_1</t>
        </is>
      </c>
      <c r="J71" s="184" t="inlineStr"/>
    </row>
    <row r="72">
      <c r="A72" s="182" t="n">
        <v>71</v>
      </c>
      <c r="B72" s="181" t="inlineStr">
        <is>
          <t>CC012601/1</t>
        </is>
      </c>
      <c r="C72" s="181" t="inlineStr">
        <is>
          <t>P060332</t>
        </is>
      </c>
      <c r="D72" s="183" t="n">
        <v>46128</v>
      </c>
      <c r="E72" s="183" t="n">
        <v>46128</v>
      </c>
      <c r="F72" s="183" t="n">
        <v>46164</v>
      </c>
      <c r="G72" s="183" t="n">
        <v>46164</v>
      </c>
      <c r="H72" s="183">
        <f>F72</f>
        <v/>
      </c>
      <c r="I72" s="182" t="inlineStr">
        <is>
          <t>CC012601/1</t>
        </is>
      </c>
      <c r="J72" s="184" t="inlineStr"/>
    </row>
    <row r="73">
      <c r="A73" s="182" t="n">
        <v>72</v>
      </c>
      <c r="B73" s="181" t="inlineStr">
        <is>
          <t>SCR012601*</t>
        </is>
      </c>
      <c r="C73" s="181" t="inlineStr">
        <is>
          <t>P060342</t>
        </is>
      </c>
      <c r="D73" s="183" t="n">
        <v>46128</v>
      </c>
      <c r="E73" s="183" t="n">
        <v>46128</v>
      </c>
      <c r="F73" s="183" t="n">
        <v>46167</v>
      </c>
      <c r="G73" s="183" t="n">
        <v>46167</v>
      </c>
      <c r="H73" s="183">
        <f>F73</f>
        <v/>
      </c>
      <c r="I73" s="182" t="inlineStr">
        <is>
          <t>P060342</t>
        </is>
      </c>
      <c r="J73" s="184" t="inlineStr"/>
    </row>
    <row r="74">
      <c r="A74" s="182" t="n">
        <v>73</v>
      </c>
      <c r="B74" s="181" t="inlineStr">
        <is>
          <t>FB012602*</t>
        </is>
      </c>
      <c r="C74" s="181" t="inlineStr">
        <is>
          <t>P060352</t>
        </is>
      </c>
      <c r="D74" s="183" t="n">
        <v>46128</v>
      </c>
      <c r="E74" s="183" t="n">
        <v>46128</v>
      </c>
      <c r="F74" s="183" t="n">
        <v>46165</v>
      </c>
      <c r="G74" s="183" t="n">
        <v>46165</v>
      </c>
      <c r="H74" s="183">
        <f>F74</f>
        <v/>
      </c>
      <c r="I74" s="182" t="inlineStr">
        <is>
          <t>FB012602*</t>
        </is>
      </c>
      <c r="J74" s="184" t="inlineStr"/>
    </row>
    <row r="75">
      <c r="A75" s="182" t="n">
        <v>74</v>
      </c>
      <c r="B75" s="181" t="inlineStr">
        <is>
          <t>JD012603/01</t>
        </is>
      </c>
      <c r="C75" s="181" t="inlineStr">
        <is>
          <t>P060362</t>
        </is>
      </c>
      <c r="D75" s="183" t="n">
        <v>46134</v>
      </c>
      <c r="E75" s="183" t="n">
        <v>46134</v>
      </c>
      <c r="F75" s="183" t="n">
        <v>46165</v>
      </c>
      <c r="G75" s="183" t="n">
        <v>46165</v>
      </c>
      <c r="H75" s="183">
        <f>F75</f>
        <v/>
      </c>
      <c r="I75" s="182" t="inlineStr">
        <is>
          <t>JD012603</t>
        </is>
      </c>
      <c r="J75" s="184" t="inlineStr"/>
    </row>
    <row r="76">
      <c r="A76" s="182" t="n">
        <v>75</v>
      </c>
      <c r="B76" s="181" t="inlineStr">
        <is>
          <t>CC012603</t>
        </is>
      </c>
      <c r="C76" s="181" t="inlineStr">
        <is>
          <t>P060372</t>
        </is>
      </c>
      <c r="D76" s="183" t="n">
        <v>46134</v>
      </c>
      <c r="E76" s="183" t="n">
        <v>46134</v>
      </c>
      <c r="F76" s="183" t="n">
        <v>46166</v>
      </c>
      <c r="G76" s="183" t="n">
        <v>46166</v>
      </c>
      <c r="H76" s="183">
        <f>F76</f>
        <v/>
      </c>
      <c r="I76" s="189" t="inlineStr">
        <is>
          <t>— not on the tracker —</t>
        </is>
      </c>
      <c r="J76" s="184" t="inlineStr"/>
    </row>
    <row r="77">
      <c r="A77" s="182" t="n">
        <v>76</v>
      </c>
      <c r="B77" s="181" t="inlineStr">
        <is>
          <t>SCR012603</t>
        </is>
      </c>
      <c r="C77" s="181" t="inlineStr">
        <is>
          <t>P060382</t>
        </is>
      </c>
      <c r="D77" s="183" t="n">
        <v>46134</v>
      </c>
      <c r="E77" s="183" t="n">
        <v>46134</v>
      </c>
      <c r="F77" s="183" t="n">
        <v>46167</v>
      </c>
      <c r="G77" s="183" t="n">
        <v>46167</v>
      </c>
      <c r="H77" s="183">
        <f>F77</f>
        <v/>
      </c>
      <c r="I77" s="182" t="inlineStr">
        <is>
          <t>SCR012603</t>
        </is>
      </c>
      <c r="J77" s="184" t="inlineStr"/>
    </row>
    <row r="78">
      <c r="A78" s="182" t="n">
        <v>77</v>
      </c>
      <c r="B78" s="181" t="inlineStr">
        <is>
          <t>FB012603V</t>
        </is>
      </c>
      <c r="C78" s="181" t="inlineStr">
        <is>
          <t>P060392</t>
        </is>
      </c>
      <c r="D78" s="183" t="n">
        <v>46141</v>
      </c>
      <c r="E78" s="183" t="n">
        <v>46141</v>
      </c>
      <c r="F78" s="183" t="n">
        <v>46165</v>
      </c>
      <c r="G78" s="183" t="n">
        <v>46165</v>
      </c>
      <c r="H78" s="183">
        <f>F78</f>
        <v/>
      </c>
      <c r="I78" s="182" t="inlineStr">
        <is>
          <t>FB012603V</t>
        </is>
      </c>
      <c r="J78" s="184" t="inlineStr"/>
    </row>
    <row r="79">
      <c r="A79" s="182" t="n">
        <v>78</v>
      </c>
      <c r="B79" s="181" t="inlineStr">
        <is>
          <t>GG012603</t>
        </is>
      </c>
      <c r="C79" s="181" t="inlineStr">
        <is>
          <t>P060402</t>
        </is>
      </c>
      <c r="D79" s="183" t="n">
        <v>46146</v>
      </c>
      <c r="E79" s="183" t="n">
        <v>46146</v>
      </c>
      <c r="F79" s="183" t="n">
        <v>46166</v>
      </c>
      <c r="G79" s="183" t="n">
        <v>46166</v>
      </c>
      <c r="H79" s="183">
        <f>F79</f>
        <v/>
      </c>
      <c r="I79" s="182" t="inlineStr">
        <is>
          <t>GG012603</t>
        </is>
      </c>
      <c r="J79" s="184" t="inlineStr"/>
    </row>
    <row r="80">
      <c r="A80" s="182" t="n">
        <v>79</v>
      </c>
      <c r="B80" s="181" t="inlineStr">
        <is>
          <t>JD012603/02</t>
        </is>
      </c>
      <c r="C80" s="181" t="inlineStr">
        <is>
          <t>P060412</t>
        </is>
      </c>
      <c r="D80" s="183" t="n">
        <v>46146</v>
      </c>
      <c r="E80" s="183" t="n">
        <v>46146</v>
      </c>
      <c r="F80" s="183" t="n">
        <v>46166</v>
      </c>
      <c r="G80" s="183" t="n">
        <v>46166</v>
      </c>
      <c r="H80" s="183">
        <f>F80</f>
        <v/>
      </c>
      <c r="I80" s="182" t="inlineStr">
        <is>
          <t>JD012603</t>
        </is>
      </c>
      <c r="J80" s="184" t="inlineStr"/>
    </row>
    <row r="81">
      <c r="A81" s="182" t="n">
        <v>80</v>
      </c>
      <c r="B81" s="181" t="inlineStr">
        <is>
          <t>JD012603/02V</t>
        </is>
      </c>
      <c r="C81" s="181" t="inlineStr">
        <is>
          <t>P060422</t>
        </is>
      </c>
      <c r="D81" s="183" t="n">
        <v>46141</v>
      </c>
      <c r="E81" s="183" t="n">
        <v>46141</v>
      </c>
      <c r="F81" s="183" t="n">
        <v>46165</v>
      </c>
      <c r="G81" s="183" t="n">
        <v>46165</v>
      </c>
      <c r="H81" s="183">
        <f>F81</f>
        <v/>
      </c>
      <c r="I81" s="182" t="inlineStr">
        <is>
          <t>JD012603</t>
        </is>
      </c>
      <c r="J81" s="184" t="inlineStr"/>
    </row>
    <row r="82">
      <c r="A82" s="182" t="n">
        <v>81</v>
      </c>
      <c r="B82" s="181" t="inlineStr">
        <is>
          <t>FB012603</t>
        </is>
      </c>
      <c r="C82" s="181" t="inlineStr">
        <is>
          <t>P060432</t>
        </is>
      </c>
      <c r="D82" s="183" t="n">
        <v>46146</v>
      </c>
      <c r="E82" s="183" t="n">
        <v>46146</v>
      </c>
      <c r="F82" s="183" t="n">
        <v>46188</v>
      </c>
      <c r="G82" s="183" t="n">
        <v>46188</v>
      </c>
      <c r="H82" s="183">
        <f>F82</f>
        <v/>
      </c>
      <c r="I82" s="182" t="inlineStr">
        <is>
          <t>FB012603</t>
        </is>
      </c>
      <c r="J82" s="184" t="inlineStr"/>
    </row>
    <row r="83">
      <c r="A83" s="182" t="n">
        <v>82</v>
      </c>
      <c r="B83" s="181" t="inlineStr">
        <is>
          <t>SCR022601</t>
        </is>
      </c>
      <c r="C83" s="181" t="inlineStr">
        <is>
          <t>P060442</t>
        </is>
      </c>
      <c r="D83" s="183" t="n">
        <v>46155</v>
      </c>
      <c r="E83" s="183" t="n">
        <v>46155</v>
      </c>
      <c r="F83" s="183" t="n">
        <v>46191</v>
      </c>
      <c r="G83" s="183" t="n">
        <v>46191</v>
      </c>
      <c r="H83" s="183">
        <f>F83</f>
        <v/>
      </c>
      <c r="I83" s="182" t="inlineStr">
        <is>
          <t>SCR022601</t>
        </is>
      </c>
      <c r="J83" s="184" t="inlineStr"/>
    </row>
    <row r="84">
      <c r="A84" s="182" t="n">
        <v>83</v>
      </c>
      <c r="B84" s="181" t="inlineStr">
        <is>
          <t>FB032601</t>
        </is>
      </c>
      <c r="C84" s="181" t="inlineStr">
        <is>
          <t>P060452</t>
        </is>
      </c>
      <c r="D84" s="183" t="n">
        <v>46175</v>
      </c>
      <c r="E84" s="183" t="n">
        <v>46175</v>
      </c>
      <c r="F84" s="183" t="n">
        <v>46202</v>
      </c>
      <c r="G84" s="183" t="n">
        <v>46202</v>
      </c>
      <c r="H84" s="183">
        <f>F84</f>
        <v/>
      </c>
      <c r="I84" s="182" t="inlineStr">
        <is>
          <t>FB032601</t>
        </is>
      </c>
      <c r="J84" s="184" t="inlineStr"/>
    </row>
    <row r="85">
      <c r="A85" s="182" t="n">
        <v>84</v>
      </c>
      <c r="B85" s="181" t="inlineStr">
        <is>
          <t>GG032601</t>
        </is>
      </c>
      <c r="C85" s="181" t="inlineStr">
        <is>
          <t>P060462</t>
        </is>
      </c>
      <c r="D85" s="183" t="n">
        <v>46189</v>
      </c>
      <c r="E85" s="183" t="n">
        <v>46189</v>
      </c>
      <c r="F85" s="183" t="n">
        <v>46219</v>
      </c>
      <c r="G85" s="183" t="n">
        <v>46219</v>
      </c>
      <c r="H85" s="183">
        <f>F85</f>
        <v/>
      </c>
      <c r="I85" s="182" t="inlineStr">
        <is>
          <t>GG032601</t>
        </is>
      </c>
      <c r="J85" s="184" t="inlineStr"/>
    </row>
    <row r="86">
      <c r="A86" s="182" t="n">
        <v>85</v>
      </c>
      <c r="B86" s="181" t="inlineStr">
        <is>
          <t>JD032601</t>
        </is>
      </c>
      <c r="C86" s="181" t="inlineStr">
        <is>
          <t>P060472</t>
        </is>
      </c>
      <c r="D86" s="183" t="n">
        <v>46197</v>
      </c>
      <c r="E86" s="183" t="n">
        <v>46197</v>
      </c>
      <c r="F86" s="183" t="n">
        <v>46224</v>
      </c>
      <c r="G86" s="183" t="n">
        <v>46224</v>
      </c>
      <c r="H86" s="183">
        <f>F86</f>
        <v/>
      </c>
      <c r="I86" s="189" t="inlineStr">
        <is>
          <t>— not on the tracker —</t>
        </is>
      </c>
      <c r="J86" s="184" t="inlineStr"/>
    </row>
    <row r="87">
      <c r="A87" s="182" t="n">
        <v>86</v>
      </c>
      <c r="B87" s="181" t="inlineStr">
        <is>
          <t>JD022601</t>
        </is>
      </c>
      <c r="C87" s="181" t="inlineStr">
        <is>
          <t>P060482</t>
        </is>
      </c>
      <c r="D87" s="183" t="n">
        <v>46160</v>
      </c>
      <c r="E87" s="183" t="n">
        <v>46160</v>
      </c>
      <c r="F87" s="183" t="n">
        <v>46239</v>
      </c>
      <c r="G87" s="183" t="n">
        <v>46239</v>
      </c>
      <c r="H87" s="183">
        <f>F87</f>
        <v/>
      </c>
      <c r="I87" s="182" t="inlineStr">
        <is>
          <t>JD022601</t>
        </is>
      </c>
      <c r="J87" s="184" t="inlineStr"/>
    </row>
    <row r="88">
      <c r="A88" s="182" t="n">
        <v>87</v>
      </c>
      <c r="B88" s="181" t="inlineStr">
        <is>
          <t>JD042601</t>
        </is>
      </c>
      <c r="C88" s="181" t="inlineStr">
        <is>
          <t>P060492</t>
        </is>
      </c>
      <c r="D88" s="183" t="n">
        <v>46224</v>
      </c>
      <c r="E88" s="183" t="n">
        <v>46224</v>
      </c>
      <c r="F88" s="183" t="n">
        <v>46247</v>
      </c>
      <c r="G88" s="183" t="n">
        <v>46247</v>
      </c>
      <c r="H88" s="183">
        <f>F88</f>
        <v/>
      </c>
      <c r="I88" s="189" t="inlineStr">
        <is>
          <t>— not on the tracker —</t>
        </is>
      </c>
      <c r="J88" s="184" t="inlineStr"/>
    </row>
    <row r="90" ht="52" customHeight="1" s="70">
      <c r="A90" s="17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20" customWidth="1" style="70" min="4" max="4"/>
    <col width="18" customWidth="1" style="70" min="5" max="5"/>
    <col width="16" customWidth="1" style="70" min="6" max="6"/>
    <col width="16" customWidth="1" style="70" min="7" max="7"/>
    <col width="20" customWidth="1" style="70" min="8" max="8"/>
    <col width="16" customWidth="1" style="70" min="9" max="9"/>
    <col width="12" customWidth="1" style="70" min="10" max="10"/>
    <col width="20" customWidth="1" style="70" min="11" max="11"/>
    <col width="22" customWidth="1" style="70" min="12" max="12"/>
    <col width="34" customWidth="1" style="70" min="13" max="13"/>
    <col width="24" customWidth="1" style="70" min="14" max="14"/>
    <col width="34" customWidth="1" style="70" min="15" max="15"/>
    <col width="28" customWidth="1" style="70" min="16" max="16"/>
    <col width="22" customWidth="1" style="70" min="17" max="17"/>
    <col width="18" customWidth="1" style="70" min="18" max="18"/>
    <col width="60" customWidth="1" style="70" min="19" max="19"/>
  </cols>
  <sheetData>
    <row r="1" ht="22" customHeight="1" s="70">
      <c r="A1" s="119" t="inlineStr">
        <is>
          <t>No.</t>
        </is>
      </c>
      <c r="B1" s="119" t="inlineStr">
        <is>
          <t>iCoA code</t>
        </is>
      </c>
      <c r="C1" s="119" t="inlineStr">
        <is>
          <t>Issuable</t>
        </is>
      </c>
      <c r="D1" s="119" t="inlineStr">
        <is>
          <t>Issue date (preliminary)</t>
        </is>
      </c>
      <c r="E1" s="119" t="inlineStr">
        <is>
          <t>Earliest permissible</t>
        </is>
      </c>
      <c r="F1" s="119" t="inlineStr">
        <is>
          <t>Basis — sampling at packaging</t>
        </is>
      </c>
      <c r="G1" s="119" t="inlineStr">
        <is>
          <t>Packaging complete</t>
        </is>
      </c>
      <c r="H1" s="119" t="inlineStr">
        <is>
          <t>Series</t>
        </is>
      </c>
      <c r="I1" s="119" t="inlineStr">
        <is>
          <t>CU Batch</t>
        </is>
      </c>
      <c r="J1" s="119" t="inlineStr">
        <is>
          <t>P Batch</t>
        </is>
      </c>
      <c r="K1" s="119" t="inlineStr">
        <is>
          <t>Strain</t>
        </is>
      </c>
      <c r="L1" s="119" t="inlineStr">
        <is>
          <t>iCoA scope</t>
        </is>
      </c>
      <c r="M1" s="119" t="inlineStr">
        <is>
          <t>Master</t>
        </is>
      </c>
      <c r="N1" s="119" t="inlineStr">
        <is>
          <t>CNP reference</t>
        </is>
      </c>
      <c r="O1" s="119" t="inlineStr">
        <is>
          <t>Ident C — eCoA</t>
        </is>
      </c>
      <c r="P1" s="119" t="inlineStr">
        <is>
          <t>CoQ</t>
        </is>
      </c>
      <c r="Q1" s="119" t="inlineStr">
        <is>
          <t>Plan reference (31.08.2026)</t>
        </is>
      </c>
      <c r="R1" s="119" t="inlineStr">
        <is>
          <t>Key</t>
        </is>
      </c>
      <c r="S1" s="119" t="inlineStr">
        <is>
          <t>Status</t>
        </is>
      </c>
    </row>
    <row r="2">
      <c r="A2" s="182">
        <f>IF(C2="yes",COUNT(A$1:A1)+1,"")</f>
        <v/>
      </c>
      <c r="B2" s="181">
        <f>IF(A2="","— at issue —","iCoA-PP_26-"&amp;TEXT(A2,"000"))</f>
        <v/>
      </c>
      <c r="C2" s="188" t="inlineStr">
        <is>
          <t>yes</t>
        </is>
      </c>
      <c r="D2" s="183">
        <f>IF(A2="","",E2)</f>
        <v/>
      </c>
      <c r="E2" s="183">
        <f>IF(AND(C2="yes",ISNUMBER(G2)),MAX(DATE(2026,5,11),G2),"")</f>
        <v/>
      </c>
      <c r="F2" s="183">
        <f>IFERROR(INDEX('Batch Dates'!$F:$F,MATCH(J2,'Batch Dates'!$C:$C,0)),IFERROR(INDEX('Batch Dates'!$F:$F,MATCH(I2,'Batch Dates'!$B:$B,0)),""))</f>
        <v/>
      </c>
      <c r="G2" s="183">
        <f>IFERROR(INDEX('Batch Dates'!$G:$G,MATCH(J2,'Batch Dates'!$C:$C,0)),IFERROR(INDEX('Batch Dates'!$G:$G,MATCH(I2,'Batch Dates'!$B:$B,0)),""))</f>
        <v/>
      </c>
      <c r="H2" s="182" t="inlineStr">
        <is>
          <t>initial release</t>
        </is>
      </c>
      <c r="I2" s="181" t="inlineStr">
        <is>
          <t>CJ1024</t>
        </is>
      </c>
      <c r="J2" s="182" t="inlineStr">
        <is>
          <t>N/A — no P batch assigned</t>
        </is>
      </c>
      <c r="K2" s="182" t="inlineStr">
        <is>
          <t>Cap Junky</t>
        </is>
      </c>
      <c r="L2" s="182" t="inlineStr">
        <is>
          <t>Ident A + Ident B</t>
        </is>
      </c>
      <c r="M2" s="182" t="inlineStr">
        <is>
          <t>iCoA_P01-02 · Appearance &amp; Identification A/B</t>
        </is>
      </c>
      <c r="N2" s="189" t="inlineStr">
        <is>
          <t>—</t>
        </is>
      </c>
      <c r="O2" s="182" t="inlineStr">
        <is>
          <t>ППК25052, (26.02.2025) [CNP]</t>
        </is>
      </c>
      <c r="P2" s="182" t="inlineStr">
        <is>
          <t>(assigned on issue)</t>
        </is>
      </c>
      <c r="Q2" s="189" t="inlineStr">
        <is>
          <t>—</t>
        </is>
      </c>
      <c r="R2" s="182" t="inlineStr">
        <is>
          <t>CJ1024|AB|I</t>
        </is>
      </c>
      <c r="S2" s="192" t="inlineStr">
        <is>
          <t>registered — preliminary date, QC sets the real date at issue</t>
        </is>
      </c>
    </row>
    <row r="3">
      <c r="A3" s="182">
        <f>IF(C3="yes",COUNT(A$1:A2)+1,"")</f>
        <v/>
      </c>
      <c r="B3" s="181">
        <f>IF(A3="","— at issue —","iCoA-PP_26-"&amp;TEXT(A3,"000"))</f>
        <v/>
      </c>
      <c r="C3" s="188" t="inlineStr">
        <is>
          <t>yes</t>
        </is>
      </c>
      <c r="D3" s="183">
        <f>IF(A3="","",E3)</f>
        <v/>
      </c>
      <c r="E3" s="183">
        <f>IF(AND(C3="yes",ISNUMBER(G3)),MAX(DATE(2026,5,11),G3),"")</f>
        <v/>
      </c>
      <c r="F3" s="183">
        <f>IFERROR(INDEX('Batch Dates'!$F:$F,MATCH(J3,'Batch Dates'!$C:$C,0)),IFERROR(INDEX('Batch Dates'!$F:$F,MATCH(I3,'Batch Dates'!$B:$B,0)),""))</f>
        <v/>
      </c>
      <c r="G3" s="183">
        <f>IFERROR(INDEX('Batch Dates'!$G:$G,MATCH(J3,'Batch Dates'!$C:$C,0)),IFERROR(INDEX('Batch Dates'!$G:$G,MATCH(I3,'Batch Dates'!$B:$B,0)),""))</f>
        <v/>
      </c>
      <c r="H3" s="182" t="inlineStr">
        <is>
          <t>initial release</t>
        </is>
      </c>
      <c r="I3" s="181" t="inlineStr">
        <is>
          <t>CJ1024</t>
        </is>
      </c>
      <c r="J3" s="182" t="inlineStr">
        <is>
          <t>N/A — no P batch assigned</t>
        </is>
      </c>
      <c r="K3" s="182" t="inlineStr">
        <is>
          <t>Cap Junky</t>
        </is>
      </c>
      <c r="L3" s="182" t="inlineStr">
        <is>
          <t>Foreign matter</t>
        </is>
      </c>
      <c r="M3" s="182" t="inlineStr">
        <is>
          <t>iCoA_P07 · Foreign matter</t>
        </is>
      </c>
      <c r="N3" s="189" t="inlineStr">
        <is>
          <t>—</t>
        </is>
      </c>
      <c r="O3" s="182" t="inlineStr">
        <is>
          <t>ППК25052, (26.02.2025) [CNP]</t>
        </is>
      </c>
      <c r="P3" s="182" t="inlineStr">
        <is>
          <t>(assigned on issue)</t>
        </is>
      </c>
      <c r="Q3" s="189" t="inlineStr">
        <is>
          <t>—</t>
        </is>
      </c>
      <c r="R3" s="182" t="inlineStr">
        <is>
          <t>CJ1024|FM|I</t>
        </is>
      </c>
      <c r="S3" s="192" t="inlineStr">
        <is>
          <t>registered — preliminary date, QC sets the real date at issue</t>
        </is>
      </c>
    </row>
    <row r="4">
      <c r="A4" s="182">
        <f>IF(C4="yes",COUNT(A$1:A3)+1,"")</f>
        <v/>
      </c>
      <c r="B4" s="181">
        <f>IF(A4="","— at issue —","iCoA-PP_26-"&amp;TEXT(A4,"000"))</f>
        <v/>
      </c>
      <c r="C4" s="188" t="inlineStr">
        <is>
          <t>yes</t>
        </is>
      </c>
      <c r="D4" s="183">
        <f>IF(A4="","",E4)</f>
        <v/>
      </c>
      <c r="E4" s="183">
        <f>IF(AND(C4="yes",ISNUMBER(G4)),MAX(DATE(2026,5,11),G4),"")</f>
        <v/>
      </c>
      <c r="F4" s="183">
        <f>IFERROR(INDEX('Batch Dates'!$F:$F,MATCH(J4,'Batch Dates'!$C:$C,0)),IFERROR(INDEX('Batch Dates'!$F:$F,MATCH(I4,'Batch Dates'!$B:$B,0)),""))</f>
        <v/>
      </c>
      <c r="G4" s="183">
        <f>IFERROR(INDEX('Batch Dates'!$G:$G,MATCH(J4,'Batch Dates'!$C:$C,0)),IFERROR(INDEX('Batch Dates'!$G:$G,MATCH(I4,'Batch Dates'!$B:$B,0)),""))</f>
        <v/>
      </c>
      <c r="H4" s="182" t="inlineStr">
        <is>
          <t>initial release</t>
        </is>
      </c>
      <c r="I4" s="181" t="inlineStr">
        <is>
          <t>BSS1024</t>
        </is>
      </c>
      <c r="J4" s="182" t="inlineStr">
        <is>
          <t>N/A — no P batch assigned</t>
        </is>
      </c>
      <c r="K4" s="182" t="inlineStr">
        <is>
          <t>Blue Sunset Sherbet</t>
        </is>
      </c>
      <c r="L4" s="182" t="inlineStr">
        <is>
          <t>Ident A + Ident B</t>
        </is>
      </c>
      <c r="M4" s="182" t="inlineStr">
        <is>
          <t>iCoA_P01-02 · Appearance &amp; Identification A/B</t>
        </is>
      </c>
      <c r="N4" s="189" t="inlineStr">
        <is>
          <t>—</t>
        </is>
      </c>
      <c r="O4" s="182" t="inlineStr">
        <is>
          <t>ППК25051, (26.02.2025) [CNP]</t>
        </is>
      </c>
      <c r="P4" s="182" t="inlineStr">
        <is>
          <t>CoQ-PP-2025-0001</t>
        </is>
      </c>
      <c r="Q4" s="182" t="inlineStr">
        <is>
          <t>iCoA-PP-2025-0001</t>
        </is>
      </c>
      <c r="R4" s="182" t="inlineStr">
        <is>
          <t>BSS1024|AB|I</t>
        </is>
      </c>
      <c r="S4" s="192" t="inlineStr">
        <is>
          <t>registered — preliminary date, QC sets the real date at issue</t>
        </is>
      </c>
    </row>
    <row r="5">
      <c r="A5" s="182">
        <f>IF(C5="yes",COUNT(A$1:A4)+1,"")</f>
        <v/>
      </c>
      <c r="B5" s="181">
        <f>IF(A5="","— at issue —","iCoA-PP_26-"&amp;TEXT(A5,"000"))</f>
        <v/>
      </c>
      <c r="C5" s="188" t="inlineStr">
        <is>
          <t>yes</t>
        </is>
      </c>
      <c r="D5" s="183">
        <f>IF(A5="","",E5)</f>
        <v/>
      </c>
      <c r="E5" s="183">
        <f>IF(AND(C5="yes",ISNUMBER(G5)),MAX(DATE(2026,5,11),G5),"")</f>
        <v/>
      </c>
      <c r="F5" s="183">
        <f>IFERROR(INDEX('Batch Dates'!$F:$F,MATCH(J5,'Batch Dates'!$C:$C,0)),IFERROR(INDEX('Batch Dates'!$F:$F,MATCH(I5,'Batch Dates'!$B:$B,0)),""))</f>
        <v/>
      </c>
      <c r="G5" s="183">
        <f>IFERROR(INDEX('Batch Dates'!$G:$G,MATCH(J5,'Batch Dates'!$C:$C,0)),IFERROR(INDEX('Batch Dates'!$G:$G,MATCH(I5,'Batch Dates'!$B:$B,0)),""))</f>
        <v/>
      </c>
      <c r="H5" s="182" t="inlineStr">
        <is>
          <t>initial release</t>
        </is>
      </c>
      <c r="I5" s="181" t="inlineStr">
        <is>
          <t>BSS1024</t>
        </is>
      </c>
      <c r="J5" s="182" t="inlineStr">
        <is>
          <t>N/A — no P batch assigned</t>
        </is>
      </c>
      <c r="K5" s="182" t="inlineStr">
        <is>
          <t>Blue Sunset Sherbet</t>
        </is>
      </c>
      <c r="L5" s="182" t="inlineStr">
        <is>
          <t>Foreign matter</t>
        </is>
      </c>
      <c r="M5" s="182" t="inlineStr">
        <is>
          <t>iCoA_P07 · Foreign matter</t>
        </is>
      </c>
      <c r="N5" s="189" t="inlineStr">
        <is>
          <t>—</t>
        </is>
      </c>
      <c r="O5" s="182" t="inlineStr">
        <is>
          <t>ППК25051, (26.02.2025) [CNP]</t>
        </is>
      </c>
      <c r="P5" s="182" t="inlineStr">
        <is>
          <t>CoQ-PP-2025-0001</t>
        </is>
      </c>
      <c r="Q5" s="182" t="inlineStr">
        <is>
          <t>iCoA-PP-2025-0001</t>
        </is>
      </c>
      <c r="R5" s="182" t="inlineStr">
        <is>
          <t>BSS1024|FM|I</t>
        </is>
      </c>
      <c r="S5" s="192" t="inlineStr">
        <is>
          <t>registered — preliminary date, QC sets the real date at issue</t>
        </is>
      </c>
    </row>
    <row r="6">
      <c r="A6" s="182">
        <f>IF(C6="yes",COUNT(A$1:A5)+1,"")</f>
        <v/>
      </c>
      <c r="B6" s="181">
        <f>IF(A6="","— at issue —","iCoA-PP_26-"&amp;TEXT(A6,"000"))</f>
        <v/>
      </c>
      <c r="C6" s="188" t="inlineStr">
        <is>
          <t>yes</t>
        </is>
      </c>
      <c r="D6" s="183">
        <f>IF(A6="","",E6)</f>
        <v/>
      </c>
      <c r="E6" s="183">
        <f>IF(AND(C6="yes",ISNUMBER(G6)),MAX(DATE(2026,5,11),G6),"")</f>
        <v/>
      </c>
      <c r="F6" s="183">
        <f>IFERROR(INDEX('Batch Dates'!$F:$F,MATCH(J6,'Batch Dates'!$C:$C,0)),IFERROR(INDEX('Batch Dates'!$F:$F,MATCH(I6,'Batch Dates'!$B:$B,0)),""))</f>
        <v/>
      </c>
      <c r="G6" s="183">
        <f>IFERROR(INDEX('Batch Dates'!$G:$G,MATCH(J6,'Batch Dates'!$C:$C,0)),IFERROR(INDEX('Batch Dates'!$G:$G,MATCH(I6,'Batch Dates'!$B:$B,0)),""))</f>
        <v/>
      </c>
      <c r="H6" s="182" t="inlineStr">
        <is>
          <t>initial release</t>
        </is>
      </c>
      <c r="I6" s="181" t="inlineStr">
        <is>
          <t>BG1024</t>
        </is>
      </c>
      <c r="J6" s="182" t="inlineStr">
        <is>
          <t>N/A — no P batch assigned</t>
        </is>
      </c>
      <c r="K6" s="182" t="inlineStr">
        <is>
          <t>Blue Gelato</t>
        </is>
      </c>
      <c r="L6" s="182" t="inlineStr">
        <is>
          <t>Ident A + Ident B</t>
        </is>
      </c>
      <c r="M6" s="182" t="inlineStr">
        <is>
          <t>iCoA_P01-02 · Appearance &amp; Identification A/B</t>
        </is>
      </c>
      <c r="N6" s="189" t="inlineStr">
        <is>
          <t>—</t>
        </is>
      </c>
      <c r="O6" s="182" t="inlineStr">
        <is>
          <t>ППК25050, (26.02.2025) [CNP]</t>
        </is>
      </c>
      <c r="P6" s="182" t="inlineStr">
        <is>
          <t>CoQ-PP-2025-0002</t>
        </is>
      </c>
      <c r="Q6" s="182" t="inlineStr">
        <is>
          <t>iCoA-PP-2025-0002</t>
        </is>
      </c>
      <c r="R6" s="182" t="inlineStr">
        <is>
          <t>BG1024|AB|I</t>
        </is>
      </c>
      <c r="S6" s="192" t="inlineStr">
        <is>
          <t>registered — preliminary date, QC sets the real date at issue</t>
        </is>
      </c>
    </row>
    <row r="7">
      <c r="A7" s="182">
        <f>IF(C7="yes",COUNT(A$1:A6)+1,"")</f>
        <v/>
      </c>
      <c r="B7" s="181">
        <f>IF(A7="","— at issue —","iCoA-PP_26-"&amp;TEXT(A7,"000"))</f>
        <v/>
      </c>
      <c r="C7" s="188" t="inlineStr">
        <is>
          <t>yes</t>
        </is>
      </c>
      <c r="D7" s="183">
        <f>IF(A7="","",E7)</f>
        <v/>
      </c>
      <c r="E7" s="183">
        <f>IF(AND(C7="yes",ISNUMBER(G7)),MAX(DATE(2026,5,11),G7),"")</f>
        <v/>
      </c>
      <c r="F7" s="183">
        <f>IFERROR(INDEX('Batch Dates'!$F:$F,MATCH(J7,'Batch Dates'!$C:$C,0)),IFERROR(INDEX('Batch Dates'!$F:$F,MATCH(I7,'Batch Dates'!$B:$B,0)),""))</f>
        <v/>
      </c>
      <c r="G7" s="183">
        <f>IFERROR(INDEX('Batch Dates'!$G:$G,MATCH(J7,'Batch Dates'!$C:$C,0)),IFERROR(INDEX('Batch Dates'!$G:$G,MATCH(I7,'Batch Dates'!$B:$B,0)),""))</f>
        <v/>
      </c>
      <c r="H7" s="182" t="inlineStr">
        <is>
          <t>initial release</t>
        </is>
      </c>
      <c r="I7" s="181" t="inlineStr">
        <is>
          <t>BG1024</t>
        </is>
      </c>
      <c r="J7" s="182" t="inlineStr">
        <is>
          <t>N/A — no P batch assigned</t>
        </is>
      </c>
      <c r="K7" s="182" t="inlineStr">
        <is>
          <t>Blue Gelato</t>
        </is>
      </c>
      <c r="L7" s="182" t="inlineStr">
        <is>
          <t>Foreign matter</t>
        </is>
      </c>
      <c r="M7" s="182" t="inlineStr">
        <is>
          <t>iCoA_P07 · Foreign matter</t>
        </is>
      </c>
      <c r="N7" s="189" t="inlineStr">
        <is>
          <t>—</t>
        </is>
      </c>
      <c r="O7" s="182" t="inlineStr">
        <is>
          <t>ППК25050, (26.02.2025) [CNP]</t>
        </is>
      </c>
      <c r="P7" s="182" t="inlineStr">
        <is>
          <t>CoQ-PP-2025-0002</t>
        </is>
      </c>
      <c r="Q7" s="182" t="inlineStr">
        <is>
          <t>iCoA-PP-2025-0002</t>
        </is>
      </c>
      <c r="R7" s="182" t="inlineStr">
        <is>
          <t>BG1024|FM|I</t>
        </is>
      </c>
      <c r="S7" s="192" t="inlineStr">
        <is>
          <t>registered — preliminary date, QC sets the real date at issue</t>
        </is>
      </c>
    </row>
    <row r="8">
      <c r="A8" s="182">
        <f>IF(C8="yes",COUNT(A$1:A7)+1,"")</f>
        <v/>
      </c>
      <c r="B8" s="181">
        <f>IF(A8="","— at issue —","iCoA-PP_26-"&amp;TEXT(A8,"000"))</f>
        <v/>
      </c>
      <c r="C8" s="188" t="inlineStr">
        <is>
          <t>yes</t>
        </is>
      </c>
      <c r="D8" s="183">
        <f>IF(A8="","",E8)</f>
        <v/>
      </c>
      <c r="E8" s="183">
        <f>IF(AND(C8="yes",ISNUMBER(G8)),MAX(DATE(2026,5,11),G8),"")</f>
        <v/>
      </c>
      <c r="F8" s="183">
        <f>IFERROR(INDEX('Batch Dates'!$F:$F,MATCH(J8,'Batch Dates'!$C:$C,0)),IFERROR(INDEX('Batch Dates'!$F:$F,MATCH(I8,'Batch Dates'!$B:$B,0)),""))</f>
        <v/>
      </c>
      <c r="G8" s="183">
        <f>IFERROR(INDEX('Batch Dates'!$G:$G,MATCH(J8,'Batch Dates'!$C:$C,0)),IFERROR(INDEX('Batch Dates'!$G:$G,MATCH(I8,'Batch Dates'!$B:$B,0)),""))</f>
        <v/>
      </c>
      <c r="H8" s="182" t="inlineStr">
        <is>
          <t>initial release</t>
        </is>
      </c>
      <c r="I8" s="181" t="inlineStr">
        <is>
          <t>GG1024</t>
        </is>
      </c>
      <c r="J8" s="182" t="inlineStr">
        <is>
          <t>N/A — no P batch assigned</t>
        </is>
      </c>
      <c r="K8" s="182" t="inlineStr">
        <is>
          <t>Gorilla Glue</t>
        </is>
      </c>
      <c r="L8" s="182" t="inlineStr">
        <is>
          <t>Ident A + Ident B</t>
        </is>
      </c>
      <c r="M8" s="182" t="inlineStr">
        <is>
          <t>iCoA_P01-02 · Appearance &amp; Identification A/B</t>
        </is>
      </c>
      <c r="N8" s="189" t="inlineStr">
        <is>
          <t>—</t>
        </is>
      </c>
      <c r="O8" s="189" t="inlineStr">
        <is>
          <t>— no cannabinoid certificate —</t>
        </is>
      </c>
      <c r="P8" s="182" t="inlineStr">
        <is>
          <t>CoQ-PP-2025-0003</t>
        </is>
      </c>
      <c r="Q8" s="182" t="inlineStr">
        <is>
          <t>iCoA-PP-2025-0003</t>
        </is>
      </c>
      <c r="R8" s="182" t="inlineStr">
        <is>
          <t>GG1024|AB|I</t>
        </is>
      </c>
      <c r="S8" s="192" t="inlineStr">
        <is>
          <t>registered — preliminary date, QC sets the real date at issue</t>
        </is>
      </c>
    </row>
    <row r="9">
      <c r="A9" s="182">
        <f>IF(C9="yes",COUNT(A$1:A8)+1,"")</f>
        <v/>
      </c>
      <c r="B9" s="181">
        <f>IF(A9="","— at issue —","iCoA-PP_26-"&amp;TEXT(A9,"000"))</f>
        <v/>
      </c>
      <c r="C9" s="188" t="inlineStr">
        <is>
          <t>yes</t>
        </is>
      </c>
      <c r="D9" s="183">
        <f>IF(A9="","",E9)</f>
        <v/>
      </c>
      <c r="E9" s="183">
        <f>IF(AND(C9="yes",ISNUMBER(G9)),MAX(DATE(2026,5,11),G9),"")</f>
        <v/>
      </c>
      <c r="F9" s="183">
        <f>IFERROR(INDEX('Batch Dates'!$F:$F,MATCH(J9,'Batch Dates'!$C:$C,0)),IFERROR(INDEX('Batch Dates'!$F:$F,MATCH(I9,'Batch Dates'!$B:$B,0)),""))</f>
        <v/>
      </c>
      <c r="G9" s="183">
        <f>IFERROR(INDEX('Batch Dates'!$G:$G,MATCH(J9,'Batch Dates'!$C:$C,0)),IFERROR(INDEX('Batch Dates'!$G:$G,MATCH(I9,'Batch Dates'!$B:$B,0)),""))</f>
        <v/>
      </c>
      <c r="H9" s="182" t="inlineStr">
        <is>
          <t>initial release</t>
        </is>
      </c>
      <c r="I9" s="181" t="inlineStr">
        <is>
          <t>GG1024</t>
        </is>
      </c>
      <c r="J9" s="182" t="inlineStr">
        <is>
          <t>N/A — no P batch assigned</t>
        </is>
      </c>
      <c r="K9" s="182" t="inlineStr">
        <is>
          <t>Gorilla Glue</t>
        </is>
      </c>
      <c r="L9" s="182" t="inlineStr">
        <is>
          <t>Foreign matter</t>
        </is>
      </c>
      <c r="M9" s="182" t="inlineStr">
        <is>
          <t>iCoA_P07 · Foreign matter</t>
        </is>
      </c>
      <c r="N9" s="189" t="inlineStr">
        <is>
          <t>—</t>
        </is>
      </c>
      <c r="O9" s="189" t="inlineStr">
        <is>
          <t>— no cannabinoid certificate —</t>
        </is>
      </c>
      <c r="P9" s="182" t="inlineStr">
        <is>
          <t>CoQ-PP-2025-0003</t>
        </is>
      </c>
      <c r="Q9" s="182" t="inlineStr">
        <is>
          <t>iCoA-PP-2025-0003</t>
        </is>
      </c>
      <c r="R9" s="182" t="inlineStr">
        <is>
          <t>GG1024|FM|I</t>
        </is>
      </c>
      <c r="S9" s="192" t="inlineStr">
        <is>
          <t>registered — preliminary date, QC sets the real date at issue</t>
        </is>
      </c>
    </row>
    <row r="10">
      <c r="A10" s="182">
        <f>IF(C10="yes",COUNT(A$1:A9)+1,"")</f>
        <v/>
      </c>
      <c r="B10" s="181">
        <f>IF(A10="","— at issue —","iCoA-PP_26-"&amp;TEXT(A10,"000"))</f>
        <v/>
      </c>
      <c r="C10" s="188" t="inlineStr">
        <is>
          <t>yes</t>
        </is>
      </c>
      <c r="D10" s="183">
        <f>IF(A10="","",E10)</f>
        <v/>
      </c>
      <c r="E10" s="183">
        <f>IF(AND(C10="yes",ISNUMBER(G10)),MAX(DATE(2026,5,11),G10),"")</f>
        <v/>
      </c>
      <c r="F10" s="183">
        <f>IFERROR(INDEX('Batch Dates'!$F:$F,MATCH(J10,'Batch Dates'!$C:$C,0)),IFERROR(INDEX('Batch Dates'!$F:$F,MATCH(I10,'Batch Dates'!$B:$B,0)),""))</f>
        <v/>
      </c>
      <c r="G10" s="183">
        <f>IFERROR(INDEX('Batch Dates'!$G:$G,MATCH(J10,'Batch Dates'!$C:$C,0)),IFERROR(INDEX('Batch Dates'!$G:$G,MATCH(I10,'Batch Dates'!$B:$B,0)),""))</f>
        <v/>
      </c>
      <c r="H10" s="182" t="inlineStr">
        <is>
          <t>initial release</t>
        </is>
      </c>
      <c r="I10" s="181" t="inlineStr">
        <is>
          <t>HPA1024</t>
        </is>
      </c>
      <c r="J10" s="182" t="inlineStr">
        <is>
          <t>N/A — no P batch assigned</t>
        </is>
      </c>
      <c r="K10" s="182" t="inlineStr">
        <is>
          <t>HighProAmnesia</t>
        </is>
      </c>
      <c r="L10" s="182" t="inlineStr">
        <is>
          <t>Ident A + Ident B</t>
        </is>
      </c>
      <c r="M10" s="182" t="inlineStr">
        <is>
          <t>iCoA_P01-02 · Appearance &amp; Identification A/B</t>
        </is>
      </c>
      <c r="N10" s="189" t="inlineStr">
        <is>
          <t>—</t>
        </is>
      </c>
      <c r="O10" s="182" t="inlineStr">
        <is>
          <t>197-13-K-26, (07.08.2026) [FHM-K]</t>
        </is>
      </c>
      <c r="P10" s="182" t="inlineStr">
        <is>
          <t>CoQ-PP-2025-0004</t>
        </is>
      </c>
      <c r="Q10" s="182" t="inlineStr">
        <is>
          <t>iCoA-PP-2025-0004</t>
        </is>
      </c>
      <c r="R10" s="182" t="inlineStr">
        <is>
          <t>HPA1024|AB|I</t>
        </is>
      </c>
      <c r="S10" s="192" t="inlineStr">
        <is>
          <t>registered — preliminary date, QC sets the real date at issue</t>
        </is>
      </c>
    </row>
    <row r="11">
      <c r="A11" s="182">
        <f>IF(C11="yes",COUNT(A$1:A10)+1,"")</f>
        <v/>
      </c>
      <c r="B11" s="181">
        <f>IF(A11="","— at issue —","iCoA-PP_26-"&amp;TEXT(A11,"000"))</f>
        <v/>
      </c>
      <c r="C11" s="188" t="inlineStr">
        <is>
          <t>yes</t>
        </is>
      </c>
      <c r="D11" s="183">
        <f>IF(A11="","",E11)</f>
        <v/>
      </c>
      <c r="E11" s="183">
        <f>IF(AND(C11="yes",ISNUMBER(G11)),MAX(DATE(2026,5,11),G11),"")</f>
        <v/>
      </c>
      <c r="F11" s="183">
        <f>IFERROR(INDEX('Batch Dates'!$F:$F,MATCH(J11,'Batch Dates'!$C:$C,0)),IFERROR(INDEX('Batch Dates'!$F:$F,MATCH(I11,'Batch Dates'!$B:$B,0)),""))</f>
        <v/>
      </c>
      <c r="G11" s="183">
        <f>IFERROR(INDEX('Batch Dates'!$G:$G,MATCH(J11,'Batch Dates'!$C:$C,0)),IFERROR(INDEX('Batch Dates'!$G:$G,MATCH(I11,'Batch Dates'!$B:$B,0)),""))</f>
        <v/>
      </c>
      <c r="H11" s="182" t="inlineStr">
        <is>
          <t>initial release</t>
        </is>
      </c>
      <c r="I11" s="181" t="inlineStr">
        <is>
          <t>HPA1024</t>
        </is>
      </c>
      <c r="J11" s="182" t="inlineStr">
        <is>
          <t>N/A — no P batch assigned</t>
        </is>
      </c>
      <c r="K11" s="182" t="inlineStr">
        <is>
          <t>HighProAmnesia</t>
        </is>
      </c>
      <c r="L11" s="182" t="inlineStr">
        <is>
          <t>Foreign matter</t>
        </is>
      </c>
      <c r="M11" s="182" t="inlineStr">
        <is>
          <t>iCoA_P07 · Foreign matter</t>
        </is>
      </c>
      <c r="N11" s="189" t="inlineStr">
        <is>
          <t>—</t>
        </is>
      </c>
      <c r="O11" s="182" t="inlineStr">
        <is>
          <t>197-13-K-26, (07.08.2026) [FHM-K]</t>
        </is>
      </c>
      <c r="P11" s="182" t="inlineStr">
        <is>
          <t>CoQ-PP-2025-0004</t>
        </is>
      </c>
      <c r="Q11" s="182" t="inlineStr">
        <is>
          <t>iCoA-PP-2025-0004</t>
        </is>
      </c>
      <c r="R11" s="182" t="inlineStr">
        <is>
          <t>HPA1024|FM|I</t>
        </is>
      </c>
      <c r="S11" s="192" t="inlineStr">
        <is>
          <t>registered — preliminary date, QC sets the real date at issue</t>
        </is>
      </c>
    </row>
    <row r="12">
      <c r="A12" s="182">
        <f>IF(C12="yes",COUNT(A$1:A11)+1,"")</f>
        <v/>
      </c>
      <c r="B12" s="181">
        <f>IF(A12="","— at issue —","iCoA-PP_26-"&amp;TEXT(A12,"000"))</f>
        <v/>
      </c>
      <c r="C12" s="188" t="inlineStr">
        <is>
          <t>yes</t>
        </is>
      </c>
      <c r="D12" s="183">
        <f>IF(A12="","",E12)</f>
        <v/>
      </c>
      <c r="E12" s="183">
        <f>IF(AND(C12="yes",ISNUMBER(G12)),MAX(DATE(2026,5,11),G12),"")</f>
        <v/>
      </c>
      <c r="F12" s="183">
        <f>IFERROR(INDEX('Batch Dates'!$F:$F,MATCH(J12,'Batch Dates'!$C:$C,0)),IFERROR(INDEX('Batch Dates'!$F:$F,MATCH(I12,'Batch Dates'!$B:$B,0)),""))</f>
        <v/>
      </c>
      <c r="G12" s="183">
        <f>IFERROR(INDEX('Batch Dates'!$G:$G,MATCH(J12,'Batch Dates'!$C:$C,0)),IFERROR(INDEX('Batch Dates'!$G:$G,MATCH(I12,'Batch Dates'!$B:$B,0)),""))</f>
        <v/>
      </c>
      <c r="H12" s="182" t="inlineStr">
        <is>
          <t>initial release</t>
        </is>
      </c>
      <c r="I12" s="181" t="inlineStr">
        <is>
          <t>OPM1024</t>
        </is>
      </c>
      <c r="J12" s="182" t="inlineStr">
        <is>
          <t>N/A — no P batch assigned</t>
        </is>
      </c>
      <c r="K12" s="182" t="inlineStr">
        <is>
          <t>OrangePunchMimosa</t>
        </is>
      </c>
      <c r="L12" s="182" t="inlineStr">
        <is>
          <t>Ident A + Ident B</t>
        </is>
      </c>
      <c r="M12" s="182" t="inlineStr">
        <is>
          <t>iCoA_P01-02 · Appearance &amp; Identification A/B</t>
        </is>
      </c>
      <c r="N12" s="189" t="inlineStr">
        <is>
          <t>—</t>
        </is>
      </c>
      <c r="O12" s="182" t="inlineStr">
        <is>
          <t>197-17-K-26, (07.08.2026) [FHM-K]</t>
        </is>
      </c>
      <c r="P12" s="182" t="inlineStr">
        <is>
          <t>CoQ-PP-2025-0005</t>
        </is>
      </c>
      <c r="Q12" s="182" t="inlineStr">
        <is>
          <t>iCoA-PP-2025-0005</t>
        </is>
      </c>
      <c r="R12" s="182" t="inlineStr">
        <is>
          <t>OPM1024|AB|I</t>
        </is>
      </c>
      <c r="S12" s="192" t="inlineStr">
        <is>
          <t>registered — preliminary date, QC sets the real date at issue</t>
        </is>
      </c>
    </row>
    <row r="13">
      <c r="A13" s="182">
        <f>IF(C13="yes",COUNT(A$1:A12)+1,"")</f>
        <v/>
      </c>
      <c r="B13" s="181">
        <f>IF(A13="","— at issue —","iCoA-PP_26-"&amp;TEXT(A13,"000"))</f>
        <v/>
      </c>
      <c r="C13" s="188" t="inlineStr">
        <is>
          <t>yes</t>
        </is>
      </c>
      <c r="D13" s="183">
        <f>IF(A13="","",E13)</f>
        <v/>
      </c>
      <c r="E13" s="183">
        <f>IF(AND(C13="yes",ISNUMBER(G13)),MAX(DATE(2026,5,11),G13),"")</f>
        <v/>
      </c>
      <c r="F13" s="183">
        <f>IFERROR(INDEX('Batch Dates'!$F:$F,MATCH(J13,'Batch Dates'!$C:$C,0)),IFERROR(INDEX('Batch Dates'!$F:$F,MATCH(I13,'Batch Dates'!$B:$B,0)),""))</f>
        <v/>
      </c>
      <c r="G13" s="183">
        <f>IFERROR(INDEX('Batch Dates'!$G:$G,MATCH(J13,'Batch Dates'!$C:$C,0)),IFERROR(INDEX('Batch Dates'!$G:$G,MATCH(I13,'Batch Dates'!$B:$B,0)),""))</f>
        <v/>
      </c>
      <c r="H13" s="182" t="inlineStr">
        <is>
          <t>initial release</t>
        </is>
      </c>
      <c r="I13" s="181" t="inlineStr">
        <is>
          <t>OPM1024</t>
        </is>
      </c>
      <c r="J13" s="182" t="inlineStr">
        <is>
          <t>N/A — no P batch assigned</t>
        </is>
      </c>
      <c r="K13" s="182" t="inlineStr">
        <is>
          <t>OrangePunchMimosa</t>
        </is>
      </c>
      <c r="L13" s="182" t="inlineStr">
        <is>
          <t>Foreign matter</t>
        </is>
      </c>
      <c r="M13" s="182" t="inlineStr">
        <is>
          <t>iCoA_P07 · Foreign matter</t>
        </is>
      </c>
      <c r="N13" s="189" t="inlineStr">
        <is>
          <t>—</t>
        </is>
      </c>
      <c r="O13" s="182" t="inlineStr">
        <is>
          <t>197-17-K-26, (07.08.2026) [FHM-K]</t>
        </is>
      </c>
      <c r="P13" s="182" t="inlineStr">
        <is>
          <t>CoQ-PP-2025-0005</t>
        </is>
      </c>
      <c r="Q13" s="182" t="inlineStr">
        <is>
          <t>iCoA-PP-2025-0005</t>
        </is>
      </c>
      <c r="R13" s="182" t="inlineStr">
        <is>
          <t>OPM1024|FM|I</t>
        </is>
      </c>
      <c r="S13" s="192" t="inlineStr">
        <is>
          <t>registered — preliminary date, QC sets the real date at issue</t>
        </is>
      </c>
    </row>
    <row r="14">
      <c r="A14" s="182">
        <f>IF(C14="yes",COUNT(A$1:A13)+1,"")</f>
        <v/>
      </c>
      <c r="B14" s="181">
        <f>IF(A14="","— at issue —","iCoA-PP_26-"&amp;TEXT(A14,"000"))</f>
        <v/>
      </c>
      <c r="C14" s="188" t="inlineStr">
        <is>
          <t>yes</t>
        </is>
      </c>
      <c r="D14" s="183">
        <f>IF(A14="","",E14)</f>
        <v/>
      </c>
      <c r="E14" s="183">
        <f>IF(AND(C14="yes",ISNUMBER(G14)),MAX(DATE(2026,5,11),G14),"")</f>
        <v/>
      </c>
      <c r="F14" s="183">
        <f>IFERROR(INDEX('Batch Dates'!$F:$F,MATCH(J14,'Batch Dates'!$C:$C,0)),IFERROR(INDEX('Batch Dates'!$F:$F,MATCH(I14,'Batch Dates'!$B:$B,0)),""))</f>
        <v/>
      </c>
      <c r="G14" s="183">
        <f>IFERROR(INDEX('Batch Dates'!$G:$G,MATCH(J14,'Batch Dates'!$C:$C,0)),IFERROR(INDEX('Batch Dates'!$G:$G,MATCH(I14,'Batch Dates'!$B:$B,0)),""))</f>
        <v/>
      </c>
      <c r="H14" s="182" t="inlineStr">
        <is>
          <t>initial release</t>
        </is>
      </c>
      <c r="I14" s="181" t="inlineStr">
        <is>
          <t>GP0824_02</t>
        </is>
      </c>
      <c r="J14" s="182" t="inlineStr">
        <is>
          <t>P050022</t>
        </is>
      </c>
      <c r="K14" s="182" t="inlineStr">
        <is>
          <t>Grape Pie</t>
        </is>
      </c>
      <c r="L14" s="182" t="inlineStr">
        <is>
          <t>Ident A + Ident B</t>
        </is>
      </c>
      <c r="M14" s="182" t="inlineStr">
        <is>
          <t>iCoA_P01-02 · Appearance &amp; Identification A/B</t>
        </is>
      </c>
      <c r="N14" s="189" t="inlineStr">
        <is>
          <t>—</t>
        </is>
      </c>
      <c r="O14" s="182" t="inlineStr">
        <is>
          <t>ППК25139, (22.05.2025) [CNP]</t>
        </is>
      </c>
      <c r="P14" s="182" t="inlineStr">
        <is>
          <t>CoQ-PP-2025-0006</t>
        </is>
      </c>
      <c r="Q14" s="182" t="inlineStr">
        <is>
          <t>iCoA-PP-2025-0006</t>
        </is>
      </c>
      <c r="R14" s="182" t="inlineStr">
        <is>
          <t>P050022|AB|I</t>
        </is>
      </c>
      <c r="S14" s="192" t="inlineStr">
        <is>
          <t>registered — preliminary date, QC sets the real date at issue</t>
        </is>
      </c>
    </row>
    <row r="15">
      <c r="A15" s="182">
        <f>IF(C15="yes",COUNT(A$1:A14)+1,"")</f>
        <v/>
      </c>
      <c r="B15" s="181">
        <f>IF(A15="","— at issue —","iCoA-PP_26-"&amp;TEXT(A15,"000"))</f>
        <v/>
      </c>
      <c r="C15" s="188" t="inlineStr">
        <is>
          <t>yes</t>
        </is>
      </c>
      <c r="D15" s="183">
        <f>IF(A15="","",E15)</f>
        <v/>
      </c>
      <c r="E15" s="183">
        <f>IF(AND(C15="yes",ISNUMBER(G15)),MAX(DATE(2026,5,11),G15),"")</f>
        <v/>
      </c>
      <c r="F15" s="183">
        <f>IFERROR(INDEX('Batch Dates'!$F:$F,MATCH(J15,'Batch Dates'!$C:$C,0)),IFERROR(INDEX('Batch Dates'!$F:$F,MATCH(I15,'Batch Dates'!$B:$B,0)),""))</f>
        <v/>
      </c>
      <c r="G15" s="183">
        <f>IFERROR(INDEX('Batch Dates'!$G:$G,MATCH(J15,'Batch Dates'!$C:$C,0)),IFERROR(INDEX('Batch Dates'!$G:$G,MATCH(I15,'Batch Dates'!$B:$B,0)),""))</f>
        <v/>
      </c>
      <c r="H15" s="182" t="inlineStr">
        <is>
          <t>initial release</t>
        </is>
      </c>
      <c r="I15" s="181" t="inlineStr">
        <is>
          <t>GP0824_02</t>
        </is>
      </c>
      <c r="J15" s="182" t="inlineStr">
        <is>
          <t>P050022</t>
        </is>
      </c>
      <c r="K15" s="182" t="inlineStr">
        <is>
          <t>Grape Pie</t>
        </is>
      </c>
      <c r="L15" s="182" t="inlineStr">
        <is>
          <t>Foreign matter</t>
        </is>
      </c>
      <c r="M15" s="182" t="inlineStr">
        <is>
          <t>iCoA_P07 · Foreign matter</t>
        </is>
      </c>
      <c r="N15" s="189" t="inlineStr">
        <is>
          <t>—</t>
        </is>
      </c>
      <c r="O15" s="182" t="inlineStr">
        <is>
          <t>ППК25139, (22.05.2025) [CNP]</t>
        </is>
      </c>
      <c r="P15" s="182" t="inlineStr">
        <is>
          <t>CoQ-PP-2025-0006</t>
        </is>
      </c>
      <c r="Q15" s="182" t="inlineStr">
        <is>
          <t>iCoA-PP-2025-0006</t>
        </is>
      </c>
      <c r="R15" s="182" t="inlineStr">
        <is>
          <t>P050022|FM|I</t>
        </is>
      </c>
      <c r="S15" s="192" t="inlineStr">
        <is>
          <t>registered — preliminary date, QC sets the real date at issue</t>
        </is>
      </c>
    </row>
    <row r="16">
      <c r="A16" s="182">
        <f>IF(C16="yes",COUNT(A$1:A15)+1,"")</f>
        <v/>
      </c>
      <c r="B16" s="181">
        <f>IF(A16="","— at issue —","iCoA-PP_26-"&amp;TEXT(A16,"000"))</f>
        <v/>
      </c>
      <c r="C16" s="188" t="inlineStr">
        <is>
          <t>yes</t>
        </is>
      </c>
      <c r="D16" s="183">
        <f>IF(A16="","",E16)</f>
        <v/>
      </c>
      <c r="E16" s="183">
        <f>IF(AND(C16="yes",ISNUMBER(G16)),MAX(DATE(2026,5,11),G16),"")</f>
        <v/>
      </c>
      <c r="F16" s="183">
        <f>IFERROR(INDEX('Batch Dates'!$F:$F,MATCH(J16,'Batch Dates'!$C:$C,0)),IFERROR(INDEX('Batch Dates'!$F:$F,MATCH(I16,'Batch Dates'!$B:$B,0)),""))</f>
        <v/>
      </c>
      <c r="G16" s="183">
        <f>IFERROR(INDEX('Batch Dates'!$G:$G,MATCH(J16,'Batch Dates'!$C:$C,0)),IFERROR(INDEX('Batch Dates'!$G:$G,MATCH(I16,'Batch Dates'!$B:$B,0)),""))</f>
        <v/>
      </c>
      <c r="H16" s="182" t="inlineStr">
        <is>
          <t>initial release</t>
        </is>
      </c>
      <c r="I16" s="181" t="inlineStr">
        <is>
          <t>GG1024_02</t>
        </is>
      </c>
      <c r="J16" s="182" t="inlineStr">
        <is>
          <t>P050012</t>
        </is>
      </c>
      <c r="K16" s="182" t="inlineStr">
        <is>
          <t>Gorilla Glue</t>
        </is>
      </c>
      <c r="L16" s="182" t="inlineStr">
        <is>
          <t>Ident A + Ident B</t>
        </is>
      </c>
      <c r="M16" s="182" t="inlineStr">
        <is>
          <t>iCoA_P01-02 · Appearance &amp; Identification A/B</t>
        </is>
      </c>
      <c r="N16" s="189" t="inlineStr">
        <is>
          <t>—</t>
        </is>
      </c>
      <c r="O16" s="182" t="inlineStr">
        <is>
          <t>ППК25140, (22.05.2025) [CNP]</t>
        </is>
      </c>
      <c r="P16" s="182" t="inlineStr">
        <is>
          <t>(assigned on issue)</t>
        </is>
      </c>
      <c r="Q16" s="189" t="inlineStr">
        <is>
          <t>—</t>
        </is>
      </c>
      <c r="R16" s="182" t="inlineStr">
        <is>
          <t>P050012|AB|I</t>
        </is>
      </c>
      <c r="S16" s="192" t="inlineStr">
        <is>
          <t>registered — preliminary date, QC sets the real date at issue</t>
        </is>
      </c>
    </row>
    <row r="17">
      <c r="A17" s="182">
        <f>IF(C17="yes",COUNT(A$1:A16)+1,"")</f>
        <v/>
      </c>
      <c r="B17" s="181">
        <f>IF(A17="","— at issue —","iCoA-PP_26-"&amp;TEXT(A17,"000"))</f>
        <v/>
      </c>
      <c r="C17" s="188" t="inlineStr">
        <is>
          <t>yes</t>
        </is>
      </c>
      <c r="D17" s="183">
        <f>IF(A17="","",E17)</f>
        <v/>
      </c>
      <c r="E17" s="183">
        <f>IF(AND(C17="yes",ISNUMBER(G17)),MAX(DATE(2026,5,11),G17),"")</f>
        <v/>
      </c>
      <c r="F17" s="183">
        <f>IFERROR(INDEX('Batch Dates'!$F:$F,MATCH(J17,'Batch Dates'!$C:$C,0)),IFERROR(INDEX('Batch Dates'!$F:$F,MATCH(I17,'Batch Dates'!$B:$B,0)),""))</f>
        <v/>
      </c>
      <c r="G17" s="183">
        <f>IFERROR(INDEX('Batch Dates'!$G:$G,MATCH(J17,'Batch Dates'!$C:$C,0)),IFERROR(INDEX('Batch Dates'!$G:$G,MATCH(I17,'Batch Dates'!$B:$B,0)),""))</f>
        <v/>
      </c>
      <c r="H17" s="182" t="inlineStr">
        <is>
          <t>initial release</t>
        </is>
      </c>
      <c r="I17" s="181" t="inlineStr">
        <is>
          <t>GG1024_02</t>
        </is>
      </c>
      <c r="J17" s="182" t="inlineStr">
        <is>
          <t>P050012</t>
        </is>
      </c>
      <c r="K17" s="182" t="inlineStr">
        <is>
          <t>Gorilla Glue</t>
        </is>
      </c>
      <c r="L17" s="182" t="inlineStr">
        <is>
          <t>Foreign matter</t>
        </is>
      </c>
      <c r="M17" s="182" t="inlineStr">
        <is>
          <t>iCoA_P07 · Foreign matter</t>
        </is>
      </c>
      <c r="N17" s="189" t="inlineStr">
        <is>
          <t>—</t>
        </is>
      </c>
      <c r="O17" s="182" t="inlineStr">
        <is>
          <t>ППК25140, (22.05.2025) [CNP]</t>
        </is>
      </c>
      <c r="P17" s="182" t="inlineStr">
        <is>
          <t>(assigned on issue)</t>
        </is>
      </c>
      <c r="Q17" s="189" t="inlineStr">
        <is>
          <t>—</t>
        </is>
      </c>
      <c r="R17" s="182" t="inlineStr">
        <is>
          <t>P050012|FM|I</t>
        </is>
      </c>
      <c r="S17" s="192" t="inlineStr">
        <is>
          <t>registered — preliminary date, QC sets the real date at issue</t>
        </is>
      </c>
    </row>
    <row r="18">
      <c r="A18" s="182">
        <f>IF(C18="yes",COUNT(A$1:A17)+1,"")</f>
        <v/>
      </c>
      <c r="B18" s="181">
        <f>IF(A18="","— at issue —","iCoA-PP_26-"&amp;TEXT(A18,"000"))</f>
        <v/>
      </c>
      <c r="C18" s="188" t="inlineStr">
        <is>
          <t>yes</t>
        </is>
      </c>
      <c r="D18" s="183">
        <f>IF(A18="","",E18)</f>
        <v/>
      </c>
      <c r="E18" s="183">
        <f>IF(AND(C18="yes",ISNUMBER(G18)),MAX(DATE(2026,5,11),G18),"")</f>
        <v/>
      </c>
      <c r="F18" s="183">
        <f>IFERROR(INDEX('Batch Dates'!$F:$F,MATCH(J18,'Batch Dates'!$C:$C,0)),IFERROR(INDEX('Batch Dates'!$F:$F,MATCH(I18,'Batch Dates'!$B:$B,0)),""))</f>
        <v/>
      </c>
      <c r="G18" s="183">
        <f>IFERROR(INDEX('Batch Dates'!$G:$G,MATCH(J18,'Batch Dates'!$C:$C,0)),IFERROR(INDEX('Batch Dates'!$G:$G,MATCH(I18,'Batch Dates'!$B:$B,0)),""))</f>
        <v/>
      </c>
      <c r="H18" s="182" t="inlineStr">
        <is>
          <t>initial release</t>
        </is>
      </c>
      <c r="I18" s="181" t="inlineStr">
        <is>
          <t>MB0824_04</t>
        </is>
      </c>
      <c r="J18" s="182" t="inlineStr">
        <is>
          <t>P050032</t>
        </is>
      </c>
      <c r="K18" s="182" t="inlineStr">
        <is>
          <t>Motor Breath</t>
        </is>
      </c>
      <c r="L18" s="182" t="inlineStr">
        <is>
          <t>Ident A + Ident B</t>
        </is>
      </c>
      <c r="M18" s="182" t="inlineStr">
        <is>
          <t>iCoA_P01-02 · Appearance &amp; Identification A/B</t>
        </is>
      </c>
      <c r="N18" s="189" t="inlineStr">
        <is>
          <t>—</t>
        </is>
      </c>
      <c r="O18" s="182" t="inlineStr">
        <is>
          <t>ППК25118, (06.05.2025) [CNP]</t>
        </is>
      </c>
      <c r="P18" s="182" t="inlineStr">
        <is>
          <t>(assigned on issue)</t>
        </is>
      </c>
      <c r="Q18" s="189" t="inlineStr">
        <is>
          <t>—</t>
        </is>
      </c>
      <c r="R18" s="182" t="inlineStr">
        <is>
          <t>P050032|AB|I</t>
        </is>
      </c>
      <c r="S18" s="192" t="inlineStr">
        <is>
          <t>registered — preliminary date, QC sets the real date at issue</t>
        </is>
      </c>
    </row>
    <row r="19">
      <c r="A19" s="182">
        <f>IF(C19="yes",COUNT(A$1:A18)+1,"")</f>
        <v/>
      </c>
      <c r="B19" s="181">
        <f>IF(A19="","— at issue —","iCoA-PP_26-"&amp;TEXT(A19,"000"))</f>
        <v/>
      </c>
      <c r="C19" s="188" t="inlineStr">
        <is>
          <t>yes</t>
        </is>
      </c>
      <c r="D19" s="183">
        <f>IF(A19="","",E19)</f>
        <v/>
      </c>
      <c r="E19" s="183">
        <f>IF(AND(C19="yes",ISNUMBER(G19)),MAX(DATE(2026,5,11),G19),"")</f>
        <v/>
      </c>
      <c r="F19" s="183">
        <f>IFERROR(INDEX('Batch Dates'!$F:$F,MATCH(J19,'Batch Dates'!$C:$C,0)),IFERROR(INDEX('Batch Dates'!$F:$F,MATCH(I19,'Batch Dates'!$B:$B,0)),""))</f>
        <v/>
      </c>
      <c r="G19" s="183">
        <f>IFERROR(INDEX('Batch Dates'!$G:$G,MATCH(J19,'Batch Dates'!$C:$C,0)),IFERROR(INDEX('Batch Dates'!$G:$G,MATCH(I19,'Batch Dates'!$B:$B,0)),""))</f>
        <v/>
      </c>
      <c r="H19" s="182" t="inlineStr">
        <is>
          <t>initial release</t>
        </is>
      </c>
      <c r="I19" s="181" t="inlineStr">
        <is>
          <t>MB0824_04</t>
        </is>
      </c>
      <c r="J19" s="182" t="inlineStr">
        <is>
          <t>P050032</t>
        </is>
      </c>
      <c r="K19" s="182" t="inlineStr">
        <is>
          <t>Motor Breath</t>
        </is>
      </c>
      <c r="L19" s="182" t="inlineStr">
        <is>
          <t>Foreign matter</t>
        </is>
      </c>
      <c r="M19" s="182" t="inlineStr">
        <is>
          <t>iCoA_P07 · Foreign matter</t>
        </is>
      </c>
      <c r="N19" s="189" t="inlineStr">
        <is>
          <t>—</t>
        </is>
      </c>
      <c r="O19" s="182" t="inlineStr">
        <is>
          <t>ППК25118, (06.05.2025) [CNP]</t>
        </is>
      </c>
      <c r="P19" s="182" t="inlineStr">
        <is>
          <t>(assigned on issue)</t>
        </is>
      </c>
      <c r="Q19" s="189" t="inlineStr">
        <is>
          <t>—</t>
        </is>
      </c>
      <c r="R19" s="182" t="inlineStr">
        <is>
          <t>P050032|FM|I</t>
        </is>
      </c>
      <c r="S19" s="192" t="inlineStr">
        <is>
          <t>registered — preliminary date, QC sets the real date at issue</t>
        </is>
      </c>
    </row>
    <row r="20">
      <c r="A20" s="182">
        <f>IF(C20="yes",COUNT(A$1:A19)+1,"")</f>
        <v/>
      </c>
      <c r="B20" s="181">
        <f>IF(A20="","— at issue —","iCoA-PP_26-"&amp;TEXT(A20,"000"))</f>
        <v/>
      </c>
      <c r="C20" s="188" t="inlineStr">
        <is>
          <t>yes</t>
        </is>
      </c>
      <c r="D20" s="183">
        <f>IF(A20="","",E20)</f>
        <v/>
      </c>
      <c r="E20" s="183">
        <f>IF(AND(C20="yes",ISNUMBER(G20)),MAX(DATE(2026,5,11),G20),"")</f>
        <v/>
      </c>
      <c r="F20" s="183">
        <f>IFERROR(INDEX('Batch Dates'!$F:$F,MATCH(J20,'Batch Dates'!$C:$C,0)),IFERROR(INDEX('Batch Dates'!$F:$F,MATCH(I20,'Batch Dates'!$B:$B,0)),""))</f>
        <v/>
      </c>
      <c r="G20" s="183">
        <f>IFERROR(INDEX('Batch Dates'!$G:$G,MATCH(J20,'Batch Dates'!$C:$C,0)),IFERROR(INDEX('Batch Dates'!$G:$G,MATCH(I20,'Batch Dates'!$B:$B,0)),""))</f>
        <v/>
      </c>
      <c r="H20" s="182" t="inlineStr">
        <is>
          <t>initial release</t>
        </is>
      </c>
      <c r="I20" s="181" t="inlineStr">
        <is>
          <t>OMP1024_01</t>
        </is>
      </c>
      <c r="J20" s="182" t="inlineStr">
        <is>
          <t>P050042</t>
        </is>
      </c>
      <c r="K20" s="182" t="inlineStr">
        <is>
          <t>Orange Punch Mimosa</t>
        </is>
      </c>
      <c r="L20" s="182" t="inlineStr">
        <is>
          <t>Ident A + Ident B</t>
        </is>
      </c>
      <c r="M20" s="182" t="inlineStr">
        <is>
          <t>iCoA_P01-02 · Appearance &amp; Identification A/B</t>
        </is>
      </c>
      <c r="N20" s="189" t="inlineStr">
        <is>
          <t>—</t>
        </is>
      </c>
      <c r="O20" s="182" t="inlineStr">
        <is>
          <t>ППК25117, (06.05.2025) [CNP]</t>
        </is>
      </c>
      <c r="P20" s="182" t="inlineStr">
        <is>
          <t>CoQ-PP-2025-0007</t>
        </is>
      </c>
      <c r="Q20" s="182" t="inlineStr">
        <is>
          <t>iCoA-PP-2025-0007</t>
        </is>
      </c>
      <c r="R20" s="182" t="inlineStr">
        <is>
          <t>P050042|AB|I</t>
        </is>
      </c>
      <c r="S20" s="192" t="inlineStr">
        <is>
          <t>registered — preliminary date, QC sets the real date at issue</t>
        </is>
      </c>
    </row>
    <row r="21">
      <c r="A21" s="182">
        <f>IF(C21="yes",COUNT(A$1:A20)+1,"")</f>
        <v/>
      </c>
      <c r="B21" s="181">
        <f>IF(A21="","— at issue —","iCoA-PP_26-"&amp;TEXT(A21,"000"))</f>
        <v/>
      </c>
      <c r="C21" s="188" t="inlineStr">
        <is>
          <t>yes</t>
        </is>
      </c>
      <c r="D21" s="183">
        <f>IF(A21="","",E21)</f>
        <v/>
      </c>
      <c r="E21" s="183">
        <f>IF(AND(C21="yes",ISNUMBER(G21)),MAX(DATE(2026,5,11),G21),"")</f>
        <v/>
      </c>
      <c r="F21" s="183">
        <f>IFERROR(INDEX('Batch Dates'!$F:$F,MATCH(J21,'Batch Dates'!$C:$C,0)),IFERROR(INDEX('Batch Dates'!$F:$F,MATCH(I21,'Batch Dates'!$B:$B,0)),""))</f>
        <v/>
      </c>
      <c r="G21" s="183">
        <f>IFERROR(INDEX('Batch Dates'!$G:$G,MATCH(J21,'Batch Dates'!$C:$C,0)),IFERROR(INDEX('Batch Dates'!$G:$G,MATCH(I21,'Batch Dates'!$B:$B,0)),""))</f>
        <v/>
      </c>
      <c r="H21" s="182" t="inlineStr">
        <is>
          <t>initial release</t>
        </is>
      </c>
      <c r="I21" s="181" t="inlineStr">
        <is>
          <t>OMP1024_01</t>
        </is>
      </c>
      <c r="J21" s="182" t="inlineStr">
        <is>
          <t>P050042</t>
        </is>
      </c>
      <c r="K21" s="182" t="inlineStr">
        <is>
          <t>Orange Punch Mimosa</t>
        </is>
      </c>
      <c r="L21" s="182" t="inlineStr">
        <is>
          <t>Foreign matter</t>
        </is>
      </c>
      <c r="M21" s="182" t="inlineStr">
        <is>
          <t>iCoA_P07 · Foreign matter</t>
        </is>
      </c>
      <c r="N21" s="189" t="inlineStr">
        <is>
          <t>—</t>
        </is>
      </c>
      <c r="O21" s="182" t="inlineStr">
        <is>
          <t>ППК25117, (06.05.2025) [CNP]</t>
        </is>
      </c>
      <c r="P21" s="182" t="inlineStr">
        <is>
          <t>CoQ-PP-2025-0007</t>
        </is>
      </c>
      <c r="Q21" s="182" t="inlineStr">
        <is>
          <t>iCoA-PP-2025-0007</t>
        </is>
      </c>
      <c r="R21" s="182" t="inlineStr">
        <is>
          <t>P050042|FM|I</t>
        </is>
      </c>
      <c r="S21" s="192" t="inlineStr">
        <is>
          <t>registered — preliminary date, QC sets the real date at issue</t>
        </is>
      </c>
    </row>
    <row r="22">
      <c r="A22" s="182">
        <f>IF(C22="yes",COUNT(A$1:A21)+1,"")</f>
        <v/>
      </c>
      <c r="B22" s="181">
        <f>IF(A22="","— at issue —","iCoA-PP_26-"&amp;TEXT(A22,"000"))</f>
        <v/>
      </c>
      <c r="C22" s="188" t="inlineStr">
        <is>
          <t>yes</t>
        </is>
      </c>
      <c r="D22" s="183">
        <f>IF(A22="","",E22)</f>
        <v/>
      </c>
      <c r="E22" s="183">
        <f>IF(AND(C22="yes",ISNUMBER(G22)),MAX(DATE(2026,5,11),G22),"")</f>
        <v/>
      </c>
      <c r="F22" s="183">
        <f>IFERROR(INDEX('Batch Dates'!$F:$F,MATCH(J22,'Batch Dates'!$C:$C,0)),IFERROR(INDEX('Batch Dates'!$F:$F,MATCH(I22,'Batch Dates'!$B:$B,0)),""))</f>
        <v/>
      </c>
      <c r="G22" s="183">
        <f>IFERROR(INDEX('Batch Dates'!$G:$G,MATCH(J22,'Batch Dates'!$C:$C,0)),IFERROR(INDEX('Batch Dates'!$G:$G,MATCH(I22,'Batch Dates'!$B:$B,0)),""))</f>
        <v/>
      </c>
      <c r="H22" s="182" t="inlineStr">
        <is>
          <t>initial release</t>
        </is>
      </c>
      <c r="I22" s="181" t="inlineStr">
        <is>
          <t>HPA1024_01</t>
        </is>
      </c>
      <c r="J22" s="182" t="inlineStr">
        <is>
          <t>P050052</t>
        </is>
      </c>
      <c r="K22" s="182" t="inlineStr">
        <is>
          <t>High Pro Amnesia</t>
        </is>
      </c>
      <c r="L22" s="182" t="inlineStr">
        <is>
          <t>Ident A + Ident B</t>
        </is>
      </c>
      <c r="M22" s="182" t="inlineStr">
        <is>
          <t>iCoA_P01-02 · Appearance &amp; Identification A/B</t>
        </is>
      </c>
      <c r="N22" s="189" t="inlineStr">
        <is>
          <t>—</t>
        </is>
      </c>
      <c r="O22" s="182" t="inlineStr">
        <is>
          <t>ППК25155, (24.06.2025) [CNP]</t>
        </is>
      </c>
      <c r="P22" s="182" t="inlineStr">
        <is>
          <t>CoQ-PP-2025-0008</t>
        </is>
      </c>
      <c r="Q22" s="182" t="inlineStr">
        <is>
          <t>iCoA-PP-2025-0008</t>
        </is>
      </c>
      <c r="R22" s="182" t="inlineStr">
        <is>
          <t>P050052|AB|I</t>
        </is>
      </c>
      <c r="S22" s="192" t="inlineStr">
        <is>
          <t>registered — preliminary date, QC sets the real date at issue</t>
        </is>
      </c>
    </row>
    <row r="23">
      <c r="A23" s="182">
        <f>IF(C23="yes",COUNT(A$1:A22)+1,"")</f>
        <v/>
      </c>
      <c r="B23" s="181">
        <f>IF(A23="","— at issue —","iCoA-PP_26-"&amp;TEXT(A23,"000"))</f>
        <v/>
      </c>
      <c r="C23" s="188" t="inlineStr">
        <is>
          <t>yes</t>
        </is>
      </c>
      <c r="D23" s="183">
        <f>IF(A23="","",E23)</f>
        <v/>
      </c>
      <c r="E23" s="183">
        <f>IF(AND(C23="yes",ISNUMBER(G23)),MAX(DATE(2026,5,11),G23),"")</f>
        <v/>
      </c>
      <c r="F23" s="183">
        <f>IFERROR(INDEX('Batch Dates'!$F:$F,MATCH(J23,'Batch Dates'!$C:$C,0)),IFERROR(INDEX('Batch Dates'!$F:$F,MATCH(I23,'Batch Dates'!$B:$B,0)),""))</f>
        <v/>
      </c>
      <c r="G23" s="183">
        <f>IFERROR(INDEX('Batch Dates'!$G:$G,MATCH(J23,'Batch Dates'!$C:$C,0)),IFERROR(INDEX('Batch Dates'!$G:$G,MATCH(I23,'Batch Dates'!$B:$B,0)),""))</f>
        <v/>
      </c>
      <c r="H23" s="182" t="inlineStr">
        <is>
          <t>initial release</t>
        </is>
      </c>
      <c r="I23" s="181" t="inlineStr">
        <is>
          <t>HPA1024_01</t>
        </is>
      </c>
      <c r="J23" s="182" t="inlineStr">
        <is>
          <t>P050052</t>
        </is>
      </c>
      <c r="K23" s="182" t="inlineStr">
        <is>
          <t>High Pro Amnesia</t>
        </is>
      </c>
      <c r="L23" s="182" t="inlineStr">
        <is>
          <t>Foreign matter</t>
        </is>
      </c>
      <c r="M23" s="182" t="inlineStr">
        <is>
          <t>iCoA_P07 · Foreign matter</t>
        </is>
      </c>
      <c r="N23" s="189" t="inlineStr">
        <is>
          <t>—</t>
        </is>
      </c>
      <c r="O23" s="182" t="inlineStr">
        <is>
          <t>ППК25155, (24.06.2025) [CNP]</t>
        </is>
      </c>
      <c r="P23" s="182" t="inlineStr">
        <is>
          <t>CoQ-PP-2025-0008</t>
        </is>
      </c>
      <c r="Q23" s="182" t="inlineStr">
        <is>
          <t>iCoA-PP-2025-0008</t>
        </is>
      </c>
      <c r="R23" s="182" t="inlineStr">
        <is>
          <t>P050052|FM|I</t>
        </is>
      </c>
      <c r="S23" s="192" t="inlineStr">
        <is>
          <t>registered — preliminary date, QC sets the real date at issue</t>
        </is>
      </c>
    </row>
    <row r="24">
      <c r="A24" s="182">
        <f>IF(C24="yes",COUNT(A$1:A23)+1,"")</f>
        <v/>
      </c>
      <c r="B24" s="181">
        <f>IF(A24="","— at issue —","iCoA-PP_26-"&amp;TEXT(A24,"000"))</f>
        <v/>
      </c>
      <c r="C24" s="188" t="inlineStr">
        <is>
          <t>yes</t>
        </is>
      </c>
      <c r="D24" s="183">
        <f>IF(A24="","",E24)</f>
        <v/>
      </c>
      <c r="E24" s="183">
        <f>IF(AND(C24="yes",ISNUMBER(G24)),MAX(DATE(2026,5,11),G24),"")</f>
        <v/>
      </c>
      <c r="F24" s="183">
        <f>IFERROR(INDEX('Batch Dates'!$F:$F,MATCH(J24,'Batch Dates'!$C:$C,0)),IFERROR(INDEX('Batch Dates'!$F:$F,MATCH(I24,'Batch Dates'!$B:$B,0)),""))</f>
        <v/>
      </c>
      <c r="G24" s="183">
        <f>IFERROR(INDEX('Batch Dates'!$G:$G,MATCH(J24,'Batch Dates'!$C:$C,0)),IFERROR(INDEX('Batch Dates'!$G:$G,MATCH(I24,'Batch Dates'!$B:$B,0)),""))</f>
        <v/>
      </c>
      <c r="H24" s="182" t="inlineStr">
        <is>
          <t>initial release</t>
        </is>
      </c>
      <c r="I24" s="181" t="inlineStr">
        <is>
          <t>OPM1024_02</t>
        </is>
      </c>
      <c r="J24" s="182" t="inlineStr">
        <is>
          <t>P050062</t>
        </is>
      </c>
      <c r="K24" s="182" t="inlineStr">
        <is>
          <t>Orange Punch Mimosa</t>
        </is>
      </c>
      <c r="L24" s="182" t="inlineStr">
        <is>
          <t>Ident A + Ident B</t>
        </is>
      </c>
      <c r="M24" s="182" t="inlineStr">
        <is>
          <t>iCoA_P01-02 · Appearance &amp; Identification A/B</t>
        </is>
      </c>
      <c r="N24" s="189" t="inlineStr">
        <is>
          <t>—</t>
        </is>
      </c>
      <c r="O24" s="182" t="inlineStr">
        <is>
          <t>ППК25154, (24.06.2025) [CNP]</t>
        </is>
      </c>
      <c r="P24" s="182" t="inlineStr">
        <is>
          <t>CoQ-PP-2025-0009</t>
        </is>
      </c>
      <c r="Q24" s="182" t="inlineStr">
        <is>
          <t>iCoA-PP-2025-0009</t>
        </is>
      </c>
      <c r="R24" s="182" t="inlineStr">
        <is>
          <t>P050062|AB|I</t>
        </is>
      </c>
      <c r="S24" s="192" t="inlineStr">
        <is>
          <t>registered — preliminary date, QC sets the real date at issue</t>
        </is>
      </c>
    </row>
    <row r="25">
      <c r="A25" s="182">
        <f>IF(C25="yes",COUNT(A$1:A24)+1,"")</f>
        <v/>
      </c>
      <c r="B25" s="181">
        <f>IF(A25="","— at issue —","iCoA-PP_26-"&amp;TEXT(A25,"000"))</f>
        <v/>
      </c>
      <c r="C25" s="188" t="inlineStr">
        <is>
          <t>yes</t>
        </is>
      </c>
      <c r="D25" s="183">
        <f>IF(A25="","",E25)</f>
        <v/>
      </c>
      <c r="E25" s="183">
        <f>IF(AND(C25="yes",ISNUMBER(G25)),MAX(DATE(2026,5,11),G25),"")</f>
        <v/>
      </c>
      <c r="F25" s="183">
        <f>IFERROR(INDEX('Batch Dates'!$F:$F,MATCH(J25,'Batch Dates'!$C:$C,0)),IFERROR(INDEX('Batch Dates'!$F:$F,MATCH(I25,'Batch Dates'!$B:$B,0)),""))</f>
        <v/>
      </c>
      <c r="G25" s="183">
        <f>IFERROR(INDEX('Batch Dates'!$G:$G,MATCH(J25,'Batch Dates'!$C:$C,0)),IFERROR(INDEX('Batch Dates'!$G:$G,MATCH(I25,'Batch Dates'!$B:$B,0)),""))</f>
        <v/>
      </c>
      <c r="H25" s="182" t="inlineStr">
        <is>
          <t>initial release</t>
        </is>
      </c>
      <c r="I25" s="181" t="inlineStr">
        <is>
          <t>OPM1024_02</t>
        </is>
      </c>
      <c r="J25" s="182" t="inlineStr">
        <is>
          <t>P050062</t>
        </is>
      </c>
      <c r="K25" s="182" t="inlineStr">
        <is>
          <t>Orange Punch Mimosa</t>
        </is>
      </c>
      <c r="L25" s="182" t="inlineStr">
        <is>
          <t>Foreign matter</t>
        </is>
      </c>
      <c r="M25" s="182" t="inlineStr">
        <is>
          <t>iCoA_P07 · Foreign matter</t>
        </is>
      </c>
      <c r="N25" s="189" t="inlineStr">
        <is>
          <t>—</t>
        </is>
      </c>
      <c r="O25" s="182" t="inlineStr">
        <is>
          <t>ППК25154, (24.06.2025) [CNP]</t>
        </is>
      </c>
      <c r="P25" s="182" t="inlineStr">
        <is>
          <t>CoQ-PP-2025-0009</t>
        </is>
      </c>
      <c r="Q25" s="182" t="inlineStr">
        <is>
          <t>iCoA-PP-2025-0009</t>
        </is>
      </c>
      <c r="R25" s="182" t="inlineStr">
        <is>
          <t>P050062|FM|I</t>
        </is>
      </c>
      <c r="S25" s="192" t="inlineStr">
        <is>
          <t>registered — preliminary date, QC sets the real date at issue</t>
        </is>
      </c>
    </row>
    <row r="26">
      <c r="A26" s="182">
        <f>IF(C26="yes",COUNT(A$1:A25)+1,"")</f>
        <v/>
      </c>
      <c r="B26" s="181">
        <f>IF(A26="","— at issue —","iCoA-PP_26-"&amp;TEXT(A26,"000"))</f>
        <v/>
      </c>
      <c r="C26" s="188" t="inlineStr">
        <is>
          <t>yes</t>
        </is>
      </c>
      <c r="D26" s="183">
        <f>IF(A26="","",E26)</f>
        <v/>
      </c>
      <c r="E26" s="183">
        <f>IF(AND(C26="yes",ISNUMBER(G26)),MAX(DATE(2026,5,11),G26),"")</f>
        <v/>
      </c>
      <c r="F26" s="183">
        <f>IFERROR(INDEX('Batch Dates'!$F:$F,MATCH(J26,'Batch Dates'!$C:$C,0)),IFERROR(INDEX('Batch Dates'!$F:$F,MATCH(I26,'Batch Dates'!$B:$B,0)),""))</f>
        <v/>
      </c>
      <c r="G26" s="183">
        <f>IFERROR(INDEX('Batch Dates'!$G:$G,MATCH(J26,'Batch Dates'!$C:$C,0)),IFERROR(INDEX('Batch Dates'!$G:$G,MATCH(I26,'Batch Dates'!$B:$B,0)),""))</f>
        <v/>
      </c>
      <c r="H26" s="182" t="inlineStr">
        <is>
          <t>initial release</t>
        </is>
      </c>
      <c r="I26" s="181" t="inlineStr">
        <is>
          <t>GP0824_03</t>
        </is>
      </c>
      <c r="J26" s="182" t="inlineStr">
        <is>
          <t>P050072</t>
        </is>
      </c>
      <c r="K26" s="182" t="inlineStr">
        <is>
          <t>Grape Pie</t>
        </is>
      </c>
      <c r="L26" s="182" t="inlineStr">
        <is>
          <t>Ident A + Ident B</t>
        </is>
      </c>
      <c r="M26" s="182" t="inlineStr">
        <is>
          <t>iCoA_P01-02 · Appearance &amp; Identification A/B</t>
        </is>
      </c>
      <c r="N26" s="189" t="inlineStr">
        <is>
          <t>—</t>
        </is>
      </c>
      <c r="O26" s="182" t="inlineStr">
        <is>
          <t>ППК25175, (10.07.2025) [CNP]</t>
        </is>
      </c>
      <c r="P26" s="182" t="inlineStr">
        <is>
          <t>CoQ-PP-2025-0010</t>
        </is>
      </c>
      <c r="Q26" s="182" t="inlineStr">
        <is>
          <t>iCoA-PP-2025-0010</t>
        </is>
      </c>
      <c r="R26" s="182" t="inlineStr">
        <is>
          <t>P050072|AB|I</t>
        </is>
      </c>
      <c r="S26" s="192" t="inlineStr">
        <is>
          <t>registered — preliminary date, QC sets the real date at issue</t>
        </is>
      </c>
    </row>
    <row r="27">
      <c r="A27" s="182">
        <f>IF(C27="yes",COUNT(A$1:A26)+1,"")</f>
        <v/>
      </c>
      <c r="B27" s="181">
        <f>IF(A27="","— at issue —","iCoA-PP_26-"&amp;TEXT(A27,"000"))</f>
        <v/>
      </c>
      <c r="C27" s="188" t="inlineStr">
        <is>
          <t>yes</t>
        </is>
      </c>
      <c r="D27" s="183">
        <f>IF(A27="","",E27)</f>
        <v/>
      </c>
      <c r="E27" s="183">
        <f>IF(AND(C27="yes",ISNUMBER(G27)),MAX(DATE(2026,5,11),G27),"")</f>
        <v/>
      </c>
      <c r="F27" s="183">
        <f>IFERROR(INDEX('Batch Dates'!$F:$F,MATCH(J27,'Batch Dates'!$C:$C,0)),IFERROR(INDEX('Batch Dates'!$F:$F,MATCH(I27,'Batch Dates'!$B:$B,0)),""))</f>
        <v/>
      </c>
      <c r="G27" s="183">
        <f>IFERROR(INDEX('Batch Dates'!$G:$G,MATCH(J27,'Batch Dates'!$C:$C,0)),IFERROR(INDEX('Batch Dates'!$G:$G,MATCH(I27,'Batch Dates'!$B:$B,0)),""))</f>
        <v/>
      </c>
      <c r="H27" s="182" t="inlineStr">
        <is>
          <t>initial release</t>
        </is>
      </c>
      <c r="I27" s="181" t="inlineStr">
        <is>
          <t>GP0824_03</t>
        </is>
      </c>
      <c r="J27" s="182" t="inlineStr">
        <is>
          <t>P050072</t>
        </is>
      </c>
      <c r="K27" s="182" t="inlineStr">
        <is>
          <t>Grape Pie</t>
        </is>
      </c>
      <c r="L27" s="182" t="inlineStr">
        <is>
          <t>Foreign matter</t>
        </is>
      </c>
      <c r="M27" s="182" t="inlineStr">
        <is>
          <t>iCoA_P07 · Foreign matter</t>
        </is>
      </c>
      <c r="N27" s="189" t="inlineStr">
        <is>
          <t>—</t>
        </is>
      </c>
      <c r="O27" s="182" t="inlineStr">
        <is>
          <t>ППК25175, (10.07.2025) [CNP]</t>
        </is>
      </c>
      <c r="P27" s="182" t="inlineStr">
        <is>
          <t>CoQ-PP-2025-0010</t>
        </is>
      </c>
      <c r="Q27" s="182" t="inlineStr">
        <is>
          <t>iCoA-PP-2025-0010</t>
        </is>
      </c>
      <c r="R27" s="182" t="inlineStr">
        <is>
          <t>P050072|FM|I</t>
        </is>
      </c>
      <c r="S27" s="192" t="inlineStr">
        <is>
          <t>registered — preliminary date, QC sets the real date at issue</t>
        </is>
      </c>
    </row>
    <row r="28">
      <c r="A28" s="182">
        <f>IF(C28="yes",COUNT(A$1:A27)+1,"")</f>
        <v/>
      </c>
      <c r="B28" s="181">
        <f>IF(A28="","— at issue —","iCoA-PP_26-"&amp;TEXT(A28,"000"))</f>
        <v/>
      </c>
      <c r="C28" s="188" t="inlineStr">
        <is>
          <t>yes</t>
        </is>
      </c>
      <c r="D28" s="183">
        <f>IF(A28="","",E28)</f>
        <v/>
      </c>
      <c r="E28" s="183">
        <f>IF(AND(C28="yes",ISNUMBER(G28)),MAX(DATE(2026,5,11),G28),"")</f>
        <v/>
      </c>
      <c r="F28" s="183">
        <f>IFERROR(INDEX('Batch Dates'!$F:$F,MATCH(J28,'Batch Dates'!$C:$C,0)),IFERROR(INDEX('Batch Dates'!$F:$F,MATCH(I28,'Batch Dates'!$B:$B,0)),""))</f>
        <v/>
      </c>
      <c r="G28" s="183">
        <f>IFERROR(INDEX('Batch Dates'!$G:$G,MATCH(J28,'Batch Dates'!$C:$C,0)),IFERROR(INDEX('Batch Dates'!$G:$G,MATCH(I28,'Batch Dates'!$B:$B,0)),""))</f>
        <v/>
      </c>
      <c r="H28" s="182" t="inlineStr">
        <is>
          <t>initial release</t>
        </is>
      </c>
      <c r="I28" s="181" t="inlineStr">
        <is>
          <t>OPM1024_03</t>
        </is>
      </c>
      <c r="J28" s="182" t="inlineStr">
        <is>
          <t>P050082</t>
        </is>
      </c>
      <c r="K28" s="182" t="inlineStr">
        <is>
          <t>Orange Punch Mimosa</t>
        </is>
      </c>
      <c r="L28" s="182" t="inlineStr">
        <is>
          <t>Ident A + Ident B</t>
        </is>
      </c>
      <c r="M28" s="182" t="inlineStr">
        <is>
          <t>iCoA_P01-02 · Appearance &amp; Identification A/B</t>
        </is>
      </c>
      <c r="N28" s="189" t="inlineStr">
        <is>
          <t>—</t>
        </is>
      </c>
      <c r="O28" s="182" t="inlineStr">
        <is>
          <t>ППК25210, (28.07.2025) [CNP]</t>
        </is>
      </c>
      <c r="P28" s="182" t="inlineStr">
        <is>
          <t>CoQ-PP-2025-0011</t>
        </is>
      </c>
      <c r="Q28" s="182" t="inlineStr">
        <is>
          <t>iCoA-PP-2025-0011</t>
        </is>
      </c>
      <c r="R28" s="182" t="inlineStr">
        <is>
          <t>P050082|AB|I</t>
        </is>
      </c>
      <c r="S28" s="192" t="inlineStr">
        <is>
          <t>registered — preliminary date, QC sets the real date at issue</t>
        </is>
      </c>
    </row>
    <row r="29">
      <c r="A29" s="182">
        <f>IF(C29="yes",COUNT(A$1:A28)+1,"")</f>
        <v/>
      </c>
      <c r="B29" s="181">
        <f>IF(A29="","— at issue —","iCoA-PP_26-"&amp;TEXT(A29,"000"))</f>
        <v/>
      </c>
      <c r="C29" s="188" t="inlineStr">
        <is>
          <t>yes</t>
        </is>
      </c>
      <c r="D29" s="183">
        <f>IF(A29="","",E29)</f>
        <v/>
      </c>
      <c r="E29" s="183">
        <f>IF(AND(C29="yes",ISNUMBER(G29)),MAX(DATE(2026,5,11),G29),"")</f>
        <v/>
      </c>
      <c r="F29" s="183">
        <f>IFERROR(INDEX('Batch Dates'!$F:$F,MATCH(J29,'Batch Dates'!$C:$C,0)),IFERROR(INDEX('Batch Dates'!$F:$F,MATCH(I29,'Batch Dates'!$B:$B,0)),""))</f>
        <v/>
      </c>
      <c r="G29" s="183">
        <f>IFERROR(INDEX('Batch Dates'!$G:$G,MATCH(J29,'Batch Dates'!$C:$C,0)),IFERROR(INDEX('Batch Dates'!$G:$G,MATCH(I29,'Batch Dates'!$B:$B,0)),""))</f>
        <v/>
      </c>
      <c r="H29" s="182" t="inlineStr">
        <is>
          <t>initial release</t>
        </is>
      </c>
      <c r="I29" s="181" t="inlineStr">
        <is>
          <t>OPM1024_03</t>
        </is>
      </c>
      <c r="J29" s="182" t="inlineStr">
        <is>
          <t>P050082</t>
        </is>
      </c>
      <c r="K29" s="182" t="inlineStr">
        <is>
          <t>Orange Punch Mimosa</t>
        </is>
      </c>
      <c r="L29" s="182" t="inlineStr">
        <is>
          <t>Foreign matter</t>
        </is>
      </c>
      <c r="M29" s="182" t="inlineStr">
        <is>
          <t>iCoA_P07 · Foreign matter</t>
        </is>
      </c>
      <c r="N29" s="189" t="inlineStr">
        <is>
          <t>—</t>
        </is>
      </c>
      <c r="O29" s="182" t="inlineStr">
        <is>
          <t>ППК25210, (28.07.2025) [CNP]</t>
        </is>
      </c>
      <c r="P29" s="182" t="inlineStr">
        <is>
          <t>CoQ-PP-2025-0011</t>
        </is>
      </c>
      <c r="Q29" s="182" t="inlineStr">
        <is>
          <t>iCoA-PP-2025-0011</t>
        </is>
      </c>
      <c r="R29" s="182" t="inlineStr">
        <is>
          <t>P050082|FM|I</t>
        </is>
      </c>
      <c r="S29" s="192" t="inlineStr">
        <is>
          <t>registered — preliminary date, QC sets the real date at issue</t>
        </is>
      </c>
    </row>
    <row r="30">
      <c r="A30" s="182">
        <f>IF(C30="yes",COUNT(A$1:A29)+1,"")</f>
        <v/>
      </c>
      <c r="B30" s="181">
        <f>IF(A30="","— at issue —","iCoA-PP_26-"&amp;TEXT(A30,"000"))</f>
        <v/>
      </c>
      <c r="C30" s="188" t="inlineStr">
        <is>
          <t>yes</t>
        </is>
      </c>
      <c r="D30" s="183">
        <f>IF(A30="","",E30)</f>
        <v/>
      </c>
      <c r="E30" s="183">
        <f>IF(AND(C30="yes",ISNUMBER(G30)),MAX(DATE(2026,5,11),G30),"")</f>
        <v/>
      </c>
      <c r="F30" s="183">
        <f>IFERROR(INDEX('Batch Dates'!$F:$F,MATCH(J30,'Batch Dates'!$C:$C,0)),IFERROR(INDEX('Batch Dates'!$F:$F,MATCH(I30,'Batch Dates'!$B:$B,0)),""))</f>
        <v/>
      </c>
      <c r="G30" s="183">
        <f>IFERROR(INDEX('Batch Dates'!$G:$G,MATCH(J30,'Batch Dates'!$C:$C,0)),IFERROR(INDEX('Batch Dates'!$G:$G,MATCH(I30,'Batch Dates'!$B:$B,0)),""))</f>
        <v/>
      </c>
      <c r="H30" s="182" t="inlineStr">
        <is>
          <t>initial release</t>
        </is>
      </c>
      <c r="I30" s="181" t="inlineStr">
        <is>
          <t>GG1024_01</t>
        </is>
      </c>
      <c r="J30" s="182" t="inlineStr">
        <is>
          <t>P050092</t>
        </is>
      </c>
      <c r="K30" s="182" t="inlineStr">
        <is>
          <t>Gorilla Glue</t>
        </is>
      </c>
      <c r="L30" s="182" t="inlineStr">
        <is>
          <t>Ident A + Ident B</t>
        </is>
      </c>
      <c r="M30" s="182" t="inlineStr">
        <is>
          <t>iCoA_P01-02 · Appearance &amp; Identification A/B</t>
        </is>
      </c>
      <c r="N30" s="189" t="inlineStr">
        <is>
          <t>—</t>
        </is>
      </c>
      <c r="O30" s="182" t="inlineStr">
        <is>
          <t>ППК25104, (17.04.2025) [CNP]</t>
        </is>
      </c>
      <c r="P30" s="182" t="inlineStr">
        <is>
          <t>CoQ-PP-2025-0012</t>
        </is>
      </c>
      <c r="Q30" s="182" t="inlineStr">
        <is>
          <t>iCoA-PP-2025-0012</t>
        </is>
      </c>
      <c r="R30" s="182" t="inlineStr">
        <is>
          <t>P050092|AB|I</t>
        </is>
      </c>
      <c r="S30" s="192" t="inlineStr">
        <is>
          <t>registered — preliminary date, QC sets the real date at issue</t>
        </is>
      </c>
    </row>
    <row r="31">
      <c r="A31" s="182">
        <f>IF(C31="yes",COUNT(A$1:A30)+1,"")</f>
        <v/>
      </c>
      <c r="B31" s="181">
        <f>IF(A31="","— at issue —","iCoA-PP_26-"&amp;TEXT(A31,"000"))</f>
        <v/>
      </c>
      <c r="C31" s="188" t="inlineStr">
        <is>
          <t>yes</t>
        </is>
      </c>
      <c r="D31" s="183">
        <f>IF(A31="","",E31)</f>
        <v/>
      </c>
      <c r="E31" s="183">
        <f>IF(AND(C31="yes",ISNUMBER(G31)),MAX(DATE(2026,5,11),G31),"")</f>
        <v/>
      </c>
      <c r="F31" s="183">
        <f>IFERROR(INDEX('Batch Dates'!$F:$F,MATCH(J31,'Batch Dates'!$C:$C,0)),IFERROR(INDEX('Batch Dates'!$F:$F,MATCH(I31,'Batch Dates'!$B:$B,0)),""))</f>
        <v/>
      </c>
      <c r="G31" s="183">
        <f>IFERROR(INDEX('Batch Dates'!$G:$G,MATCH(J31,'Batch Dates'!$C:$C,0)),IFERROR(INDEX('Batch Dates'!$G:$G,MATCH(I31,'Batch Dates'!$B:$B,0)),""))</f>
        <v/>
      </c>
      <c r="H31" s="182" t="inlineStr">
        <is>
          <t>initial release</t>
        </is>
      </c>
      <c r="I31" s="181" t="inlineStr">
        <is>
          <t>GG1024_01</t>
        </is>
      </c>
      <c r="J31" s="182" t="inlineStr">
        <is>
          <t>P050092</t>
        </is>
      </c>
      <c r="K31" s="182" t="inlineStr">
        <is>
          <t>Gorilla Glue</t>
        </is>
      </c>
      <c r="L31" s="182" t="inlineStr">
        <is>
          <t>Foreign matter</t>
        </is>
      </c>
      <c r="M31" s="182" t="inlineStr">
        <is>
          <t>iCoA_P07 · Foreign matter</t>
        </is>
      </c>
      <c r="N31" s="189" t="inlineStr">
        <is>
          <t>—</t>
        </is>
      </c>
      <c r="O31" s="182" t="inlineStr">
        <is>
          <t>ППК25104, (17.04.2025) [CNP]</t>
        </is>
      </c>
      <c r="P31" s="182" t="inlineStr">
        <is>
          <t>CoQ-PP-2025-0012</t>
        </is>
      </c>
      <c r="Q31" s="182" t="inlineStr">
        <is>
          <t>iCoA-PP-2025-0012</t>
        </is>
      </c>
      <c r="R31" s="182" t="inlineStr">
        <is>
          <t>P050092|FM|I</t>
        </is>
      </c>
      <c r="S31" s="192" t="inlineStr">
        <is>
          <t>registered — preliminary date, QC sets the real date at issue</t>
        </is>
      </c>
    </row>
    <row r="32">
      <c r="A32" s="182">
        <f>IF(C32="yes",COUNT(A$1:A31)+1,"")</f>
        <v/>
      </c>
      <c r="B32" s="181">
        <f>IF(A32="","— at issue —","iCoA-PP_26-"&amp;TEXT(A32,"000"))</f>
        <v/>
      </c>
      <c r="C32" s="188" t="inlineStr">
        <is>
          <t>yes</t>
        </is>
      </c>
      <c r="D32" s="183">
        <f>IF(A32="","",E32)</f>
        <v/>
      </c>
      <c r="E32" s="183">
        <f>IF(AND(C32="yes",ISNUMBER(G32)),MAX(DATE(2026,5,11),G32),"")</f>
        <v/>
      </c>
      <c r="F32" s="183">
        <f>IFERROR(INDEX('Batch Dates'!$F:$F,MATCH(J32,'Batch Dates'!$C:$C,0)),IFERROR(INDEX('Batch Dates'!$F:$F,MATCH(I32,'Batch Dates'!$B:$B,0)),""))</f>
        <v/>
      </c>
      <c r="G32" s="183">
        <f>IFERROR(INDEX('Batch Dates'!$G:$G,MATCH(J32,'Batch Dates'!$C:$C,0)),IFERROR(INDEX('Batch Dates'!$G:$G,MATCH(I32,'Batch Dates'!$B:$B,0)),""))</f>
        <v/>
      </c>
      <c r="H32" s="182" t="inlineStr">
        <is>
          <t>initial release</t>
        </is>
      </c>
      <c r="I32" s="181" t="inlineStr">
        <is>
          <t>GP0824_01</t>
        </is>
      </c>
      <c r="J32" s="182" t="inlineStr">
        <is>
          <t>P050102</t>
        </is>
      </c>
      <c r="K32" s="182" t="inlineStr">
        <is>
          <t>Grape Pie</t>
        </is>
      </c>
      <c r="L32" s="182" t="inlineStr">
        <is>
          <t>Ident A + Ident B</t>
        </is>
      </c>
      <c r="M32" s="182" t="inlineStr">
        <is>
          <t>iCoA_P01-02 · Appearance &amp; Identification A/B</t>
        </is>
      </c>
      <c r="N32" s="189" t="inlineStr">
        <is>
          <t>—</t>
        </is>
      </c>
      <c r="O32" s="182" t="inlineStr">
        <is>
          <t>ППК25105, (17.04.2025) [CNP]</t>
        </is>
      </c>
      <c r="P32" s="182" t="inlineStr">
        <is>
          <t>(assigned on issue)</t>
        </is>
      </c>
      <c r="Q32" s="189" t="inlineStr">
        <is>
          <t>—</t>
        </is>
      </c>
      <c r="R32" s="182" t="inlineStr">
        <is>
          <t>P050102|AB|I</t>
        </is>
      </c>
      <c r="S32" s="192" t="inlineStr">
        <is>
          <t>registered — preliminary date, QC sets the real date at issue</t>
        </is>
      </c>
    </row>
    <row r="33">
      <c r="A33" s="182">
        <f>IF(C33="yes",COUNT(A$1:A32)+1,"")</f>
        <v/>
      </c>
      <c r="B33" s="181">
        <f>IF(A33="","— at issue —","iCoA-PP_26-"&amp;TEXT(A33,"000"))</f>
        <v/>
      </c>
      <c r="C33" s="188" t="inlineStr">
        <is>
          <t>yes</t>
        </is>
      </c>
      <c r="D33" s="183">
        <f>IF(A33="","",E33)</f>
        <v/>
      </c>
      <c r="E33" s="183">
        <f>IF(AND(C33="yes",ISNUMBER(G33)),MAX(DATE(2026,5,11),G33),"")</f>
        <v/>
      </c>
      <c r="F33" s="183">
        <f>IFERROR(INDEX('Batch Dates'!$F:$F,MATCH(J33,'Batch Dates'!$C:$C,0)),IFERROR(INDEX('Batch Dates'!$F:$F,MATCH(I33,'Batch Dates'!$B:$B,0)),""))</f>
        <v/>
      </c>
      <c r="G33" s="183">
        <f>IFERROR(INDEX('Batch Dates'!$G:$G,MATCH(J33,'Batch Dates'!$C:$C,0)),IFERROR(INDEX('Batch Dates'!$G:$G,MATCH(I33,'Batch Dates'!$B:$B,0)),""))</f>
        <v/>
      </c>
      <c r="H33" s="182" t="inlineStr">
        <is>
          <t>initial release</t>
        </is>
      </c>
      <c r="I33" s="181" t="inlineStr">
        <is>
          <t>GP0824_01</t>
        </is>
      </c>
      <c r="J33" s="182" t="inlineStr">
        <is>
          <t>P050102</t>
        </is>
      </c>
      <c r="K33" s="182" t="inlineStr">
        <is>
          <t>Grape Pie</t>
        </is>
      </c>
      <c r="L33" s="182" t="inlineStr">
        <is>
          <t>Foreign matter</t>
        </is>
      </c>
      <c r="M33" s="182" t="inlineStr">
        <is>
          <t>iCoA_P07 · Foreign matter</t>
        </is>
      </c>
      <c r="N33" s="189" t="inlineStr">
        <is>
          <t>—</t>
        </is>
      </c>
      <c r="O33" s="182" t="inlineStr">
        <is>
          <t>ППК25105, (17.04.2025) [CNP]</t>
        </is>
      </c>
      <c r="P33" s="182" t="inlineStr">
        <is>
          <t>(assigned on issue)</t>
        </is>
      </c>
      <c r="Q33" s="189" t="inlineStr">
        <is>
          <t>—</t>
        </is>
      </c>
      <c r="R33" s="182" t="inlineStr">
        <is>
          <t>P050102|FM|I</t>
        </is>
      </c>
      <c r="S33" s="192" t="inlineStr">
        <is>
          <t>registered — preliminary date, QC sets the real date at issue</t>
        </is>
      </c>
    </row>
    <row r="34">
      <c r="A34" s="182">
        <f>IF(C34="yes",COUNT(A$1:A33)+1,"")</f>
        <v/>
      </c>
      <c r="B34" s="181">
        <f>IF(A34="","— at issue —","iCoA-PP_26-"&amp;TEXT(A34,"000"))</f>
        <v/>
      </c>
      <c r="C34" s="188" t="inlineStr">
        <is>
          <t>yes</t>
        </is>
      </c>
      <c r="D34" s="183">
        <f>IF(A34="","",E34)</f>
        <v/>
      </c>
      <c r="E34" s="183">
        <f>IF(AND(C34="yes",ISNUMBER(G34)),MAX(DATE(2026,5,11),G34),"")</f>
        <v/>
      </c>
      <c r="F34" s="183">
        <f>IFERROR(INDEX('Batch Dates'!$F:$F,MATCH(J34,'Batch Dates'!$C:$C,0)),IFERROR(INDEX('Batch Dates'!$F:$F,MATCH(I34,'Batch Dates'!$B:$B,0)),""))</f>
        <v/>
      </c>
      <c r="G34" s="183">
        <f>IFERROR(INDEX('Batch Dates'!$G:$G,MATCH(J34,'Batch Dates'!$C:$C,0)),IFERROR(INDEX('Batch Dates'!$G:$G,MATCH(I34,'Batch Dates'!$B:$B,0)),""))</f>
        <v/>
      </c>
      <c r="H34" s="182" t="inlineStr">
        <is>
          <t>initial release</t>
        </is>
      </c>
      <c r="I34" s="181" t="inlineStr">
        <is>
          <t>MB0824_05</t>
        </is>
      </c>
      <c r="J34" s="182" t="inlineStr">
        <is>
          <t>P050112</t>
        </is>
      </c>
      <c r="K34" s="182" t="inlineStr">
        <is>
          <t>Motor Breath</t>
        </is>
      </c>
      <c r="L34" s="182" t="inlineStr">
        <is>
          <t>Ident A + Ident B</t>
        </is>
      </c>
      <c r="M34" s="182" t="inlineStr">
        <is>
          <t>iCoA_P01-02 · Appearance &amp; Identification A/B</t>
        </is>
      </c>
      <c r="N34" s="189" t="inlineStr">
        <is>
          <t>—</t>
        </is>
      </c>
      <c r="O34" s="182" t="inlineStr">
        <is>
          <t>ППК25211, (28.07.2025) [CNP]</t>
        </is>
      </c>
      <c r="P34" s="182" t="inlineStr">
        <is>
          <t>CoQ-PP-2025-0013</t>
        </is>
      </c>
      <c r="Q34" s="182" t="inlineStr">
        <is>
          <t>iCoA-PP-2025-0013</t>
        </is>
      </c>
      <c r="R34" s="182" t="inlineStr">
        <is>
          <t>P050112|AB|I</t>
        </is>
      </c>
      <c r="S34" s="192" t="inlineStr">
        <is>
          <t>registered — preliminary date, QC sets the real date at issue</t>
        </is>
      </c>
    </row>
    <row r="35">
      <c r="A35" s="182">
        <f>IF(C35="yes",COUNT(A$1:A34)+1,"")</f>
        <v/>
      </c>
      <c r="B35" s="181">
        <f>IF(A35="","— at issue —","iCoA-PP_26-"&amp;TEXT(A35,"000"))</f>
        <v/>
      </c>
      <c r="C35" s="188" t="inlineStr">
        <is>
          <t>yes</t>
        </is>
      </c>
      <c r="D35" s="183">
        <f>IF(A35="","",E35)</f>
        <v/>
      </c>
      <c r="E35" s="183">
        <f>IF(AND(C35="yes",ISNUMBER(G35)),MAX(DATE(2026,5,11),G35),"")</f>
        <v/>
      </c>
      <c r="F35" s="183">
        <f>IFERROR(INDEX('Batch Dates'!$F:$F,MATCH(J35,'Batch Dates'!$C:$C,0)),IFERROR(INDEX('Batch Dates'!$F:$F,MATCH(I35,'Batch Dates'!$B:$B,0)),""))</f>
        <v/>
      </c>
      <c r="G35" s="183">
        <f>IFERROR(INDEX('Batch Dates'!$G:$G,MATCH(J35,'Batch Dates'!$C:$C,0)),IFERROR(INDEX('Batch Dates'!$G:$G,MATCH(I35,'Batch Dates'!$B:$B,0)),""))</f>
        <v/>
      </c>
      <c r="H35" s="182" t="inlineStr">
        <is>
          <t>initial release</t>
        </is>
      </c>
      <c r="I35" s="181" t="inlineStr">
        <is>
          <t>MB0824_05</t>
        </is>
      </c>
      <c r="J35" s="182" t="inlineStr">
        <is>
          <t>P050112</t>
        </is>
      </c>
      <c r="K35" s="182" t="inlineStr">
        <is>
          <t>Motor Breath</t>
        </is>
      </c>
      <c r="L35" s="182" t="inlineStr">
        <is>
          <t>Foreign matter</t>
        </is>
      </c>
      <c r="M35" s="182" t="inlineStr">
        <is>
          <t>iCoA_P07 · Foreign matter</t>
        </is>
      </c>
      <c r="N35" s="189" t="inlineStr">
        <is>
          <t>—</t>
        </is>
      </c>
      <c r="O35" s="182" t="inlineStr">
        <is>
          <t>ППК25211, (28.07.2025) [CNP]</t>
        </is>
      </c>
      <c r="P35" s="182" t="inlineStr">
        <is>
          <t>CoQ-PP-2025-0013</t>
        </is>
      </c>
      <c r="Q35" s="182" t="inlineStr">
        <is>
          <t>iCoA-PP-2025-0013</t>
        </is>
      </c>
      <c r="R35" s="182" t="inlineStr">
        <is>
          <t>P050112|FM|I</t>
        </is>
      </c>
      <c r="S35" s="192" t="inlineStr">
        <is>
          <t>registered — preliminary date, QC sets the real date at issue</t>
        </is>
      </c>
    </row>
    <row r="36">
      <c r="A36" s="182">
        <f>IF(C36="yes",COUNT(A$1:A35)+1,"")</f>
        <v/>
      </c>
      <c r="B36" s="181">
        <f>IF(A36="","— at issue —","iCoA-PP_26-"&amp;TEXT(A36,"000"))</f>
        <v/>
      </c>
      <c r="C36" s="188" t="inlineStr">
        <is>
          <t>yes</t>
        </is>
      </c>
      <c r="D36" s="183">
        <f>IF(A36="","",E36)</f>
        <v/>
      </c>
      <c r="E36" s="183">
        <f>IF(AND(C36="yes",ISNUMBER(G36)),MAX(DATE(2026,5,11),G36),"")</f>
        <v/>
      </c>
      <c r="F36" s="183">
        <f>IFERROR(INDEX('Batch Dates'!$F:$F,MATCH(J36,'Batch Dates'!$C:$C,0)),IFERROR(INDEX('Batch Dates'!$F:$F,MATCH(I36,'Batch Dates'!$B:$B,0)),""))</f>
        <v/>
      </c>
      <c r="G36" s="183">
        <f>IFERROR(INDEX('Batch Dates'!$G:$G,MATCH(J36,'Batch Dates'!$C:$C,0)),IFERROR(INDEX('Batch Dates'!$G:$G,MATCH(I36,'Batch Dates'!$B:$B,0)),""))</f>
        <v/>
      </c>
      <c r="H36" s="182" t="inlineStr">
        <is>
          <t>initial release</t>
        </is>
      </c>
      <c r="I36" s="181" t="inlineStr">
        <is>
          <t>BSS1024_01/1</t>
        </is>
      </c>
      <c r="J36" s="182" t="inlineStr">
        <is>
          <t>P050122</t>
        </is>
      </c>
      <c r="K36" s="182" t="inlineStr">
        <is>
          <t>Blue Sunset Sherbet</t>
        </is>
      </c>
      <c r="L36" s="182" t="inlineStr">
        <is>
          <t>Ident A + Ident B</t>
        </is>
      </c>
      <c r="M36" s="182" t="inlineStr">
        <is>
          <t>iCoA_P01-02 · Appearance &amp; Identification A/B</t>
        </is>
      </c>
      <c r="N36" s="189" t="inlineStr">
        <is>
          <t>—</t>
        </is>
      </c>
      <c r="O36" s="182" t="inlineStr">
        <is>
          <t>ППК25176, (10.07.2025) [CNP]</t>
        </is>
      </c>
      <c r="P36" s="182" t="inlineStr">
        <is>
          <t>— not in the issuance plan —</t>
        </is>
      </c>
      <c r="Q36" s="189" t="inlineStr">
        <is>
          <t>—</t>
        </is>
      </c>
      <c r="R36" s="182" t="inlineStr">
        <is>
          <t>P050122|AB|I</t>
        </is>
      </c>
      <c r="S36" s="192" t="inlineStr">
        <is>
          <t>registered — preliminary date, QC sets the real date at issue</t>
        </is>
      </c>
    </row>
    <row r="37">
      <c r="A37" s="182">
        <f>IF(C37="yes",COUNT(A$1:A36)+1,"")</f>
        <v/>
      </c>
      <c r="B37" s="181">
        <f>IF(A37="","— at issue —","iCoA-PP_26-"&amp;TEXT(A37,"000"))</f>
        <v/>
      </c>
      <c r="C37" s="188" t="inlineStr">
        <is>
          <t>yes</t>
        </is>
      </c>
      <c r="D37" s="183">
        <f>IF(A37="","",E37)</f>
        <v/>
      </c>
      <c r="E37" s="183">
        <f>IF(AND(C37="yes",ISNUMBER(G37)),MAX(DATE(2026,5,11),G37),"")</f>
        <v/>
      </c>
      <c r="F37" s="183">
        <f>IFERROR(INDEX('Batch Dates'!$F:$F,MATCH(J37,'Batch Dates'!$C:$C,0)),IFERROR(INDEX('Batch Dates'!$F:$F,MATCH(I37,'Batch Dates'!$B:$B,0)),""))</f>
        <v/>
      </c>
      <c r="G37" s="183">
        <f>IFERROR(INDEX('Batch Dates'!$G:$G,MATCH(J37,'Batch Dates'!$C:$C,0)),IFERROR(INDEX('Batch Dates'!$G:$G,MATCH(I37,'Batch Dates'!$B:$B,0)),""))</f>
        <v/>
      </c>
      <c r="H37" s="182" t="inlineStr">
        <is>
          <t>initial release</t>
        </is>
      </c>
      <c r="I37" s="181" t="inlineStr">
        <is>
          <t>BSS1024_01/1</t>
        </is>
      </c>
      <c r="J37" s="182" t="inlineStr">
        <is>
          <t>P050122</t>
        </is>
      </c>
      <c r="K37" s="182" t="inlineStr">
        <is>
          <t>Blue Sunset Sherbet</t>
        </is>
      </c>
      <c r="L37" s="182" t="inlineStr">
        <is>
          <t>Foreign matter</t>
        </is>
      </c>
      <c r="M37" s="182" t="inlineStr">
        <is>
          <t>iCoA_P07 · Foreign matter</t>
        </is>
      </c>
      <c r="N37" s="189" t="inlineStr">
        <is>
          <t>—</t>
        </is>
      </c>
      <c r="O37" s="182" t="inlineStr">
        <is>
          <t>ППК25176, (10.07.2025) [CNP]</t>
        </is>
      </c>
      <c r="P37" s="182" t="inlineStr">
        <is>
          <t>— not in the issuance plan —</t>
        </is>
      </c>
      <c r="Q37" s="189" t="inlineStr">
        <is>
          <t>—</t>
        </is>
      </c>
      <c r="R37" s="182" t="inlineStr">
        <is>
          <t>P050122|FM|I</t>
        </is>
      </c>
      <c r="S37" s="192" t="inlineStr">
        <is>
          <t>registered — preliminary date, QC sets the real date at issue</t>
        </is>
      </c>
    </row>
    <row r="38">
      <c r="A38" s="182">
        <f>IF(C38="yes",COUNT(A$1:A37)+1,"")</f>
        <v/>
      </c>
      <c r="B38" s="181">
        <f>IF(A38="","— at issue —","iCoA-PP_26-"&amp;TEXT(A38,"000"))</f>
        <v/>
      </c>
      <c r="C38" s="188" t="inlineStr">
        <is>
          <t>yes</t>
        </is>
      </c>
      <c r="D38" s="183">
        <f>IF(A38="","",E38)</f>
        <v/>
      </c>
      <c r="E38" s="183">
        <f>IF(AND(C38="yes",ISNUMBER(G38)),MAX(DATE(2026,5,11),G38),"")</f>
        <v/>
      </c>
      <c r="F38" s="183">
        <f>IFERROR(INDEX('Batch Dates'!$F:$F,MATCH(J38,'Batch Dates'!$C:$C,0)),IFERROR(INDEX('Batch Dates'!$F:$F,MATCH(I38,'Batch Dates'!$B:$B,0)),""))</f>
        <v/>
      </c>
      <c r="G38" s="183">
        <f>IFERROR(INDEX('Batch Dates'!$G:$G,MATCH(J38,'Batch Dates'!$C:$C,0)),IFERROR(INDEX('Batch Dates'!$G:$G,MATCH(I38,'Batch Dates'!$B:$B,0)),""))</f>
        <v/>
      </c>
      <c r="H38" s="182" t="inlineStr">
        <is>
          <t>initial release</t>
        </is>
      </c>
      <c r="I38" s="181" t="inlineStr">
        <is>
          <t>OPM052501</t>
        </is>
      </c>
      <c r="J38" s="182" t="inlineStr">
        <is>
          <t>P050132</t>
        </is>
      </c>
      <c r="K38" s="182" t="inlineStr">
        <is>
          <t>Orange Punch Mimosa</t>
        </is>
      </c>
      <c r="L38" s="182" t="inlineStr">
        <is>
          <t>Ident A + Ident B</t>
        </is>
      </c>
      <c r="M38" s="182" t="inlineStr">
        <is>
          <t>iCoA_P01-02 · Appearance &amp; Identification A/B</t>
        </is>
      </c>
      <c r="N38" s="189" t="inlineStr">
        <is>
          <t>—</t>
        </is>
      </c>
      <c r="O38" s="182" t="inlineStr">
        <is>
          <t>ППК25257, (05.09.2025) [CNP]</t>
        </is>
      </c>
      <c r="P38" s="182" t="inlineStr">
        <is>
          <t>(assigned on issue)</t>
        </is>
      </c>
      <c r="Q38" s="189" t="inlineStr">
        <is>
          <t>—</t>
        </is>
      </c>
      <c r="R38" s="182" t="inlineStr">
        <is>
          <t>P050132|AB|I</t>
        </is>
      </c>
      <c r="S38" s="192" t="inlineStr">
        <is>
          <t>registered — preliminary date, QC sets the real date at issue</t>
        </is>
      </c>
    </row>
    <row r="39">
      <c r="A39" s="182">
        <f>IF(C39="yes",COUNT(A$1:A38)+1,"")</f>
        <v/>
      </c>
      <c r="B39" s="181">
        <f>IF(A39="","— at issue —","iCoA-PP_26-"&amp;TEXT(A39,"000"))</f>
        <v/>
      </c>
      <c r="C39" s="188" t="inlineStr">
        <is>
          <t>yes</t>
        </is>
      </c>
      <c r="D39" s="183">
        <f>IF(A39="","",E39)</f>
        <v/>
      </c>
      <c r="E39" s="183">
        <f>IF(AND(C39="yes",ISNUMBER(G39)),MAX(DATE(2026,5,11),G39),"")</f>
        <v/>
      </c>
      <c r="F39" s="183">
        <f>IFERROR(INDEX('Batch Dates'!$F:$F,MATCH(J39,'Batch Dates'!$C:$C,0)),IFERROR(INDEX('Batch Dates'!$F:$F,MATCH(I39,'Batch Dates'!$B:$B,0)),""))</f>
        <v/>
      </c>
      <c r="G39" s="183">
        <f>IFERROR(INDEX('Batch Dates'!$G:$G,MATCH(J39,'Batch Dates'!$C:$C,0)),IFERROR(INDEX('Batch Dates'!$G:$G,MATCH(I39,'Batch Dates'!$B:$B,0)),""))</f>
        <v/>
      </c>
      <c r="H39" s="182" t="inlineStr">
        <is>
          <t>initial release</t>
        </is>
      </c>
      <c r="I39" s="181" t="inlineStr">
        <is>
          <t>OPM052501</t>
        </is>
      </c>
      <c r="J39" s="182" t="inlineStr">
        <is>
          <t>P050132</t>
        </is>
      </c>
      <c r="K39" s="182" t="inlineStr">
        <is>
          <t>Orange Punch Mimosa</t>
        </is>
      </c>
      <c r="L39" s="182" t="inlineStr">
        <is>
          <t>Foreign matter</t>
        </is>
      </c>
      <c r="M39" s="182" t="inlineStr">
        <is>
          <t>iCoA_P07 · Foreign matter</t>
        </is>
      </c>
      <c r="N39" s="189" t="inlineStr">
        <is>
          <t>—</t>
        </is>
      </c>
      <c r="O39" s="182" t="inlineStr">
        <is>
          <t>ППК25257, (05.09.2025) [CNP]</t>
        </is>
      </c>
      <c r="P39" s="182" t="inlineStr">
        <is>
          <t>(assigned on issue)</t>
        </is>
      </c>
      <c r="Q39" s="189" t="inlineStr">
        <is>
          <t>—</t>
        </is>
      </c>
      <c r="R39" s="182" t="inlineStr">
        <is>
          <t>P050132|FM|I</t>
        </is>
      </c>
      <c r="S39" s="192" t="inlineStr">
        <is>
          <t>registered — preliminary date, QC sets the real date at issue</t>
        </is>
      </c>
    </row>
    <row r="40">
      <c r="A40" s="182">
        <f>IF(C40="yes",COUNT(A$1:A39)+1,"")</f>
        <v/>
      </c>
      <c r="B40" s="181">
        <f>IF(A40="","— at issue —","iCoA-PP_26-"&amp;TEXT(A40,"000"))</f>
        <v/>
      </c>
      <c r="C40" s="188" t="inlineStr">
        <is>
          <t>yes</t>
        </is>
      </c>
      <c r="D40" s="183">
        <f>IF(A40="","",E40)</f>
        <v/>
      </c>
      <c r="E40" s="183">
        <f>IF(AND(C40="yes",ISNUMBER(G40)),MAX(DATE(2026,5,11),G40),"")</f>
        <v/>
      </c>
      <c r="F40" s="183">
        <f>IFERROR(INDEX('Batch Dates'!$F:$F,MATCH(J40,'Batch Dates'!$C:$C,0)),IFERROR(INDEX('Batch Dates'!$F:$F,MATCH(I40,'Batch Dates'!$B:$B,0)),""))</f>
        <v/>
      </c>
      <c r="G40" s="183">
        <f>IFERROR(INDEX('Batch Dates'!$G:$G,MATCH(J40,'Batch Dates'!$C:$C,0)),IFERROR(INDEX('Batch Dates'!$G:$G,MATCH(I40,'Batch Dates'!$B:$B,0)),""))</f>
        <v/>
      </c>
      <c r="H40" s="182" t="inlineStr">
        <is>
          <t>initial release</t>
        </is>
      </c>
      <c r="I40" s="181" t="inlineStr">
        <is>
          <t>GP052501</t>
        </is>
      </c>
      <c r="J40" s="182" t="inlineStr">
        <is>
          <t>P050152</t>
        </is>
      </c>
      <c r="K40" s="182" t="inlineStr">
        <is>
          <t>Grape Pie</t>
        </is>
      </c>
      <c r="L40" s="182" t="inlineStr">
        <is>
          <t>Ident A + Ident B</t>
        </is>
      </c>
      <c r="M40" s="182" t="inlineStr">
        <is>
          <t>iCoA_P01-02 · Appearance &amp; Identification A/B</t>
        </is>
      </c>
      <c r="N40" s="189" t="inlineStr">
        <is>
          <t>—</t>
        </is>
      </c>
      <c r="O40" s="182" t="inlineStr">
        <is>
          <t>ППК25279, (19.09.2025) [CNP]</t>
        </is>
      </c>
      <c r="P40" s="182" t="inlineStr">
        <is>
          <t>CoQ-PP-2025-0014</t>
        </is>
      </c>
      <c r="Q40" s="182" t="inlineStr">
        <is>
          <t>iCoA-PP-2025-0014</t>
        </is>
      </c>
      <c r="R40" s="182" t="inlineStr">
        <is>
          <t>P050152|AB|I</t>
        </is>
      </c>
      <c r="S40" s="192" t="inlineStr">
        <is>
          <t>registered — preliminary date, QC sets the real date at issue</t>
        </is>
      </c>
    </row>
    <row r="41">
      <c r="A41" s="182">
        <f>IF(C41="yes",COUNT(A$1:A40)+1,"")</f>
        <v/>
      </c>
      <c r="B41" s="181">
        <f>IF(A41="","— at issue —","iCoA-PP_26-"&amp;TEXT(A41,"000"))</f>
        <v/>
      </c>
      <c r="C41" s="188" t="inlineStr">
        <is>
          <t>yes</t>
        </is>
      </c>
      <c r="D41" s="183">
        <f>IF(A41="","",E41)</f>
        <v/>
      </c>
      <c r="E41" s="183">
        <f>IF(AND(C41="yes",ISNUMBER(G41)),MAX(DATE(2026,5,11),G41),"")</f>
        <v/>
      </c>
      <c r="F41" s="183">
        <f>IFERROR(INDEX('Batch Dates'!$F:$F,MATCH(J41,'Batch Dates'!$C:$C,0)),IFERROR(INDEX('Batch Dates'!$F:$F,MATCH(I41,'Batch Dates'!$B:$B,0)),""))</f>
        <v/>
      </c>
      <c r="G41" s="183">
        <f>IFERROR(INDEX('Batch Dates'!$G:$G,MATCH(J41,'Batch Dates'!$C:$C,0)),IFERROR(INDEX('Batch Dates'!$G:$G,MATCH(I41,'Batch Dates'!$B:$B,0)),""))</f>
        <v/>
      </c>
      <c r="H41" s="182" t="inlineStr">
        <is>
          <t>initial release</t>
        </is>
      </c>
      <c r="I41" s="181" t="inlineStr">
        <is>
          <t>GP052501</t>
        </is>
      </c>
      <c r="J41" s="182" t="inlineStr">
        <is>
          <t>P050152</t>
        </is>
      </c>
      <c r="K41" s="182" t="inlineStr">
        <is>
          <t>Grape Pie</t>
        </is>
      </c>
      <c r="L41" s="182" t="inlineStr">
        <is>
          <t>Foreign matter</t>
        </is>
      </c>
      <c r="M41" s="182" t="inlineStr">
        <is>
          <t>iCoA_P07 · Foreign matter</t>
        </is>
      </c>
      <c r="N41" s="189" t="inlineStr">
        <is>
          <t>—</t>
        </is>
      </c>
      <c r="O41" s="182" t="inlineStr">
        <is>
          <t>ППК25279, (19.09.2025) [CNP]</t>
        </is>
      </c>
      <c r="P41" s="182" t="inlineStr">
        <is>
          <t>CoQ-PP-2025-0014</t>
        </is>
      </c>
      <c r="Q41" s="182" t="inlineStr">
        <is>
          <t>iCoA-PP-2025-0014</t>
        </is>
      </c>
      <c r="R41" s="182" t="inlineStr">
        <is>
          <t>P050152|FM|I</t>
        </is>
      </c>
      <c r="S41" s="192" t="inlineStr">
        <is>
          <t>registered — preliminary date, QC sets the real date at issue</t>
        </is>
      </c>
    </row>
    <row r="42">
      <c r="A42" s="182">
        <f>IF(C42="yes",COUNT(A$1:A41)+1,"")</f>
        <v/>
      </c>
      <c r="B42" s="181">
        <f>IF(A42="","— at issue —","iCoA-PP_26-"&amp;TEXT(A42,"000"))</f>
        <v/>
      </c>
      <c r="C42" s="188" t="inlineStr">
        <is>
          <t>yes</t>
        </is>
      </c>
      <c r="D42" s="183">
        <f>IF(A42="","",E42)</f>
        <v/>
      </c>
      <c r="E42" s="183">
        <f>IF(AND(C42="yes",ISNUMBER(G42)),MAX(DATE(2026,5,11),G42),"")</f>
        <v/>
      </c>
      <c r="F42" s="183">
        <f>IFERROR(INDEX('Batch Dates'!$F:$F,MATCH(J42,'Batch Dates'!$C:$C,0)),IFERROR(INDEX('Batch Dates'!$F:$F,MATCH(I42,'Batch Dates'!$B:$B,0)),""))</f>
        <v/>
      </c>
      <c r="G42" s="183">
        <f>IFERROR(INDEX('Batch Dates'!$G:$G,MATCH(J42,'Batch Dates'!$C:$C,0)),IFERROR(INDEX('Batch Dates'!$G:$G,MATCH(I42,'Batch Dates'!$B:$B,0)),""))</f>
        <v/>
      </c>
      <c r="H42" s="182" t="inlineStr">
        <is>
          <t>initial release</t>
        </is>
      </c>
      <c r="I42" s="181" t="inlineStr">
        <is>
          <t>BSS1024_01/2 (from the list)</t>
        </is>
      </c>
      <c r="J42" s="182" t="inlineStr">
        <is>
          <t>P050142</t>
        </is>
      </c>
      <c r="K42" s="182" t="inlineStr">
        <is>
          <t>Blue Sunset Sherbet</t>
        </is>
      </c>
      <c r="L42" s="182" t="inlineStr">
        <is>
          <t>Ident A + Ident B</t>
        </is>
      </c>
      <c r="M42" s="182" t="inlineStr">
        <is>
          <t>iCoA_P01-02 · Appearance &amp; Identification A/B</t>
        </is>
      </c>
      <c r="N42" s="189" t="inlineStr">
        <is>
          <t>—</t>
        </is>
      </c>
      <c r="O42" s="189" t="inlineStr">
        <is>
          <t>— no cannabinoid certificate —</t>
        </is>
      </c>
      <c r="P42" s="182" t="inlineStr">
        <is>
          <t>— not in the issuance plan —</t>
        </is>
      </c>
      <c r="Q42" s="189" t="inlineStr">
        <is>
          <t>—</t>
        </is>
      </c>
      <c r="R42" s="182" t="inlineStr">
        <is>
          <t>P050142|AB|I</t>
        </is>
      </c>
      <c r="S42" s="192" t="inlineStr">
        <is>
          <t>registered — preliminary date, QC sets the real date at issue</t>
        </is>
      </c>
    </row>
    <row r="43">
      <c r="A43" s="182">
        <f>IF(C43="yes",COUNT(A$1:A42)+1,"")</f>
        <v/>
      </c>
      <c r="B43" s="181">
        <f>IF(A43="","— at issue —","iCoA-PP_26-"&amp;TEXT(A43,"000"))</f>
        <v/>
      </c>
      <c r="C43" s="188" t="inlineStr">
        <is>
          <t>yes</t>
        </is>
      </c>
      <c r="D43" s="183">
        <f>IF(A43="","",E43)</f>
        <v/>
      </c>
      <c r="E43" s="183">
        <f>IF(AND(C43="yes",ISNUMBER(G43)),MAX(DATE(2026,5,11),G43),"")</f>
        <v/>
      </c>
      <c r="F43" s="183">
        <f>IFERROR(INDEX('Batch Dates'!$F:$F,MATCH(J43,'Batch Dates'!$C:$C,0)),IFERROR(INDEX('Batch Dates'!$F:$F,MATCH(I43,'Batch Dates'!$B:$B,0)),""))</f>
        <v/>
      </c>
      <c r="G43" s="183">
        <f>IFERROR(INDEX('Batch Dates'!$G:$G,MATCH(J43,'Batch Dates'!$C:$C,0)),IFERROR(INDEX('Batch Dates'!$G:$G,MATCH(I43,'Batch Dates'!$B:$B,0)),""))</f>
        <v/>
      </c>
      <c r="H43" s="182" t="inlineStr">
        <is>
          <t>initial release</t>
        </is>
      </c>
      <c r="I43" s="181" t="inlineStr">
        <is>
          <t>BSS1024_01/2 (from the list)</t>
        </is>
      </c>
      <c r="J43" s="182" t="inlineStr">
        <is>
          <t>P050142</t>
        </is>
      </c>
      <c r="K43" s="182" t="inlineStr">
        <is>
          <t>Blue Sunset Sherbet</t>
        </is>
      </c>
      <c r="L43" s="182" t="inlineStr">
        <is>
          <t>Foreign matter</t>
        </is>
      </c>
      <c r="M43" s="182" t="inlineStr">
        <is>
          <t>iCoA_P07 · Foreign matter</t>
        </is>
      </c>
      <c r="N43" s="189" t="inlineStr">
        <is>
          <t>—</t>
        </is>
      </c>
      <c r="O43" s="189" t="inlineStr">
        <is>
          <t>— no cannabinoid certificate —</t>
        </is>
      </c>
      <c r="P43" s="182" t="inlineStr">
        <is>
          <t>— not in the issuance plan —</t>
        </is>
      </c>
      <c r="Q43" s="189" t="inlineStr">
        <is>
          <t>—</t>
        </is>
      </c>
      <c r="R43" s="182" t="inlineStr">
        <is>
          <t>P050142|FM|I</t>
        </is>
      </c>
      <c r="S43" s="192" t="inlineStr">
        <is>
          <t>registered — preliminary date, QC sets the real date at issue</t>
        </is>
      </c>
    </row>
    <row r="44">
      <c r="A44" s="182">
        <f>IF(C44="yes",COUNT(A$1:A43)+1,"")</f>
        <v/>
      </c>
      <c r="B44" s="181">
        <f>IF(A44="","— at issue —","iCoA-PP_26-"&amp;TEXT(A44,"000"))</f>
        <v/>
      </c>
      <c r="C44" s="188" t="inlineStr">
        <is>
          <t>yes</t>
        </is>
      </c>
      <c r="D44" s="183">
        <f>IF(A44="","",E44)</f>
        <v/>
      </c>
      <c r="E44" s="183">
        <f>IF(AND(C44="yes",ISNUMBER(G44)),MAX(DATE(2026,5,11),G44),"")</f>
        <v/>
      </c>
      <c r="F44" s="183">
        <f>IFERROR(INDEX('Batch Dates'!$F:$F,MATCH(J44,'Batch Dates'!$C:$C,0)),IFERROR(INDEX('Batch Dates'!$F:$F,MATCH(I44,'Batch Dates'!$B:$B,0)),""))</f>
        <v/>
      </c>
      <c r="G44" s="183">
        <f>IFERROR(INDEX('Batch Dates'!$G:$G,MATCH(J44,'Batch Dates'!$C:$C,0)),IFERROR(INDEX('Batch Dates'!$G:$G,MATCH(I44,'Batch Dates'!$B:$B,0)),""))</f>
        <v/>
      </c>
      <c r="H44" s="182" t="inlineStr">
        <is>
          <t>initial release</t>
        </is>
      </c>
      <c r="I44" s="181" t="inlineStr">
        <is>
          <t>CJ052501/01</t>
        </is>
      </c>
      <c r="J44" s="182" t="inlineStr">
        <is>
          <t>P050162</t>
        </is>
      </c>
      <c r="K44" s="182" t="inlineStr">
        <is>
          <t>Cup Junky</t>
        </is>
      </c>
      <c r="L44" s="182" t="inlineStr">
        <is>
          <t>Ident A + Ident B</t>
        </is>
      </c>
      <c r="M44" s="182" t="inlineStr">
        <is>
          <t>iCoA_P01-02 · Appearance &amp; Identification A/B</t>
        </is>
      </c>
      <c r="N44" s="189" t="inlineStr">
        <is>
          <t>—</t>
        </is>
      </c>
      <c r="O44" s="182" t="inlineStr">
        <is>
          <t>ППК25280, (17.09.2025) [CNP]</t>
        </is>
      </c>
      <c r="P44" s="182" t="inlineStr">
        <is>
          <t>CoQ-PP-2025-0015</t>
        </is>
      </c>
      <c r="Q44" s="182" t="inlineStr">
        <is>
          <t>iCoA-PP-2025-0015</t>
        </is>
      </c>
      <c r="R44" s="182" t="inlineStr">
        <is>
          <t>P050162|AB|I</t>
        </is>
      </c>
      <c r="S44" s="192" t="inlineStr">
        <is>
          <t>registered — preliminary date, QC sets the real date at issue</t>
        </is>
      </c>
    </row>
    <row r="45">
      <c r="A45" s="182">
        <f>IF(C45="yes",COUNT(A$1:A44)+1,"")</f>
        <v/>
      </c>
      <c r="B45" s="181">
        <f>IF(A45="","— at issue —","iCoA-PP_26-"&amp;TEXT(A45,"000"))</f>
        <v/>
      </c>
      <c r="C45" s="188" t="inlineStr">
        <is>
          <t>yes</t>
        </is>
      </c>
      <c r="D45" s="183">
        <f>IF(A45="","",E45)</f>
        <v/>
      </c>
      <c r="E45" s="183">
        <f>IF(AND(C45="yes",ISNUMBER(G45)),MAX(DATE(2026,5,11),G45),"")</f>
        <v/>
      </c>
      <c r="F45" s="183">
        <f>IFERROR(INDEX('Batch Dates'!$F:$F,MATCH(J45,'Batch Dates'!$C:$C,0)),IFERROR(INDEX('Batch Dates'!$F:$F,MATCH(I45,'Batch Dates'!$B:$B,0)),""))</f>
        <v/>
      </c>
      <c r="G45" s="183">
        <f>IFERROR(INDEX('Batch Dates'!$G:$G,MATCH(J45,'Batch Dates'!$C:$C,0)),IFERROR(INDEX('Batch Dates'!$G:$G,MATCH(I45,'Batch Dates'!$B:$B,0)),""))</f>
        <v/>
      </c>
      <c r="H45" s="182" t="inlineStr">
        <is>
          <t>initial release</t>
        </is>
      </c>
      <c r="I45" s="181" t="inlineStr">
        <is>
          <t>CJ052501/01</t>
        </is>
      </c>
      <c r="J45" s="182" t="inlineStr">
        <is>
          <t>P050162</t>
        </is>
      </c>
      <c r="K45" s="182" t="inlineStr">
        <is>
          <t>Cup Junky</t>
        </is>
      </c>
      <c r="L45" s="182" t="inlineStr">
        <is>
          <t>Foreign matter</t>
        </is>
      </c>
      <c r="M45" s="182" t="inlineStr">
        <is>
          <t>iCoA_P07 · Foreign matter</t>
        </is>
      </c>
      <c r="N45" s="189" t="inlineStr">
        <is>
          <t>—</t>
        </is>
      </c>
      <c r="O45" s="182" t="inlineStr">
        <is>
          <t>ППК25280, (17.09.2025) [CNP]</t>
        </is>
      </c>
      <c r="P45" s="182" t="inlineStr">
        <is>
          <t>CoQ-PP-2025-0015</t>
        </is>
      </c>
      <c r="Q45" s="182" t="inlineStr">
        <is>
          <t>iCoA-PP-2025-0015</t>
        </is>
      </c>
      <c r="R45" s="182" t="inlineStr">
        <is>
          <t>P050162|FM|I</t>
        </is>
      </c>
      <c r="S45" s="192" t="inlineStr">
        <is>
          <t>registered — preliminary date, QC sets the real date at issue</t>
        </is>
      </c>
    </row>
    <row r="46">
      <c r="A46" s="182">
        <f>IF(C46="yes",COUNT(A$1:A45)+1,"")</f>
        <v/>
      </c>
      <c r="B46" s="181">
        <f>IF(A46="","— at issue —","iCoA-PP_26-"&amp;TEXT(A46,"000"))</f>
        <v/>
      </c>
      <c r="C46" s="188" t="inlineStr">
        <is>
          <t>yes</t>
        </is>
      </c>
      <c r="D46" s="183">
        <f>IF(A46="","",E46)</f>
        <v/>
      </c>
      <c r="E46" s="183">
        <f>IF(AND(C46="yes",ISNUMBER(G46)),MAX(DATE(2026,5,11),G46),"")</f>
        <v/>
      </c>
      <c r="F46" s="183">
        <f>IFERROR(INDEX('Batch Dates'!$F:$F,MATCH(J46,'Batch Dates'!$C:$C,0)),IFERROR(INDEX('Batch Dates'!$F:$F,MATCH(I46,'Batch Dates'!$B:$B,0)),""))</f>
        <v/>
      </c>
      <c r="G46" s="183">
        <f>IFERROR(INDEX('Batch Dates'!$G:$G,MATCH(J46,'Batch Dates'!$C:$C,0)),IFERROR(INDEX('Batch Dates'!$G:$G,MATCH(I46,'Batch Dates'!$B:$B,0)),""))</f>
        <v/>
      </c>
      <c r="H46" s="182" t="inlineStr">
        <is>
          <t>initial release</t>
        </is>
      </c>
      <c r="I46" s="181" t="inlineStr">
        <is>
          <t>CJ052501/02</t>
        </is>
      </c>
      <c r="J46" s="182" t="inlineStr">
        <is>
          <t>P050172</t>
        </is>
      </c>
      <c r="K46" s="182" t="inlineStr">
        <is>
          <t>Cap Junky</t>
        </is>
      </c>
      <c r="L46" s="182" t="inlineStr">
        <is>
          <t>Ident A + Ident B</t>
        </is>
      </c>
      <c r="M46" s="182" t="inlineStr">
        <is>
          <t>iCoA_P01-02 · Appearance &amp; Identification A/B</t>
        </is>
      </c>
      <c r="N46" s="189" t="inlineStr">
        <is>
          <t>—</t>
        </is>
      </c>
      <c r="O46" s="182" t="inlineStr">
        <is>
          <t>ППК25281, (17.09.2025) [CNP]</t>
        </is>
      </c>
      <c r="P46" s="182" t="inlineStr">
        <is>
          <t>(assigned on issue)</t>
        </is>
      </c>
      <c r="Q46" s="189" t="inlineStr">
        <is>
          <t>—</t>
        </is>
      </c>
      <c r="R46" s="182" t="inlineStr">
        <is>
          <t>P050172|AB|I</t>
        </is>
      </c>
      <c r="S46" s="192" t="inlineStr">
        <is>
          <t>registered — preliminary date, QC sets the real date at issue</t>
        </is>
      </c>
    </row>
    <row r="47">
      <c r="A47" s="182">
        <f>IF(C47="yes",COUNT(A$1:A46)+1,"")</f>
        <v/>
      </c>
      <c r="B47" s="181">
        <f>IF(A47="","— at issue —","iCoA-PP_26-"&amp;TEXT(A47,"000"))</f>
        <v/>
      </c>
      <c r="C47" s="188" t="inlineStr">
        <is>
          <t>yes</t>
        </is>
      </c>
      <c r="D47" s="183">
        <f>IF(A47="","",E47)</f>
        <v/>
      </c>
      <c r="E47" s="183">
        <f>IF(AND(C47="yes",ISNUMBER(G47)),MAX(DATE(2026,5,11),G47),"")</f>
        <v/>
      </c>
      <c r="F47" s="183">
        <f>IFERROR(INDEX('Batch Dates'!$F:$F,MATCH(J47,'Batch Dates'!$C:$C,0)),IFERROR(INDEX('Batch Dates'!$F:$F,MATCH(I47,'Batch Dates'!$B:$B,0)),""))</f>
        <v/>
      </c>
      <c r="G47" s="183">
        <f>IFERROR(INDEX('Batch Dates'!$G:$G,MATCH(J47,'Batch Dates'!$C:$C,0)),IFERROR(INDEX('Batch Dates'!$G:$G,MATCH(I47,'Batch Dates'!$B:$B,0)),""))</f>
        <v/>
      </c>
      <c r="H47" s="182" t="inlineStr">
        <is>
          <t>initial release</t>
        </is>
      </c>
      <c r="I47" s="181" t="inlineStr">
        <is>
          <t>CJ052501/02</t>
        </is>
      </c>
      <c r="J47" s="182" t="inlineStr">
        <is>
          <t>P050172</t>
        </is>
      </c>
      <c r="K47" s="182" t="inlineStr">
        <is>
          <t>Cap Junky</t>
        </is>
      </c>
      <c r="L47" s="182" t="inlineStr">
        <is>
          <t>Foreign matter</t>
        </is>
      </c>
      <c r="M47" s="182" t="inlineStr">
        <is>
          <t>iCoA_P07 · Foreign matter</t>
        </is>
      </c>
      <c r="N47" s="189" t="inlineStr">
        <is>
          <t>—</t>
        </is>
      </c>
      <c r="O47" s="182" t="inlineStr">
        <is>
          <t>ППК25281, (17.09.2025) [CNP]</t>
        </is>
      </c>
      <c r="P47" s="182" t="inlineStr">
        <is>
          <t>(assigned on issue)</t>
        </is>
      </c>
      <c r="Q47" s="189" t="inlineStr">
        <is>
          <t>—</t>
        </is>
      </c>
      <c r="R47" s="182" t="inlineStr">
        <is>
          <t>P050172|FM|I</t>
        </is>
      </c>
      <c r="S47" s="192" t="inlineStr">
        <is>
          <t>registered — preliminary date, QC sets the real date at issue</t>
        </is>
      </c>
    </row>
    <row r="48">
      <c r="A48" s="182">
        <f>IF(C48="yes",COUNT(A$1:A47)+1,"")</f>
        <v/>
      </c>
      <c r="B48" s="181">
        <f>IF(A48="","— at issue —","iCoA-PP_26-"&amp;TEXT(A48,"000"))</f>
        <v/>
      </c>
      <c r="C48" s="188" t="inlineStr">
        <is>
          <t>yes</t>
        </is>
      </c>
      <c r="D48" s="183">
        <f>IF(A48="","",E48)</f>
        <v/>
      </c>
      <c r="E48" s="183">
        <f>IF(AND(C48="yes",ISNUMBER(G48)),MAX(DATE(2026,5,11),G48),"")</f>
        <v/>
      </c>
      <c r="F48" s="183">
        <f>IFERROR(INDEX('Batch Dates'!$F:$F,MATCH(J48,'Batch Dates'!$C:$C,0)),IFERROR(INDEX('Batch Dates'!$F:$F,MATCH(I48,'Batch Dates'!$B:$B,0)),""))</f>
        <v/>
      </c>
      <c r="G48" s="183">
        <f>IFERROR(INDEX('Batch Dates'!$G:$G,MATCH(J48,'Batch Dates'!$C:$C,0)),IFERROR(INDEX('Batch Dates'!$G:$G,MATCH(I48,'Batch Dates'!$B:$B,0)),""))</f>
        <v/>
      </c>
      <c r="H48" s="182" t="inlineStr">
        <is>
          <t>initial release</t>
        </is>
      </c>
      <c r="I48" s="181" t="inlineStr">
        <is>
          <t>HPA052501</t>
        </is>
      </c>
      <c r="J48" s="182" t="inlineStr">
        <is>
          <t>P050182</t>
        </is>
      </c>
      <c r="K48" s="182" t="inlineStr">
        <is>
          <t>High Pro Amnesia</t>
        </is>
      </c>
      <c r="L48" s="182" t="inlineStr">
        <is>
          <t>Ident A + Ident B</t>
        </is>
      </c>
      <c r="M48" s="182" t="inlineStr">
        <is>
          <t>iCoA_P01-02 · Appearance &amp; Identification A/B</t>
        </is>
      </c>
      <c r="N48" s="189" t="inlineStr">
        <is>
          <t>—</t>
        </is>
      </c>
      <c r="O48" s="182" t="inlineStr">
        <is>
          <t>ППК25278, (19.09.2025) [CNP]</t>
        </is>
      </c>
      <c r="P48" s="182" t="inlineStr">
        <is>
          <t>CoQ-PP-2025-0016</t>
        </is>
      </c>
      <c r="Q48" s="182" t="inlineStr">
        <is>
          <t>iCoA-PP-2025-0016</t>
        </is>
      </c>
      <c r="R48" s="182" t="inlineStr">
        <is>
          <t>P050182|AB|I</t>
        </is>
      </c>
      <c r="S48" s="192" t="inlineStr">
        <is>
          <t>registered — preliminary date, QC sets the real date at issue</t>
        </is>
      </c>
    </row>
    <row r="49">
      <c r="A49" s="182">
        <f>IF(C49="yes",COUNT(A$1:A48)+1,"")</f>
        <v/>
      </c>
      <c r="B49" s="181">
        <f>IF(A49="","— at issue —","iCoA-PP_26-"&amp;TEXT(A49,"000"))</f>
        <v/>
      </c>
      <c r="C49" s="188" t="inlineStr">
        <is>
          <t>yes</t>
        </is>
      </c>
      <c r="D49" s="183">
        <f>IF(A49="","",E49)</f>
        <v/>
      </c>
      <c r="E49" s="183">
        <f>IF(AND(C49="yes",ISNUMBER(G49)),MAX(DATE(2026,5,11),G49),"")</f>
        <v/>
      </c>
      <c r="F49" s="183">
        <f>IFERROR(INDEX('Batch Dates'!$F:$F,MATCH(J49,'Batch Dates'!$C:$C,0)),IFERROR(INDEX('Batch Dates'!$F:$F,MATCH(I49,'Batch Dates'!$B:$B,0)),""))</f>
        <v/>
      </c>
      <c r="G49" s="183">
        <f>IFERROR(INDEX('Batch Dates'!$G:$G,MATCH(J49,'Batch Dates'!$C:$C,0)),IFERROR(INDEX('Batch Dates'!$G:$G,MATCH(I49,'Batch Dates'!$B:$B,0)),""))</f>
        <v/>
      </c>
      <c r="H49" s="182" t="inlineStr">
        <is>
          <t>initial release</t>
        </is>
      </c>
      <c r="I49" s="181" t="inlineStr">
        <is>
          <t>HPA052501</t>
        </is>
      </c>
      <c r="J49" s="182" t="inlineStr">
        <is>
          <t>P050182</t>
        </is>
      </c>
      <c r="K49" s="182" t="inlineStr">
        <is>
          <t>High Pro Amnesia</t>
        </is>
      </c>
      <c r="L49" s="182" t="inlineStr">
        <is>
          <t>Foreign matter</t>
        </is>
      </c>
      <c r="M49" s="182" t="inlineStr">
        <is>
          <t>iCoA_P07 · Foreign matter</t>
        </is>
      </c>
      <c r="N49" s="189" t="inlineStr">
        <is>
          <t>—</t>
        </is>
      </c>
      <c r="O49" s="182" t="inlineStr">
        <is>
          <t>ППК25278, (19.09.2025) [CNP]</t>
        </is>
      </c>
      <c r="P49" s="182" t="inlineStr">
        <is>
          <t>CoQ-PP-2025-0016</t>
        </is>
      </c>
      <c r="Q49" s="182" t="inlineStr">
        <is>
          <t>iCoA-PP-2025-0016</t>
        </is>
      </c>
      <c r="R49" s="182" t="inlineStr">
        <is>
          <t>P050182|FM|I</t>
        </is>
      </c>
      <c r="S49" s="192" t="inlineStr">
        <is>
          <t>registered — preliminary date, QC sets the real date at issue</t>
        </is>
      </c>
    </row>
    <row r="50">
      <c r="A50" s="182">
        <f>IF(C50="yes",COUNT(A$1:A49)+1,"")</f>
        <v/>
      </c>
      <c r="B50" s="181">
        <f>IF(A50="","— at issue —","iCoA-PP_26-"&amp;TEXT(A50,"000"))</f>
        <v/>
      </c>
      <c r="C50" s="188" t="inlineStr">
        <is>
          <t>yes</t>
        </is>
      </c>
      <c r="D50" s="183">
        <f>IF(A50="","",E50)</f>
        <v/>
      </c>
      <c r="E50" s="183">
        <f>IF(AND(C50="yes",ISNUMBER(G50)),MAX(DATE(2026,5,11),G50),"")</f>
        <v/>
      </c>
      <c r="F50" s="183">
        <f>IFERROR(INDEX('Batch Dates'!$F:$F,MATCH(J50,'Batch Dates'!$C:$C,0)),IFERROR(INDEX('Batch Dates'!$F:$F,MATCH(I50,'Batch Dates'!$B:$B,0)),""))</f>
        <v/>
      </c>
      <c r="G50" s="183">
        <f>IFERROR(INDEX('Batch Dates'!$G:$G,MATCH(J50,'Batch Dates'!$C:$C,0)),IFERROR(INDEX('Batch Dates'!$G:$G,MATCH(I50,'Batch Dates'!$B:$B,0)),""))</f>
        <v/>
      </c>
      <c r="H50" s="182" t="inlineStr">
        <is>
          <t>initial release</t>
        </is>
      </c>
      <c r="I50" s="181" t="inlineStr">
        <is>
          <t>BSS052501</t>
        </is>
      </c>
      <c r="J50" s="182" t="inlineStr">
        <is>
          <t>P050192</t>
        </is>
      </c>
      <c r="K50" s="182" t="inlineStr">
        <is>
          <t>Sleepy Joe</t>
        </is>
      </c>
      <c r="L50" s="182" t="inlineStr">
        <is>
          <t>Ident A + Ident B</t>
        </is>
      </c>
      <c r="M50" s="182" t="inlineStr">
        <is>
          <t>iCoA_P01-02 · Appearance &amp; Identification A/B</t>
        </is>
      </c>
      <c r="N50" s="189" t="inlineStr">
        <is>
          <t>—</t>
        </is>
      </c>
      <c r="O50" s="182" t="inlineStr">
        <is>
          <t>NGP-QCG-SOP-024 F3, (28.11.2025) [NGP]</t>
        </is>
      </c>
      <c r="P50" s="182" t="inlineStr">
        <is>
          <t>CoQ-PP-2025-0017</t>
        </is>
      </c>
      <c r="Q50" s="182" t="inlineStr">
        <is>
          <t>iCoA-PP-2025-0017</t>
        </is>
      </c>
      <c r="R50" s="182" t="inlineStr">
        <is>
          <t>P050192|AB|I</t>
        </is>
      </c>
      <c r="S50" s="192" t="inlineStr">
        <is>
          <t>registered — preliminary date, QC sets the real date at issue</t>
        </is>
      </c>
    </row>
    <row r="51">
      <c r="A51" s="182">
        <f>IF(C51="yes",COUNT(A$1:A50)+1,"")</f>
        <v/>
      </c>
      <c r="B51" s="181">
        <f>IF(A51="","— at issue —","iCoA-PP_26-"&amp;TEXT(A51,"000"))</f>
        <v/>
      </c>
      <c r="C51" s="188" t="inlineStr">
        <is>
          <t>yes</t>
        </is>
      </c>
      <c r="D51" s="183">
        <f>IF(A51="","",E51)</f>
        <v/>
      </c>
      <c r="E51" s="183">
        <f>IF(AND(C51="yes",ISNUMBER(G51)),MAX(DATE(2026,5,11),G51),"")</f>
        <v/>
      </c>
      <c r="F51" s="183">
        <f>IFERROR(INDEX('Batch Dates'!$F:$F,MATCH(J51,'Batch Dates'!$C:$C,0)),IFERROR(INDEX('Batch Dates'!$F:$F,MATCH(I51,'Batch Dates'!$B:$B,0)),""))</f>
        <v/>
      </c>
      <c r="G51" s="183">
        <f>IFERROR(INDEX('Batch Dates'!$G:$G,MATCH(J51,'Batch Dates'!$C:$C,0)),IFERROR(INDEX('Batch Dates'!$G:$G,MATCH(I51,'Batch Dates'!$B:$B,0)),""))</f>
        <v/>
      </c>
      <c r="H51" s="182" t="inlineStr">
        <is>
          <t>initial release</t>
        </is>
      </c>
      <c r="I51" s="181" t="inlineStr">
        <is>
          <t>BSS052501</t>
        </is>
      </c>
      <c r="J51" s="182" t="inlineStr">
        <is>
          <t>P050192</t>
        </is>
      </c>
      <c r="K51" s="182" t="inlineStr">
        <is>
          <t>Sleepy Joe</t>
        </is>
      </c>
      <c r="L51" s="182" t="inlineStr">
        <is>
          <t>Foreign matter</t>
        </is>
      </c>
      <c r="M51" s="182" t="inlineStr">
        <is>
          <t>iCoA_P07 · Foreign matter</t>
        </is>
      </c>
      <c r="N51" s="189" t="inlineStr">
        <is>
          <t>—</t>
        </is>
      </c>
      <c r="O51" s="182" t="inlineStr">
        <is>
          <t>NGP-QCG-SOP-024 F3, (28.11.2025) [NGP]</t>
        </is>
      </c>
      <c r="P51" s="182" t="inlineStr">
        <is>
          <t>CoQ-PP-2025-0017</t>
        </is>
      </c>
      <c r="Q51" s="182" t="inlineStr">
        <is>
          <t>iCoA-PP-2025-0017</t>
        </is>
      </c>
      <c r="R51" s="182" t="inlineStr">
        <is>
          <t>P050192|FM|I</t>
        </is>
      </c>
      <c r="S51" s="192" t="inlineStr">
        <is>
          <t>registered — preliminary date, QC sets the real date at issue</t>
        </is>
      </c>
    </row>
    <row r="52">
      <c r="A52" s="182">
        <f>IF(C52="yes",COUNT(A$1:A51)+1,"")</f>
        <v/>
      </c>
      <c r="B52" s="181">
        <f>IF(A52="","— at issue —","iCoA-PP_26-"&amp;TEXT(A52,"000"))</f>
        <v/>
      </c>
      <c r="C52" s="188" t="inlineStr">
        <is>
          <t>yes</t>
        </is>
      </c>
      <c r="D52" s="183">
        <f>IF(A52="","",E52)</f>
        <v/>
      </c>
      <c r="E52" s="183">
        <f>IF(AND(C52="yes",ISNUMBER(G52)),MAX(DATE(2026,5,11),G52),"")</f>
        <v/>
      </c>
      <c r="F52" s="183">
        <f>IFERROR(INDEX('Batch Dates'!$F:$F,MATCH(J52,'Batch Dates'!$C:$C,0)),IFERROR(INDEX('Batch Dates'!$F:$F,MATCH(I52,'Batch Dates'!$B:$B,0)),""))</f>
        <v/>
      </c>
      <c r="G52" s="183">
        <f>IFERROR(INDEX('Batch Dates'!$G:$G,MATCH(J52,'Batch Dates'!$C:$C,0)),IFERROR(INDEX('Batch Dates'!$G:$G,MATCH(I52,'Batch Dates'!$B:$B,0)),""))</f>
        <v/>
      </c>
      <c r="H52" s="182" t="inlineStr">
        <is>
          <t>initial release</t>
        </is>
      </c>
      <c r="I52" s="181" t="inlineStr">
        <is>
          <t>GP062501</t>
        </is>
      </c>
      <c r="J52" s="182" t="inlineStr">
        <is>
          <t>P050202</t>
        </is>
      </c>
      <c r="K52" s="182" t="inlineStr">
        <is>
          <t>Grape Pie</t>
        </is>
      </c>
      <c r="L52" s="182" t="inlineStr">
        <is>
          <t>Ident A + Ident B</t>
        </is>
      </c>
      <c r="M52" s="182" t="inlineStr">
        <is>
          <t>iCoA_P01-02 · Appearance &amp; Identification A/B</t>
        </is>
      </c>
      <c r="N52" s="189" t="inlineStr">
        <is>
          <t>—</t>
        </is>
      </c>
      <c r="O52" s="182" t="inlineStr">
        <is>
          <t>NGP-QCG-SOP-024 F3, (28.11.2025) [NGP]</t>
        </is>
      </c>
      <c r="P52" s="182" t="inlineStr">
        <is>
          <t>(assigned on issue)</t>
        </is>
      </c>
      <c r="Q52" s="189" t="inlineStr">
        <is>
          <t>—</t>
        </is>
      </c>
      <c r="R52" s="182" t="inlineStr">
        <is>
          <t>P050202|AB|I</t>
        </is>
      </c>
      <c r="S52" s="192" t="inlineStr">
        <is>
          <t>registered — preliminary date, QC sets the real date at issue</t>
        </is>
      </c>
    </row>
    <row r="53">
      <c r="A53" s="182">
        <f>IF(C53="yes",COUNT(A$1:A52)+1,"")</f>
        <v/>
      </c>
      <c r="B53" s="181">
        <f>IF(A53="","— at issue —","iCoA-PP_26-"&amp;TEXT(A53,"000"))</f>
        <v/>
      </c>
      <c r="C53" s="188" t="inlineStr">
        <is>
          <t>yes</t>
        </is>
      </c>
      <c r="D53" s="183">
        <f>IF(A53="","",E53)</f>
        <v/>
      </c>
      <c r="E53" s="183">
        <f>IF(AND(C53="yes",ISNUMBER(G53)),MAX(DATE(2026,5,11),G53),"")</f>
        <v/>
      </c>
      <c r="F53" s="183">
        <f>IFERROR(INDEX('Batch Dates'!$F:$F,MATCH(J53,'Batch Dates'!$C:$C,0)),IFERROR(INDEX('Batch Dates'!$F:$F,MATCH(I53,'Batch Dates'!$B:$B,0)),""))</f>
        <v/>
      </c>
      <c r="G53" s="183">
        <f>IFERROR(INDEX('Batch Dates'!$G:$G,MATCH(J53,'Batch Dates'!$C:$C,0)),IFERROR(INDEX('Batch Dates'!$G:$G,MATCH(I53,'Batch Dates'!$B:$B,0)),""))</f>
        <v/>
      </c>
      <c r="H53" s="182" t="inlineStr">
        <is>
          <t>initial release</t>
        </is>
      </c>
      <c r="I53" s="181" t="inlineStr">
        <is>
          <t>GP062501</t>
        </is>
      </c>
      <c r="J53" s="182" t="inlineStr">
        <is>
          <t>P050202</t>
        </is>
      </c>
      <c r="K53" s="182" t="inlineStr">
        <is>
          <t>Grape Pie</t>
        </is>
      </c>
      <c r="L53" s="182" t="inlineStr">
        <is>
          <t>Foreign matter</t>
        </is>
      </c>
      <c r="M53" s="182" t="inlineStr">
        <is>
          <t>iCoA_P07 · Foreign matter</t>
        </is>
      </c>
      <c r="N53" s="189" t="inlineStr">
        <is>
          <t>—</t>
        </is>
      </c>
      <c r="O53" s="182" t="inlineStr">
        <is>
          <t>NGP-QCG-SOP-024 F3, (28.11.2025) [NGP]</t>
        </is>
      </c>
      <c r="P53" s="182" t="inlineStr">
        <is>
          <t>(assigned on issue)</t>
        </is>
      </c>
      <c r="Q53" s="189" t="inlineStr">
        <is>
          <t>—</t>
        </is>
      </c>
      <c r="R53" s="182" t="inlineStr">
        <is>
          <t>P050202|FM|I</t>
        </is>
      </c>
      <c r="S53" s="192" t="inlineStr">
        <is>
          <t>registered — preliminary date, QC sets the real date at issue</t>
        </is>
      </c>
    </row>
    <row r="54">
      <c r="A54" s="182">
        <f>IF(C54="yes",COUNT(A$1:A53)+1,"")</f>
        <v/>
      </c>
      <c r="B54" s="181">
        <f>IF(A54="","— at issue —","iCoA-PP_26-"&amp;TEXT(A54,"000"))</f>
        <v/>
      </c>
      <c r="C54" s="188" t="inlineStr">
        <is>
          <t>yes</t>
        </is>
      </c>
      <c r="D54" s="183">
        <f>IF(A54="","",E54)</f>
        <v/>
      </c>
      <c r="E54" s="183">
        <f>IF(AND(C54="yes",ISNUMBER(G54)),MAX(DATE(2026,5,11),G54),"")</f>
        <v/>
      </c>
      <c r="F54" s="183">
        <f>IFERROR(INDEX('Batch Dates'!$F:$F,MATCH(J54,'Batch Dates'!$C:$C,0)),IFERROR(INDEX('Batch Dates'!$F:$F,MATCH(I54,'Batch Dates'!$B:$B,0)),""))</f>
        <v/>
      </c>
      <c r="G54" s="183">
        <f>IFERROR(INDEX('Batch Dates'!$G:$G,MATCH(J54,'Batch Dates'!$C:$C,0)),IFERROR(INDEX('Batch Dates'!$G:$G,MATCH(I54,'Batch Dates'!$B:$B,0)),""))</f>
        <v/>
      </c>
      <c r="H54" s="182" t="inlineStr">
        <is>
          <t>initial release</t>
        </is>
      </c>
      <c r="I54" s="181" t="inlineStr">
        <is>
          <t>CJ062501/2</t>
        </is>
      </c>
      <c r="J54" s="182" t="inlineStr">
        <is>
          <t>P050212</t>
        </is>
      </c>
      <c r="K54" s="182" t="inlineStr">
        <is>
          <t>Cap Junkie</t>
        </is>
      </c>
      <c r="L54" s="182" t="inlineStr">
        <is>
          <t>Ident A + Ident B</t>
        </is>
      </c>
      <c r="M54" s="182" t="inlineStr">
        <is>
          <t>iCoA_P01-02 · Appearance &amp; Identification A/B</t>
        </is>
      </c>
      <c r="N54" s="189" t="inlineStr">
        <is>
          <t>—</t>
        </is>
      </c>
      <c r="O54" s="182" t="inlineStr">
        <is>
          <t>ППК25322, (23.10.2025) [CNP]</t>
        </is>
      </c>
      <c r="P54" s="182" t="inlineStr">
        <is>
          <t>(assigned on issue)</t>
        </is>
      </c>
      <c r="Q54" s="189" t="inlineStr">
        <is>
          <t>—</t>
        </is>
      </c>
      <c r="R54" s="182" t="inlineStr">
        <is>
          <t>P050212|AB|I</t>
        </is>
      </c>
      <c r="S54" s="192" t="inlineStr">
        <is>
          <t>registered — preliminary date, QC sets the real date at issue</t>
        </is>
      </c>
    </row>
    <row r="55">
      <c r="A55" s="182">
        <f>IF(C55="yes",COUNT(A$1:A54)+1,"")</f>
        <v/>
      </c>
      <c r="B55" s="181">
        <f>IF(A55="","— at issue —","iCoA-PP_26-"&amp;TEXT(A55,"000"))</f>
        <v/>
      </c>
      <c r="C55" s="188" t="inlineStr">
        <is>
          <t>yes</t>
        </is>
      </c>
      <c r="D55" s="183">
        <f>IF(A55="","",E55)</f>
        <v/>
      </c>
      <c r="E55" s="183">
        <f>IF(AND(C55="yes",ISNUMBER(G55)),MAX(DATE(2026,5,11),G55),"")</f>
        <v/>
      </c>
      <c r="F55" s="183">
        <f>IFERROR(INDEX('Batch Dates'!$F:$F,MATCH(J55,'Batch Dates'!$C:$C,0)),IFERROR(INDEX('Batch Dates'!$F:$F,MATCH(I55,'Batch Dates'!$B:$B,0)),""))</f>
        <v/>
      </c>
      <c r="G55" s="183">
        <f>IFERROR(INDEX('Batch Dates'!$G:$G,MATCH(J55,'Batch Dates'!$C:$C,0)),IFERROR(INDEX('Batch Dates'!$G:$G,MATCH(I55,'Batch Dates'!$B:$B,0)),""))</f>
        <v/>
      </c>
      <c r="H55" s="182" t="inlineStr">
        <is>
          <t>initial release</t>
        </is>
      </c>
      <c r="I55" s="181" t="inlineStr">
        <is>
          <t>CJ062501/2</t>
        </is>
      </c>
      <c r="J55" s="182" t="inlineStr">
        <is>
          <t>P050212</t>
        </is>
      </c>
      <c r="K55" s="182" t="inlineStr">
        <is>
          <t>Cap Junkie</t>
        </is>
      </c>
      <c r="L55" s="182" t="inlineStr">
        <is>
          <t>Foreign matter</t>
        </is>
      </c>
      <c r="M55" s="182" t="inlineStr">
        <is>
          <t>iCoA_P07 · Foreign matter</t>
        </is>
      </c>
      <c r="N55" s="189" t="inlineStr">
        <is>
          <t>—</t>
        </is>
      </c>
      <c r="O55" s="182" t="inlineStr">
        <is>
          <t>ППК25322, (23.10.2025) [CNP]</t>
        </is>
      </c>
      <c r="P55" s="182" t="inlineStr">
        <is>
          <t>(assigned on issue)</t>
        </is>
      </c>
      <c r="Q55" s="189" t="inlineStr">
        <is>
          <t>—</t>
        </is>
      </c>
      <c r="R55" s="182" t="inlineStr">
        <is>
          <t>P050212|FM|I</t>
        </is>
      </c>
      <c r="S55" s="192" t="inlineStr">
        <is>
          <t>registered — preliminary date, QC sets the real date at issue</t>
        </is>
      </c>
    </row>
    <row r="56">
      <c r="A56" s="182">
        <f>IF(C56="yes",COUNT(A$1:A55)+1,"")</f>
        <v/>
      </c>
      <c r="B56" s="181">
        <f>IF(A56="","— at issue —","iCoA-PP_26-"&amp;TEXT(A56,"000"))</f>
        <v/>
      </c>
      <c r="C56" s="188" t="inlineStr">
        <is>
          <t>yes</t>
        </is>
      </c>
      <c r="D56" s="183">
        <f>IF(A56="","",E56)</f>
        <v/>
      </c>
      <c r="E56" s="183">
        <f>IF(AND(C56="yes",ISNUMBER(G56)),MAX(DATE(2026,5,11),G56),"")</f>
        <v/>
      </c>
      <c r="F56" s="183">
        <f>IFERROR(INDEX('Batch Dates'!$F:$F,MATCH(J56,'Batch Dates'!$C:$C,0)),IFERROR(INDEX('Batch Dates'!$F:$F,MATCH(I56,'Batch Dates'!$B:$B,0)),""))</f>
        <v/>
      </c>
      <c r="G56" s="183">
        <f>IFERROR(INDEX('Batch Dates'!$G:$G,MATCH(J56,'Batch Dates'!$C:$C,0)),IFERROR(INDEX('Batch Dates'!$G:$G,MATCH(I56,'Batch Dates'!$B:$B,0)),""))</f>
        <v/>
      </c>
      <c r="H56" s="182" t="inlineStr">
        <is>
          <t>initial release</t>
        </is>
      </c>
      <c r="I56" s="181" t="inlineStr">
        <is>
          <t>CJ062501/1</t>
        </is>
      </c>
      <c r="J56" s="182" t="inlineStr">
        <is>
          <t>P050222</t>
        </is>
      </c>
      <c r="K56" s="182" t="inlineStr">
        <is>
          <t>Cap Junkie</t>
        </is>
      </c>
      <c r="L56" s="182" t="inlineStr">
        <is>
          <t>Ident A + Ident B</t>
        </is>
      </c>
      <c r="M56" s="182" t="inlineStr">
        <is>
          <t>iCoA_P01-02 · Appearance &amp; Identification A/B</t>
        </is>
      </c>
      <c r="N56" s="189" t="inlineStr">
        <is>
          <t>—</t>
        </is>
      </c>
      <c r="O56" s="182" t="inlineStr">
        <is>
          <t>ППК25321, (23.10.2025) [CNP]</t>
        </is>
      </c>
      <c r="P56" s="182" t="inlineStr">
        <is>
          <t>CoQ-PP-2025-0018</t>
        </is>
      </c>
      <c r="Q56" s="182" t="inlineStr">
        <is>
          <t>iCoA-PP-2025-0018</t>
        </is>
      </c>
      <c r="R56" s="182" t="inlineStr">
        <is>
          <t>P050222|AB|I</t>
        </is>
      </c>
      <c r="S56" s="192" t="inlineStr">
        <is>
          <t>registered — preliminary date, QC sets the real date at issue</t>
        </is>
      </c>
    </row>
    <row r="57">
      <c r="A57" s="182">
        <f>IF(C57="yes",COUNT(A$1:A56)+1,"")</f>
        <v/>
      </c>
      <c r="B57" s="181">
        <f>IF(A57="","— at issue —","iCoA-PP_26-"&amp;TEXT(A57,"000"))</f>
        <v/>
      </c>
      <c r="C57" s="188" t="inlineStr">
        <is>
          <t>yes</t>
        </is>
      </c>
      <c r="D57" s="183">
        <f>IF(A57="","",E57)</f>
        <v/>
      </c>
      <c r="E57" s="183">
        <f>IF(AND(C57="yes",ISNUMBER(G57)),MAX(DATE(2026,5,11),G57),"")</f>
        <v/>
      </c>
      <c r="F57" s="183">
        <f>IFERROR(INDEX('Batch Dates'!$F:$F,MATCH(J57,'Batch Dates'!$C:$C,0)),IFERROR(INDEX('Batch Dates'!$F:$F,MATCH(I57,'Batch Dates'!$B:$B,0)),""))</f>
        <v/>
      </c>
      <c r="G57" s="183">
        <f>IFERROR(INDEX('Batch Dates'!$G:$G,MATCH(J57,'Batch Dates'!$C:$C,0)),IFERROR(INDEX('Batch Dates'!$G:$G,MATCH(I57,'Batch Dates'!$B:$B,0)),""))</f>
        <v/>
      </c>
      <c r="H57" s="182" t="inlineStr">
        <is>
          <t>initial release</t>
        </is>
      </c>
      <c r="I57" s="181" t="inlineStr">
        <is>
          <t>CJ062501/1</t>
        </is>
      </c>
      <c r="J57" s="182" t="inlineStr">
        <is>
          <t>P050222</t>
        </is>
      </c>
      <c r="K57" s="182" t="inlineStr">
        <is>
          <t>Cap Junkie</t>
        </is>
      </c>
      <c r="L57" s="182" t="inlineStr">
        <is>
          <t>Foreign matter</t>
        </is>
      </c>
      <c r="M57" s="182" t="inlineStr">
        <is>
          <t>iCoA_P07 · Foreign matter</t>
        </is>
      </c>
      <c r="N57" s="189" t="inlineStr">
        <is>
          <t>—</t>
        </is>
      </c>
      <c r="O57" s="182" t="inlineStr">
        <is>
          <t>ППК25321, (23.10.2025) [CNP]</t>
        </is>
      </c>
      <c r="P57" s="182" t="inlineStr">
        <is>
          <t>CoQ-PP-2025-0018</t>
        </is>
      </c>
      <c r="Q57" s="182" t="inlineStr">
        <is>
          <t>iCoA-PP-2025-0018</t>
        </is>
      </c>
      <c r="R57" s="182" t="inlineStr">
        <is>
          <t>P050222|FM|I</t>
        </is>
      </c>
      <c r="S57" s="192" t="inlineStr">
        <is>
          <t>registered — preliminary date, QC sets the real date at issue</t>
        </is>
      </c>
    </row>
    <row r="58">
      <c r="A58" s="182">
        <f>IF(C58="yes",COUNT(A$1:A57)+1,"")</f>
        <v/>
      </c>
      <c r="B58" s="181">
        <f>IF(A58="","— at issue —","iCoA-PP_26-"&amp;TEXT(A58,"000"))</f>
        <v/>
      </c>
      <c r="C58" s="188" t="inlineStr">
        <is>
          <t>yes</t>
        </is>
      </c>
      <c r="D58" s="183">
        <f>IF(A58="","",E58)</f>
        <v/>
      </c>
      <c r="E58" s="183">
        <f>IF(AND(C58="yes",ISNUMBER(G58)),MAX(DATE(2026,5,11),G58),"")</f>
        <v/>
      </c>
      <c r="F58" s="183">
        <f>IFERROR(INDEX('Batch Dates'!$F:$F,MATCH(J58,'Batch Dates'!$C:$C,0)),IFERROR(INDEX('Batch Dates'!$F:$F,MATCH(I58,'Batch Dates'!$B:$B,0)),""))</f>
        <v/>
      </c>
      <c r="G58" s="183">
        <f>IFERROR(INDEX('Batch Dates'!$G:$G,MATCH(J58,'Batch Dates'!$C:$C,0)),IFERROR(INDEX('Batch Dates'!$G:$G,MATCH(I58,'Batch Dates'!$B:$B,0)),""))</f>
        <v/>
      </c>
      <c r="H58" s="182" t="inlineStr">
        <is>
          <t>initial release</t>
        </is>
      </c>
      <c r="I58" s="181" t="inlineStr">
        <is>
          <t>CJ072501</t>
        </is>
      </c>
      <c r="J58" s="182" t="inlineStr">
        <is>
          <t>P050252</t>
        </is>
      </c>
      <c r="K58" s="182" t="inlineStr">
        <is>
          <t>Cap Junky</t>
        </is>
      </c>
      <c r="L58" s="182" t="inlineStr">
        <is>
          <t>Ident A + Ident B</t>
        </is>
      </c>
      <c r="M58" s="182" t="inlineStr">
        <is>
          <t>iCoA_P01-02 · Appearance &amp; Identification A/B</t>
        </is>
      </c>
      <c r="N58" s="189" t="inlineStr">
        <is>
          <t>—</t>
        </is>
      </c>
      <c r="O58" s="182" t="inlineStr">
        <is>
          <t>ППК25367, (28.11.2025) [CNP]</t>
        </is>
      </c>
      <c r="P58" s="182" t="inlineStr">
        <is>
          <t>(assigned on issue)</t>
        </is>
      </c>
      <c r="Q58" s="189" t="inlineStr">
        <is>
          <t>—</t>
        </is>
      </c>
      <c r="R58" s="182" t="inlineStr">
        <is>
          <t>P050252|AB|I</t>
        </is>
      </c>
      <c r="S58" s="192" t="inlineStr">
        <is>
          <t>registered — preliminary date, QC sets the real date at issue</t>
        </is>
      </c>
    </row>
    <row r="59">
      <c r="A59" s="182">
        <f>IF(C59="yes",COUNT(A$1:A58)+1,"")</f>
        <v/>
      </c>
      <c r="B59" s="181">
        <f>IF(A59="","— at issue —","iCoA-PP_26-"&amp;TEXT(A59,"000"))</f>
        <v/>
      </c>
      <c r="C59" s="188" t="inlineStr">
        <is>
          <t>yes</t>
        </is>
      </c>
      <c r="D59" s="183">
        <f>IF(A59="","",E59)</f>
        <v/>
      </c>
      <c r="E59" s="183">
        <f>IF(AND(C59="yes",ISNUMBER(G59)),MAX(DATE(2026,5,11),G59),"")</f>
        <v/>
      </c>
      <c r="F59" s="183">
        <f>IFERROR(INDEX('Batch Dates'!$F:$F,MATCH(J59,'Batch Dates'!$C:$C,0)),IFERROR(INDEX('Batch Dates'!$F:$F,MATCH(I59,'Batch Dates'!$B:$B,0)),""))</f>
        <v/>
      </c>
      <c r="G59" s="183">
        <f>IFERROR(INDEX('Batch Dates'!$G:$G,MATCH(J59,'Batch Dates'!$C:$C,0)),IFERROR(INDEX('Batch Dates'!$G:$G,MATCH(I59,'Batch Dates'!$B:$B,0)),""))</f>
        <v/>
      </c>
      <c r="H59" s="182" t="inlineStr">
        <is>
          <t>initial release</t>
        </is>
      </c>
      <c r="I59" s="181" t="inlineStr">
        <is>
          <t>CJ072501</t>
        </is>
      </c>
      <c r="J59" s="182" t="inlineStr">
        <is>
          <t>P050252</t>
        </is>
      </c>
      <c r="K59" s="182" t="inlineStr">
        <is>
          <t>Cap Junky</t>
        </is>
      </c>
      <c r="L59" s="182" t="inlineStr">
        <is>
          <t>Foreign matter</t>
        </is>
      </c>
      <c r="M59" s="182" t="inlineStr">
        <is>
          <t>iCoA_P07 · Foreign matter</t>
        </is>
      </c>
      <c r="N59" s="189" t="inlineStr">
        <is>
          <t>—</t>
        </is>
      </c>
      <c r="O59" s="182" t="inlineStr">
        <is>
          <t>ППК25367, (28.11.2025) [CNP]</t>
        </is>
      </c>
      <c r="P59" s="182" t="inlineStr">
        <is>
          <t>(assigned on issue)</t>
        </is>
      </c>
      <c r="Q59" s="189" t="inlineStr">
        <is>
          <t>—</t>
        </is>
      </c>
      <c r="R59" s="182" t="inlineStr">
        <is>
          <t>P050252|FM|I</t>
        </is>
      </c>
      <c r="S59" s="192" t="inlineStr">
        <is>
          <t>registered — preliminary date, QC sets the real date at issue</t>
        </is>
      </c>
    </row>
    <row r="60">
      <c r="A60" s="182">
        <f>IF(C60="yes",COUNT(A$1:A59)+1,"")</f>
        <v/>
      </c>
      <c r="B60" s="181">
        <f>IF(A60="","— at issue —","iCoA-PP_26-"&amp;TEXT(A60,"000"))</f>
        <v/>
      </c>
      <c r="C60" s="188" t="inlineStr">
        <is>
          <t>yes</t>
        </is>
      </c>
      <c r="D60" s="183">
        <f>IF(A60="","",E60)</f>
        <v/>
      </c>
      <c r="E60" s="183">
        <f>IF(AND(C60="yes",ISNUMBER(G60)),MAX(DATE(2026,5,11),G60),"")</f>
        <v/>
      </c>
      <c r="F60" s="183">
        <f>IFERROR(INDEX('Batch Dates'!$F:$F,MATCH(J60,'Batch Dates'!$C:$C,0)),IFERROR(INDEX('Batch Dates'!$F:$F,MATCH(I60,'Batch Dates'!$B:$B,0)),""))</f>
        <v/>
      </c>
      <c r="G60" s="183">
        <f>IFERROR(INDEX('Batch Dates'!$G:$G,MATCH(J60,'Batch Dates'!$C:$C,0)),IFERROR(INDEX('Batch Dates'!$G:$G,MATCH(I60,'Batch Dates'!$B:$B,0)),""))</f>
        <v/>
      </c>
      <c r="H60" s="182" t="inlineStr">
        <is>
          <t>initial release</t>
        </is>
      </c>
      <c r="I60" s="181" t="inlineStr">
        <is>
          <t>WC072501</t>
        </is>
      </c>
      <c r="J60" s="182" t="inlineStr">
        <is>
          <t>P050262</t>
        </is>
      </c>
      <c r="K60" s="182" t="inlineStr">
        <is>
          <t>Wedding Crusher</t>
        </is>
      </c>
      <c r="L60" s="182" t="inlineStr">
        <is>
          <t>Ident A + Ident B</t>
        </is>
      </c>
      <c r="M60" s="182" t="inlineStr">
        <is>
          <t>iCoA_P01-02 · Appearance &amp; Identification A/B</t>
        </is>
      </c>
      <c r="N60" s="189" t="inlineStr">
        <is>
          <t>—</t>
        </is>
      </c>
      <c r="O60" s="182" t="inlineStr">
        <is>
          <t>ППК25369, (28.11.2025) [CNP]</t>
        </is>
      </c>
      <c r="P60" s="182" t="inlineStr">
        <is>
          <t>(assigned on issue)</t>
        </is>
      </c>
      <c r="Q60" s="189" t="inlineStr">
        <is>
          <t>—</t>
        </is>
      </c>
      <c r="R60" s="182" t="inlineStr">
        <is>
          <t>P050262|AB|I</t>
        </is>
      </c>
      <c r="S60" s="192" t="inlineStr">
        <is>
          <t>registered — preliminary date, QC sets the real date at issue</t>
        </is>
      </c>
    </row>
    <row r="61">
      <c r="A61" s="182">
        <f>IF(C61="yes",COUNT(A$1:A60)+1,"")</f>
        <v/>
      </c>
      <c r="B61" s="181">
        <f>IF(A61="","— at issue —","iCoA-PP_26-"&amp;TEXT(A61,"000"))</f>
        <v/>
      </c>
      <c r="C61" s="188" t="inlineStr">
        <is>
          <t>yes</t>
        </is>
      </c>
      <c r="D61" s="183">
        <f>IF(A61="","",E61)</f>
        <v/>
      </c>
      <c r="E61" s="183">
        <f>IF(AND(C61="yes",ISNUMBER(G61)),MAX(DATE(2026,5,11),G61),"")</f>
        <v/>
      </c>
      <c r="F61" s="183">
        <f>IFERROR(INDEX('Batch Dates'!$F:$F,MATCH(J61,'Batch Dates'!$C:$C,0)),IFERROR(INDEX('Batch Dates'!$F:$F,MATCH(I61,'Batch Dates'!$B:$B,0)),""))</f>
        <v/>
      </c>
      <c r="G61" s="183">
        <f>IFERROR(INDEX('Batch Dates'!$G:$G,MATCH(J61,'Batch Dates'!$C:$C,0)),IFERROR(INDEX('Batch Dates'!$G:$G,MATCH(I61,'Batch Dates'!$B:$B,0)),""))</f>
        <v/>
      </c>
      <c r="H61" s="182" t="inlineStr">
        <is>
          <t>initial release</t>
        </is>
      </c>
      <c r="I61" s="181" t="inlineStr">
        <is>
          <t>WC072501</t>
        </is>
      </c>
      <c r="J61" s="182" t="inlineStr">
        <is>
          <t>P050262</t>
        </is>
      </c>
      <c r="K61" s="182" t="inlineStr">
        <is>
          <t>Wedding Crusher</t>
        </is>
      </c>
      <c r="L61" s="182" t="inlineStr">
        <is>
          <t>Foreign matter</t>
        </is>
      </c>
      <c r="M61" s="182" t="inlineStr">
        <is>
          <t>iCoA_P07 · Foreign matter</t>
        </is>
      </c>
      <c r="N61" s="189" t="inlineStr">
        <is>
          <t>—</t>
        </is>
      </c>
      <c r="O61" s="182" t="inlineStr">
        <is>
          <t>ППК25369, (28.11.2025) [CNP]</t>
        </is>
      </c>
      <c r="P61" s="182" t="inlineStr">
        <is>
          <t>(assigned on issue)</t>
        </is>
      </c>
      <c r="Q61" s="189" t="inlineStr">
        <is>
          <t>—</t>
        </is>
      </c>
      <c r="R61" s="182" t="inlineStr">
        <is>
          <t>P050262|FM|I</t>
        </is>
      </c>
      <c r="S61" s="192" t="inlineStr">
        <is>
          <t>registered — preliminary date, QC sets the real date at issue</t>
        </is>
      </c>
    </row>
    <row r="62">
      <c r="A62" s="182">
        <f>IF(C62="yes",COUNT(A$1:A61)+1,"")</f>
        <v/>
      </c>
      <c r="B62" s="181">
        <f>IF(A62="","— at issue —","iCoA-PP_26-"&amp;TEXT(A62,"000"))</f>
        <v/>
      </c>
      <c r="C62" s="188" t="inlineStr">
        <is>
          <t>yes</t>
        </is>
      </c>
      <c r="D62" s="183">
        <f>IF(A62="","",E62)</f>
        <v/>
      </c>
      <c r="E62" s="183">
        <f>IF(AND(C62="yes",ISNUMBER(G62)),MAX(DATE(2026,5,11),G62),"")</f>
        <v/>
      </c>
      <c r="F62" s="183">
        <f>IFERROR(INDEX('Batch Dates'!$F:$F,MATCH(J62,'Batch Dates'!$C:$C,0)),IFERROR(INDEX('Batch Dates'!$F:$F,MATCH(I62,'Batch Dates'!$B:$B,0)),""))</f>
        <v/>
      </c>
      <c r="G62" s="183">
        <f>IFERROR(INDEX('Batch Dates'!$G:$G,MATCH(J62,'Batch Dates'!$C:$C,0)),IFERROR(INDEX('Batch Dates'!$G:$G,MATCH(I62,'Batch Dates'!$B:$B,0)),""))</f>
        <v/>
      </c>
      <c r="H62" s="182" t="inlineStr">
        <is>
          <t>initial release</t>
        </is>
      </c>
      <c r="I62" s="181" t="inlineStr">
        <is>
          <t>PM072501</t>
        </is>
      </c>
      <c r="J62" s="182" t="inlineStr">
        <is>
          <t>P050272</t>
        </is>
      </c>
      <c r="K62" s="182" t="inlineStr">
        <is>
          <t>Permanent Marker</t>
        </is>
      </c>
      <c r="L62" s="182" t="inlineStr">
        <is>
          <t>Ident A + Ident B</t>
        </is>
      </c>
      <c r="M62" s="182" t="inlineStr">
        <is>
          <t>iCoA_P01-02 · Appearance &amp; Identification A/B</t>
        </is>
      </c>
      <c r="N62" s="189" t="inlineStr">
        <is>
          <t>—</t>
        </is>
      </c>
      <c r="O62" s="182" t="inlineStr">
        <is>
          <t>ППК25368, (28.11.2025) [CNP]</t>
        </is>
      </c>
      <c r="P62" s="182" t="inlineStr">
        <is>
          <t>(assigned on issue)</t>
        </is>
      </c>
      <c r="Q62" s="189" t="inlineStr">
        <is>
          <t>—</t>
        </is>
      </c>
      <c r="R62" s="182" t="inlineStr">
        <is>
          <t>P050272|AB|I</t>
        </is>
      </c>
      <c r="S62" s="192" t="inlineStr">
        <is>
          <t>registered — preliminary date, QC sets the real date at issue</t>
        </is>
      </c>
    </row>
    <row r="63">
      <c r="A63" s="182">
        <f>IF(C63="yes",COUNT(A$1:A62)+1,"")</f>
        <v/>
      </c>
      <c r="B63" s="181">
        <f>IF(A63="","— at issue —","iCoA-PP_26-"&amp;TEXT(A63,"000"))</f>
        <v/>
      </c>
      <c r="C63" s="188" t="inlineStr">
        <is>
          <t>yes</t>
        </is>
      </c>
      <c r="D63" s="183">
        <f>IF(A63="","",E63)</f>
        <v/>
      </c>
      <c r="E63" s="183">
        <f>IF(AND(C63="yes",ISNUMBER(G63)),MAX(DATE(2026,5,11),G63),"")</f>
        <v/>
      </c>
      <c r="F63" s="183">
        <f>IFERROR(INDEX('Batch Dates'!$F:$F,MATCH(J63,'Batch Dates'!$C:$C,0)),IFERROR(INDEX('Batch Dates'!$F:$F,MATCH(I63,'Batch Dates'!$B:$B,0)),""))</f>
        <v/>
      </c>
      <c r="G63" s="183">
        <f>IFERROR(INDEX('Batch Dates'!$G:$G,MATCH(J63,'Batch Dates'!$C:$C,0)),IFERROR(INDEX('Batch Dates'!$G:$G,MATCH(I63,'Batch Dates'!$B:$B,0)),""))</f>
        <v/>
      </c>
      <c r="H63" s="182" t="inlineStr">
        <is>
          <t>initial release</t>
        </is>
      </c>
      <c r="I63" s="181" t="inlineStr">
        <is>
          <t>PM072501</t>
        </is>
      </c>
      <c r="J63" s="182" t="inlineStr">
        <is>
          <t>P050272</t>
        </is>
      </c>
      <c r="K63" s="182" t="inlineStr">
        <is>
          <t>Permanent Marker</t>
        </is>
      </c>
      <c r="L63" s="182" t="inlineStr">
        <is>
          <t>Foreign matter</t>
        </is>
      </c>
      <c r="M63" s="182" t="inlineStr">
        <is>
          <t>iCoA_P07 · Foreign matter</t>
        </is>
      </c>
      <c r="N63" s="189" t="inlineStr">
        <is>
          <t>—</t>
        </is>
      </c>
      <c r="O63" s="182" t="inlineStr">
        <is>
          <t>ППК25368, (28.11.2025) [CNP]</t>
        </is>
      </c>
      <c r="P63" s="182" t="inlineStr">
        <is>
          <t>(assigned on issue)</t>
        </is>
      </c>
      <c r="Q63" s="189" t="inlineStr">
        <is>
          <t>—</t>
        </is>
      </c>
      <c r="R63" s="182" t="inlineStr">
        <is>
          <t>P050272|FM|I</t>
        </is>
      </c>
      <c r="S63" s="192" t="inlineStr">
        <is>
          <t>registered — preliminary date, QC sets the real date at issue</t>
        </is>
      </c>
    </row>
    <row r="64">
      <c r="A64" s="182">
        <f>IF(C64="yes",COUNT(A$1:A63)+1,"")</f>
        <v/>
      </c>
      <c r="B64" s="181">
        <f>IF(A64="","— at issue —","iCoA-PP_26-"&amp;TEXT(A64,"000"))</f>
        <v/>
      </c>
      <c r="C64" s="188" t="inlineStr">
        <is>
          <t>yes</t>
        </is>
      </c>
      <c r="D64" s="183">
        <f>IF(A64="","",E64)</f>
        <v/>
      </c>
      <c r="E64" s="183">
        <f>IF(AND(C64="yes",ISNUMBER(G64)),MAX(DATE(2026,5,11),G64),"")</f>
        <v/>
      </c>
      <c r="F64" s="183">
        <f>IFERROR(INDEX('Batch Dates'!$F:$F,MATCH(J64,'Batch Dates'!$C:$C,0)),IFERROR(INDEX('Batch Dates'!$F:$F,MATCH(I64,'Batch Dates'!$B:$B,0)),""))</f>
        <v/>
      </c>
      <c r="G64" s="183">
        <f>IFERROR(INDEX('Batch Dates'!$G:$G,MATCH(J64,'Batch Dates'!$C:$C,0)),IFERROR(INDEX('Batch Dates'!$G:$G,MATCH(I64,'Batch Dates'!$B:$B,0)),""))</f>
        <v/>
      </c>
      <c r="H64" s="182" t="inlineStr">
        <is>
          <t>initial release</t>
        </is>
      </c>
      <c r="I64" s="181" t="inlineStr">
        <is>
          <t>CLE072501</t>
        </is>
      </c>
      <c r="J64" s="182" t="inlineStr">
        <is>
          <t>P050282</t>
        </is>
      </c>
      <c r="K64" s="182" t="inlineStr">
        <is>
          <t>Clemosa a bud</t>
        </is>
      </c>
      <c r="L64" s="182" t="inlineStr">
        <is>
          <t>Ident A + Ident B</t>
        </is>
      </c>
      <c r="M64" s="182" t="inlineStr">
        <is>
          <t>iCoA_P01-02 · Appearance &amp; Identification A/B</t>
        </is>
      </c>
      <c r="N64" s="189" t="inlineStr">
        <is>
          <t>—</t>
        </is>
      </c>
      <c r="O64" s="182" t="inlineStr">
        <is>
          <t>ППК25370, (28.11.2025) [CNP]</t>
        </is>
      </c>
      <c r="P64" s="182" t="inlineStr">
        <is>
          <t>CoQ-PP-2025-0019</t>
        </is>
      </c>
      <c r="Q64" s="182" t="inlineStr">
        <is>
          <t>iCoA-PP-2025-0019</t>
        </is>
      </c>
      <c r="R64" s="182" t="inlineStr">
        <is>
          <t>P050282|AB|I</t>
        </is>
      </c>
      <c r="S64" s="192" t="inlineStr">
        <is>
          <t>registered — preliminary date, QC sets the real date at issue</t>
        </is>
      </c>
    </row>
    <row r="65">
      <c r="A65" s="182">
        <f>IF(C65="yes",COUNT(A$1:A64)+1,"")</f>
        <v/>
      </c>
      <c r="B65" s="181">
        <f>IF(A65="","— at issue —","iCoA-PP_26-"&amp;TEXT(A65,"000"))</f>
        <v/>
      </c>
      <c r="C65" s="188" t="inlineStr">
        <is>
          <t>yes</t>
        </is>
      </c>
      <c r="D65" s="183">
        <f>IF(A65="","",E65)</f>
        <v/>
      </c>
      <c r="E65" s="183">
        <f>IF(AND(C65="yes",ISNUMBER(G65)),MAX(DATE(2026,5,11),G65),"")</f>
        <v/>
      </c>
      <c r="F65" s="183">
        <f>IFERROR(INDEX('Batch Dates'!$F:$F,MATCH(J65,'Batch Dates'!$C:$C,0)),IFERROR(INDEX('Batch Dates'!$F:$F,MATCH(I65,'Batch Dates'!$B:$B,0)),""))</f>
        <v/>
      </c>
      <c r="G65" s="183">
        <f>IFERROR(INDEX('Batch Dates'!$G:$G,MATCH(J65,'Batch Dates'!$C:$C,0)),IFERROR(INDEX('Batch Dates'!$G:$G,MATCH(I65,'Batch Dates'!$B:$B,0)),""))</f>
        <v/>
      </c>
      <c r="H65" s="182" t="inlineStr">
        <is>
          <t>initial release</t>
        </is>
      </c>
      <c r="I65" s="181" t="inlineStr">
        <is>
          <t>CLE072501</t>
        </is>
      </c>
      <c r="J65" s="182" t="inlineStr">
        <is>
          <t>P050282</t>
        </is>
      </c>
      <c r="K65" s="182" t="inlineStr">
        <is>
          <t>Clemosa a bud</t>
        </is>
      </c>
      <c r="L65" s="182" t="inlineStr">
        <is>
          <t>Foreign matter</t>
        </is>
      </c>
      <c r="M65" s="182" t="inlineStr">
        <is>
          <t>iCoA_P07 · Foreign matter</t>
        </is>
      </c>
      <c r="N65" s="189" t="inlineStr">
        <is>
          <t>—</t>
        </is>
      </c>
      <c r="O65" s="182" t="inlineStr">
        <is>
          <t>ППК25370, (28.11.2025) [CNP]</t>
        </is>
      </c>
      <c r="P65" s="182" t="inlineStr">
        <is>
          <t>CoQ-PP-2025-0019</t>
        </is>
      </c>
      <c r="Q65" s="182" t="inlineStr">
        <is>
          <t>iCoA-PP-2025-0019</t>
        </is>
      </c>
      <c r="R65" s="182" t="inlineStr">
        <is>
          <t>P050282|FM|I</t>
        </is>
      </c>
      <c r="S65" s="192" t="inlineStr">
        <is>
          <t>registered — preliminary date, QC sets the real date at issue</t>
        </is>
      </c>
    </row>
    <row r="66">
      <c r="A66" s="182">
        <f>IF(C66="yes",COUNT(A$1:A65)+1,"")</f>
        <v/>
      </c>
      <c r="B66" s="181">
        <f>IF(A66="","— at issue —","iCoA-PP_26-"&amp;TEXT(A66,"000"))</f>
        <v/>
      </c>
      <c r="C66" s="188" t="inlineStr">
        <is>
          <t>yes</t>
        </is>
      </c>
      <c r="D66" s="183">
        <f>IF(A66="","",E66)</f>
        <v/>
      </c>
      <c r="E66" s="183">
        <f>IF(AND(C66="yes",ISNUMBER(G66)),MAX(DATE(2026,5,11),G66),"")</f>
        <v/>
      </c>
      <c r="F66" s="183">
        <f>IFERROR(INDEX('Batch Dates'!$F:$F,MATCH(J66,'Batch Dates'!$C:$C,0)),IFERROR(INDEX('Batch Dates'!$F:$F,MATCH(I66,'Batch Dates'!$B:$B,0)),""))</f>
        <v/>
      </c>
      <c r="G66" s="183">
        <f>IFERROR(INDEX('Batch Dates'!$G:$G,MATCH(J66,'Batch Dates'!$C:$C,0)),IFERROR(INDEX('Batch Dates'!$G:$G,MATCH(I66,'Batch Dates'!$B:$B,0)),""))</f>
        <v/>
      </c>
      <c r="H66" s="182" t="inlineStr">
        <is>
          <t>initial release</t>
        </is>
      </c>
      <c r="I66" s="181" t="inlineStr">
        <is>
          <t>GP072501/1</t>
        </is>
      </c>
      <c r="J66" s="182" t="inlineStr">
        <is>
          <t>P050292</t>
        </is>
      </c>
      <c r="K66" s="182" t="inlineStr">
        <is>
          <t>Grape Pie</t>
        </is>
      </c>
      <c r="L66" s="182" t="inlineStr">
        <is>
          <t>Ident A + Ident B</t>
        </is>
      </c>
      <c r="M66" s="182" t="inlineStr">
        <is>
          <t>iCoA_P01-02 · Appearance &amp; Identification A/B</t>
        </is>
      </c>
      <c r="N66" s="189" t="inlineStr">
        <is>
          <t>—</t>
        </is>
      </c>
      <c r="O66" s="182" t="inlineStr">
        <is>
          <t>ППК25378, (12.12.2025) [CNP]</t>
        </is>
      </c>
      <c r="P66" s="182" t="inlineStr">
        <is>
          <t>(assigned on issue)</t>
        </is>
      </c>
      <c r="Q66" s="189" t="inlineStr">
        <is>
          <t>—</t>
        </is>
      </c>
      <c r="R66" s="182" t="inlineStr">
        <is>
          <t>P050292|AB|I</t>
        </is>
      </c>
      <c r="S66" s="192" t="inlineStr">
        <is>
          <t>registered — preliminary date, QC sets the real date at issue</t>
        </is>
      </c>
    </row>
    <row r="67">
      <c r="A67" s="182">
        <f>IF(C67="yes",COUNT(A$1:A66)+1,"")</f>
        <v/>
      </c>
      <c r="B67" s="181">
        <f>IF(A67="","— at issue —","iCoA-PP_26-"&amp;TEXT(A67,"000"))</f>
        <v/>
      </c>
      <c r="C67" s="188" t="inlineStr">
        <is>
          <t>yes</t>
        </is>
      </c>
      <c r="D67" s="183">
        <f>IF(A67="","",E67)</f>
        <v/>
      </c>
      <c r="E67" s="183">
        <f>IF(AND(C67="yes",ISNUMBER(G67)),MAX(DATE(2026,5,11),G67),"")</f>
        <v/>
      </c>
      <c r="F67" s="183">
        <f>IFERROR(INDEX('Batch Dates'!$F:$F,MATCH(J67,'Batch Dates'!$C:$C,0)),IFERROR(INDEX('Batch Dates'!$F:$F,MATCH(I67,'Batch Dates'!$B:$B,0)),""))</f>
        <v/>
      </c>
      <c r="G67" s="183">
        <f>IFERROR(INDEX('Batch Dates'!$G:$G,MATCH(J67,'Batch Dates'!$C:$C,0)),IFERROR(INDEX('Batch Dates'!$G:$G,MATCH(I67,'Batch Dates'!$B:$B,0)),""))</f>
        <v/>
      </c>
      <c r="H67" s="182" t="inlineStr">
        <is>
          <t>initial release</t>
        </is>
      </c>
      <c r="I67" s="181" t="inlineStr">
        <is>
          <t>GP072501/1</t>
        </is>
      </c>
      <c r="J67" s="182" t="inlineStr">
        <is>
          <t>P050292</t>
        </is>
      </c>
      <c r="K67" s="182" t="inlineStr">
        <is>
          <t>Grape Pie</t>
        </is>
      </c>
      <c r="L67" s="182" t="inlineStr">
        <is>
          <t>Foreign matter</t>
        </is>
      </c>
      <c r="M67" s="182" t="inlineStr">
        <is>
          <t>iCoA_P07 · Foreign matter</t>
        </is>
      </c>
      <c r="N67" s="189" t="inlineStr">
        <is>
          <t>—</t>
        </is>
      </c>
      <c r="O67" s="182" t="inlineStr">
        <is>
          <t>ППК25378, (12.12.2025) [CNP]</t>
        </is>
      </c>
      <c r="P67" s="182" t="inlineStr">
        <is>
          <t>(assigned on issue)</t>
        </is>
      </c>
      <c r="Q67" s="189" t="inlineStr">
        <is>
          <t>—</t>
        </is>
      </c>
      <c r="R67" s="182" t="inlineStr">
        <is>
          <t>P050292|FM|I</t>
        </is>
      </c>
      <c r="S67" s="192" t="inlineStr">
        <is>
          <t>registered — preliminary date, QC sets the real date at issue</t>
        </is>
      </c>
    </row>
    <row r="68">
      <c r="A68" s="182">
        <f>IF(C68="yes",COUNT(A$1:A67)+1,"")</f>
        <v/>
      </c>
      <c r="B68" s="181">
        <f>IF(A68="","— at issue —","iCoA-PP_26-"&amp;TEXT(A68,"000"))</f>
        <v/>
      </c>
      <c r="C68" s="188" t="inlineStr">
        <is>
          <t>yes</t>
        </is>
      </c>
      <c r="D68" s="183">
        <f>IF(A68="","",E68)</f>
        <v/>
      </c>
      <c r="E68" s="183">
        <f>IF(AND(C68="yes",ISNUMBER(G68)),MAX(DATE(2026,5,11),G68),"")</f>
        <v/>
      </c>
      <c r="F68" s="183">
        <f>IFERROR(INDEX('Batch Dates'!$F:$F,MATCH(J68,'Batch Dates'!$C:$C,0)),IFERROR(INDEX('Batch Dates'!$F:$F,MATCH(I68,'Batch Dates'!$B:$B,0)),""))</f>
        <v/>
      </c>
      <c r="G68" s="183">
        <f>IFERROR(INDEX('Batch Dates'!$G:$G,MATCH(J68,'Batch Dates'!$C:$C,0)),IFERROR(INDEX('Batch Dates'!$G:$G,MATCH(I68,'Batch Dates'!$B:$B,0)),""))</f>
        <v/>
      </c>
      <c r="H68" s="182" t="inlineStr">
        <is>
          <t>initial release</t>
        </is>
      </c>
      <c r="I68" s="181" t="inlineStr">
        <is>
          <t>GP072501/2</t>
        </is>
      </c>
      <c r="J68" s="182" t="inlineStr">
        <is>
          <t>P050302</t>
        </is>
      </c>
      <c r="K68" s="182" t="inlineStr">
        <is>
          <t>Grape Pie</t>
        </is>
      </c>
      <c r="L68" s="182" t="inlineStr">
        <is>
          <t>Ident A + Ident B</t>
        </is>
      </c>
      <c r="M68" s="182" t="inlineStr">
        <is>
          <t>iCoA_P01-02 · Appearance &amp; Identification A/B</t>
        </is>
      </c>
      <c r="N68" s="189" t="inlineStr">
        <is>
          <t>—</t>
        </is>
      </c>
      <c r="O68" s="182" t="inlineStr">
        <is>
          <t>ППК25379, (12.12.2025) [CNP]</t>
        </is>
      </c>
      <c r="P68" s="182" t="inlineStr">
        <is>
          <t>CoQ-PP-2025-0020</t>
        </is>
      </c>
      <c r="Q68" s="182" t="inlineStr">
        <is>
          <t>iCoA-PP-2025-0020</t>
        </is>
      </c>
      <c r="R68" s="182" t="inlineStr">
        <is>
          <t>P050302|AB|I</t>
        </is>
      </c>
      <c r="S68" s="192" t="inlineStr">
        <is>
          <t>registered — preliminary date, QC sets the real date at issue</t>
        </is>
      </c>
    </row>
    <row r="69">
      <c r="A69" s="182">
        <f>IF(C69="yes",COUNT(A$1:A68)+1,"")</f>
        <v/>
      </c>
      <c r="B69" s="181">
        <f>IF(A69="","— at issue —","iCoA-PP_26-"&amp;TEXT(A69,"000"))</f>
        <v/>
      </c>
      <c r="C69" s="188" t="inlineStr">
        <is>
          <t>yes</t>
        </is>
      </c>
      <c r="D69" s="183">
        <f>IF(A69="","",E69)</f>
        <v/>
      </c>
      <c r="E69" s="183">
        <f>IF(AND(C69="yes",ISNUMBER(G69)),MAX(DATE(2026,5,11),G69),"")</f>
        <v/>
      </c>
      <c r="F69" s="183">
        <f>IFERROR(INDEX('Batch Dates'!$F:$F,MATCH(J69,'Batch Dates'!$C:$C,0)),IFERROR(INDEX('Batch Dates'!$F:$F,MATCH(I69,'Batch Dates'!$B:$B,0)),""))</f>
        <v/>
      </c>
      <c r="G69" s="183">
        <f>IFERROR(INDEX('Batch Dates'!$G:$G,MATCH(J69,'Batch Dates'!$C:$C,0)),IFERROR(INDEX('Batch Dates'!$G:$G,MATCH(I69,'Batch Dates'!$B:$B,0)),""))</f>
        <v/>
      </c>
      <c r="H69" s="182" t="inlineStr">
        <is>
          <t>initial release</t>
        </is>
      </c>
      <c r="I69" s="181" t="inlineStr">
        <is>
          <t>GP072501/2</t>
        </is>
      </c>
      <c r="J69" s="182" t="inlineStr">
        <is>
          <t>P050302</t>
        </is>
      </c>
      <c r="K69" s="182" t="inlineStr">
        <is>
          <t>Grape Pie</t>
        </is>
      </c>
      <c r="L69" s="182" t="inlineStr">
        <is>
          <t>Foreign matter</t>
        </is>
      </c>
      <c r="M69" s="182" t="inlineStr">
        <is>
          <t>iCoA_P07 · Foreign matter</t>
        </is>
      </c>
      <c r="N69" s="189" t="inlineStr">
        <is>
          <t>—</t>
        </is>
      </c>
      <c r="O69" s="182" t="inlineStr">
        <is>
          <t>ППК25379, (12.12.2025) [CNP]</t>
        </is>
      </c>
      <c r="P69" s="182" t="inlineStr">
        <is>
          <t>CoQ-PP-2025-0020</t>
        </is>
      </c>
      <c r="Q69" s="182" t="inlineStr">
        <is>
          <t>iCoA-PP-2025-0020</t>
        </is>
      </c>
      <c r="R69" s="182" t="inlineStr">
        <is>
          <t>P050302|FM|I</t>
        </is>
      </c>
      <c r="S69" s="192" t="inlineStr">
        <is>
          <t>registered — preliminary date, QC sets the real date at issue</t>
        </is>
      </c>
    </row>
    <row r="70">
      <c r="A70" s="182">
        <f>IF(C70="yes",COUNT(A$1:A69)+1,"")</f>
        <v/>
      </c>
      <c r="B70" s="181">
        <f>IF(A70="","— at issue —","iCoA-PP_26-"&amp;TEXT(A70,"000"))</f>
        <v/>
      </c>
      <c r="C70" s="188" t="inlineStr">
        <is>
          <t>yes</t>
        </is>
      </c>
      <c r="D70" s="183">
        <f>IF(A70="","",E70)</f>
        <v/>
      </c>
      <c r="E70" s="183">
        <f>IF(AND(C70="yes",ISNUMBER(G70)),MAX(DATE(2026,5,11),G70),"")</f>
        <v/>
      </c>
      <c r="F70" s="183">
        <f>IFERROR(INDEX('Batch Dates'!$F:$F,MATCH(J70,'Batch Dates'!$C:$C,0)),IFERROR(INDEX('Batch Dates'!$F:$F,MATCH(I70,'Batch Dates'!$B:$B,0)),""))</f>
        <v/>
      </c>
      <c r="G70" s="183">
        <f>IFERROR(INDEX('Batch Dates'!$G:$G,MATCH(J70,'Batch Dates'!$C:$C,0)),IFERROR(INDEX('Batch Dates'!$G:$G,MATCH(I70,'Batch Dates'!$B:$B,0)),""))</f>
        <v/>
      </c>
      <c r="H70" s="182" t="inlineStr">
        <is>
          <t>initial release</t>
        </is>
      </c>
      <c r="I70" s="181" t="inlineStr">
        <is>
          <t>GP082501/1</t>
        </is>
      </c>
      <c r="J70" s="182" t="inlineStr">
        <is>
          <t>P050312</t>
        </is>
      </c>
      <c r="K70" s="182" t="inlineStr">
        <is>
          <t>Grape Pie</t>
        </is>
      </c>
      <c r="L70" s="182" t="inlineStr">
        <is>
          <t>Ident A + Ident B</t>
        </is>
      </c>
      <c r="M70" s="182" t="inlineStr">
        <is>
          <t>iCoA_P01-02 · Appearance &amp; Identification A/B</t>
        </is>
      </c>
      <c r="N70" s="189" t="inlineStr">
        <is>
          <t>—</t>
        </is>
      </c>
      <c r="O70" s="182" t="inlineStr">
        <is>
          <t>ППК25380, (12.12.2025) [CNP]</t>
        </is>
      </c>
      <c r="P70" s="182" t="inlineStr">
        <is>
          <t>CoQ-PP-2025-0021</t>
        </is>
      </c>
      <c r="Q70" s="182" t="inlineStr">
        <is>
          <t>iCoA-PP-2025-0021</t>
        </is>
      </c>
      <c r="R70" s="182" t="inlineStr">
        <is>
          <t>P050312|AB|I</t>
        </is>
      </c>
      <c r="S70" s="192" t="inlineStr">
        <is>
          <t>registered — preliminary date, QC sets the real date at issue</t>
        </is>
      </c>
    </row>
    <row r="71">
      <c r="A71" s="182">
        <f>IF(C71="yes",COUNT(A$1:A70)+1,"")</f>
        <v/>
      </c>
      <c r="B71" s="181">
        <f>IF(A71="","— at issue —","iCoA-PP_26-"&amp;TEXT(A71,"000"))</f>
        <v/>
      </c>
      <c r="C71" s="188" t="inlineStr">
        <is>
          <t>yes</t>
        </is>
      </c>
      <c r="D71" s="183">
        <f>IF(A71="","",E71)</f>
        <v/>
      </c>
      <c r="E71" s="183">
        <f>IF(AND(C71="yes",ISNUMBER(G71)),MAX(DATE(2026,5,11),G71),"")</f>
        <v/>
      </c>
      <c r="F71" s="183">
        <f>IFERROR(INDEX('Batch Dates'!$F:$F,MATCH(J71,'Batch Dates'!$C:$C,0)),IFERROR(INDEX('Batch Dates'!$F:$F,MATCH(I71,'Batch Dates'!$B:$B,0)),""))</f>
        <v/>
      </c>
      <c r="G71" s="183">
        <f>IFERROR(INDEX('Batch Dates'!$G:$G,MATCH(J71,'Batch Dates'!$C:$C,0)),IFERROR(INDEX('Batch Dates'!$G:$G,MATCH(I71,'Batch Dates'!$B:$B,0)),""))</f>
        <v/>
      </c>
      <c r="H71" s="182" t="inlineStr">
        <is>
          <t>initial release</t>
        </is>
      </c>
      <c r="I71" s="181" t="inlineStr">
        <is>
          <t>GP082501/1</t>
        </is>
      </c>
      <c r="J71" s="182" t="inlineStr">
        <is>
          <t>P050312</t>
        </is>
      </c>
      <c r="K71" s="182" t="inlineStr">
        <is>
          <t>Grape Pie</t>
        </is>
      </c>
      <c r="L71" s="182" t="inlineStr">
        <is>
          <t>Foreign matter</t>
        </is>
      </c>
      <c r="M71" s="182" t="inlineStr">
        <is>
          <t>iCoA_P07 · Foreign matter</t>
        </is>
      </c>
      <c r="N71" s="189" t="inlineStr">
        <is>
          <t>—</t>
        </is>
      </c>
      <c r="O71" s="182" t="inlineStr">
        <is>
          <t>ППК25380, (12.12.2025) [CNP]</t>
        </is>
      </c>
      <c r="P71" s="182" t="inlineStr">
        <is>
          <t>CoQ-PP-2025-0021</t>
        </is>
      </c>
      <c r="Q71" s="182" t="inlineStr">
        <is>
          <t>iCoA-PP-2025-0021</t>
        </is>
      </c>
      <c r="R71" s="182" t="inlineStr">
        <is>
          <t>P050312|FM|I</t>
        </is>
      </c>
      <c r="S71" s="192" t="inlineStr">
        <is>
          <t>registered — preliminary date, QC sets the real date at issue</t>
        </is>
      </c>
    </row>
    <row r="72">
      <c r="A72" s="182">
        <f>IF(C72="yes",COUNT(A$1:A71)+1,"")</f>
        <v/>
      </c>
      <c r="B72" s="181">
        <f>IF(A72="","— at issue —","iCoA-PP_26-"&amp;TEXT(A72,"000"))</f>
        <v/>
      </c>
      <c r="C72" s="188" t="inlineStr">
        <is>
          <t>yes</t>
        </is>
      </c>
      <c r="D72" s="183">
        <f>IF(A72="","",E72)</f>
        <v/>
      </c>
      <c r="E72" s="183">
        <f>IF(AND(C72="yes",ISNUMBER(G72)),MAX(DATE(2026,5,11),G72),"")</f>
        <v/>
      </c>
      <c r="F72" s="183">
        <f>IFERROR(INDEX('Batch Dates'!$F:$F,MATCH(J72,'Batch Dates'!$C:$C,0)),IFERROR(INDEX('Batch Dates'!$F:$F,MATCH(I72,'Batch Dates'!$B:$B,0)),""))</f>
        <v/>
      </c>
      <c r="G72" s="183">
        <f>IFERROR(INDEX('Batch Dates'!$G:$G,MATCH(J72,'Batch Dates'!$C:$C,0)),IFERROR(INDEX('Batch Dates'!$G:$G,MATCH(I72,'Batch Dates'!$B:$B,0)),""))</f>
        <v/>
      </c>
      <c r="H72" s="182" t="inlineStr">
        <is>
          <t>initial release</t>
        </is>
      </c>
      <c r="I72" s="181" t="inlineStr">
        <is>
          <t>GP082501/2</t>
        </is>
      </c>
      <c r="J72" s="182" t="inlineStr">
        <is>
          <t>P050322</t>
        </is>
      </c>
      <c r="K72" s="182" t="inlineStr">
        <is>
          <t>Grape Pie</t>
        </is>
      </c>
      <c r="L72" s="182" t="inlineStr">
        <is>
          <t>Ident A + Ident B</t>
        </is>
      </c>
      <c r="M72" s="182" t="inlineStr">
        <is>
          <t>iCoA_P01-02 · Appearance &amp; Identification A/B</t>
        </is>
      </c>
      <c r="N72" s="189" t="inlineStr">
        <is>
          <t>—</t>
        </is>
      </c>
      <c r="O72" s="182" t="inlineStr">
        <is>
          <t>ППК25381, (12.12.2025) [CNP]</t>
        </is>
      </c>
      <c r="P72" s="182" t="inlineStr">
        <is>
          <t>CoQ-PP-2025-0022</t>
        </is>
      </c>
      <c r="Q72" s="182" t="inlineStr">
        <is>
          <t>iCoA-PP-2025-0022</t>
        </is>
      </c>
      <c r="R72" s="182" t="inlineStr">
        <is>
          <t>P050322|AB|I</t>
        </is>
      </c>
      <c r="S72" s="192" t="inlineStr">
        <is>
          <t>registered — preliminary date, QC sets the real date at issue</t>
        </is>
      </c>
    </row>
    <row r="73">
      <c r="A73" s="182">
        <f>IF(C73="yes",COUNT(A$1:A72)+1,"")</f>
        <v/>
      </c>
      <c r="B73" s="181">
        <f>IF(A73="","— at issue —","iCoA-PP_26-"&amp;TEXT(A73,"000"))</f>
        <v/>
      </c>
      <c r="C73" s="188" t="inlineStr">
        <is>
          <t>yes</t>
        </is>
      </c>
      <c r="D73" s="183">
        <f>IF(A73="","",E73)</f>
        <v/>
      </c>
      <c r="E73" s="183">
        <f>IF(AND(C73="yes",ISNUMBER(G73)),MAX(DATE(2026,5,11),G73),"")</f>
        <v/>
      </c>
      <c r="F73" s="183">
        <f>IFERROR(INDEX('Batch Dates'!$F:$F,MATCH(J73,'Batch Dates'!$C:$C,0)),IFERROR(INDEX('Batch Dates'!$F:$F,MATCH(I73,'Batch Dates'!$B:$B,0)),""))</f>
        <v/>
      </c>
      <c r="G73" s="183">
        <f>IFERROR(INDEX('Batch Dates'!$G:$G,MATCH(J73,'Batch Dates'!$C:$C,0)),IFERROR(INDEX('Batch Dates'!$G:$G,MATCH(I73,'Batch Dates'!$B:$B,0)),""))</f>
        <v/>
      </c>
      <c r="H73" s="182" t="inlineStr">
        <is>
          <t>initial release</t>
        </is>
      </c>
      <c r="I73" s="181" t="inlineStr">
        <is>
          <t>GP082501/2</t>
        </is>
      </c>
      <c r="J73" s="182" t="inlineStr">
        <is>
          <t>P050322</t>
        </is>
      </c>
      <c r="K73" s="182" t="inlineStr">
        <is>
          <t>Grape Pie</t>
        </is>
      </c>
      <c r="L73" s="182" t="inlineStr">
        <is>
          <t>Foreign matter</t>
        </is>
      </c>
      <c r="M73" s="182" t="inlineStr">
        <is>
          <t>iCoA_P07 · Foreign matter</t>
        </is>
      </c>
      <c r="N73" s="189" t="inlineStr">
        <is>
          <t>—</t>
        </is>
      </c>
      <c r="O73" s="182" t="inlineStr">
        <is>
          <t>ППК25381, (12.12.2025) [CNP]</t>
        </is>
      </c>
      <c r="P73" s="182" t="inlineStr">
        <is>
          <t>CoQ-PP-2025-0022</t>
        </is>
      </c>
      <c r="Q73" s="182" t="inlineStr">
        <is>
          <t>iCoA-PP-2025-0022</t>
        </is>
      </c>
      <c r="R73" s="182" t="inlineStr">
        <is>
          <t>P050322|FM|I</t>
        </is>
      </c>
      <c r="S73" s="192" t="inlineStr">
        <is>
          <t>registered — preliminary date, QC sets the real date at issue</t>
        </is>
      </c>
    </row>
    <row r="74">
      <c r="A74" s="182">
        <f>IF(C74="yes",COUNT(A$1:A73)+1,"")</f>
        <v/>
      </c>
      <c r="B74" s="181">
        <f>IF(A74="","— at issue —","iCoA-PP_26-"&amp;TEXT(A74,"000"))</f>
        <v/>
      </c>
      <c r="C74" s="188" t="inlineStr">
        <is>
          <t>yes</t>
        </is>
      </c>
      <c r="D74" s="183">
        <f>IF(A74="","",E74)</f>
        <v/>
      </c>
      <c r="E74" s="183">
        <f>IF(AND(C74="yes",ISNUMBER(G74)),MAX(DATE(2026,5,11),G74),"")</f>
        <v/>
      </c>
      <c r="F74" s="183">
        <f>IFERROR(INDEX('Batch Dates'!$F:$F,MATCH(J74,'Batch Dates'!$C:$C,0)),IFERROR(INDEX('Batch Dates'!$F:$F,MATCH(I74,'Batch Dates'!$B:$B,0)),""))</f>
        <v/>
      </c>
      <c r="G74" s="183">
        <f>IFERROR(INDEX('Batch Dates'!$G:$G,MATCH(J74,'Batch Dates'!$C:$C,0)),IFERROR(INDEX('Batch Dates'!$G:$G,MATCH(I74,'Batch Dates'!$B:$B,0)),""))</f>
        <v/>
      </c>
      <c r="H74" s="182" t="inlineStr">
        <is>
          <t>initial release</t>
        </is>
      </c>
      <c r="I74" s="181" t="inlineStr">
        <is>
          <t>WC082501</t>
        </is>
      </c>
      <c r="J74" s="182" t="inlineStr">
        <is>
          <t>P060012</t>
        </is>
      </c>
      <c r="K74" s="182" t="inlineStr">
        <is>
          <t>Wedding Crasher</t>
        </is>
      </c>
      <c r="L74" s="182" t="inlineStr">
        <is>
          <t>Ident A + Ident B</t>
        </is>
      </c>
      <c r="M74" s="182" t="inlineStr">
        <is>
          <t>iCoA_P01-02 · Appearance &amp; Identification A/B</t>
        </is>
      </c>
      <c r="N74" s="189" t="inlineStr">
        <is>
          <t>—</t>
        </is>
      </c>
      <c r="O74" s="182" t="inlineStr">
        <is>
          <t>ППК26001, (21.01.2026) [CNP]</t>
        </is>
      </c>
      <c r="P74" s="182" t="inlineStr">
        <is>
          <t>CoQ-PP-2026-0001</t>
        </is>
      </c>
      <c r="Q74" s="182" t="inlineStr">
        <is>
          <t>iCoA-PP-2026-0001</t>
        </is>
      </c>
      <c r="R74" s="182" t="inlineStr">
        <is>
          <t>P060012|AB|I</t>
        </is>
      </c>
      <c r="S74" s="192" t="inlineStr">
        <is>
          <t>registered — preliminary date, QC sets the real date at issue</t>
        </is>
      </c>
    </row>
    <row r="75">
      <c r="A75" s="182">
        <f>IF(C75="yes",COUNT(A$1:A74)+1,"")</f>
        <v/>
      </c>
      <c r="B75" s="181">
        <f>IF(A75="","— at issue —","iCoA-PP_26-"&amp;TEXT(A75,"000"))</f>
        <v/>
      </c>
      <c r="C75" s="188" t="inlineStr">
        <is>
          <t>yes</t>
        </is>
      </c>
      <c r="D75" s="183">
        <f>IF(A75="","",E75)</f>
        <v/>
      </c>
      <c r="E75" s="183">
        <f>IF(AND(C75="yes",ISNUMBER(G75)),MAX(DATE(2026,5,11),G75),"")</f>
        <v/>
      </c>
      <c r="F75" s="183">
        <f>IFERROR(INDEX('Batch Dates'!$F:$F,MATCH(J75,'Batch Dates'!$C:$C,0)),IFERROR(INDEX('Batch Dates'!$F:$F,MATCH(I75,'Batch Dates'!$B:$B,0)),""))</f>
        <v/>
      </c>
      <c r="G75" s="183">
        <f>IFERROR(INDEX('Batch Dates'!$G:$G,MATCH(J75,'Batch Dates'!$C:$C,0)),IFERROR(INDEX('Batch Dates'!$G:$G,MATCH(I75,'Batch Dates'!$B:$B,0)),""))</f>
        <v/>
      </c>
      <c r="H75" s="182" t="inlineStr">
        <is>
          <t>initial release</t>
        </is>
      </c>
      <c r="I75" s="181" t="inlineStr">
        <is>
          <t>WC082501</t>
        </is>
      </c>
      <c r="J75" s="182" t="inlineStr">
        <is>
          <t>P060012</t>
        </is>
      </c>
      <c r="K75" s="182" t="inlineStr">
        <is>
          <t>Wedding Crasher</t>
        </is>
      </c>
      <c r="L75" s="182" t="inlineStr">
        <is>
          <t>Foreign matter</t>
        </is>
      </c>
      <c r="M75" s="182" t="inlineStr">
        <is>
          <t>iCoA_P07 · Foreign matter</t>
        </is>
      </c>
      <c r="N75" s="189" t="inlineStr">
        <is>
          <t>—</t>
        </is>
      </c>
      <c r="O75" s="182" t="inlineStr">
        <is>
          <t>ППК26001, (21.01.2026) [CNP]</t>
        </is>
      </c>
      <c r="P75" s="182" t="inlineStr">
        <is>
          <t>CoQ-PP-2026-0001</t>
        </is>
      </c>
      <c r="Q75" s="182" t="inlineStr">
        <is>
          <t>iCoA-PP-2026-0001</t>
        </is>
      </c>
      <c r="R75" s="182" t="inlineStr">
        <is>
          <t>P060012|FM|I</t>
        </is>
      </c>
      <c r="S75" s="192" t="inlineStr">
        <is>
          <t>registered — preliminary date, QC sets the real date at issue</t>
        </is>
      </c>
    </row>
    <row r="76">
      <c r="A76" s="182">
        <f>IF(C76="yes",COUNT(A$1:A75)+1,"")</f>
        <v/>
      </c>
      <c r="B76" s="181">
        <f>IF(A76="","— at issue —","iCoA-PP_26-"&amp;TEXT(A76,"000"))</f>
        <v/>
      </c>
      <c r="C76" s="188" t="inlineStr">
        <is>
          <t>yes</t>
        </is>
      </c>
      <c r="D76" s="183">
        <f>IF(A76="","",E76)</f>
        <v/>
      </c>
      <c r="E76" s="183">
        <f>IF(AND(C76="yes",ISNUMBER(G76)),MAX(DATE(2026,5,11),G76),"")</f>
        <v/>
      </c>
      <c r="F76" s="183">
        <f>IFERROR(INDEX('Batch Dates'!$F:$F,MATCH(J76,'Batch Dates'!$C:$C,0)),IFERROR(INDEX('Batch Dates'!$F:$F,MATCH(I76,'Batch Dates'!$B:$B,0)),""))</f>
        <v/>
      </c>
      <c r="G76" s="183">
        <f>IFERROR(INDEX('Batch Dates'!$G:$G,MATCH(J76,'Batch Dates'!$C:$C,0)),IFERROR(INDEX('Batch Dates'!$G:$G,MATCH(I76,'Batch Dates'!$B:$B,0)),""))</f>
        <v/>
      </c>
      <c r="H76" s="182" t="inlineStr">
        <is>
          <t>initial release</t>
        </is>
      </c>
      <c r="I76" s="181" t="inlineStr">
        <is>
          <t>CJ082501/1</t>
        </is>
      </c>
      <c r="J76" s="182" t="inlineStr">
        <is>
          <t>P060022</t>
        </is>
      </c>
      <c r="K76" s="182" t="inlineStr">
        <is>
          <t>Cap Junky</t>
        </is>
      </c>
      <c r="L76" s="182" t="inlineStr">
        <is>
          <t>Ident A + Ident B</t>
        </is>
      </c>
      <c r="M76" s="182" t="inlineStr">
        <is>
          <t>iCoA_P01-02 · Appearance &amp; Identification A/B</t>
        </is>
      </c>
      <c r="N76" s="189" t="inlineStr">
        <is>
          <t>—</t>
        </is>
      </c>
      <c r="O76" s="182" t="inlineStr">
        <is>
          <t>ППК26002, (21.01.2026) [CNP]</t>
        </is>
      </c>
      <c r="P76" s="182" t="inlineStr">
        <is>
          <t>CoQ-PP-2026-0002</t>
        </is>
      </c>
      <c r="Q76" s="182" t="inlineStr">
        <is>
          <t>iCoA-PP-2026-0002</t>
        </is>
      </c>
      <c r="R76" s="182" t="inlineStr">
        <is>
          <t>P060022|AB|I</t>
        </is>
      </c>
      <c r="S76" s="192" t="inlineStr">
        <is>
          <t>registered — preliminary date, QC sets the real date at issue</t>
        </is>
      </c>
    </row>
    <row r="77">
      <c r="A77" s="182">
        <f>IF(C77="yes",COUNT(A$1:A76)+1,"")</f>
        <v/>
      </c>
      <c r="B77" s="181">
        <f>IF(A77="","— at issue —","iCoA-PP_26-"&amp;TEXT(A77,"000"))</f>
        <v/>
      </c>
      <c r="C77" s="188" t="inlineStr">
        <is>
          <t>yes</t>
        </is>
      </c>
      <c r="D77" s="183">
        <f>IF(A77="","",E77)</f>
        <v/>
      </c>
      <c r="E77" s="183">
        <f>IF(AND(C77="yes",ISNUMBER(G77)),MAX(DATE(2026,5,11),G77),"")</f>
        <v/>
      </c>
      <c r="F77" s="183">
        <f>IFERROR(INDEX('Batch Dates'!$F:$F,MATCH(J77,'Batch Dates'!$C:$C,0)),IFERROR(INDEX('Batch Dates'!$F:$F,MATCH(I77,'Batch Dates'!$B:$B,0)),""))</f>
        <v/>
      </c>
      <c r="G77" s="183">
        <f>IFERROR(INDEX('Batch Dates'!$G:$G,MATCH(J77,'Batch Dates'!$C:$C,0)),IFERROR(INDEX('Batch Dates'!$G:$G,MATCH(I77,'Batch Dates'!$B:$B,0)),""))</f>
        <v/>
      </c>
      <c r="H77" s="182" t="inlineStr">
        <is>
          <t>initial release</t>
        </is>
      </c>
      <c r="I77" s="181" t="inlineStr">
        <is>
          <t>CJ082501/1</t>
        </is>
      </c>
      <c r="J77" s="182" t="inlineStr">
        <is>
          <t>P060022</t>
        </is>
      </c>
      <c r="K77" s="182" t="inlineStr">
        <is>
          <t>Cap Junky</t>
        </is>
      </c>
      <c r="L77" s="182" t="inlineStr">
        <is>
          <t>Foreign matter</t>
        </is>
      </c>
      <c r="M77" s="182" t="inlineStr">
        <is>
          <t>iCoA_P07 · Foreign matter</t>
        </is>
      </c>
      <c r="N77" s="189" t="inlineStr">
        <is>
          <t>—</t>
        </is>
      </c>
      <c r="O77" s="182" t="inlineStr">
        <is>
          <t>ППК26002, (21.01.2026) [CNP]</t>
        </is>
      </c>
      <c r="P77" s="182" t="inlineStr">
        <is>
          <t>CoQ-PP-2026-0002</t>
        </is>
      </c>
      <c r="Q77" s="182" t="inlineStr">
        <is>
          <t>iCoA-PP-2026-0002</t>
        </is>
      </c>
      <c r="R77" s="182" t="inlineStr">
        <is>
          <t>P060022|FM|I</t>
        </is>
      </c>
      <c r="S77" s="192" t="inlineStr">
        <is>
          <t>registered — preliminary date, QC sets the real date at issue</t>
        </is>
      </c>
    </row>
    <row r="78">
      <c r="A78" s="182">
        <f>IF(C78="yes",COUNT(A$1:A77)+1,"")</f>
        <v/>
      </c>
      <c r="B78" s="181">
        <f>IF(A78="","— at issue —","iCoA-PP_26-"&amp;TEXT(A78,"000"))</f>
        <v/>
      </c>
      <c r="C78" s="188" t="inlineStr">
        <is>
          <t>yes</t>
        </is>
      </c>
      <c r="D78" s="183">
        <f>IF(A78="","",E78)</f>
        <v/>
      </c>
      <c r="E78" s="183">
        <f>IF(AND(C78="yes",ISNUMBER(G78)),MAX(DATE(2026,5,11),G78),"")</f>
        <v/>
      </c>
      <c r="F78" s="183">
        <f>IFERROR(INDEX('Batch Dates'!$F:$F,MATCH(J78,'Batch Dates'!$C:$C,0)),IFERROR(INDEX('Batch Dates'!$F:$F,MATCH(I78,'Batch Dates'!$B:$B,0)),""))</f>
        <v/>
      </c>
      <c r="G78" s="183">
        <f>IFERROR(INDEX('Batch Dates'!$G:$G,MATCH(J78,'Batch Dates'!$C:$C,0)),IFERROR(INDEX('Batch Dates'!$G:$G,MATCH(I78,'Batch Dates'!$B:$B,0)),""))</f>
        <v/>
      </c>
      <c r="H78" s="182" t="inlineStr">
        <is>
          <t>initial release</t>
        </is>
      </c>
      <c r="I78" s="181" t="inlineStr">
        <is>
          <t>CJ082501/2</t>
        </is>
      </c>
      <c r="J78" s="182" t="inlineStr">
        <is>
          <t>P060032</t>
        </is>
      </c>
      <c r="K78" s="182" t="inlineStr">
        <is>
          <t>Cap Junky</t>
        </is>
      </c>
      <c r="L78" s="182" t="inlineStr">
        <is>
          <t>Ident A + Ident B</t>
        </is>
      </c>
      <c r="M78" s="182" t="inlineStr">
        <is>
          <t>iCoA_P01-02 · Appearance &amp; Identification A/B</t>
        </is>
      </c>
      <c r="N78" s="189" t="inlineStr">
        <is>
          <t>—</t>
        </is>
      </c>
      <c r="O78" s="182" t="inlineStr">
        <is>
          <t>ППК26003, (21.01.2026) [CNP]</t>
        </is>
      </c>
      <c r="P78" s="182" t="inlineStr">
        <is>
          <t>CoQ-PP-2026-0003</t>
        </is>
      </c>
      <c r="Q78" s="182" t="inlineStr">
        <is>
          <t>iCoA-PP-2026-0003</t>
        </is>
      </c>
      <c r="R78" s="182" t="inlineStr">
        <is>
          <t>P060032|AB|I</t>
        </is>
      </c>
      <c r="S78" s="192" t="inlineStr">
        <is>
          <t>registered — preliminary date, QC sets the real date at issue</t>
        </is>
      </c>
    </row>
    <row r="79">
      <c r="A79" s="182">
        <f>IF(C79="yes",COUNT(A$1:A78)+1,"")</f>
        <v/>
      </c>
      <c r="B79" s="181">
        <f>IF(A79="","— at issue —","iCoA-PP_26-"&amp;TEXT(A79,"000"))</f>
        <v/>
      </c>
      <c r="C79" s="188" t="inlineStr">
        <is>
          <t>yes</t>
        </is>
      </c>
      <c r="D79" s="183">
        <f>IF(A79="","",E79)</f>
        <v/>
      </c>
      <c r="E79" s="183">
        <f>IF(AND(C79="yes",ISNUMBER(G79)),MAX(DATE(2026,5,11),G79),"")</f>
        <v/>
      </c>
      <c r="F79" s="183">
        <f>IFERROR(INDEX('Batch Dates'!$F:$F,MATCH(J79,'Batch Dates'!$C:$C,0)),IFERROR(INDEX('Batch Dates'!$F:$F,MATCH(I79,'Batch Dates'!$B:$B,0)),""))</f>
        <v/>
      </c>
      <c r="G79" s="183">
        <f>IFERROR(INDEX('Batch Dates'!$G:$G,MATCH(J79,'Batch Dates'!$C:$C,0)),IFERROR(INDEX('Batch Dates'!$G:$G,MATCH(I79,'Batch Dates'!$B:$B,0)),""))</f>
        <v/>
      </c>
      <c r="H79" s="182" t="inlineStr">
        <is>
          <t>initial release</t>
        </is>
      </c>
      <c r="I79" s="181" t="inlineStr">
        <is>
          <t>CJ082501/2</t>
        </is>
      </c>
      <c r="J79" s="182" t="inlineStr">
        <is>
          <t>P060032</t>
        </is>
      </c>
      <c r="K79" s="182" t="inlineStr">
        <is>
          <t>Cap Junky</t>
        </is>
      </c>
      <c r="L79" s="182" t="inlineStr">
        <is>
          <t>Foreign matter</t>
        </is>
      </c>
      <c r="M79" s="182" t="inlineStr">
        <is>
          <t>iCoA_P07 · Foreign matter</t>
        </is>
      </c>
      <c r="N79" s="189" t="inlineStr">
        <is>
          <t>—</t>
        </is>
      </c>
      <c r="O79" s="182" t="inlineStr">
        <is>
          <t>ППК26003, (21.01.2026) [CNP]</t>
        </is>
      </c>
      <c r="P79" s="182" t="inlineStr">
        <is>
          <t>CoQ-PP-2026-0003</t>
        </is>
      </c>
      <c r="Q79" s="182" t="inlineStr">
        <is>
          <t>iCoA-PP-2026-0003</t>
        </is>
      </c>
      <c r="R79" s="182" t="inlineStr">
        <is>
          <t>P060032|FM|I</t>
        </is>
      </c>
      <c r="S79" s="192" t="inlineStr">
        <is>
          <t>registered — preliminary date, QC sets the real date at issue</t>
        </is>
      </c>
    </row>
    <row r="80">
      <c r="A80" s="182">
        <f>IF(C80="yes",COUNT(A$1:A79)+1,"")</f>
        <v/>
      </c>
      <c r="B80" s="181">
        <f>IF(A80="","— at issue —","iCoA-PP_26-"&amp;TEXT(A80,"000"))</f>
        <v/>
      </c>
      <c r="C80" s="188" t="inlineStr">
        <is>
          <t>yes</t>
        </is>
      </c>
      <c r="D80" s="183">
        <f>IF(A80="","",E80)</f>
        <v/>
      </c>
      <c r="E80" s="183">
        <f>IF(AND(C80="yes",ISNUMBER(G80)),MAX(DATE(2026,5,11),G80),"")</f>
        <v/>
      </c>
      <c r="F80" s="183">
        <f>IFERROR(INDEX('Batch Dates'!$F:$F,MATCH(J80,'Batch Dates'!$C:$C,0)),IFERROR(INDEX('Batch Dates'!$F:$F,MATCH(I80,'Batch Dates'!$B:$B,0)),""))</f>
        <v/>
      </c>
      <c r="G80" s="183">
        <f>IFERROR(INDEX('Batch Dates'!$G:$G,MATCH(J80,'Batch Dates'!$C:$C,0)),IFERROR(INDEX('Batch Dates'!$G:$G,MATCH(I80,'Batch Dates'!$B:$B,0)),""))</f>
        <v/>
      </c>
      <c r="H80" s="182" t="inlineStr">
        <is>
          <t>initial release</t>
        </is>
      </c>
      <c r="I80" s="181" t="inlineStr">
        <is>
          <t>OPM092501</t>
        </is>
      </c>
      <c r="J80" s="182" t="inlineStr">
        <is>
          <t>P060042</t>
        </is>
      </c>
      <c r="K80" s="182" t="inlineStr">
        <is>
          <t>Orange Punch Mimosa</t>
        </is>
      </c>
      <c r="L80" s="182" t="inlineStr">
        <is>
          <t>Ident A + Ident B</t>
        </is>
      </c>
      <c r="M80" s="182" t="inlineStr">
        <is>
          <t>iCoA_P01-02 · Appearance &amp; Identification A/B</t>
        </is>
      </c>
      <c r="N80" s="189" t="inlineStr">
        <is>
          <t>—</t>
        </is>
      </c>
      <c r="O80" s="182" t="inlineStr">
        <is>
          <t>ППК26008, (21.01.2026) [CNP]</t>
        </is>
      </c>
      <c r="P80" s="182" t="inlineStr">
        <is>
          <t>CoQ-PP-2026-0004</t>
        </is>
      </c>
      <c r="Q80" s="182" t="inlineStr">
        <is>
          <t>iCoA-PP-2026-0004</t>
        </is>
      </c>
      <c r="R80" s="182" t="inlineStr">
        <is>
          <t>P060042|AB|I</t>
        </is>
      </c>
      <c r="S80" s="192" t="inlineStr">
        <is>
          <t>registered — preliminary date, QC sets the real date at issue</t>
        </is>
      </c>
    </row>
    <row r="81">
      <c r="A81" s="182">
        <f>IF(C81="yes",COUNT(A$1:A80)+1,"")</f>
        <v/>
      </c>
      <c r="B81" s="181">
        <f>IF(A81="","— at issue —","iCoA-PP_26-"&amp;TEXT(A81,"000"))</f>
        <v/>
      </c>
      <c r="C81" s="188" t="inlineStr">
        <is>
          <t>yes</t>
        </is>
      </c>
      <c r="D81" s="183">
        <f>IF(A81="","",E81)</f>
        <v/>
      </c>
      <c r="E81" s="183">
        <f>IF(AND(C81="yes",ISNUMBER(G81)),MAX(DATE(2026,5,11),G81),"")</f>
        <v/>
      </c>
      <c r="F81" s="183">
        <f>IFERROR(INDEX('Batch Dates'!$F:$F,MATCH(J81,'Batch Dates'!$C:$C,0)),IFERROR(INDEX('Batch Dates'!$F:$F,MATCH(I81,'Batch Dates'!$B:$B,0)),""))</f>
        <v/>
      </c>
      <c r="G81" s="183">
        <f>IFERROR(INDEX('Batch Dates'!$G:$G,MATCH(J81,'Batch Dates'!$C:$C,0)),IFERROR(INDEX('Batch Dates'!$G:$G,MATCH(I81,'Batch Dates'!$B:$B,0)),""))</f>
        <v/>
      </c>
      <c r="H81" s="182" t="inlineStr">
        <is>
          <t>initial release</t>
        </is>
      </c>
      <c r="I81" s="181" t="inlineStr">
        <is>
          <t>OPM092501</t>
        </is>
      </c>
      <c r="J81" s="182" t="inlineStr">
        <is>
          <t>P060042</t>
        </is>
      </c>
      <c r="K81" s="182" t="inlineStr">
        <is>
          <t>Orange Punch Mimosa</t>
        </is>
      </c>
      <c r="L81" s="182" t="inlineStr">
        <is>
          <t>Foreign matter</t>
        </is>
      </c>
      <c r="M81" s="182" t="inlineStr">
        <is>
          <t>iCoA_P07 · Foreign matter</t>
        </is>
      </c>
      <c r="N81" s="189" t="inlineStr">
        <is>
          <t>—</t>
        </is>
      </c>
      <c r="O81" s="182" t="inlineStr">
        <is>
          <t>ППК26008, (21.01.2026) [CNP]</t>
        </is>
      </c>
      <c r="P81" s="182" t="inlineStr">
        <is>
          <t>CoQ-PP-2026-0004</t>
        </is>
      </c>
      <c r="Q81" s="182" t="inlineStr">
        <is>
          <t>iCoA-PP-2026-0004</t>
        </is>
      </c>
      <c r="R81" s="182" t="inlineStr">
        <is>
          <t>P060042|FM|I</t>
        </is>
      </c>
      <c r="S81" s="192" t="inlineStr">
        <is>
          <t>registered — preliminary date, QC sets the real date at issue</t>
        </is>
      </c>
    </row>
    <row r="82">
      <c r="A82" s="182">
        <f>IF(C82="yes",COUNT(A$1:A81)+1,"")</f>
        <v/>
      </c>
      <c r="B82" s="181">
        <f>IF(A82="","— at issue —","iCoA-PP_26-"&amp;TEXT(A82,"000"))</f>
        <v/>
      </c>
      <c r="C82" s="188" t="inlineStr">
        <is>
          <t>yes</t>
        </is>
      </c>
      <c r="D82" s="183">
        <f>IF(A82="","",E82)</f>
        <v/>
      </c>
      <c r="E82" s="183">
        <f>IF(AND(C82="yes",ISNUMBER(G82)),MAX(DATE(2026,5,11),G82),"")</f>
        <v/>
      </c>
      <c r="F82" s="183">
        <f>IFERROR(INDEX('Batch Dates'!$F:$F,MATCH(J82,'Batch Dates'!$C:$C,0)),IFERROR(INDEX('Batch Dates'!$F:$F,MATCH(I82,'Batch Dates'!$B:$B,0)),""))</f>
        <v/>
      </c>
      <c r="G82" s="183">
        <f>IFERROR(INDEX('Batch Dates'!$G:$G,MATCH(J82,'Batch Dates'!$C:$C,0)),IFERROR(INDEX('Batch Dates'!$G:$G,MATCH(I82,'Batch Dates'!$B:$B,0)),""))</f>
        <v/>
      </c>
      <c r="H82" s="182" t="inlineStr">
        <is>
          <t>initial release</t>
        </is>
      </c>
      <c r="I82" s="181" t="inlineStr">
        <is>
          <t>AB092501</t>
        </is>
      </c>
      <c r="J82" s="182" t="inlineStr">
        <is>
          <t>P060052</t>
        </is>
      </c>
      <c r="K82" s="182" t="inlineStr">
        <is>
          <t>Apple and Banana</t>
        </is>
      </c>
      <c r="L82" s="182" t="inlineStr">
        <is>
          <t>Ident A + Ident B</t>
        </is>
      </c>
      <c r="M82" s="182" t="inlineStr">
        <is>
          <t>iCoA_P01-02 · Appearance &amp; Identification A/B</t>
        </is>
      </c>
      <c r="N82" s="189" t="inlineStr">
        <is>
          <t>—</t>
        </is>
      </c>
      <c r="O82" s="182" t="inlineStr">
        <is>
          <t>ППК26005, (21.01.2026) [CNP]</t>
        </is>
      </c>
      <c r="P82" s="182" t="inlineStr">
        <is>
          <t>(assigned on issue)</t>
        </is>
      </c>
      <c r="Q82" s="189" t="inlineStr">
        <is>
          <t>—</t>
        </is>
      </c>
      <c r="R82" s="182" t="inlineStr">
        <is>
          <t>P060052|AB|I</t>
        </is>
      </c>
      <c r="S82" s="192" t="inlineStr">
        <is>
          <t>registered — preliminary date, QC sets the real date at issue</t>
        </is>
      </c>
    </row>
    <row r="83">
      <c r="A83" s="182">
        <f>IF(C83="yes",COUNT(A$1:A82)+1,"")</f>
        <v/>
      </c>
      <c r="B83" s="181">
        <f>IF(A83="","— at issue —","iCoA-PP_26-"&amp;TEXT(A83,"000"))</f>
        <v/>
      </c>
      <c r="C83" s="188" t="inlineStr">
        <is>
          <t>yes</t>
        </is>
      </c>
      <c r="D83" s="183">
        <f>IF(A83="","",E83)</f>
        <v/>
      </c>
      <c r="E83" s="183">
        <f>IF(AND(C83="yes",ISNUMBER(G83)),MAX(DATE(2026,5,11),G83),"")</f>
        <v/>
      </c>
      <c r="F83" s="183">
        <f>IFERROR(INDEX('Batch Dates'!$F:$F,MATCH(J83,'Batch Dates'!$C:$C,0)),IFERROR(INDEX('Batch Dates'!$F:$F,MATCH(I83,'Batch Dates'!$B:$B,0)),""))</f>
        <v/>
      </c>
      <c r="G83" s="183">
        <f>IFERROR(INDEX('Batch Dates'!$G:$G,MATCH(J83,'Batch Dates'!$C:$C,0)),IFERROR(INDEX('Batch Dates'!$G:$G,MATCH(I83,'Batch Dates'!$B:$B,0)),""))</f>
        <v/>
      </c>
      <c r="H83" s="182" t="inlineStr">
        <is>
          <t>initial release</t>
        </is>
      </c>
      <c r="I83" s="181" t="inlineStr">
        <is>
          <t>AB092501</t>
        </is>
      </c>
      <c r="J83" s="182" t="inlineStr">
        <is>
          <t>P060052</t>
        </is>
      </c>
      <c r="K83" s="182" t="inlineStr">
        <is>
          <t>Apple and Banana</t>
        </is>
      </c>
      <c r="L83" s="182" t="inlineStr">
        <is>
          <t>Foreign matter</t>
        </is>
      </c>
      <c r="M83" s="182" t="inlineStr">
        <is>
          <t>iCoA_P07 · Foreign matter</t>
        </is>
      </c>
      <c r="N83" s="189" t="inlineStr">
        <is>
          <t>—</t>
        </is>
      </c>
      <c r="O83" s="182" t="inlineStr">
        <is>
          <t>ППК26005, (21.01.2026) [CNP]</t>
        </is>
      </c>
      <c r="P83" s="182" t="inlineStr">
        <is>
          <t>(assigned on issue)</t>
        </is>
      </c>
      <c r="Q83" s="189" t="inlineStr">
        <is>
          <t>—</t>
        </is>
      </c>
      <c r="R83" s="182" t="inlineStr">
        <is>
          <t>P060052|FM|I</t>
        </is>
      </c>
      <c r="S83" s="192" t="inlineStr">
        <is>
          <t>registered — preliminary date, QC sets the real date at issue</t>
        </is>
      </c>
    </row>
    <row r="84">
      <c r="A84" s="182">
        <f>IF(C84="yes",COUNT(A$1:A83)+1,"")</f>
        <v/>
      </c>
      <c r="B84" s="181">
        <f>IF(A84="","— at issue —","iCoA-PP_26-"&amp;TEXT(A84,"000"))</f>
        <v/>
      </c>
      <c r="C84" s="188" t="inlineStr">
        <is>
          <t>yes</t>
        </is>
      </c>
      <c r="D84" s="183">
        <f>IF(A84="","",E84)</f>
        <v/>
      </c>
      <c r="E84" s="183">
        <f>IF(AND(C84="yes",ISNUMBER(G84)),MAX(DATE(2026,5,11),G84),"")</f>
        <v/>
      </c>
      <c r="F84" s="183">
        <f>IFERROR(INDEX('Batch Dates'!$F:$F,MATCH(J84,'Batch Dates'!$C:$C,0)),IFERROR(INDEX('Batch Dates'!$F:$F,MATCH(I84,'Batch Dates'!$B:$B,0)),""))</f>
        <v/>
      </c>
      <c r="G84" s="183">
        <f>IFERROR(INDEX('Batch Dates'!$G:$G,MATCH(J84,'Batch Dates'!$C:$C,0)),IFERROR(INDEX('Batch Dates'!$G:$G,MATCH(I84,'Batch Dates'!$B:$B,0)),""))</f>
        <v/>
      </c>
      <c r="H84" s="182" t="inlineStr">
        <is>
          <t>initial release</t>
        </is>
      </c>
      <c r="I84" s="181" t="inlineStr">
        <is>
          <t>PM092501</t>
        </is>
      </c>
      <c r="J84" s="182" t="inlineStr">
        <is>
          <t>P060062</t>
        </is>
      </c>
      <c r="K84" s="182" t="inlineStr">
        <is>
          <t>Permanent Market</t>
        </is>
      </c>
      <c r="L84" s="182" t="inlineStr">
        <is>
          <t>Ident A + Ident B</t>
        </is>
      </c>
      <c r="M84" s="182" t="inlineStr">
        <is>
          <t>iCoA_P01-02 · Appearance &amp; Identification A/B</t>
        </is>
      </c>
      <c r="N84" s="189" t="inlineStr">
        <is>
          <t>—</t>
        </is>
      </c>
      <c r="O84" s="182" t="inlineStr">
        <is>
          <t>ППК26004, (21.01.2026) [CNP]</t>
        </is>
      </c>
      <c r="P84" s="182" t="inlineStr">
        <is>
          <t>CoQ-PP-2026-0005</t>
        </is>
      </c>
      <c r="Q84" s="182" t="inlineStr">
        <is>
          <t>iCoA-PP-2026-0005</t>
        </is>
      </c>
      <c r="R84" s="182" t="inlineStr">
        <is>
          <t>P060062|AB|I</t>
        </is>
      </c>
      <c r="S84" s="192" t="inlineStr">
        <is>
          <t>registered — preliminary date, QC sets the real date at issue</t>
        </is>
      </c>
    </row>
    <row r="85">
      <c r="A85" s="182">
        <f>IF(C85="yes",COUNT(A$1:A84)+1,"")</f>
        <v/>
      </c>
      <c r="B85" s="181">
        <f>IF(A85="","— at issue —","iCoA-PP_26-"&amp;TEXT(A85,"000"))</f>
        <v/>
      </c>
      <c r="C85" s="188" t="inlineStr">
        <is>
          <t>yes</t>
        </is>
      </c>
      <c r="D85" s="183">
        <f>IF(A85="","",E85)</f>
        <v/>
      </c>
      <c r="E85" s="183">
        <f>IF(AND(C85="yes",ISNUMBER(G85)),MAX(DATE(2026,5,11),G85),"")</f>
        <v/>
      </c>
      <c r="F85" s="183">
        <f>IFERROR(INDEX('Batch Dates'!$F:$F,MATCH(J85,'Batch Dates'!$C:$C,0)),IFERROR(INDEX('Batch Dates'!$F:$F,MATCH(I85,'Batch Dates'!$B:$B,0)),""))</f>
        <v/>
      </c>
      <c r="G85" s="183">
        <f>IFERROR(INDEX('Batch Dates'!$G:$G,MATCH(J85,'Batch Dates'!$C:$C,0)),IFERROR(INDEX('Batch Dates'!$G:$G,MATCH(I85,'Batch Dates'!$B:$B,0)),""))</f>
        <v/>
      </c>
      <c r="H85" s="182" t="inlineStr">
        <is>
          <t>initial release</t>
        </is>
      </c>
      <c r="I85" s="181" t="inlineStr">
        <is>
          <t>PM092501</t>
        </is>
      </c>
      <c r="J85" s="182" t="inlineStr">
        <is>
          <t>P060062</t>
        </is>
      </c>
      <c r="K85" s="182" t="inlineStr">
        <is>
          <t>Permanent Market</t>
        </is>
      </c>
      <c r="L85" s="182" t="inlineStr">
        <is>
          <t>Foreign matter</t>
        </is>
      </c>
      <c r="M85" s="182" t="inlineStr">
        <is>
          <t>iCoA_P07 · Foreign matter</t>
        </is>
      </c>
      <c r="N85" s="189" t="inlineStr">
        <is>
          <t>—</t>
        </is>
      </c>
      <c r="O85" s="182" t="inlineStr">
        <is>
          <t>ППК26004, (21.01.2026) [CNP]</t>
        </is>
      </c>
      <c r="P85" s="182" t="inlineStr">
        <is>
          <t>CoQ-PP-2026-0005</t>
        </is>
      </c>
      <c r="Q85" s="182" t="inlineStr">
        <is>
          <t>iCoA-PP-2026-0005</t>
        </is>
      </c>
      <c r="R85" s="182" t="inlineStr">
        <is>
          <t>P060062|FM|I</t>
        </is>
      </c>
      <c r="S85" s="192" t="inlineStr">
        <is>
          <t>registered — preliminary date, QC sets the real date at issue</t>
        </is>
      </c>
    </row>
    <row r="86">
      <c r="A86" s="182">
        <f>IF(C86="yes",COUNT(A$1:A85)+1,"")</f>
        <v/>
      </c>
      <c r="B86" s="181">
        <f>IF(A86="","— at issue —","iCoA-PP_26-"&amp;TEXT(A86,"000"))</f>
        <v/>
      </c>
      <c r="C86" s="188" t="inlineStr">
        <is>
          <t>yes</t>
        </is>
      </c>
      <c r="D86" s="183">
        <f>IF(A86="","",E86)</f>
        <v/>
      </c>
      <c r="E86" s="183">
        <f>IF(AND(C86="yes",ISNUMBER(G86)),MAX(DATE(2026,5,11),G86),"")</f>
        <v/>
      </c>
      <c r="F86" s="183">
        <f>IFERROR(INDEX('Batch Dates'!$F:$F,MATCH(J86,'Batch Dates'!$C:$C,0)),IFERROR(INDEX('Batch Dates'!$F:$F,MATCH(I86,'Batch Dates'!$B:$B,0)),""))</f>
        <v/>
      </c>
      <c r="G86" s="183">
        <f>IFERROR(INDEX('Batch Dates'!$G:$G,MATCH(J86,'Batch Dates'!$C:$C,0)),IFERROR(INDEX('Batch Dates'!$G:$G,MATCH(I86,'Batch Dates'!$B:$B,0)),""))</f>
        <v/>
      </c>
      <c r="H86" s="182" t="inlineStr">
        <is>
          <t>initial release</t>
        </is>
      </c>
      <c r="I86" s="181" t="inlineStr">
        <is>
          <t>CJ092501</t>
        </is>
      </c>
      <c r="J86" s="182" t="inlineStr">
        <is>
          <t>P060072</t>
        </is>
      </c>
      <c r="K86" s="182" t="inlineStr">
        <is>
          <t>Cap Junky</t>
        </is>
      </c>
      <c r="L86" s="182" t="inlineStr">
        <is>
          <t>Ident A + Ident B</t>
        </is>
      </c>
      <c r="M86" s="182" t="inlineStr">
        <is>
          <t>iCoA_P01-02 · Appearance &amp; Identification A/B</t>
        </is>
      </c>
      <c r="N86" s="189" t="inlineStr">
        <is>
          <t>—</t>
        </is>
      </c>
      <c r="O86" s="182" t="inlineStr">
        <is>
          <t>ППК26007, (21.01.2026) [CNP]</t>
        </is>
      </c>
      <c r="P86" s="182" t="inlineStr">
        <is>
          <t>CoQ-PP-2026-0006</t>
        </is>
      </c>
      <c r="Q86" s="182" t="inlineStr">
        <is>
          <t>iCoA-PP-2026-0006</t>
        </is>
      </c>
      <c r="R86" s="182" t="inlineStr">
        <is>
          <t>P060072|AB|I</t>
        </is>
      </c>
      <c r="S86" s="192" t="inlineStr">
        <is>
          <t>registered — preliminary date, QC sets the real date at issue</t>
        </is>
      </c>
    </row>
    <row r="87">
      <c r="A87" s="182">
        <f>IF(C87="yes",COUNT(A$1:A86)+1,"")</f>
        <v/>
      </c>
      <c r="B87" s="181">
        <f>IF(A87="","— at issue —","iCoA-PP_26-"&amp;TEXT(A87,"000"))</f>
        <v/>
      </c>
      <c r="C87" s="188" t="inlineStr">
        <is>
          <t>yes</t>
        </is>
      </c>
      <c r="D87" s="183">
        <f>IF(A87="","",E87)</f>
        <v/>
      </c>
      <c r="E87" s="183">
        <f>IF(AND(C87="yes",ISNUMBER(G87)),MAX(DATE(2026,5,11),G87),"")</f>
        <v/>
      </c>
      <c r="F87" s="183">
        <f>IFERROR(INDEX('Batch Dates'!$F:$F,MATCH(J87,'Batch Dates'!$C:$C,0)),IFERROR(INDEX('Batch Dates'!$F:$F,MATCH(I87,'Batch Dates'!$B:$B,0)),""))</f>
        <v/>
      </c>
      <c r="G87" s="183">
        <f>IFERROR(INDEX('Batch Dates'!$G:$G,MATCH(J87,'Batch Dates'!$C:$C,0)),IFERROR(INDEX('Batch Dates'!$G:$G,MATCH(I87,'Batch Dates'!$B:$B,0)),""))</f>
        <v/>
      </c>
      <c r="H87" s="182" t="inlineStr">
        <is>
          <t>initial release</t>
        </is>
      </c>
      <c r="I87" s="181" t="inlineStr">
        <is>
          <t>CJ092501</t>
        </is>
      </c>
      <c r="J87" s="182" t="inlineStr">
        <is>
          <t>P060072</t>
        </is>
      </c>
      <c r="K87" s="182" t="inlineStr">
        <is>
          <t>Cap Junky</t>
        </is>
      </c>
      <c r="L87" s="182" t="inlineStr">
        <is>
          <t>Foreign matter</t>
        </is>
      </c>
      <c r="M87" s="182" t="inlineStr">
        <is>
          <t>iCoA_P07 · Foreign matter</t>
        </is>
      </c>
      <c r="N87" s="189" t="inlineStr">
        <is>
          <t>—</t>
        </is>
      </c>
      <c r="O87" s="182" t="inlineStr">
        <is>
          <t>ППК26007, (21.01.2026) [CNP]</t>
        </is>
      </c>
      <c r="P87" s="182" t="inlineStr">
        <is>
          <t>CoQ-PP-2026-0006</t>
        </is>
      </c>
      <c r="Q87" s="182" t="inlineStr">
        <is>
          <t>iCoA-PP-2026-0006</t>
        </is>
      </c>
      <c r="R87" s="182" t="inlineStr">
        <is>
          <t>P060072|FM|I</t>
        </is>
      </c>
      <c r="S87" s="192" t="inlineStr">
        <is>
          <t>registered — preliminary date, QC sets the real date at issue</t>
        </is>
      </c>
    </row>
    <row r="88">
      <c r="A88" s="182">
        <f>IF(C88="yes",COUNT(A$1:A87)+1,"")</f>
        <v/>
      </c>
      <c r="B88" s="181">
        <f>IF(A88="","— at issue —","iCoA-PP_26-"&amp;TEXT(A88,"000"))</f>
        <v/>
      </c>
      <c r="C88" s="188" t="inlineStr">
        <is>
          <t>yes</t>
        </is>
      </c>
      <c r="D88" s="183">
        <f>IF(A88="","",E88)</f>
        <v/>
      </c>
      <c r="E88" s="183">
        <f>IF(AND(C88="yes",ISNUMBER(G88)),MAX(DATE(2026,5,11),G88),"")</f>
        <v/>
      </c>
      <c r="F88" s="183">
        <f>IFERROR(INDEX('Batch Dates'!$F:$F,MATCH(J88,'Batch Dates'!$C:$C,0)),IFERROR(INDEX('Batch Dates'!$F:$F,MATCH(I88,'Batch Dates'!$B:$B,0)),""))</f>
        <v/>
      </c>
      <c r="G88" s="183">
        <f>IFERROR(INDEX('Batch Dates'!$G:$G,MATCH(J88,'Batch Dates'!$C:$C,0)),IFERROR(INDEX('Batch Dates'!$G:$G,MATCH(I88,'Batch Dates'!$B:$B,0)),""))</f>
        <v/>
      </c>
      <c r="H88" s="182" t="inlineStr">
        <is>
          <t>initial release</t>
        </is>
      </c>
      <c r="I88" s="181" t="inlineStr">
        <is>
          <t>SJ0925021</t>
        </is>
      </c>
      <c r="J88" s="182" t="inlineStr">
        <is>
          <t>P060082</t>
        </is>
      </c>
      <c r="K88" s="182" t="inlineStr"/>
      <c r="L88" s="182" t="inlineStr">
        <is>
          <t>Ident A + Ident B</t>
        </is>
      </c>
      <c r="M88" s="182" t="inlineStr">
        <is>
          <t>iCoA_P01-02 · Appearance &amp; Identification A/B</t>
        </is>
      </c>
      <c r="N88" s="189" t="inlineStr">
        <is>
          <t>—</t>
        </is>
      </c>
      <c r="O88" s="182" t="inlineStr">
        <is>
          <t>ППК26006, (21.01.2026) [CNP]</t>
        </is>
      </c>
      <c r="P88" s="182" t="inlineStr">
        <is>
          <t>CoQ-PP-2026-0007</t>
        </is>
      </c>
      <c r="Q88" s="182" t="inlineStr">
        <is>
          <t>iCoA-PP-2026-0007</t>
        </is>
      </c>
      <c r="R88" s="182" t="inlineStr">
        <is>
          <t>P060082|AB|I</t>
        </is>
      </c>
      <c r="S88" s="192" t="inlineStr">
        <is>
          <t>registered — preliminary date, QC sets the real date at issue</t>
        </is>
      </c>
    </row>
    <row r="89">
      <c r="A89" s="182">
        <f>IF(C89="yes",COUNT(A$1:A88)+1,"")</f>
        <v/>
      </c>
      <c r="B89" s="181">
        <f>IF(A89="","— at issue —","iCoA-PP_26-"&amp;TEXT(A89,"000"))</f>
        <v/>
      </c>
      <c r="C89" s="188" t="inlineStr">
        <is>
          <t>yes</t>
        </is>
      </c>
      <c r="D89" s="183">
        <f>IF(A89="","",E89)</f>
        <v/>
      </c>
      <c r="E89" s="183">
        <f>IF(AND(C89="yes",ISNUMBER(G89)),MAX(DATE(2026,5,11),G89),"")</f>
        <v/>
      </c>
      <c r="F89" s="183">
        <f>IFERROR(INDEX('Batch Dates'!$F:$F,MATCH(J89,'Batch Dates'!$C:$C,0)),IFERROR(INDEX('Batch Dates'!$F:$F,MATCH(I89,'Batch Dates'!$B:$B,0)),""))</f>
        <v/>
      </c>
      <c r="G89" s="183">
        <f>IFERROR(INDEX('Batch Dates'!$G:$G,MATCH(J89,'Batch Dates'!$C:$C,0)),IFERROR(INDEX('Batch Dates'!$G:$G,MATCH(I89,'Batch Dates'!$B:$B,0)),""))</f>
        <v/>
      </c>
      <c r="H89" s="182" t="inlineStr">
        <is>
          <t>initial release</t>
        </is>
      </c>
      <c r="I89" s="181" t="inlineStr">
        <is>
          <t>SJ0925021</t>
        </is>
      </c>
      <c r="J89" s="182" t="inlineStr">
        <is>
          <t>P060082</t>
        </is>
      </c>
      <c r="K89" s="182" t="inlineStr"/>
      <c r="L89" s="182" t="inlineStr">
        <is>
          <t>Foreign matter</t>
        </is>
      </c>
      <c r="M89" s="182" t="inlineStr">
        <is>
          <t>iCoA_P07 · Foreign matter</t>
        </is>
      </c>
      <c r="N89" s="189" t="inlineStr">
        <is>
          <t>—</t>
        </is>
      </c>
      <c r="O89" s="182" t="inlineStr">
        <is>
          <t>ППК26006, (21.01.2026) [CNP]</t>
        </is>
      </c>
      <c r="P89" s="182" t="inlineStr">
        <is>
          <t>CoQ-PP-2026-0007</t>
        </is>
      </c>
      <c r="Q89" s="182" t="inlineStr">
        <is>
          <t>iCoA-PP-2026-0007</t>
        </is>
      </c>
      <c r="R89" s="182" t="inlineStr">
        <is>
          <t>P060082|FM|I</t>
        </is>
      </c>
      <c r="S89" s="192" t="inlineStr">
        <is>
          <t>registered — preliminary date, QC sets the real date at issue</t>
        </is>
      </c>
    </row>
    <row r="90">
      <c r="A90" s="182">
        <f>IF(C90="yes",COUNT(A$1:A89)+1,"")</f>
        <v/>
      </c>
      <c r="B90" s="181">
        <f>IF(A90="","— at issue —","iCoA-PP_26-"&amp;TEXT(A90,"000"))</f>
        <v/>
      </c>
      <c r="C90" s="188" t="inlineStr">
        <is>
          <t>yes</t>
        </is>
      </c>
      <c r="D90" s="183">
        <f>IF(A90="","",E90)</f>
        <v/>
      </c>
      <c r="E90" s="183">
        <f>IF(AND(C90="yes",ISNUMBER(G90)),MAX(DATE(2026,5,11),G90),"")</f>
        <v/>
      </c>
      <c r="F90" s="183">
        <f>IFERROR(INDEX('Batch Dates'!$F:$F,MATCH(J90,'Batch Dates'!$C:$C,0)),IFERROR(INDEX('Batch Dates'!$F:$F,MATCH(I90,'Batch Dates'!$B:$B,0)),""))</f>
        <v/>
      </c>
      <c r="G90" s="183">
        <f>IFERROR(INDEX('Batch Dates'!$G:$G,MATCH(J90,'Batch Dates'!$C:$C,0)),IFERROR(INDEX('Batch Dates'!$G:$G,MATCH(I90,'Batch Dates'!$B:$B,0)),""))</f>
        <v/>
      </c>
      <c r="H90" s="182" t="inlineStr">
        <is>
          <t>initial release</t>
        </is>
      </c>
      <c r="I90" s="181" t="inlineStr">
        <is>
          <t>GP092501</t>
        </is>
      </c>
      <c r="J90" s="182" t="inlineStr">
        <is>
          <t>P060092</t>
        </is>
      </c>
      <c r="K90" s="182" t="inlineStr">
        <is>
          <t>Grape Pie</t>
        </is>
      </c>
      <c r="L90" s="182" t="inlineStr">
        <is>
          <t>Ident A + Ident B</t>
        </is>
      </c>
      <c r="M90" s="182" t="inlineStr">
        <is>
          <t>iCoA_P01-02 · Appearance &amp; Identification A/B</t>
        </is>
      </c>
      <c r="N90" s="189" t="inlineStr">
        <is>
          <t>—</t>
        </is>
      </c>
      <c r="O90" s="182" t="inlineStr">
        <is>
          <t>ППК26009, (21.01.2026) [CNP]</t>
        </is>
      </c>
      <c r="P90" s="182" t="inlineStr">
        <is>
          <t>CoQ-PP-2026-0008</t>
        </is>
      </c>
      <c r="Q90" s="182" t="inlineStr">
        <is>
          <t>iCoA-PP-2026-0008</t>
        </is>
      </c>
      <c r="R90" s="182" t="inlineStr">
        <is>
          <t>P060092|AB|I</t>
        </is>
      </c>
      <c r="S90" s="192" t="inlineStr">
        <is>
          <t>registered — preliminary date, QC sets the real date at issue</t>
        </is>
      </c>
    </row>
    <row r="91">
      <c r="A91" s="182">
        <f>IF(C91="yes",COUNT(A$1:A90)+1,"")</f>
        <v/>
      </c>
      <c r="B91" s="181">
        <f>IF(A91="","— at issue —","iCoA-PP_26-"&amp;TEXT(A91,"000"))</f>
        <v/>
      </c>
      <c r="C91" s="188" t="inlineStr">
        <is>
          <t>yes</t>
        </is>
      </c>
      <c r="D91" s="183">
        <f>IF(A91="","",E91)</f>
        <v/>
      </c>
      <c r="E91" s="183">
        <f>IF(AND(C91="yes",ISNUMBER(G91)),MAX(DATE(2026,5,11),G91),"")</f>
        <v/>
      </c>
      <c r="F91" s="183">
        <f>IFERROR(INDEX('Batch Dates'!$F:$F,MATCH(J91,'Batch Dates'!$C:$C,0)),IFERROR(INDEX('Batch Dates'!$F:$F,MATCH(I91,'Batch Dates'!$B:$B,0)),""))</f>
        <v/>
      </c>
      <c r="G91" s="183">
        <f>IFERROR(INDEX('Batch Dates'!$G:$G,MATCH(J91,'Batch Dates'!$C:$C,0)),IFERROR(INDEX('Batch Dates'!$G:$G,MATCH(I91,'Batch Dates'!$B:$B,0)),""))</f>
        <v/>
      </c>
      <c r="H91" s="182" t="inlineStr">
        <is>
          <t>initial release</t>
        </is>
      </c>
      <c r="I91" s="181" t="inlineStr">
        <is>
          <t>GP092501</t>
        </is>
      </c>
      <c r="J91" s="182" t="inlineStr">
        <is>
          <t>P060092</t>
        </is>
      </c>
      <c r="K91" s="182" t="inlineStr">
        <is>
          <t>Grape Pie</t>
        </is>
      </c>
      <c r="L91" s="182" t="inlineStr">
        <is>
          <t>Foreign matter</t>
        </is>
      </c>
      <c r="M91" s="182" t="inlineStr">
        <is>
          <t>iCoA_P07 · Foreign matter</t>
        </is>
      </c>
      <c r="N91" s="189" t="inlineStr">
        <is>
          <t>—</t>
        </is>
      </c>
      <c r="O91" s="182" t="inlineStr">
        <is>
          <t>ППК26009, (21.01.2026) [CNP]</t>
        </is>
      </c>
      <c r="P91" s="182" t="inlineStr">
        <is>
          <t>CoQ-PP-2026-0008</t>
        </is>
      </c>
      <c r="Q91" s="182" t="inlineStr">
        <is>
          <t>iCoA-PP-2026-0008</t>
        </is>
      </c>
      <c r="R91" s="182" t="inlineStr">
        <is>
          <t>P060092|FM|I</t>
        </is>
      </c>
      <c r="S91" s="192" t="inlineStr">
        <is>
          <t>registered — preliminary date, QC sets the real date at issue</t>
        </is>
      </c>
    </row>
    <row r="92">
      <c r="A92" s="182">
        <f>IF(C92="yes",COUNT(A$1:A91)+1,"")</f>
        <v/>
      </c>
      <c r="B92" s="181">
        <f>IF(A92="","— at issue —","iCoA-PP_26-"&amp;TEXT(A92,"000"))</f>
        <v/>
      </c>
      <c r="C92" s="188" t="inlineStr">
        <is>
          <t>yes</t>
        </is>
      </c>
      <c r="D92" s="183">
        <f>IF(A92="","",E92)</f>
        <v/>
      </c>
      <c r="E92" s="183">
        <f>IF(AND(C92="yes",ISNUMBER(G92)),MAX(DATE(2026,5,11),G92),"")</f>
        <v/>
      </c>
      <c r="F92" s="183">
        <f>IFERROR(INDEX('Batch Dates'!$F:$F,MATCH(J92,'Batch Dates'!$C:$C,0)),IFERROR(INDEX('Batch Dates'!$F:$F,MATCH(I92,'Batch Dates'!$B:$B,0)),""))</f>
        <v/>
      </c>
      <c r="G92" s="183">
        <f>IFERROR(INDEX('Batch Dates'!$G:$G,MATCH(J92,'Batch Dates'!$C:$C,0)),IFERROR(INDEX('Batch Dates'!$G:$G,MATCH(I92,'Batch Dates'!$B:$B,0)),""))</f>
        <v/>
      </c>
      <c r="H92" s="182" t="inlineStr">
        <is>
          <t>initial release</t>
        </is>
      </c>
      <c r="I92" s="181" t="inlineStr">
        <is>
          <t>WED102501 (from the list)</t>
        </is>
      </c>
      <c r="J92" s="182" t="inlineStr">
        <is>
          <t>P060102</t>
        </is>
      </c>
      <c r="K92" s="182" t="inlineStr">
        <is>
          <t>Wedding Cake</t>
        </is>
      </c>
      <c r="L92" s="182" t="inlineStr">
        <is>
          <t>Ident A + Ident B</t>
        </is>
      </c>
      <c r="M92" s="182" t="inlineStr">
        <is>
          <t>iCoA_P01-02 · Appearance &amp; Identification A/B</t>
        </is>
      </c>
      <c r="N92" s="189" t="inlineStr">
        <is>
          <t>—</t>
        </is>
      </c>
      <c r="O92" s="189" t="inlineStr">
        <is>
          <t>— no cannabinoid certificate —</t>
        </is>
      </c>
      <c r="P92" s="182" t="inlineStr">
        <is>
          <t>— not in the issuance plan —</t>
        </is>
      </c>
      <c r="Q92" s="189" t="inlineStr">
        <is>
          <t>—</t>
        </is>
      </c>
      <c r="R92" s="182" t="inlineStr">
        <is>
          <t>P060102|AB|I</t>
        </is>
      </c>
      <c r="S92" s="192" t="inlineStr">
        <is>
          <t>registered — preliminary date, QC sets the real date at issue</t>
        </is>
      </c>
    </row>
    <row r="93">
      <c r="A93" s="182">
        <f>IF(C93="yes",COUNT(A$1:A92)+1,"")</f>
        <v/>
      </c>
      <c r="B93" s="181">
        <f>IF(A93="","— at issue —","iCoA-PP_26-"&amp;TEXT(A93,"000"))</f>
        <v/>
      </c>
      <c r="C93" s="188" t="inlineStr">
        <is>
          <t>yes</t>
        </is>
      </c>
      <c r="D93" s="183">
        <f>IF(A93="","",E93)</f>
        <v/>
      </c>
      <c r="E93" s="183">
        <f>IF(AND(C93="yes",ISNUMBER(G93)),MAX(DATE(2026,5,11),G93),"")</f>
        <v/>
      </c>
      <c r="F93" s="183">
        <f>IFERROR(INDEX('Batch Dates'!$F:$F,MATCH(J93,'Batch Dates'!$C:$C,0)),IFERROR(INDEX('Batch Dates'!$F:$F,MATCH(I93,'Batch Dates'!$B:$B,0)),""))</f>
        <v/>
      </c>
      <c r="G93" s="183">
        <f>IFERROR(INDEX('Batch Dates'!$G:$G,MATCH(J93,'Batch Dates'!$C:$C,0)),IFERROR(INDEX('Batch Dates'!$G:$G,MATCH(I93,'Batch Dates'!$B:$B,0)),""))</f>
        <v/>
      </c>
      <c r="H93" s="182" t="inlineStr">
        <is>
          <t>initial release</t>
        </is>
      </c>
      <c r="I93" s="181" t="inlineStr">
        <is>
          <t>WED102501 (from the list)</t>
        </is>
      </c>
      <c r="J93" s="182" t="inlineStr">
        <is>
          <t>P060102</t>
        </is>
      </c>
      <c r="K93" s="182" t="inlineStr">
        <is>
          <t>Wedding Cake</t>
        </is>
      </c>
      <c r="L93" s="182" t="inlineStr">
        <is>
          <t>Foreign matter</t>
        </is>
      </c>
      <c r="M93" s="182" t="inlineStr">
        <is>
          <t>iCoA_P07 · Foreign matter</t>
        </is>
      </c>
      <c r="N93" s="189" t="inlineStr">
        <is>
          <t>—</t>
        </is>
      </c>
      <c r="O93" s="189" t="inlineStr">
        <is>
          <t>— no cannabinoid certificate —</t>
        </is>
      </c>
      <c r="P93" s="182" t="inlineStr">
        <is>
          <t>— not in the issuance plan —</t>
        </is>
      </c>
      <c r="Q93" s="189" t="inlineStr">
        <is>
          <t>—</t>
        </is>
      </c>
      <c r="R93" s="182" t="inlineStr">
        <is>
          <t>P060102|FM|I</t>
        </is>
      </c>
      <c r="S93" s="192" t="inlineStr">
        <is>
          <t>registered — preliminary date, QC sets the real date at issue</t>
        </is>
      </c>
    </row>
    <row r="94">
      <c r="A94" s="182">
        <f>IF(C94="yes",COUNT(A$1:A93)+1,"")</f>
        <v/>
      </c>
      <c r="B94" s="181">
        <f>IF(A94="","— at issue —","iCoA-PP_26-"&amp;TEXT(A94,"000"))</f>
        <v/>
      </c>
      <c r="C94" s="188" t="inlineStr">
        <is>
          <t>yes</t>
        </is>
      </c>
      <c r="D94" s="183">
        <f>IF(A94="","",E94)</f>
        <v/>
      </c>
      <c r="E94" s="183">
        <f>IF(AND(C94="yes",ISNUMBER(G94)),MAX(DATE(2026,5,11),G94),"")</f>
        <v/>
      </c>
      <c r="F94" s="183">
        <f>IFERROR(INDEX('Batch Dates'!$F:$F,MATCH(J94,'Batch Dates'!$C:$C,0)),IFERROR(INDEX('Batch Dates'!$F:$F,MATCH(I94,'Batch Dates'!$B:$B,0)),""))</f>
        <v/>
      </c>
      <c r="G94" s="183">
        <f>IFERROR(INDEX('Batch Dates'!$G:$G,MATCH(J94,'Batch Dates'!$C:$C,0)),IFERROR(INDEX('Batch Dates'!$G:$G,MATCH(I94,'Batch Dates'!$B:$B,0)),""))</f>
        <v/>
      </c>
      <c r="H94" s="182" t="inlineStr">
        <is>
          <t>initial release</t>
        </is>
      </c>
      <c r="I94" s="181" t="inlineStr">
        <is>
          <t>GRC102501</t>
        </is>
      </c>
      <c r="J94" s="182" t="inlineStr">
        <is>
          <t>P060142</t>
        </is>
      </c>
      <c r="K94" s="182" t="inlineStr">
        <is>
          <t>Graps &amp; Creme</t>
        </is>
      </c>
      <c r="L94" s="182" t="inlineStr">
        <is>
          <t>Ident A + Ident B</t>
        </is>
      </c>
      <c r="M94" s="182" t="inlineStr">
        <is>
          <t>iCoA_P01-02 · Appearance &amp; Identification A/B</t>
        </is>
      </c>
      <c r="N94" s="189" t="inlineStr">
        <is>
          <t>—</t>
        </is>
      </c>
      <c r="O94" s="182" t="inlineStr">
        <is>
          <t>051-6-K-26, (04.03.2026) [FHM-K]</t>
        </is>
      </c>
      <c r="P94" s="182" t="inlineStr">
        <is>
          <t>— not in the issuance plan —</t>
        </is>
      </c>
      <c r="Q94" s="189" t="inlineStr">
        <is>
          <t>—</t>
        </is>
      </c>
      <c r="R94" s="182" t="inlineStr">
        <is>
          <t>P060142|AB|I</t>
        </is>
      </c>
      <c r="S94" s="192" t="inlineStr">
        <is>
          <t>registered — preliminary date, QC sets the real date at issue</t>
        </is>
      </c>
    </row>
    <row r="95">
      <c r="A95" s="182">
        <f>IF(C95="yes",COUNT(A$1:A94)+1,"")</f>
        <v/>
      </c>
      <c r="B95" s="181">
        <f>IF(A95="","— at issue —","iCoA-PP_26-"&amp;TEXT(A95,"000"))</f>
        <v/>
      </c>
      <c r="C95" s="188" t="inlineStr">
        <is>
          <t>yes</t>
        </is>
      </c>
      <c r="D95" s="183">
        <f>IF(A95="","",E95)</f>
        <v/>
      </c>
      <c r="E95" s="183">
        <f>IF(AND(C95="yes",ISNUMBER(G95)),MAX(DATE(2026,5,11),G95),"")</f>
        <v/>
      </c>
      <c r="F95" s="183">
        <f>IFERROR(INDEX('Batch Dates'!$F:$F,MATCH(J95,'Batch Dates'!$C:$C,0)),IFERROR(INDEX('Batch Dates'!$F:$F,MATCH(I95,'Batch Dates'!$B:$B,0)),""))</f>
        <v/>
      </c>
      <c r="G95" s="183">
        <f>IFERROR(INDEX('Batch Dates'!$G:$G,MATCH(J95,'Batch Dates'!$C:$C,0)),IFERROR(INDEX('Batch Dates'!$G:$G,MATCH(I95,'Batch Dates'!$B:$B,0)),""))</f>
        <v/>
      </c>
      <c r="H95" s="182" t="inlineStr">
        <is>
          <t>initial release</t>
        </is>
      </c>
      <c r="I95" s="181" t="inlineStr">
        <is>
          <t>GRC102501</t>
        </is>
      </c>
      <c r="J95" s="182" t="inlineStr">
        <is>
          <t>P060142</t>
        </is>
      </c>
      <c r="K95" s="182" t="inlineStr">
        <is>
          <t>Graps &amp; Creme</t>
        </is>
      </c>
      <c r="L95" s="182" t="inlineStr">
        <is>
          <t>Foreign matter</t>
        </is>
      </c>
      <c r="M95" s="182" t="inlineStr">
        <is>
          <t>iCoA_P07 · Foreign matter</t>
        </is>
      </c>
      <c r="N95" s="189" t="inlineStr">
        <is>
          <t>—</t>
        </is>
      </c>
      <c r="O95" s="182" t="inlineStr">
        <is>
          <t>051-6-K-26, (04.03.2026) [FHM-K]</t>
        </is>
      </c>
      <c r="P95" s="182" t="inlineStr">
        <is>
          <t>— not in the issuance plan —</t>
        </is>
      </c>
      <c r="Q95" s="189" t="inlineStr">
        <is>
          <t>—</t>
        </is>
      </c>
      <c r="R95" s="182" t="inlineStr">
        <is>
          <t>P060142|FM|I</t>
        </is>
      </c>
      <c r="S95" s="192" t="inlineStr">
        <is>
          <t>registered — preliminary date, QC sets the real date at issue</t>
        </is>
      </c>
    </row>
    <row r="96">
      <c r="A96" s="182">
        <f>IF(C96="yes",COUNT(A$1:A95)+1,"")</f>
        <v/>
      </c>
      <c r="B96" s="181">
        <f>IF(A96="","— at issue —","iCoA-PP_26-"&amp;TEXT(A96,"000"))</f>
        <v/>
      </c>
      <c r="C96" s="188" t="inlineStr">
        <is>
          <t>yes</t>
        </is>
      </c>
      <c r="D96" s="183">
        <f>IF(A96="","",E96)</f>
        <v/>
      </c>
      <c r="E96" s="183">
        <f>IF(AND(C96="yes",ISNUMBER(G96)),MAX(DATE(2026,5,11),G96),"")</f>
        <v/>
      </c>
      <c r="F96" s="183">
        <f>IFERROR(INDEX('Batch Dates'!$F:$F,MATCH(J96,'Batch Dates'!$C:$C,0)),IFERROR(INDEX('Batch Dates'!$F:$F,MATCH(I96,'Batch Dates'!$B:$B,0)),""))</f>
        <v/>
      </c>
      <c r="G96" s="183">
        <f>IFERROR(INDEX('Batch Dates'!$G:$G,MATCH(J96,'Batch Dates'!$C:$C,0)),IFERROR(INDEX('Batch Dates'!$G:$G,MATCH(I96,'Batch Dates'!$B:$B,0)),""))</f>
        <v/>
      </c>
      <c r="H96" s="182" t="inlineStr">
        <is>
          <t>initial release</t>
        </is>
      </c>
      <c r="I96" s="181" t="inlineStr">
        <is>
          <t>J31102501</t>
        </is>
      </c>
      <c r="J96" s="182" t="inlineStr">
        <is>
          <t>P060152</t>
        </is>
      </c>
      <c r="K96" s="182" t="inlineStr">
        <is>
          <t>Jokerz 31</t>
        </is>
      </c>
      <c r="L96" s="182" t="inlineStr">
        <is>
          <t>Ident A + Ident B</t>
        </is>
      </c>
      <c r="M96" s="182" t="inlineStr">
        <is>
          <t>iCoA_P01-02 · Appearance &amp; Identification A/B</t>
        </is>
      </c>
      <c r="N96" s="189" t="inlineStr">
        <is>
          <t>—</t>
        </is>
      </c>
      <c r="O96" s="182" t="inlineStr">
        <is>
          <t>051-1-K-26, (04.03.2026) [FHM-K]</t>
        </is>
      </c>
      <c r="P96" s="182" t="inlineStr">
        <is>
          <t>CoQ-PP-2026-0012</t>
        </is>
      </c>
      <c r="Q96" s="182" t="inlineStr">
        <is>
          <t>iCoA-PP-2026-0012</t>
        </is>
      </c>
      <c r="R96" s="182" t="inlineStr">
        <is>
          <t>P060152|AB|I</t>
        </is>
      </c>
      <c r="S96" s="192" t="inlineStr">
        <is>
          <t>registered — preliminary date, QC sets the real date at issue</t>
        </is>
      </c>
    </row>
    <row r="97">
      <c r="A97" s="182">
        <f>IF(C97="yes",COUNT(A$1:A96)+1,"")</f>
        <v/>
      </c>
      <c r="B97" s="181">
        <f>IF(A97="","— at issue —","iCoA-PP_26-"&amp;TEXT(A97,"000"))</f>
        <v/>
      </c>
      <c r="C97" s="188" t="inlineStr">
        <is>
          <t>yes</t>
        </is>
      </c>
      <c r="D97" s="183">
        <f>IF(A97="","",E97)</f>
        <v/>
      </c>
      <c r="E97" s="183">
        <f>IF(AND(C97="yes",ISNUMBER(G97)),MAX(DATE(2026,5,11),G97),"")</f>
        <v/>
      </c>
      <c r="F97" s="183">
        <f>IFERROR(INDEX('Batch Dates'!$F:$F,MATCH(J97,'Batch Dates'!$C:$C,0)),IFERROR(INDEX('Batch Dates'!$F:$F,MATCH(I97,'Batch Dates'!$B:$B,0)),""))</f>
        <v/>
      </c>
      <c r="G97" s="183">
        <f>IFERROR(INDEX('Batch Dates'!$G:$G,MATCH(J97,'Batch Dates'!$C:$C,0)),IFERROR(INDEX('Batch Dates'!$G:$G,MATCH(I97,'Batch Dates'!$B:$B,0)),""))</f>
        <v/>
      </c>
      <c r="H97" s="182" t="inlineStr">
        <is>
          <t>initial release</t>
        </is>
      </c>
      <c r="I97" s="181" t="inlineStr">
        <is>
          <t>J31102501</t>
        </is>
      </c>
      <c r="J97" s="182" t="inlineStr">
        <is>
          <t>P060152</t>
        </is>
      </c>
      <c r="K97" s="182" t="inlineStr">
        <is>
          <t>Jokerz 31</t>
        </is>
      </c>
      <c r="L97" s="182" t="inlineStr">
        <is>
          <t>Foreign matter</t>
        </is>
      </c>
      <c r="M97" s="182" t="inlineStr">
        <is>
          <t>iCoA_P07 · Foreign matter</t>
        </is>
      </c>
      <c r="N97" s="189" t="inlineStr">
        <is>
          <t>—</t>
        </is>
      </c>
      <c r="O97" s="182" t="inlineStr">
        <is>
          <t>051-1-K-26, (04.03.2026) [FHM-K]</t>
        </is>
      </c>
      <c r="P97" s="182" t="inlineStr">
        <is>
          <t>CoQ-PP-2026-0012</t>
        </is>
      </c>
      <c r="Q97" s="182" t="inlineStr">
        <is>
          <t>iCoA-PP-2026-0012</t>
        </is>
      </c>
      <c r="R97" s="182" t="inlineStr">
        <is>
          <t>P060152|FM|I</t>
        </is>
      </c>
      <c r="S97" s="192" t="inlineStr">
        <is>
          <t>registered — preliminary date, QC sets the real date at issue</t>
        </is>
      </c>
    </row>
    <row r="98">
      <c r="A98" s="182">
        <f>IF(C98="yes",COUNT(A$1:A97)+1,"")</f>
        <v/>
      </c>
      <c r="B98" s="181">
        <f>IF(A98="","— at issue —","iCoA-PP_26-"&amp;TEXT(A98,"000"))</f>
        <v/>
      </c>
      <c r="C98" s="188" t="inlineStr">
        <is>
          <t>yes</t>
        </is>
      </c>
      <c r="D98" s="183">
        <f>IF(A98="","",E98)</f>
        <v/>
      </c>
      <c r="E98" s="183">
        <f>IF(AND(C98="yes",ISNUMBER(G98)),MAX(DATE(2026,5,11),G98),"")</f>
        <v/>
      </c>
      <c r="F98" s="183">
        <f>IFERROR(INDEX('Batch Dates'!$F:$F,MATCH(J98,'Batch Dates'!$C:$C,0)),IFERROR(INDEX('Batch Dates'!$F:$F,MATCH(I98,'Batch Dates'!$B:$B,0)),""))</f>
        <v/>
      </c>
      <c r="G98" s="183">
        <f>IFERROR(INDEX('Batch Dates'!$G:$G,MATCH(J98,'Batch Dates'!$C:$C,0)),IFERROR(INDEX('Batch Dates'!$G:$G,MATCH(I98,'Batch Dates'!$B:$B,0)),""))</f>
        <v/>
      </c>
      <c r="H98" s="182" t="inlineStr">
        <is>
          <t>initial release</t>
        </is>
      </c>
      <c r="I98" s="181" t="inlineStr">
        <is>
          <t>SJ102501</t>
        </is>
      </c>
      <c r="J98" s="182" t="inlineStr">
        <is>
          <t>P060162</t>
        </is>
      </c>
      <c r="K98" s="182" t="inlineStr">
        <is>
          <t>Sleepy Joe</t>
        </is>
      </c>
      <c r="L98" s="182" t="inlineStr">
        <is>
          <t>Ident A + Ident B</t>
        </is>
      </c>
      <c r="M98" s="182" t="inlineStr">
        <is>
          <t>iCoA_P01-02 · Appearance &amp; Identification A/B</t>
        </is>
      </c>
      <c r="N98" s="189" t="inlineStr">
        <is>
          <t>—</t>
        </is>
      </c>
      <c r="O98" s="182" t="inlineStr">
        <is>
          <t>051-3-K-26, (04.03.2026) [FHM-K]</t>
        </is>
      </c>
      <c r="P98" s="182" t="inlineStr">
        <is>
          <t>(assigned on issue)</t>
        </is>
      </c>
      <c r="Q98" s="189" t="inlineStr">
        <is>
          <t>—</t>
        </is>
      </c>
      <c r="R98" s="182" t="inlineStr">
        <is>
          <t>P060162|AB|I</t>
        </is>
      </c>
      <c r="S98" s="192" t="inlineStr">
        <is>
          <t>registered — preliminary date, QC sets the real date at issue</t>
        </is>
      </c>
    </row>
    <row r="99">
      <c r="A99" s="182">
        <f>IF(C99="yes",COUNT(A$1:A98)+1,"")</f>
        <v/>
      </c>
      <c r="B99" s="181">
        <f>IF(A99="","— at issue —","iCoA-PP_26-"&amp;TEXT(A99,"000"))</f>
        <v/>
      </c>
      <c r="C99" s="188" t="inlineStr">
        <is>
          <t>yes</t>
        </is>
      </c>
      <c r="D99" s="183">
        <f>IF(A99="","",E99)</f>
        <v/>
      </c>
      <c r="E99" s="183">
        <f>IF(AND(C99="yes",ISNUMBER(G99)),MAX(DATE(2026,5,11),G99),"")</f>
        <v/>
      </c>
      <c r="F99" s="183">
        <f>IFERROR(INDEX('Batch Dates'!$F:$F,MATCH(J99,'Batch Dates'!$C:$C,0)),IFERROR(INDEX('Batch Dates'!$F:$F,MATCH(I99,'Batch Dates'!$B:$B,0)),""))</f>
        <v/>
      </c>
      <c r="G99" s="183">
        <f>IFERROR(INDEX('Batch Dates'!$G:$G,MATCH(J99,'Batch Dates'!$C:$C,0)),IFERROR(INDEX('Batch Dates'!$G:$G,MATCH(I99,'Batch Dates'!$B:$B,0)),""))</f>
        <v/>
      </c>
      <c r="H99" s="182" t="inlineStr">
        <is>
          <t>initial release</t>
        </is>
      </c>
      <c r="I99" s="181" t="inlineStr">
        <is>
          <t>SJ102501</t>
        </is>
      </c>
      <c r="J99" s="182" t="inlineStr">
        <is>
          <t>P060162</t>
        </is>
      </c>
      <c r="K99" s="182" t="inlineStr">
        <is>
          <t>Sleepy Joe</t>
        </is>
      </c>
      <c r="L99" s="182" t="inlineStr">
        <is>
          <t>Foreign matter</t>
        </is>
      </c>
      <c r="M99" s="182" t="inlineStr">
        <is>
          <t>iCoA_P07 · Foreign matter</t>
        </is>
      </c>
      <c r="N99" s="189" t="inlineStr">
        <is>
          <t>—</t>
        </is>
      </c>
      <c r="O99" s="182" t="inlineStr">
        <is>
          <t>051-3-K-26, (04.03.2026) [FHM-K]</t>
        </is>
      </c>
      <c r="P99" s="182" t="inlineStr">
        <is>
          <t>(assigned on issue)</t>
        </is>
      </c>
      <c r="Q99" s="189" t="inlineStr">
        <is>
          <t>—</t>
        </is>
      </c>
      <c r="R99" s="182" t="inlineStr">
        <is>
          <t>P060162|FM|I</t>
        </is>
      </c>
      <c r="S99" s="192" t="inlineStr">
        <is>
          <t>registered — preliminary date, QC sets the real date at issue</t>
        </is>
      </c>
    </row>
    <row r="100">
      <c r="A100" s="182">
        <f>IF(C100="yes",COUNT(A$1:A99)+1,"")</f>
        <v/>
      </c>
      <c r="B100" s="181">
        <f>IF(A100="","— at issue —","iCoA-PP_26-"&amp;TEXT(A100,"000"))</f>
        <v/>
      </c>
      <c r="C100" s="188" t="inlineStr">
        <is>
          <t>yes</t>
        </is>
      </c>
      <c r="D100" s="183">
        <f>IF(A100="","",E100)</f>
        <v/>
      </c>
      <c r="E100" s="183">
        <f>IF(AND(C100="yes",ISNUMBER(G100)),MAX(DATE(2026,5,11),G100),"")</f>
        <v/>
      </c>
      <c r="F100" s="183">
        <f>IFERROR(INDEX('Batch Dates'!$F:$F,MATCH(J100,'Batch Dates'!$C:$C,0)),IFERROR(INDEX('Batch Dates'!$F:$F,MATCH(I100,'Batch Dates'!$B:$B,0)),""))</f>
        <v/>
      </c>
      <c r="G100" s="183">
        <f>IFERROR(INDEX('Batch Dates'!$G:$G,MATCH(J100,'Batch Dates'!$C:$C,0)),IFERROR(INDEX('Batch Dates'!$G:$G,MATCH(I100,'Batch Dates'!$B:$B,0)),""))</f>
        <v/>
      </c>
      <c r="H100" s="182" t="inlineStr">
        <is>
          <t>initial release</t>
        </is>
      </c>
      <c r="I100" s="181" t="inlineStr">
        <is>
          <t>KC102501</t>
        </is>
      </c>
      <c r="J100" s="182" t="inlineStr">
        <is>
          <t>P060172</t>
        </is>
      </c>
      <c r="K100" s="182" t="inlineStr">
        <is>
          <t>Kush Crasher</t>
        </is>
      </c>
      <c r="L100" s="182" t="inlineStr">
        <is>
          <t>Ident A + Ident B</t>
        </is>
      </c>
      <c r="M100" s="182" t="inlineStr">
        <is>
          <t>iCoA_P01-02 · Appearance &amp; Identification A/B</t>
        </is>
      </c>
      <c r="N100" s="189" t="inlineStr">
        <is>
          <t>—</t>
        </is>
      </c>
      <c r="O100" s="182" t="inlineStr">
        <is>
          <t>051-4-K-26, (04.03.2026) [FHM-K]</t>
        </is>
      </c>
      <c r="P100" s="182" t="inlineStr">
        <is>
          <t>CoQ-PP-2026-0013</t>
        </is>
      </c>
      <c r="Q100" s="182" t="inlineStr">
        <is>
          <t>iCoA-PP-2026-0013</t>
        </is>
      </c>
      <c r="R100" s="182" t="inlineStr">
        <is>
          <t>P060172|AB|I</t>
        </is>
      </c>
      <c r="S100" s="192" t="inlineStr">
        <is>
          <t>registered — preliminary date, QC sets the real date at issue</t>
        </is>
      </c>
    </row>
    <row r="101">
      <c r="A101" s="182">
        <f>IF(C101="yes",COUNT(A$1:A100)+1,"")</f>
        <v/>
      </c>
      <c r="B101" s="181">
        <f>IF(A101="","— at issue —","iCoA-PP_26-"&amp;TEXT(A101,"000"))</f>
        <v/>
      </c>
      <c r="C101" s="188" t="inlineStr">
        <is>
          <t>yes</t>
        </is>
      </c>
      <c r="D101" s="183">
        <f>IF(A101="","",E101)</f>
        <v/>
      </c>
      <c r="E101" s="183">
        <f>IF(AND(C101="yes",ISNUMBER(G101)),MAX(DATE(2026,5,11),G101),"")</f>
        <v/>
      </c>
      <c r="F101" s="183">
        <f>IFERROR(INDEX('Batch Dates'!$F:$F,MATCH(J101,'Batch Dates'!$C:$C,0)),IFERROR(INDEX('Batch Dates'!$F:$F,MATCH(I101,'Batch Dates'!$B:$B,0)),""))</f>
        <v/>
      </c>
      <c r="G101" s="183">
        <f>IFERROR(INDEX('Batch Dates'!$G:$G,MATCH(J101,'Batch Dates'!$C:$C,0)),IFERROR(INDEX('Batch Dates'!$G:$G,MATCH(I101,'Batch Dates'!$B:$B,0)),""))</f>
        <v/>
      </c>
      <c r="H101" s="182" t="inlineStr">
        <is>
          <t>initial release</t>
        </is>
      </c>
      <c r="I101" s="181" t="inlineStr">
        <is>
          <t>KC102501</t>
        </is>
      </c>
      <c r="J101" s="182" t="inlineStr">
        <is>
          <t>P060172</t>
        </is>
      </c>
      <c r="K101" s="182" t="inlineStr">
        <is>
          <t>Kush Crasher</t>
        </is>
      </c>
      <c r="L101" s="182" t="inlineStr">
        <is>
          <t>Foreign matter</t>
        </is>
      </c>
      <c r="M101" s="182" t="inlineStr">
        <is>
          <t>iCoA_P07 · Foreign matter</t>
        </is>
      </c>
      <c r="N101" s="189" t="inlineStr">
        <is>
          <t>—</t>
        </is>
      </c>
      <c r="O101" s="182" t="inlineStr">
        <is>
          <t>051-4-K-26, (04.03.2026) [FHM-K]</t>
        </is>
      </c>
      <c r="P101" s="182" t="inlineStr">
        <is>
          <t>CoQ-PP-2026-0013</t>
        </is>
      </c>
      <c r="Q101" s="182" t="inlineStr">
        <is>
          <t>iCoA-PP-2026-0013</t>
        </is>
      </c>
      <c r="R101" s="182" t="inlineStr">
        <is>
          <t>P060172|FM|I</t>
        </is>
      </c>
      <c r="S101" s="192" t="inlineStr">
        <is>
          <t>registered — preliminary date, QC sets the real date at issue</t>
        </is>
      </c>
    </row>
    <row r="102">
      <c r="A102" s="182">
        <f>IF(C102="yes",COUNT(A$1:A101)+1,"")</f>
        <v/>
      </c>
      <c r="B102" s="181">
        <f>IF(A102="","— at issue —","iCoA-PP_26-"&amp;TEXT(A102,"000"))</f>
        <v/>
      </c>
      <c r="C102" s="188" t="inlineStr">
        <is>
          <t>yes</t>
        </is>
      </c>
      <c r="D102" s="183">
        <f>IF(A102="","",E102)</f>
        <v/>
      </c>
      <c r="E102" s="183">
        <f>IF(AND(C102="yes",ISNUMBER(G102)),MAX(DATE(2026,5,11),G102),"")</f>
        <v/>
      </c>
      <c r="F102" s="183">
        <f>IFERROR(INDEX('Batch Dates'!$F:$F,MATCH(J102,'Batch Dates'!$C:$C,0)),IFERROR(INDEX('Batch Dates'!$F:$F,MATCH(I102,'Batch Dates'!$B:$B,0)),""))</f>
        <v/>
      </c>
      <c r="G102" s="183">
        <f>IFERROR(INDEX('Batch Dates'!$G:$G,MATCH(J102,'Batch Dates'!$C:$C,0)),IFERROR(INDEX('Batch Dates'!$G:$G,MATCH(I102,'Batch Dates'!$B:$B,0)),""))</f>
        <v/>
      </c>
      <c r="H102" s="182" t="inlineStr">
        <is>
          <t>initial release</t>
        </is>
      </c>
      <c r="I102" s="181" t="inlineStr">
        <is>
          <t>GRC102501</t>
        </is>
      </c>
      <c r="J102" s="182" t="inlineStr">
        <is>
          <t>P060182</t>
        </is>
      </c>
      <c r="K102" s="182" t="inlineStr">
        <is>
          <t>Graps &amp; Creme</t>
        </is>
      </c>
      <c r="L102" s="182" t="inlineStr">
        <is>
          <t>Ident A + Ident B</t>
        </is>
      </c>
      <c r="M102" s="182" t="inlineStr">
        <is>
          <t>iCoA_P01-02 · Appearance &amp; Identification A/B</t>
        </is>
      </c>
      <c r="N102" s="189" t="inlineStr">
        <is>
          <t>—</t>
        </is>
      </c>
      <c r="O102" s="182" t="inlineStr">
        <is>
          <t>051-6-K-26, (04.03.2026) [FHM-K]</t>
        </is>
      </c>
      <c r="P102" s="182" t="inlineStr">
        <is>
          <t>CoQ-PP-2026-0014</t>
        </is>
      </c>
      <c r="Q102" s="182" t="inlineStr">
        <is>
          <t>iCoA-PP-2026-0014</t>
        </is>
      </c>
      <c r="R102" s="182" t="inlineStr">
        <is>
          <t>P060182|AB|I</t>
        </is>
      </c>
      <c r="S102" s="192" t="inlineStr">
        <is>
          <t>registered — preliminary date, QC sets the real date at issue</t>
        </is>
      </c>
    </row>
    <row r="103">
      <c r="A103" s="182">
        <f>IF(C103="yes",COUNT(A$1:A102)+1,"")</f>
        <v/>
      </c>
      <c r="B103" s="181">
        <f>IF(A103="","— at issue —","iCoA-PP_26-"&amp;TEXT(A103,"000"))</f>
        <v/>
      </c>
      <c r="C103" s="188" t="inlineStr">
        <is>
          <t>yes</t>
        </is>
      </c>
      <c r="D103" s="183">
        <f>IF(A103="","",E103)</f>
        <v/>
      </c>
      <c r="E103" s="183">
        <f>IF(AND(C103="yes",ISNUMBER(G103)),MAX(DATE(2026,5,11),G103),"")</f>
        <v/>
      </c>
      <c r="F103" s="183">
        <f>IFERROR(INDEX('Batch Dates'!$F:$F,MATCH(J103,'Batch Dates'!$C:$C,0)),IFERROR(INDEX('Batch Dates'!$F:$F,MATCH(I103,'Batch Dates'!$B:$B,0)),""))</f>
        <v/>
      </c>
      <c r="G103" s="183">
        <f>IFERROR(INDEX('Batch Dates'!$G:$G,MATCH(J103,'Batch Dates'!$C:$C,0)),IFERROR(INDEX('Batch Dates'!$G:$G,MATCH(I103,'Batch Dates'!$B:$B,0)),""))</f>
        <v/>
      </c>
      <c r="H103" s="182" t="inlineStr">
        <is>
          <t>initial release</t>
        </is>
      </c>
      <c r="I103" s="181" t="inlineStr">
        <is>
          <t>GRC102501</t>
        </is>
      </c>
      <c r="J103" s="182" t="inlineStr">
        <is>
          <t>P060182</t>
        </is>
      </c>
      <c r="K103" s="182" t="inlineStr">
        <is>
          <t>Graps &amp; Creme</t>
        </is>
      </c>
      <c r="L103" s="182" t="inlineStr">
        <is>
          <t>Foreign matter</t>
        </is>
      </c>
      <c r="M103" s="182" t="inlineStr">
        <is>
          <t>iCoA_P07 · Foreign matter</t>
        </is>
      </c>
      <c r="N103" s="189" t="inlineStr">
        <is>
          <t>—</t>
        </is>
      </c>
      <c r="O103" s="182" t="inlineStr">
        <is>
          <t>051-6-K-26, (04.03.2026) [FHM-K]</t>
        </is>
      </c>
      <c r="P103" s="182" t="inlineStr">
        <is>
          <t>CoQ-PP-2026-0014</t>
        </is>
      </c>
      <c r="Q103" s="182" t="inlineStr">
        <is>
          <t>iCoA-PP-2026-0014</t>
        </is>
      </c>
      <c r="R103" s="182" t="inlineStr">
        <is>
          <t>P060182|FM|I</t>
        </is>
      </c>
      <c r="S103" s="192" t="inlineStr">
        <is>
          <t>registered — preliminary date, QC sets the real date at issue</t>
        </is>
      </c>
    </row>
    <row r="104">
      <c r="A104" s="182">
        <f>IF(C104="yes",COUNT(A$1:A103)+1,"")</f>
        <v/>
      </c>
      <c r="B104" s="181">
        <f>IF(A104="","— at issue —","iCoA-PP_26-"&amp;TEXT(A104,"000"))</f>
        <v/>
      </c>
      <c r="C104" s="188" t="inlineStr">
        <is>
          <t>yes</t>
        </is>
      </c>
      <c r="D104" s="183">
        <f>IF(A104="","",E104)</f>
        <v/>
      </c>
      <c r="E104" s="183">
        <f>IF(AND(C104="yes",ISNUMBER(G104)),MAX(DATE(2026,5,11),G104),"")</f>
        <v/>
      </c>
      <c r="F104" s="183">
        <f>IFERROR(INDEX('Batch Dates'!$F:$F,MATCH(J104,'Batch Dates'!$C:$C,0)),IFERROR(INDEX('Batch Dates'!$F:$F,MATCH(I104,'Batch Dates'!$B:$B,0)),""))</f>
        <v/>
      </c>
      <c r="G104" s="183">
        <f>IFERROR(INDEX('Batch Dates'!$G:$G,MATCH(J104,'Batch Dates'!$C:$C,0)),IFERROR(INDEX('Batch Dates'!$G:$G,MATCH(I104,'Batch Dates'!$B:$B,0)),""))</f>
        <v/>
      </c>
      <c r="H104" s="182" t="inlineStr">
        <is>
          <t>initial release</t>
        </is>
      </c>
      <c r="I104" s="181" t="inlineStr">
        <is>
          <t>SJ112501</t>
        </is>
      </c>
      <c r="J104" s="182" t="inlineStr">
        <is>
          <t>P060192</t>
        </is>
      </c>
      <c r="K104" s="182" t="inlineStr">
        <is>
          <t>Sleepy Joy</t>
        </is>
      </c>
      <c r="L104" s="182" t="inlineStr">
        <is>
          <t>Ident A + Ident B</t>
        </is>
      </c>
      <c r="M104" s="182" t="inlineStr">
        <is>
          <t>iCoA_P01-02 · Appearance &amp; Identification A/B</t>
        </is>
      </c>
      <c r="N104" s="189" t="inlineStr">
        <is>
          <t>—</t>
        </is>
      </c>
      <c r="O104" s="182" t="inlineStr">
        <is>
          <t>051-2-K-26, (04.03.2026) [FHM-K]</t>
        </is>
      </c>
      <c r="P104" s="182" t="inlineStr">
        <is>
          <t>(assigned on issue)</t>
        </is>
      </c>
      <c r="Q104" s="189" t="inlineStr">
        <is>
          <t>—</t>
        </is>
      </c>
      <c r="R104" s="182" t="inlineStr">
        <is>
          <t>P060192|AB|I</t>
        </is>
      </c>
      <c r="S104" s="192" t="inlineStr">
        <is>
          <t>registered — preliminary date, QC sets the real date at issue</t>
        </is>
      </c>
    </row>
    <row r="105">
      <c r="A105" s="182">
        <f>IF(C105="yes",COUNT(A$1:A104)+1,"")</f>
        <v/>
      </c>
      <c r="B105" s="181">
        <f>IF(A105="","— at issue —","iCoA-PP_26-"&amp;TEXT(A105,"000"))</f>
        <v/>
      </c>
      <c r="C105" s="188" t="inlineStr">
        <is>
          <t>yes</t>
        </is>
      </c>
      <c r="D105" s="183">
        <f>IF(A105="","",E105)</f>
        <v/>
      </c>
      <c r="E105" s="183">
        <f>IF(AND(C105="yes",ISNUMBER(G105)),MAX(DATE(2026,5,11),G105),"")</f>
        <v/>
      </c>
      <c r="F105" s="183">
        <f>IFERROR(INDEX('Batch Dates'!$F:$F,MATCH(J105,'Batch Dates'!$C:$C,0)),IFERROR(INDEX('Batch Dates'!$F:$F,MATCH(I105,'Batch Dates'!$B:$B,0)),""))</f>
        <v/>
      </c>
      <c r="G105" s="183">
        <f>IFERROR(INDEX('Batch Dates'!$G:$G,MATCH(J105,'Batch Dates'!$C:$C,0)),IFERROR(INDEX('Batch Dates'!$G:$G,MATCH(I105,'Batch Dates'!$B:$B,0)),""))</f>
        <v/>
      </c>
      <c r="H105" s="182" t="inlineStr">
        <is>
          <t>initial release</t>
        </is>
      </c>
      <c r="I105" s="181" t="inlineStr">
        <is>
          <t>SJ112501</t>
        </is>
      </c>
      <c r="J105" s="182" t="inlineStr">
        <is>
          <t>P060192</t>
        </is>
      </c>
      <c r="K105" s="182" t="inlineStr">
        <is>
          <t>Sleepy Joy</t>
        </is>
      </c>
      <c r="L105" s="182" t="inlineStr">
        <is>
          <t>Foreign matter</t>
        </is>
      </c>
      <c r="M105" s="182" t="inlineStr">
        <is>
          <t>iCoA_P07 · Foreign matter</t>
        </is>
      </c>
      <c r="N105" s="189" t="inlineStr">
        <is>
          <t>—</t>
        </is>
      </c>
      <c r="O105" s="182" t="inlineStr">
        <is>
          <t>051-2-K-26, (04.03.2026) [FHM-K]</t>
        </is>
      </c>
      <c r="P105" s="182" t="inlineStr">
        <is>
          <t>(assigned on issue)</t>
        </is>
      </c>
      <c r="Q105" s="189" t="inlineStr">
        <is>
          <t>—</t>
        </is>
      </c>
      <c r="R105" s="182" t="inlineStr">
        <is>
          <t>P060192|FM|I</t>
        </is>
      </c>
      <c r="S105" s="192" t="inlineStr">
        <is>
          <t>registered — preliminary date, QC sets the real date at issue</t>
        </is>
      </c>
    </row>
    <row r="106">
      <c r="A106" s="182">
        <f>IF(C106="yes",COUNT(A$1:A105)+1,"")</f>
        <v/>
      </c>
      <c r="B106" s="181">
        <f>IF(A106="","— at issue —","iCoA-PP_26-"&amp;TEXT(A106,"000"))</f>
        <v/>
      </c>
      <c r="C106" s="188" t="inlineStr">
        <is>
          <t>yes</t>
        </is>
      </c>
      <c r="D106" s="183">
        <f>IF(A106="","",E106)</f>
        <v/>
      </c>
      <c r="E106" s="183">
        <f>IF(AND(C106="yes",ISNUMBER(G106)),MAX(DATE(2026,5,11),G106),"")</f>
        <v/>
      </c>
      <c r="F106" s="183">
        <f>IFERROR(INDEX('Batch Dates'!$F:$F,MATCH(J106,'Batch Dates'!$C:$C,0)),IFERROR(INDEX('Batch Dates'!$F:$F,MATCH(I106,'Batch Dates'!$B:$B,0)),""))</f>
        <v/>
      </c>
      <c r="G106" s="183">
        <f>IFERROR(INDEX('Batch Dates'!$G:$G,MATCH(J106,'Batch Dates'!$C:$C,0)),IFERROR(INDEX('Batch Dates'!$G:$G,MATCH(I106,'Batch Dates'!$B:$B,0)),""))</f>
        <v/>
      </c>
      <c r="H106" s="182" t="inlineStr">
        <is>
          <t>initial release</t>
        </is>
      </c>
      <c r="I106" s="181" t="inlineStr">
        <is>
          <t>J31112501</t>
        </is>
      </c>
      <c r="J106" s="182" t="inlineStr">
        <is>
          <t>P060202</t>
        </is>
      </c>
      <c r="K106" s="182" t="inlineStr">
        <is>
          <t>Jokerz 31</t>
        </is>
      </c>
      <c r="L106" s="182" t="inlineStr">
        <is>
          <t>Ident A + Ident B</t>
        </is>
      </c>
      <c r="M106" s="182" t="inlineStr">
        <is>
          <t>iCoA_P01-02 · Appearance &amp; Identification A/B</t>
        </is>
      </c>
      <c r="N106" s="189" t="inlineStr">
        <is>
          <t>—</t>
        </is>
      </c>
      <c r="O106" s="182" t="inlineStr">
        <is>
          <t>051-5-K-26, (04.03.2026) [FHM-K]</t>
        </is>
      </c>
      <c r="P106" s="182" t="inlineStr">
        <is>
          <t>(assigned on issue)</t>
        </is>
      </c>
      <c r="Q106" s="189" t="inlineStr">
        <is>
          <t>—</t>
        </is>
      </c>
      <c r="R106" s="182" t="inlineStr">
        <is>
          <t>P060202|AB|I</t>
        </is>
      </c>
      <c r="S106" s="192" t="inlineStr">
        <is>
          <t>registered — preliminary date, QC sets the real date at issue</t>
        </is>
      </c>
    </row>
    <row r="107">
      <c r="A107" s="182">
        <f>IF(C107="yes",COUNT(A$1:A106)+1,"")</f>
        <v/>
      </c>
      <c r="B107" s="181">
        <f>IF(A107="","— at issue —","iCoA-PP_26-"&amp;TEXT(A107,"000"))</f>
        <v/>
      </c>
      <c r="C107" s="188" t="inlineStr">
        <is>
          <t>yes</t>
        </is>
      </c>
      <c r="D107" s="183">
        <f>IF(A107="","",E107)</f>
        <v/>
      </c>
      <c r="E107" s="183">
        <f>IF(AND(C107="yes",ISNUMBER(G107)),MAX(DATE(2026,5,11),G107),"")</f>
        <v/>
      </c>
      <c r="F107" s="183">
        <f>IFERROR(INDEX('Batch Dates'!$F:$F,MATCH(J107,'Batch Dates'!$C:$C,0)),IFERROR(INDEX('Batch Dates'!$F:$F,MATCH(I107,'Batch Dates'!$B:$B,0)),""))</f>
        <v/>
      </c>
      <c r="G107" s="183">
        <f>IFERROR(INDEX('Batch Dates'!$G:$G,MATCH(J107,'Batch Dates'!$C:$C,0)),IFERROR(INDEX('Batch Dates'!$G:$G,MATCH(I107,'Batch Dates'!$B:$B,0)),""))</f>
        <v/>
      </c>
      <c r="H107" s="182" t="inlineStr">
        <is>
          <t>initial release</t>
        </is>
      </c>
      <c r="I107" s="181" t="inlineStr">
        <is>
          <t>J31112501</t>
        </is>
      </c>
      <c r="J107" s="182" t="inlineStr">
        <is>
          <t>P060202</t>
        </is>
      </c>
      <c r="K107" s="182" t="inlineStr">
        <is>
          <t>Jokerz 31</t>
        </is>
      </c>
      <c r="L107" s="182" t="inlineStr">
        <is>
          <t>Foreign matter</t>
        </is>
      </c>
      <c r="M107" s="182" t="inlineStr">
        <is>
          <t>iCoA_P07 · Foreign matter</t>
        </is>
      </c>
      <c r="N107" s="189" t="inlineStr">
        <is>
          <t>—</t>
        </is>
      </c>
      <c r="O107" s="182" t="inlineStr">
        <is>
          <t>051-5-K-26, (04.03.2026) [FHM-K]</t>
        </is>
      </c>
      <c r="P107" s="182" t="inlineStr">
        <is>
          <t>(assigned on issue)</t>
        </is>
      </c>
      <c r="Q107" s="189" t="inlineStr">
        <is>
          <t>—</t>
        </is>
      </c>
      <c r="R107" s="182" t="inlineStr">
        <is>
          <t>P060202|FM|I</t>
        </is>
      </c>
      <c r="S107" s="192" t="inlineStr">
        <is>
          <t>registered — preliminary date, QC sets the real date at issue</t>
        </is>
      </c>
    </row>
    <row r="108">
      <c r="A108" s="182">
        <f>IF(C108="yes",COUNT(A$1:A107)+1,"")</f>
        <v/>
      </c>
      <c r="B108" s="181">
        <f>IF(A108="","— at issue —","iCoA-PP_26-"&amp;TEXT(A108,"000"))</f>
        <v/>
      </c>
      <c r="C108" s="188" t="inlineStr">
        <is>
          <t>yes</t>
        </is>
      </c>
      <c r="D108" s="183">
        <f>IF(A108="","",E108)</f>
        <v/>
      </c>
      <c r="E108" s="183">
        <f>IF(AND(C108="yes",ISNUMBER(G108)),MAX(DATE(2026,5,11),G108),"")</f>
        <v/>
      </c>
      <c r="F108" s="183">
        <f>IFERROR(INDEX('Batch Dates'!$F:$F,MATCH(J108,'Batch Dates'!$C:$C,0)),IFERROR(INDEX('Batch Dates'!$F:$F,MATCH(I108,'Batch Dates'!$B:$B,0)),""))</f>
        <v/>
      </c>
      <c r="G108" s="183">
        <f>IFERROR(INDEX('Batch Dates'!$G:$G,MATCH(J108,'Batch Dates'!$C:$C,0)),IFERROR(INDEX('Batch Dates'!$G:$G,MATCH(I108,'Batch Dates'!$B:$B,0)),""))</f>
        <v/>
      </c>
      <c r="H108" s="182" t="inlineStr">
        <is>
          <t>initial release</t>
        </is>
      </c>
      <c r="I108" s="181" t="inlineStr">
        <is>
          <t>JD112501</t>
        </is>
      </c>
      <c r="J108" s="182" t="inlineStr">
        <is>
          <t>P060212</t>
        </is>
      </c>
      <c r="K108" s="182" t="inlineStr">
        <is>
          <t>Jelly Donutz</t>
        </is>
      </c>
      <c r="L108" s="182" t="inlineStr">
        <is>
          <t>Ident A + Ident B</t>
        </is>
      </c>
      <c r="M108" s="182" t="inlineStr">
        <is>
          <t>iCoA_P01-02 · Appearance &amp; Identification A/B</t>
        </is>
      </c>
      <c r="N108" s="189" t="inlineStr">
        <is>
          <t>—</t>
        </is>
      </c>
      <c r="O108" s="182" t="inlineStr">
        <is>
          <t>ППК26063, (11.05.2026) [CNP]</t>
        </is>
      </c>
      <c r="P108" s="182" t="inlineStr">
        <is>
          <t>CoQ-PP-2026-0015</t>
        </is>
      </c>
      <c r="Q108" s="182" t="inlineStr">
        <is>
          <t>iCoA-PP-2026-0015</t>
        </is>
      </c>
      <c r="R108" s="182" t="inlineStr">
        <is>
          <t>P060212|AB|I</t>
        </is>
      </c>
      <c r="S108" s="192" t="inlineStr">
        <is>
          <t>registered — preliminary date, QC sets the real date at issue</t>
        </is>
      </c>
    </row>
    <row r="109">
      <c r="A109" s="182">
        <f>IF(C109="yes",COUNT(A$1:A108)+1,"")</f>
        <v/>
      </c>
      <c r="B109" s="181">
        <f>IF(A109="","— at issue —","iCoA-PP_26-"&amp;TEXT(A109,"000"))</f>
        <v/>
      </c>
      <c r="C109" s="188" t="inlineStr">
        <is>
          <t>yes</t>
        </is>
      </c>
      <c r="D109" s="183">
        <f>IF(A109="","",E109)</f>
        <v/>
      </c>
      <c r="E109" s="183">
        <f>IF(AND(C109="yes",ISNUMBER(G109)),MAX(DATE(2026,5,11),G109),"")</f>
        <v/>
      </c>
      <c r="F109" s="183">
        <f>IFERROR(INDEX('Batch Dates'!$F:$F,MATCH(J109,'Batch Dates'!$C:$C,0)),IFERROR(INDEX('Batch Dates'!$F:$F,MATCH(I109,'Batch Dates'!$B:$B,0)),""))</f>
        <v/>
      </c>
      <c r="G109" s="183">
        <f>IFERROR(INDEX('Batch Dates'!$G:$G,MATCH(J109,'Batch Dates'!$C:$C,0)),IFERROR(INDEX('Batch Dates'!$G:$G,MATCH(I109,'Batch Dates'!$B:$B,0)),""))</f>
        <v/>
      </c>
      <c r="H109" s="182" t="inlineStr">
        <is>
          <t>initial release</t>
        </is>
      </c>
      <c r="I109" s="181" t="inlineStr">
        <is>
          <t>JD112501</t>
        </is>
      </c>
      <c r="J109" s="182" t="inlineStr">
        <is>
          <t>P060212</t>
        </is>
      </c>
      <c r="K109" s="182" t="inlineStr">
        <is>
          <t>Jelly Donutz</t>
        </is>
      </c>
      <c r="L109" s="182" t="inlineStr">
        <is>
          <t>Foreign matter</t>
        </is>
      </c>
      <c r="M109" s="182" t="inlineStr">
        <is>
          <t>iCoA_P07 · Foreign matter</t>
        </is>
      </c>
      <c r="N109" s="189" t="inlineStr">
        <is>
          <t>—</t>
        </is>
      </c>
      <c r="O109" s="182" t="inlineStr">
        <is>
          <t>ППК26063, (11.05.2026) [CNP]</t>
        </is>
      </c>
      <c r="P109" s="182" t="inlineStr">
        <is>
          <t>CoQ-PP-2026-0015</t>
        </is>
      </c>
      <c r="Q109" s="182" t="inlineStr">
        <is>
          <t>iCoA-PP-2026-0015</t>
        </is>
      </c>
      <c r="R109" s="182" t="inlineStr">
        <is>
          <t>P060212|FM|I</t>
        </is>
      </c>
      <c r="S109" s="192" t="inlineStr">
        <is>
          <t>registered — preliminary date, QC sets the real date at issue</t>
        </is>
      </c>
    </row>
    <row r="110">
      <c r="A110" s="182">
        <f>IF(C110="yes",COUNT(A$1:A109)+1,"")</f>
        <v/>
      </c>
      <c r="B110" s="181">
        <f>IF(A110="","— at issue —","iCoA-PP_26-"&amp;TEXT(A110,"000"))</f>
        <v/>
      </c>
      <c r="C110" s="188" t="inlineStr">
        <is>
          <t>yes</t>
        </is>
      </c>
      <c r="D110" s="183">
        <f>IF(A110="","",E110)</f>
        <v/>
      </c>
      <c r="E110" s="183">
        <f>IF(AND(C110="yes",ISNUMBER(G110)),MAX(DATE(2026,5,11),G110),"")</f>
        <v/>
      </c>
      <c r="F110" s="183">
        <f>IFERROR(INDEX('Batch Dates'!$F:$F,MATCH(J110,'Batch Dates'!$C:$C,0)),IFERROR(INDEX('Batch Dates'!$F:$F,MATCH(I110,'Batch Dates'!$B:$B,0)),""))</f>
        <v/>
      </c>
      <c r="G110" s="183">
        <f>IFERROR(INDEX('Batch Dates'!$G:$G,MATCH(J110,'Batch Dates'!$C:$C,0)),IFERROR(INDEX('Batch Dates'!$G:$G,MATCH(I110,'Batch Dates'!$B:$B,0)),""))</f>
        <v/>
      </c>
      <c r="H110" s="182" t="inlineStr">
        <is>
          <t>initial release</t>
        </is>
      </c>
      <c r="I110" s="181" t="inlineStr">
        <is>
          <t>JD112501＊</t>
        </is>
      </c>
      <c r="J110" s="182" t="inlineStr">
        <is>
          <t>N/A — no P batch assigned</t>
        </is>
      </c>
      <c r="K110" s="182" t="inlineStr">
        <is>
          <t>Jelly Donutz</t>
        </is>
      </c>
      <c r="L110" s="182" t="inlineStr">
        <is>
          <t>Ident A + Ident B</t>
        </is>
      </c>
      <c r="M110" s="182" t="inlineStr">
        <is>
          <t>iCoA_P01-02 · Appearance &amp; Identification A/B</t>
        </is>
      </c>
      <c r="N110" s="189" t="inlineStr">
        <is>
          <t>—</t>
        </is>
      </c>
      <c r="O110" s="182" t="inlineStr">
        <is>
          <t>ППК26065, (11.05.2026) [CNP]</t>
        </is>
      </c>
      <c r="P110" s="182" t="inlineStr">
        <is>
          <t>CoQ-PP-2026-0015</t>
        </is>
      </c>
      <c r="Q110" s="182" t="inlineStr">
        <is>
          <t>iCoA-PP-2026-0015</t>
        </is>
      </c>
      <c r="R110" s="182" t="inlineStr">
        <is>
          <t>JD112501|AB|I</t>
        </is>
      </c>
      <c r="S110" s="192" t="inlineStr">
        <is>
          <t>registered — preliminary date, QC sets the real date at issue</t>
        </is>
      </c>
    </row>
    <row r="111">
      <c r="A111" s="182">
        <f>IF(C111="yes",COUNT(A$1:A110)+1,"")</f>
        <v/>
      </c>
      <c r="B111" s="181">
        <f>IF(A111="","— at issue —","iCoA-PP_26-"&amp;TEXT(A111,"000"))</f>
        <v/>
      </c>
      <c r="C111" s="188" t="inlineStr">
        <is>
          <t>yes</t>
        </is>
      </c>
      <c r="D111" s="183">
        <f>IF(A111="","",E111)</f>
        <v/>
      </c>
      <c r="E111" s="183">
        <f>IF(AND(C111="yes",ISNUMBER(G111)),MAX(DATE(2026,5,11),G111),"")</f>
        <v/>
      </c>
      <c r="F111" s="183">
        <f>IFERROR(INDEX('Batch Dates'!$F:$F,MATCH(J111,'Batch Dates'!$C:$C,0)),IFERROR(INDEX('Batch Dates'!$F:$F,MATCH(I111,'Batch Dates'!$B:$B,0)),""))</f>
        <v/>
      </c>
      <c r="G111" s="183">
        <f>IFERROR(INDEX('Batch Dates'!$G:$G,MATCH(J111,'Batch Dates'!$C:$C,0)),IFERROR(INDEX('Batch Dates'!$G:$G,MATCH(I111,'Batch Dates'!$B:$B,0)),""))</f>
        <v/>
      </c>
      <c r="H111" s="182" t="inlineStr">
        <is>
          <t>initial release</t>
        </is>
      </c>
      <c r="I111" s="181" t="inlineStr">
        <is>
          <t>JD112501＊</t>
        </is>
      </c>
      <c r="J111" s="182" t="inlineStr">
        <is>
          <t>N/A — no P batch assigned</t>
        </is>
      </c>
      <c r="K111" s="182" t="inlineStr">
        <is>
          <t>Jelly Donutz</t>
        </is>
      </c>
      <c r="L111" s="182" t="inlineStr">
        <is>
          <t>Foreign matter</t>
        </is>
      </c>
      <c r="M111" s="182" t="inlineStr">
        <is>
          <t>iCoA_P07 · Foreign matter</t>
        </is>
      </c>
      <c r="N111" s="189" t="inlineStr">
        <is>
          <t>—</t>
        </is>
      </c>
      <c r="O111" s="182" t="inlineStr">
        <is>
          <t>ППК26065, (11.05.2026) [CNP]</t>
        </is>
      </c>
      <c r="P111" s="182" t="inlineStr">
        <is>
          <t>CoQ-PP-2026-0015</t>
        </is>
      </c>
      <c r="Q111" s="182" t="inlineStr">
        <is>
          <t>iCoA-PP-2026-0015</t>
        </is>
      </c>
      <c r="R111" s="182" t="inlineStr">
        <is>
          <t>JD112501|FM|I</t>
        </is>
      </c>
      <c r="S111" s="192" t="inlineStr">
        <is>
          <t>registered — preliminary date, QC sets the real date at issue</t>
        </is>
      </c>
    </row>
    <row r="112">
      <c r="A112" s="182">
        <f>IF(C112="yes",COUNT(A$1:A111)+1,"")</f>
        <v/>
      </c>
      <c r="B112" s="181">
        <f>IF(A112="","— at issue —","iCoA-PP_26-"&amp;TEXT(A112,"000"))</f>
        <v/>
      </c>
      <c r="C112" s="188" t="inlineStr">
        <is>
          <t>yes</t>
        </is>
      </c>
      <c r="D112" s="183">
        <f>IF(A112="","",E112)</f>
        <v/>
      </c>
      <c r="E112" s="183">
        <f>IF(AND(C112="yes",ISNUMBER(G112)),MAX(DATE(2026,5,11),G112),"")</f>
        <v/>
      </c>
      <c r="F112" s="183">
        <f>IFERROR(INDEX('Batch Dates'!$F:$F,MATCH(J112,'Batch Dates'!$C:$C,0)),IFERROR(INDEX('Batch Dates'!$F:$F,MATCH(I112,'Batch Dates'!$B:$B,0)),""))</f>
        <v/>
      </c>
      <c r="G112" s="183">
        <f>IFERROR(INDEX('Batch Dates'!$G:$G,MATCH(J112,'Batch Dates'!$C:$C,0)),IFERROR(INDEX('Batch Dates'!$G:$G,MATCH(I112,'Batch Dates'!$B:$B,0)),""))</f>
        <v/>
      </c>
      <c r="H112" s="182" t="inlineStr">
        <is>
          <t>initial release</t>
        </is>
      </c>
      <c r="I112" s="181" t="inlineStr">
        <is>
          <t>OPM112501</t>
        </is>
      </c>
      <c r="J112" s="182" t="inlineStr">
        <is>
          <t>P060222</t>
        </is>
      </c>
      <c r="K112" s="182" t="inlineStr">
        <is>
          <t>Orange Punch Mimosa</t>
        </is>
      </c>
      <c r="L112" s="182" t="inlineStr">
        <is>
          <t>Ident A + Ident B</t>
        </is>
      </c>
      <c r="M112" s="182" t="inlineStr">
        <is>
          <t>iCoA_P01-02 · Appearance &amp; Identification A/B</t>
        </is>
      </c>
      <c r="N112" s="189" t="inlineStr">
        <is>
          <t>—</t>
        </is>
      </c>
      <c r="O112" s="182" t="inlineStr">
        <is>
          <t>ППК26031, (05.03.2026) [CNP]</t>
        </is>
      </c>
      <c r="P112" s="182" t="inlineStr">
        <is>
          <t>(assigned on issue)</t>
        </is>
      </c>
      <c r="Q112" s="189" t="inlineStr">
        <is>
          <t>—</t>
        </is>
      </c>
      <c r="R112" s="182" t="inlineStr">
        <is>
          <t>P060222|AB|I</t>
        </is>
      </c>
      <c r="S112" s="192" t="inlineStr">
        <is>
          <t>registered — preliminary date, QC sets the real date at issue</t>
        </is>
      </c>
    </row>
    <row r="113">
      <c r="A113" s="182">
        <f>IF(C113="yes",COUNT(A$1:A112)+1,"")</f>
        <v/>
      </c>
      <c r="B113" s="181">
        <f>IF(A113="","— at issue —","iCoA-PP_26-"&amp;TEXT(A113,"000"))</f>
        <v/>
      </c>
      <c r="C113" s="188" t="inlineStr">
        <is>
          <t>yes</t>
        </is>
      </c>
      <c r="D113" s="183">
        <f>IF(A113="","",E113)</f>
        <v/>
      </c>
      <c r="E113" s="183">
        <f>IF(AND(C113="yes",ISNUMBER(G113)),MAX(DATE(2026,5,11),G113),"")</f>
        <v/>
      </c>
      <c r="F113" s="183">
        <f>IFERROR(INDEX('Batch Dates'!$F:$F,MATCH(J113,'Batch Dates'!$C:$C,0)),IFERROR(INDEX('Batch Dates'!$F:$F,MATCH(I113,'Batch Dates'!$B:$B,0)),""))</f>
        <v/>
      </c>
      <c r="G113" s="183">
        <f>IFERROR(INDEX('Batch Dates'!$G:$G,MATCH(J113,'Batch Dates'!$C:$C,0)),IFERROR(INDEX('Batch Dates'!$G:$G,MATCH(I113,'Batch Dates'!$B:$B,0)),""))</f>
        <v/>
      </c>
      <c r="H113" s="182" t="inlineStr">
        <is>
          <t>initial release</t>
        </is>
      </c>
      <c r="I113" s="181" t="inlineStr">
        <is>
          <t>OPM112501</t>
        </is>
      </c>
      <c r="J113" s="182" t="inlineStr">
        <is>
          <t>P060222</t>
        </is>
      </c>
      <c r="K113" s="182" t="inlineStr">
        <is>
          <t>Orange Punch Mimosa</t>
        </is>
      </c>
      <c r="L113" s="182" t="inlineStr">
        <is>
          <t>Foreign matter</t>
        </is>
      </c>
      <c r="M113" s="182" t="inlineStr">
        <is>
          <t>iCoA_P07 · Foreign matter</t>
        </is>
      </c>
      <c r="N113" s="189" t="inlineStr">
        <is>
          <t>—</t>
        </is>
      </c>
      <c r="O113" s="182" t="inlineStr">
        <is>
          <t>ППК26031, (05.03.2026) [CNP]</t>
        </is>
      </c>
      <c r="P113" s="182" t="inlineStr">
        <is>
          <t>(assigned on issue)</t>
        </is>
      </c>
      <c r="Q113" s="189" t="inlineStr">
        <is>
          <t>—</t>
        </is>
      </c>
      <c r="R113" s="182" t="inlineStr">
        <is>
          <t>P060222|FM|I</t>
        </is>
      </c>
      <c r="S113" s="192" t="inlineStr">
        <is>
          <t>registered — preliminary date, QC sets the real date at issue</t>
        </is>
      </c>
    </row>
    <row r="114">
      <c r="A114" s="182">
        <f>IF(C114="yes",COUNT(A$1:A113)+1,"")</f>
        <v/>
      </c>
      <c r="B114" s="181">
        <f>IF(A114="","— at issue —","iCoA-PP_26-"&amp;TEXT(A114,"000"))</f>
        <v/>
      </c>
      <c r="C114" s="188" t="inlineStr">
        <is>
          <t>yes</t>
        </is>
      </c>
      <c r="D114" s="183">
        <f>IF(A114="","",E114)</f>
        <v/>
      </c>
      <c r="E114" s="183">
        <f>IF(AND(C114="yes",ISNUMBER(G114)),MAX(DATE(2026,5,11),G114),"")</f>
        <v/>
      </c>
      <c r="F114" s="183">
        <f>IFERROR(INDEX('Batch Dates'!$F:$F,MATCH(J114,'Batch Dates'!$C:$C,0)),IFERROR(INDEX('Batch Dates'!$F:$F,MATCH(I114,'Batch Dates'!$B:$B,0)),""))</f>
        <v/>
      </c>
      <c r="G114" s="183">
        <f>IFERROR(INDEX('Batch Dates'!$G:$G,MATCH(J114,'Batch Dates'!$C:$C,0)),IFERROR(INDEX('Batch Dates'!$G:$G,MATCH(I114,'Batch Dates'!$B:$B,0)),""))</f>
        <v/>
      </c>
      <c r="H114" s="182" t="inlineStr">
        <is>
          <t>initial release</t>
        </is>
      </c>
      <c r="I114" s="181" t="inlineStr">
        <is>
          <t>PM112501</t>
        </is>
      </c>
      <c r="J114" s="182" t="inlineStr">
        <is>
          <t>P060232</t>
        </is>
      </c>
      <c r="K114" s="182" t="inlineStr">
        <is>
          <t>Permanent Market</t>
        </is>
      </c>
      <c r="L114" s="182" t="inlineStr">
        <is>
          <t>Ident A + Ident B</t>
        </is>
      </c>
      <c r="M114" s="182" t="inlineStr">
        <is>
          <t>iCoA_P01-02 · Appearance &amp; Identification A/B</t>
        </is>
      </c>
      <c r="N114" s="189" t="inlineStr">
        <is>
          <t>—</t>
        </is>
      </c>
      <c r="O114" s="182" t="inlineStr">
        <is>
          <t>ППК26030, (05.03.2026) [CNP]</t>
        </is>
      </c>
      <c r="P114" s="182" t="inlineStr">
        <is>
          <t>CoQ-PP-2026-0016</t>
        </is>
      </c>
      <c r="Q114" s="182" t="inlineStr">
        <is>
          <t>iCoA-PP-2026-0016</t>
        </is>
      </c>
      <c r="R114" s="182" t="inlineStr">
        <is>
          <t>P060232|AB|I</t>
        </is>
      </c>
      <c r="S114" s="192" t="inlineStr">
        <is>
          <t>registered — preliminary date, QC sets the real date at issue</t>
        </is>
      </c>
    </row>
    <row r="115">
      <c r="A115" s="182">
        <f>IF(C115="yes",COUNT(A$1:A114)+1,"")</f>
        <v/>
      </c>
      <c r="B115" s="181">
        <f>IF(A115="","— at issue —","iCoA-PP_26-"&amp;TEXT(A115,"000"))</f>
        <v/>
      </c>
      <c r="C115" s="188" t="inlineStr">
        <is>
          <t>yes</t>
        </is>
      </c>
      <c r="D115" s="183">
        <f>IF(A115="","",E115)</f>
        <v/>
      </c>
      <c r="E115" s="183">
        <f>IF(AND(C115="yes",ISNUMBER(G115)),MAX(DATE(2026,5,11),G115),"")</f>
        <v/>
      </c>
      <c r="F115" s="183">
        <f>IFERROR(INDEX('Batch Dates'!$F:$F,MATCH(J115,'Batch Dates'!$C:$C,0)),IFERROR(INDEX('Batch Dates'!$F:$F,MATCH(I115,'Batch Dates'!$B:$B,0)),""))</f>
        <v/>
      </c>
      <c r="G115" s="183">
        <f>IFERROR(INDEX('Batch Dates'!$G:$G,MATCH(J115,'Batch Dates'!$C:$C,0)),IFERROR(INDEX('Batch Dates'!$G:$G,MATCH(I115,'Batch Dates'!$B:$B,0)),""))</f>
        <v/>
      </c>
      <c r="H115" s="182" t="inlineStr">
        <is>
          <t>initial release</t>
        </is>
      </c>
      <c r="I115" s="181" t="inlineStr">
        <is>
          <t>PM112501</t>
        </is>
      </c>
      <c r="J115" s="182" t="inlineStr">
        <is>
          <t>P060232</t>
        </is>
      </c>
      <c r="K115" s="182" t="inlineStr">
        <is>
          <t>Permanent Market</t>
        </is>
      </c>
      <c r="L115" s="182" t="inlineStr">
        <is>
          <t>Foreign matter</t>
        </is>
      </c>
      <c r="M115" s="182" t="inlineStr">
        <is>
          <t>iCoA_P07 · Foreign matter</t>
        </is>
      </c>
      <c r="N115" s="189" t="inlineStr">
        <is>
          <t>—</t>
        </is>
      </c>
      <c r="O115" s="182" t="inlineStr">
        <is>
          <t>ППК26030, (05.03.2026) [CNP]</t>
        </is>
      </c>
      <c r="P115" s="182" t="inlineStr">
        <is>
          <t>CoQ-PP-2026-0016</t>
        </is>
      </c>
      <c r="Q115" s="182" t="inlineStr">
        <is>
          <t>iCoA-PP-2026-0016</t>
        </is>
      </c>
      <c r="R115" s="182" t="inlineStr">
        <is>
          <t>P060232|FM|I</t>
        </is>
      </c>
      <c r="S115" s="192" t="inlineStr">
        <is>
          <t>registered — preliminary date, QC sets the real date at issue</t>
        </is>
      </c>
    </row>
    <row r="116">
      <c r="A116" s="182">
        <f>IF(C116="yes",COUNT(A$1:A115)+1,"")</f>
        <v/>
      </c>
      <c r="B116" s="181">
        <f>IF(A116="","— at issue —","iCoA-PP_26-"&amp;TEXT(A116,"000"))</f>
        <v/>
      </c>
      <c r="C116" s="188" t="inlineStr">
        <is>
          <t>yes</t>
        </is>
      </c>
      <c r="D116" s="183">
        <f>IF(A116="","",E116)</f>
        <v/>
      </c>
      <c r="E116" s="183">
        <f>IF(AND(C116="yes",ISNUMBER(G116)),MAX(DATE(2026,5,11),G116),"")</f>
        <v/>
      </c>
      <c r="F116" s="183">
        <f>IFERROR(INDEX('Batch Dates'!$F:$F,MATCH(J116,'Batch Dates'!$C:$C,0)),IFERROR(INDEX('Batch Dates'!$F:$F,MATCH(I116,'Batch Dates'!$B:$B,0)),""))</f>
        <v/>
      </c>
      <c r="G116" s="183">
        <f>IFERROR(INDEX('Batch Dates'!$G:$G,MATCH(J116,'Batch Dates'!$C:$C,0)),IFERROR(INDEX('Batch Dates'!$G:$G,MATCH(I116,'Batch Dates'!$B:$B,0)),""))</f>
        <v/>
      </c>
      <c r="H116" s="182" t="inlineStr">
        <is>
          <t>initial release</t>
        </is>
      </c>
      <c r="I116" s="181" t="inlineStr">
        <is>
          <t>OPM122501</t>
        </is>
      </c>
      <c r="J116" s="182" t="inlineStr">
        <is>
          <t>P060242</t>
        </is>
      </c>
      <c r="K116" s="182" t="inlineStr">
        <is>
          <t>Orange Punch Mimosa</t>
        </is>
      </c>
      <c r="L116" s="182" t="inlineStr">
        <is>
          <t>Ident A + Ident B</t>
        </is>
      </c>
      <c r="M116" s="182" t="inlineStr">
        <is>
          <t>iCoA_P01-02 · Appearance &amp; Identification A/B</t>
        </is>
      </c>
      <c r="N116" s="189" t="inlineStr">
        <is>
          <t>—</t>
        </is>
      </c>
      <c r="O116" s="182" t="inlineStr">
        <is>
          <t>100-4-K-26, (09.04.2026) [FHM-K]</t>
        </is>
      </c>
      <c r="P116" s="182" t="inlineStr">
        <is>
          <t>CoQ-PP-2026-0017</t>
        </is>
      </c>
      <c r="Q116" s="182" t="inlineStr">
        <is>
          <t>iCoA-PP-2026-0017</t>
        </is>
      </c>
      <c r="R116" s="182" t="inlineStr">
        <is>
          <t>P060242|AB|I</t>
        </is>
      </c>
      <c r="S116" s="192" t="inlineStr">
        <is>
          <t>registered — preliminary date, QC sets the real date at issue</t>
        </is>
      </c>
    </row>
    <row r="117">
      <c r="A117" s="182">
        <f>IF(C117="yes",COUNT(A$1:A116)+1,"")</f>
        <v/>
      </c>
      <c r="B117" s="181">
        <f>IF(A117="","— at issue —","iCoA-PP_26-"&amp;TEXT(A117,"000"))</f>
        <v/>
      </c>
      <c r="C117" s="188" t="inlineStr">
        <is>
          <t>yes</t>
        </is>
      </c>
      <c r="D117" s="183">
        <f>IF(A117="","",E117)</f>
        <v/>
      </c>
      <c r="E117" s="183">
        <f>IF(AND(C117="yes",ISNUMBER(G117)),MAX(DATE(2026,5,11),G117),"")</f>
        <v/>
      </c>
      <c r="F117" s="183">
        <f>IFERROR(INDEX('Batch Dates'!$F:$F,MATCH(J117,'Batch Dates'!$C:$C,0)),IFERROR(INDEX('Batch Dates'!$F:$F,MATCH(I117,'Batch Dates'!$B:$B,0)),""))</f>
        <v/>
      </c>
      <c r="G117" s="183">
        <f>IFERROR(INDEX('Batch Dates'!$G:$G,MATCH(J117,'Batch Dates'!$C:$C,0)),IFERROR(INDEX('Batch Dates'!$G:$G,MATCH(I117,'Batch Dates'!$B:$B,0)),""))</f>
        <v/>
      </c>
      <c r="H117" s="182" t="inlineStr">
        <is>
          <t>initial release</t>
        </is>
      </c>
      <c r="I117" s="181" t="inlineStr">
        <is>
          <t>OPM122501</t>
        </is>
      </c>
      <c r="J117" s="182" t="inlineStr">
        <is>
          <t>P060242</t>
        </is>
      </c>
      <c r="K117" s="182" t="inlineStr">
        <is>
          <t>Orange Punch Mimosa</t>
        </is>
      </c>
      <c r="L117" s="182" t="inlineStr">
        <is>
          <t>Foreign matter</t>
        </is>
      </c>
      <c r="M117" s="182" t="inlineStr">
        <is>
          <t>iCoA_P07 · Foreign matter</t>
        </is>
      </c>
      <c r="N117" s="189" t="inlineStr">
        <is>
          <t>—</t>
        </is>
      </c>
      <c r="O117" s="182" t="inlineStr">
        <is>
          <t>100-4-K-26, (09.04.2026) [FHM-K]</t>
        </is>
      </c>
      <c r="P117" s="182" t="inlineStr">
        <is>
          <t>CoQ-PP-2026-0017</t>
        </is>
      </c>
      <c r="Q117" s="182" t="inlineStr">
        <is>
          <t>iCoA-PP-2026-0017</t>
        </is>
      </c>
      <c r="R117" s="182" t="inlineStr">
        <is>
          <t>P060242|FM|I</t>
        </is>
      </c>
      <c r="S117" s="192" t="inlineStr">
        <is>
          <t>registered — preliminary date, QC sets the real date at issue</t>
        </is>
      </c>
    </row>
    <row r="118">
      <c r="A118" s="182">
        <f>IF(C118="yes",COUNT(A$1:A117)+1,"")</f>
        <v/>
      </c>
      <c r="B118" s="181">
        <f>IF(A118="","— at issue —","iCoA-PP_26-"&amp;TEXT(A118,"000"))</f>
        <v/>
      </c>
      <c r="C118" s="188" t="inlineStr">
        <is>
          <t>yes</t>
        </is>
      </c>
      <c r="D118" s="183">
        <f>IF(A118="","",E118)</f>
        <v/>
      </c>
      <c r="E118" s="183">
        <f>IF(AND(C118="yes",ISNUMBER(G118)),MAX(DATE(2026,5,11),G118),"")</f>
        <v/>
      </c>
      <c r="F118" s="183">
        <f>IFERROR(INDEX('Batch Dates'!$F:$F,MATCH(J118,'Batch Dates'!$C:$C,0)),IFERROR(INDEX('Batch Dates'!$F:$F,MATCH(I118,'Batch Dates'!$B:$B,0)),""))</f>
        <v/>
      </c>
      <c r="G118" s="183">
        <f>IFERROR(INDEX('Batch Dates'!$G:$G,MATCH(J118,'Batch Dates'!$C:$C,0)),IFERROR(INDEX('Batch Dates'!$G:$G,MATCH(I118,'Batch Dates'!$B:$B,0)),""))</f>
        <v/>
      </c>
      <c r="H118" s="182" t="inlineStr">
        <is>
          <t>initial release</t>
        </is>
      </c>
      <c r="I118" s="181" t="inlineStr">
        <is>
          <t>GG112501</t>
        </is>
      </c>
      <c r="J118" s="182" t="inlineStr">
        <is>
          <t>P060252</t>
        </is>
      </c>
      <c r="K118" s="182" t="inlineStr">
        <is>
          <t>Gorilla Glue</t>
        </is>
      </c>
      <c r="L118" s="182" t="inlineStr">
        <is>
          <t>Ident A + Ident B</t>
        </is>
      </c>
      <c r="M118" s="182" t="inlineStr">
        <is>
          <t>iCoA_P01-02 · Appearance &amp; Identification A/B</t>
        </is>
      </c>
      <c r="N118" s="189" t="inlineStr">
        <is>
          <t>—</t>
        </is>
      </c>
      <c r="O118" s="182" t="inlineStr">
        <is>
          <t>ППК26061, (11.05.2026) [CNP]</t>
        </is>
      </c>
      <c r="P118" s="182" t="inlineStr">
        <is>
          <t>(assigned on issue)</t>
        </is>
      </c>
      <c r="Q118" s="189" t="inlineStr">
        <is>
          <t>—</t>
        </is>
      </c>
      <c r="R118" s="182" t="inlineStr">
        <is>
          <t>P060252|AB|I</t>
        </is>
      </c>
      <c r="S118" s="192" t="inlineStr">
        <is>
          <t>registered — preliminary date, QC sets the real date at issue</t>
        </is>
      </c>
    </row>
    <row r="119">
      <c r="A119" s="182">
        <f>IF(C119="yes",COUNT(A$1:A118)+1,"")</f>
        <v/>
      </c>
      <c r="B119" s="181">
        <f>IF(A119="","— at issue —","iCoA-PP_26-"&amp;TEXT(A119,"000"))</f>
        <v/>
      </c>
      <c r="C119" s="188" t="inlineStr">
        <is>
          <t>yes</t>
        </is>
      </c>
      <c r="D119" s="183">
        <f>IF(A119="","",E119)</f>
        <v/>
      </c>
      <c r="E119" s="183">
        <f>IF(AND(C119="yes",ISNUMBER(G119)),MAX(DATE(2026,5,11),G119),"")</f>
        <v/>
      </c>
      <c r="F119" s="183">
        <f>IFERROR(INDEX('Batch Dates'!$F:$F,MATCH(J119,'Batch Dates'!$C:$C,0)),IFERROR(INDEX('Batch Dates'!$F:$F,MATCH(I119,'Batch Dates'!$B:$B,0)),""))</f>
        <v/>
      </c>
      <c r="G119" s="183">
        <f>IFERROR(INDEX('Batch Dates'!$G:$G,MATCH(J119,'Batch Dates'!$C:$C,0)),IFERROR(INDEX('Batch Dates'!$G:$G,MATCH(I119,'Batch Dates'!$B:$B,0)),""))</f>
        <v/>
      </c>
      <c r="H119" s="182" t="inlineStr">
        <is>
          <t>initial release</t>
        </is>
      </c>
      <c r="I119" s="181" t="inlineStr">
        <is>
          <t>GG112501</t>
        </is>
      </c>
      <c r="J119" s="182" t="inlineStr">
        <is>
          <t>P060252</t>
        </is>
      </c>
      <c r="K119" s="182" t="inlineStr">
        <is>
          <t>Gorilla Glue</t>
        </is>
      </c>
      <c r="L119" s="182" t="inlineStr">
        <is>
          <t>Foreign matter</t>
        </is>
      </c>
      <c r="M119" s="182" t="inlineStr">
        <is>
          <t>iCoA_P07 · Foreign matter</t>
        </is>
      </c>
      <c r="N119" s="189" t="inlineStr">
        <is>
          <t>—</t>
        </is>
      </c>
      <c r="O119" s="182" t="inlineStr">
        <is>
          <t>ППК26061, (11.05.2026) [CNP]</t>
        </is>
      </c>
      <c r="P119" s="182" t="inlineStr">
        <is>
          <t>(assigned on issue)</t>
        </is>
      </c>
      <c r="Q119" s="189" t="inlineStr">
        <is>
          <t>—</t>
        </is>
      </c>
      <c r="R119" s="182" t="inlineStr">
        <is>
          <t>P060252|FM|I</t>
        </is>
      </c>
      <c r="S119" s="192" t="inlineStr">
        <is>
          <t>registered — preliminary date, QC sets the real date at issue</t>
        </is>
      </c>
    </row>
    <row r="120">
      <c r="A120" s="182">
        <f>IF(C120="yes",COUNT(A$1:A119)+1,"")</f>
        <v/>
      </c>
      <c r="B120" s="181">
        <f>IF(A120="","— at issue —","iCoA-PP_26-"&amp;TEXT(A120,"000"))</f>
        <v/>
      </c>
      <c r="C120" s="188" t="inlineStr">
        <is>
          <t>yes</t>
        </is>
      </c>
      <c r="D120" s="183">
        <f>IF(A120="","",E120)</f>
        <v/>
      </c>
      <c r="E120" s="183">
        <f>IF(AND(C120="yes",ISNUMBER(G120)),MAX(DATE(2026,5,11),G120),"")</f>
        <v/>
      </c>
      <c r="F120" s="183">
        <f>IFERROR(INDEX('Batch Dates'!$F:$F,MATCH(J120,'Batch Dates'!$C:$C,0)),IFERROR(INDEX('Batch Dates'!$F:$F,MATCH(I120,'Batch Dates'!$B:$B,0)),""))</f>
        <v/>
      </c>
      <c r="G120" s="183">
        <f>IFERROR(INDEX('Batch Dates'!$G:$G,MATCH(J120,'Batch Dates'!$C:$C,0)),IFERROR(INDEX('Batch Dates'!$G:$G,MATCH(I120,'Batch Dates'!$B:$B,0)),""))</f>
        <v/>
      </c>
      <c r="H120" s="182" t="inlineStr">
        <is>
          <t>initial release</t>
        </is>
      </c>
      <c r="I120" s="181" t="inlineStr">
        <is>
          <t>J31122501</t>
        </is>
      </c>
      <c r="J120" s="182" t="inlineStr">
        <is>
          <t>P060262</t>
        </is>
      </c>
      <c r="K120" s="182" t="inlineStr">
        <is>
          <t>Jokerz 31</t>
        </is>
      </c>
      <c r="L120" s="182" t="inlineStr">
        <is>
          <t>Ident A + Ident B</t>
        </is>
      </c>
      <c r="M120" s="182" t="inlineStr">
        <is>
          <t>iCoA_P01-02 · Appearance &amp; Identification A/B</t>
        </is>
      </c>
      <c r="N120" s="189" t="inlineStr">
        <is>
          <t>—</t>
        </is>
      </c>
      <c r="O120" s="182" t="inlineStr">
        <is>
          <t>100-2-K-26, (09.04.2026) [FHM-K]</t>
        </is>
      </c>
      <c r="P120" s="182" t="inlineStr">
        <is>
          <t>(assigned on issue)</t>
        </is>
      </c>
      <c r="Q120" s="189" t="inlineStr">
        <is>
          <t>—</t>
        </is>
      </c>
      <c r="R120" s="182" t="inlineStr">
        <is>
          <t>P060262|AB|I</t>
        </is>
      </c>
      <c r="S120" s="192" t="inlineStr">
        <is>
          <t>registered — preliminary date, QC sets the real date at issue</t>
        </is>
      </c>
    </row>
    <row r="121">
      <c r="A121" s="182">
        <f>IF(C121="yes",COUNT(A$1:A120)+1,"")</f>
        <v/>
      </c>
      <c r="B121" s="181">
        <f>IF(A121="","— at issue —","iCoA-PP_26-"&amp;TEXT(A121,"000"))</f>
        <v/>
      </c>
      <c r="C121" s="188" t="inlineStr">
        <is>
          <t>yes</t>
        </is>
      </c>
      <c r="D121" s="183">
        <f>IF(A121="","",E121)</f>
        <v/>
      </c>
      <c r="E121" s="183">
        <f>IF(AND(C121="yes",ISNUMBER(G121)),MAX(DATE(2026,5,11),G121),"")</f>
        <v/>
      </c>
      <c r="F121" s="183">
        <f>IFERROR(INDEX('Batch Dates'!$F:$F,MATCH(J121,'Batch Dates'!$C:$C,0)),IFERROR(INDEX('Batch Dates'!$F:$F,MATCH(I121,'Batch Dates'!$B:$B,0)),""))</f>
        <v/>
      </c>
      <c r="G121" s="183">
        <f>IFERROR(INDEX('Batch Dates'!$G:$G,MATCH(J121,'Batch Dates'!$C:$C,0)),IFERROR(INDEX('Batch Dates'!$G:$G,MATCH(I121,'Batch Dates'!$B:$B,0)),""))</f>
        <v/>
      </c>
      <c r="H121" s="182" t="inlineStr">
        <is>
          <t>initial release</t>
        </is>
      </c>
      <c r="I121" s="181" t="inlineStr">
        <is>
          <t>J31122501</t>
        </is>
      </c>
      <c r="J121" s="182" t="inlineStr">
        <is>
          <t>P060262</t>
        </is>
      </c>
      <c r="K121" s="182" t="inlineStr">
        <is>
          <t>Jokerz 31</t>
        </is>
      </c>
      <c r="L121" s="182" t="inlineStr">
        <is>
          <t>Foreign matter</t>
        </is>
      </c>
      <c r="M121" s="182" t="inlineStr">
        <is>
          <t>iCoA_P07 · Foreign matter</t>
        </is>
      </c>
      <c r="N121" s="189" t="inlineStr">
        <is>
          <t>—</t>
        </is>
      </c>
      <c r="O121" s="182" t="inlineStr">
        <is>
          <t>100-2-K-26, (09.04.2026) [FHM-K]</t>
        </is>
      </c>
      <c r="P121" s="182" t="inlineStr">
        <is>
          <t>(assigned on issue)</t>
        </is>
      </c>
      <c r="Q121" s="189" t="inlineStr">
        <is>
          <t>—</t>
        </is>
      </c>
      <c r="R121" s="182" t="inlineStr">
        <is>
          <t>P060262|FM|I</t>
        </is>
      </c>
      <c r="S121" s="192" t="inlineStr">
        <is>
          <t>registered — preliminary date, QC sets the real date at issue</t>
        </is>
      </c>
    </row>
    <row r="122">
      <c r="A122" s="182">
        <f>IF(C122="yes",COUNT(A$1:A121)+1,"")</f>
        <v/>
      </c>
      <c r="B122" s="181">
        <f>IF(A122="","— at issue —","iCoA-PP_26-"&amp;TEXT(A122,"000"))</f>
        <v/>
      </c>
      <c r="C122" s="188" t="inlineStr">
        <is>
          <t>yes</t>
        </is>
      </c>
      <c r="D122" s="183">
        <f>IF(A122="","",E122)</f>
        <v/>
      </c>
      <c r="E122" s="183">
        <f>IF(AND(C122="yes",ISNUMBER(G122)),MAX(DATE(2026,5,11),G122),"")</f>
        <v/>
      </c>
      <c r="F122" s="183">
        <f>IFERROR(INDEX('Batch Dates'!$F:$F,MATCH(J122,'Batch Dates'!$C:$C,0)),IFERROR(INDEX('Batch Dates'!$F:$F,MATCH(I122,'Batch Dates'!$B:$B,0)),""))</f>
        <v/>
      </c>
      <c r="G122" s="183">
        <f>IFERROR(INDEX('Batch Dates'!$G:$G,MATCH(J122,'Batch Dates'!$C:$C,0)),IFERROR(INDEX('Batch Dates'!$G:$G,MATCH(I122,'Batch Dates'!$B:$B,0)),""))</f>
        <v/>
      </c>
      <c r="H122" s="182" t="inlineStr">
        <is>
          <t>initial release</t>
        </is>
      </c>
      <c r="I122" s="181" t="inlineStr">
        <is>
          <t>CC112501</t>
        </is>
      </c>
      <c r="J122" s="182" t="inlineStr">
        <is>
          <t>P060272</t>
        </is>
      </c>
      <c r="K122" s="182" t="inlineStr">
        <is>
          <t>Cash Cow</t>
        </is>
      </c>
      <c r="L122" s="182" t="inlineStr">
        <is>
          <t>Ident A + Ident B</t>
        </is>
      </c>
      <c r="M122" s="182" t="inlineStr">
        <is>
          <t>iCoA_P01-02 · Appearance &amp; Identification A/B</t>
        </is>
      </c>
      <c r="N122" s="189" t="inlineStr">
        <is>
          <t>—</t>
        </is>
      </c>
      <c r="O122" s="182" t="inlineStr">
        <is>
          <t>ППК26068, (11.05.2026) [CNP]</t>
        </is>
      </c>
      <c r="P122" s="182" t="inlineStr">
        <is>
          <t>(assigned on issue)</t>
        </is>
      </c>
      <c r="Q122" s="189" t="inlineStr">
        <is>
          <t>—</t>
        </is>
      </c>
      <c r="R122" s="182" t="inlineStr">
        <is>
          <t>P060272|AB|I</t>
        </is>
      </c>
      <c r="S122" s="192" t="inlineStr">
        <is>
          <t>registered — preliminary date, QC sets the real date at issue</t>
        </is>
      </c>
    </row>
    <row r="123">
      <c r="A123" s="182">
        <f>IF(C123="yes",COUNT(A$1:A122)+1,"")</f>
        <v/>
      </c>
      <c r="B123" s="181">
        <f>IF(A123="","— at issue —","iCoA-PP_26-"&amp;TEXT(A123,"000"))</f>
        <v/>
      </c>
      <c r="C123" s="188" t="inlineStr">
        <is>
          <t>yes</t>
        </is>
      </c>
      <c r="D123" s="183">
        <f>IF(A123="","",E123)</f>
        <v/>
      </c>
      <c r="E123" s="183">
        <f>IF(AND(C123="yes",ISNUMBER(G123)),MAX(DATE(2026,5,11),G123),"")</f>
        <v/>
      </c>
      <c r="F123" s="183">
        <f>IFERROR(INDEX('Batch Dates'!$F:$F,MATCH(J123,'Batch Dates'!$C:$C,0)),IFERROR(INDEX('Batch Dates'!$F:$F,MATCH(I123,'Batch Dates'!$B:$B,0)),""))</f>
        <v/>
      </c>
      <c r="G123" s="183">
        <f>IFERROR(INDEX('Batch Dates'!$G:$G,MATCH(J123,'Batch Dates'!$C:$C,0)),IFERROR(INDEX('Batch Dates'!$G:$G,MATCH(I123,'Batch Dates'!$B:$B,0)),""))</f>
        <v/>
      </c>
      <c r="H123" s="182" t="inlineStr">
        <is>
          <t>initial release</t>
        </is>
      </c>
      <c r="I123" s="181" t="inlineStr">
        <is>
          <t>CC112501</t>
        </is>
      </c>
      <c r="J123" s="182" t="inlineStr">
        <is>
          <t>P060272</t>
        </is>
      </c>
      <c r="K123" s="182" t="inlineStr">
        <is>
          <t>Cash Cow</t>
        </is>
      </c>
      <c r="L123" s="182" t="inlineStr">
        <is>
          <t>Foreign matter</t>
        </is>
      </c>
      <c r="M123" s="182" t="inlineStr">
        <is>
          <t>iCoA_P07 · Foreign matter</t>
        </is>
      </c>
      <c r="N123" s="189" t="inlineStr">
        <is>
          <t>—</t>
        </is>
      </c>
      <c r="O123" s="182" t="inlineStr">
        <is>
          <t>ППК26068, (11.05.2026) [CNP]</t>
        </is>
      </c>
      <c r="P123" s="182" t="inlineStr">
        <is>
          <t>(assigned on issue)</t>
        </is>
      </c>
      <c r="Q123" s="189" t="inlineStr">
        <is>
          <t>—</t>
        </is>
      </c>
      <c r="R123" s="182" t="inlineStr">
        <is>
          <t>P060272|FM|I</t>
        </is>
      </c>
      <c r="S123" s="192" t="inlineStr">
        <is>
          <t>registered — preliminary date, QC sets the real date at issue</t>
        </is>
      </c>
    </row>
    <row r="124">
      <c r="A124" s="182">
        <f>IF(C124="yes",COUNT(A$1:A123)+1,"")</f>
        <v/>
      </c>
      <c r="B124" s="181">
        <f>IF(A124="","— at issue —","iCoA-PP_26-"&amp;TEXT(A124,"000"))</f>
        <v/>
      </c>
      <c r="C124" s="188" t="inlineStr">
        <is>
          <t>yes</t>
        </is>
      </c>
      <c r="D124" s="183">
        <f>IF(A124="","",E124)</f>
        <v/>
      </c>
      <c r="E124" s="183">
        <f>IF(AND(C124="yes",ISNUMBER(G124)),MAX(DATE(2026,5,11),G124),"")</f>
        <v/>
      </c>
      <c r="F124" s="183">
        <f>IFERROR(INDEX('Batch Dates'!$F:$F,MATCH(J124,'Batch Dates'!$C:$C,0)),IFERROR(INDEX('Batch Dates'!$F:$F,MATCH(I124,'Batch Dates'!$B:$B,0)),""))</f>
        <v/>
      </c>
      <c r="G124" s="183">
        <f>IFERROR(INDEX('Batch Dates'!$G:$G,MATCH(J124,'Batch Dates'!$C:$C,0)),IFERROR(INDEX('Batch Dates'!$G:$G,MATCH(I124,'Batch Dates'!$B:$B,0)),""))</f>
        <v/>
      </c>
      <c r="H124" s="182" t="inlineStr">
        <is>
          <t>initial release</t>
        </is>
      </c>
      <c r="I124" s="181" t="inlineStr">
        <is>
          <t>SCR112501</t>
        </is>
      </c>
      <c r="J124" s="182" t="inlineStr">
        <is>
          <t>P060282</t>
        </is>
      </c>
      <c r="K124" s="182" t="inlineStr">
        <is>
          <t>Scrambler</t>
        </is>
      </c>
      <c r="L124" s="182" t="inlineStr">
        <is>
          <t>Ident A + Ident B</t>
        </is>
      </c>
      <c r="M124" s="182" t="inlineStr">
        <is>
          <t>iCoA_P01-02 · Appearance &amp; Identification A/B</t>
        </is>
      </c>
      <c r="N124" s="189" t="inlineStr">
        <is>
          <t>—</t>
        </is>
      </c>
      <c r="O124" s="182" t="inlineStr">
        <is>
          <t>ППК26069, (11.05.2026) [CNP]</t>
        </is>
      </c>
      <c r="P124" s="182" t="inlineStr">
        <is>
          <t>CoQ-PP-2026-0018</t>
        </is>
      </c>
      <c r="Q124" s="182" t="inlineStr">
        <is>
          <t>iCoA-PP-2026-0018</t>
        </is>
      </c>
      <c r="R124" s="182" t="inlineStr">
        <is>
          <t>P060282|AB|I</t>
        </is>
      </c>
      <c r="S124" s="192" t="inlineStr">
        <is>
          <t>registered — preliminary date, QC sets the real date at issue</t>
        </is>
      </c>
    </row>
    <row r="125">
      <c r="A125" s="182">
        <f>IF(C125="yes",COUNT(A$1:A124)+1,"")</f>
        <v/>
      </c>
      <c r="B125" s="181">
        <f>IF(A125="","— at issue —","iCoA-PP_26-"&amp;TEXT(A125,"000"))</f>
        <v/>
      </c>
      <c r="C125" s="188" t="inlineStr">
        <is>
          <t>yes</t>
        </is>
      </c>
      <c r="D125" s="183">
        <f>IF(A125="","",E125)</f>
        <v/>
      </c>
      <c r="E125" s="183">
        <f>IF(AND(C125="yes",ISNUMBER(G125)),MAX(DATE(2026,5,11),G125),"")</f>
        <v/>
      </c>
      <c r="F125" s="183">
        <f>IFERROR(INDEX('Batch Dates'!$F:$F,MATCH(J125,'Batch Dates'!$C:$C,0)),IFERROR(INDEX('Batch Dates'!$F:$F,MATCH(I125,'Batch Dates'!$B:$B,0)),""))</f>
        <v/>
      </c>
      <c r="G125" s="183">
        <f>IFERROR(INDEX('Batch Dates'!$G:$G,MATCH(J125,'Batch Dates'!$C:$C,0)),IFERROR(INDEX('Batch Dates'!$G:$G,MATCH(I125,'Batch Dates'!$B:$B,0)),""))</f>
        <v/>
      </c>
      <c r="H125" s="182" t="inlineStr">
        <is>
          <t>initial release</t>
        </is>
      </c>
      <c r="I125" s="181" t="inlineStr">
        <is>
          <t>SCR112501</t>
        </is>
      </c>
      <c r="J125" s="182" t="inlineStr">
        <is>
          <t>P060282</t>
        </is>
      </c>
      <c r="K125" s="182" t="inlineStr">
        <is>
          <t>Scrambler</t>
        </is>
      </c>
      <c r="L125" s="182" t="inlineStr">
        <is>
          <t>Foreign matter</t>
        </is>
      </c>
      <c r="M125" s="182" t="inlineStr">
        <is>
          <t>iCoA_P07 · Foreign matter</t>
        </is>
      </c>
      <c r="N125" s="189" t="inlineStr">
        <is>
          <t>—</t>
        </is>
      </c>
      <c r="O125" s="182" t="inlineStr">
        <is>
          <t>ППК26069, (11.05.2026) [CNP]</t>
        </is>
      </c>
      <c r="P125" s="182" t="inlineStr">
        <is>
          <t>CoQ-PP-2026-0018</t>
        </is>
      </c>
      <c r="Q125" s="182" t="inlineStr">
        <is>
          <t>iCoA-PP-2026-0018</t>
        </is>
      </c>
      <c r="R125" s="182" t="inlineStr">
        <is>
          <t>P060282|FM|I</t>
        </is>
      </c>
      <c r="S125" s="192" t="inlineStr">
        <is>
          <t>registered — preliminary date, QC sets the real date at issue</t>
        </is>
      </c>
    </row>
    <row r="126">
      <c r="A126" s="182">
        <f>IF(C126="yes",COUNT(A$1:A125)+1,"")</f>
        <v/>
      </c>
      <c r="B126" s="181">
        <f>IF(A126="","— at issue —","iCoA-PP_26-"&amp;TEXT(A126,"000"))</f>
        <v/>
      </c>
      <c r="C126" s="188" t="inlineStr">
        <is>
          <t>yes</t>
        </is>
      </c>
      <c r="D126" s="183">
        <f>IF(A126="","",E126)</f>
        <v/>
      </c>
      <c r="E126" s="183">
        <f>IF(AND(C126="yes",ISNUMBER(G126)),MAX(DATE(2026,5,11),G126),"")</f>
        <v/>
      </c>
      <c r="F126" s="183">
        <f>IFERROR(INDEX('Batch Dates'!$F:$F,MATCH(J126,'Batch Dates'!$C:$C,0)),IFERROR(INDEX('Batch Dates'!$F:$F,MATCH(I126,'Batch Dates'!$B:$B,0)),""))</f>
        <v/>
      </c>
      <c r="G126" s="183">
        <f>IFERROR(INDEX('Batch Dates'!$G:$G,MATCH(J126,'Batch Dates'!$C:$C,0)),IFERROR(INDEX('Batch Dates'!$G:$G,MATCH(I126,'Batch Dates'!$B:$B,0)),""))</f>
        <v/>
      </c>
      <c r="H126" s="182" t="inlineStr">
        <is>
          <t>initial release</t>
        </is>
      </c>
      <c r="I126" s="181" t="inlineStr">
        <is>
          <t>FB112501</t>
        </is>
      </c>
      <c r="J126" s="182" t="inlineStr">
        <is>
          <t>P060292</t>
        </is>
      </c>
      <c r="K126" s="182" t="inlineStr">
        <is>
          <t>Fat Bastard</t>
        </is>
      </c>
      <c r="L126" s="182" t="inlineStr">
        <is>
          <t>Ident A + Ident B</t>
        </is>
      </c>
      <c r="M126" s="182" t="inlineStr">
        <is>
          <t>iCoA_P01-02 · Appearance &amp; Identification A/B</t>
        </is>
      </c>
      <c r="N126" s="189" t="inlineStr">
        <is>
          <t>—</t>
        </is>
      </c>
      <c r="O126" s="182" t="inlineStr">
        <is>
          <t>ППК26066, (11.05.2026) [CNP]</t>
        </is>
      </c>
      <c r="P126" s="182" t="inlineStr">
        <is>
          <t>(assigned on issue)</t>
        </is>
      </c>
      <c r="Q126" s="189" t="inlineStr">
        <is>
          <t>—</t>
        </is>
      </c>
      <c r="R126" s="182" t="inlineStr">
        <is>
          <t>P060292|AB|I</t>
        </is>
      </c>
      <c r="S126" s="192" t="inlineStr">
        <is>
          <t>registered — preliminary date, QC sets the real date at issue</t>
        </is>
      </c>
    </row>
    <row r="127">
      <c r="A127" s="182">
        <f>IF(C127="yes",COUNT(A$1:A126)+1,"")</f>
        <v/>
      </c>
      <c r="B127" s="181">
        <f>IF(A127="","— at issue —","iCoA-PP_26-"&amp;TEXT(A127,"000"))</f>
        <v/>
      </c>
      <c r="C127" s="188" t="inlineStr">
        <is>
          <t>yes</t>
        </is>
      </c>
      <c r="D127" s="183">
        <f>IF(A127="","",E127)</f>
        <v/>
      </c>
      <c r="E127" s="183">
        <f>IF(AND(C127="yes",ISNUMBER(G127)),MAX(DATE(2026,5,11),G127),"")</f>
        <v/>
      </c>
      <c r="F127" s="183">
        <f>IFERROR(INDEX('Batch Dates'!$F:$F,MATCH(J127,'Batch Dates'!$C:$C,0)),IFERROR(INDEX('Batch Dates'!$F:$F,MATCH(I127,'Batch Dates'!$B:$B,0)),""))</f>
        <v/>
      </c>
      <c r="G127" s="183">
        <f>IFERROR(INDEX('Batch Dates'!$G:$G,MATCH(J127,'Batch Dates'!$C:$C,0)),IFERROR(INDEX('Batch Dates'!$G:$G,MATCH(I127,'Batch Dates'!$B:$B,0)),""))</f>
        <v/>
      </c>
      <c r="H127" s="182" t="inlineStr">
        <is>
          <t>initial release</t>
        </is>
      </c>
      <c r="I127" s="181" t="inlineStr">
        <is>
          <t>FB112501</t>
        </is>
      </c>
      <c r="J127" s="182" t="inlineStr">
        <is>
          <t>P060292</t>
        </is>
      </c>
      <c r="K127" s="182" t="inlineStr">
        <is>
          <t>Fat Bastard</t>
        </is>
      </c>
      <c r="L127" s="182" t="inlineStr">
        <is>
          <t>Foreign matter</t>
        </is>
      </c>
      <c r="M127" s="182" t="inlineStr">
        <is>
          <t>iCoA_P07 · Foreign matter</t>
        </is>
      </c>
      <c r="N127" s="189" t="inlineStr">
        <is>
          <t>—</t>
        </is>
      </c>
      <c r="O127" s="182" t="inlineStr">
        <is>
          <t>ППК26066, (11.05.2026) [CNP]</t>
        </is>
      </c>
      <c r="P127" s="182" t="inlineStr">
        <is>
          <t>(assigned on issue)</t>
        </is>
      </c>
      <c r="Q127" s="189" t="inlineStr">
        <is>
          <t>—</t>
        </is>
      </c>
      <c r="R127" s="182" t="inlineStr">
        <is>
          <t>P060292|FM|I</t>
        </is>
      </c>
      <c r="S127" s="192" t="inlineStr">
        <is>
          <t>registered — preliminary date, QC sets the real date at issue</t>
        </is>
      </c>
    </row>
    <row r="128">
      <c r="A128" s="182">
        <f>IF(C128="yes",COUNT(A$1:A127)+1,"")</f>
        <v/>
      </c>
      <c r="B128" s="181">
        <f>IF(A128="","— at issue —","iCoA-PP_26-"&amp;TEXT(A128,"000"))</f>
        <v/>
      </c>
      <c r="C128" s="188" t="inlineStr">
        <is>
          <t>yes</t>
        </is>
      </c>
      <c r="D128" s="183">
        <f>IF(A128="","",E128)</f>
        <v/>
      </c>
      <c r="E128" s="183">
        <f>IF(AND(C128="yes",ISNUMBER(G128)),MAX(DATE(2026,5,11),G128),"")</f>
        <v/>
      </c>
      <c r="F128" s="183">
        <f>IFERROR(INDEX('Batch Dates'!$F:$F,MATCH(J128,'Batch Dates'!$C:$C,0)),IFERROR(INDEX('Batch Dates'!$F:$F,MATCH(I128,'Batch Dates'!$B:$B,0)),""))</f>
        <v/>
      </c>
      <c r="G128" s="183">
        <f>IFERROR(INDEX('Batch Dates'!$G:$G,MATCH(J128,'Batch Dates'!$C:$C,0)),IFERROR(INDEX('Batch Dates'!$G:$G,MATCH(I128,'Batch Dates'!$B:$B,0)),""))</f>
        <v/>
      </c>
      <c r="H128" s="182" t="inlineStr">
        <is>
          <t>initial release</t>
        </is>
      </c>
      <c r="I128" s="181" t="inlineStr">
        <is>
          <t>GG012601＊</t>
        </is>
      </c>
      <c r="J128" s="182" t="inlineStr">
        <is>
          <t>P060302</t>
        </is>
      </c>
      <c r="K128" s="182" t="inlineStr">
        <is>
          <t>Gorilla Glue</t>
        </is>
      </c>
      <c r="L128" s="182" t="inlineStr">
        <is>
          <t>Ident A + Ident B</t>
        </is>
      </c>
      <c r="M128" s="182" t="inlineStr">
        <is>
          <t>iCoA_P01-02 · Appearance &amp; Identification A/B</t>
        </is>
      </c>
      <c r="N128" s="189" t="inlineStr">
        <is>
          <t>—</t>
        </is>
      </c>
      <c r="O128" s="182" t="inlineStr">
        <is>
          <t>ППК26062, (11.05.2026) [CNP]</t>
        </is>
      </c>
      <c r="P128" s="182" t="inlineStr">
        <is>
          <t>(assigned on issue)</t>
        </is>
      </c>
      <c r="Q128" s="189" t="inlineStr">
        <is>
          <t>—</t>
        </is>
      </c>
      <c r="R128" s="182" t="inlineStr">
        <is>
          <t>P060302|AB|I</t>
        </is>
      </c>
      <c r="S128" s="192" t="inlineStr">
        <is>
          <t>registered — preliminary date, QC sets the real date at issue</t>
        </is>
      </c>
    </row>
    <row r="129">
      <c r="A129" s="182">
        <f>IF(C129="yes",COUNT(A$1:A128)+1,"")</f>
        <v/>
      </c>
      <c r="B129" s="181">
        <f>IF(A129="","— at issue —","iCoA-PP_26-"&amp;TEXT(A129,"000"))</f>
        <v/>
      </c>
      <c r="C129" s="188" t="inlineStr">
        <is>
          <t>yes</t>
        </is>
      </c>
      <c r="D129" s="183">
        <f>IF(A129="","",E129)</f>
        <v/>
      </c>
      <c r="E129" s="183">
        <f>IF(AND(C129="yes",ISNUMBER(G129)),MAX(DATE(2026,5,11),G129),"")</f>
        <v/>
      </c>
      <c r="F129" s="183">
        <f>IFERROR(INDEX('Batch Dates'!$F:$F,MATCH(J129,'Batch Dates'!$C:$C,0)),IFERROR(INDEX('Batch Dates'!$F:$F,MATCH(I129,'Batch Dates'!$B:$B,0)),""))</f>
        <v/>
      </c>
      <c r="G129" s="183">
        <f>IFERROR(INDEX('Batch Dates'!$G:$G,MATCH(J129,'Batch Dates'!$C:$C,0)),IFERROR(INDEX('Batch Dates'!$G:$G,MATCH(I129,'Batch Dates'!$B:$B,0)),""))</f>
        <v/>
      </c>
      <c r="H129" s="182" t="inlineStr">
        <is>
          <t>initial release</t>
        </is>
      </c>
      <c r="I129" s="181" t="inlineStr">
        <is>
          <t>GG012601＊</t>
        </is>
      </c>
      <c r="J129" s="182" t="inlineStr">
        <is>
          <t>P060302</t>
        </is>
      </c>
      <c r="K129" s="182" t="inlineStr">
        <is>
          <t>Gorilla Glue</t>
        </is>
      </c>
      <c r="L129" s="182" t="inlineStr">
        <is>
          <t>Foreign matter</t>
        </is>
      </c>
      <c r="M129" s="182" t="inlineStr">
        <is>
          <t>iCoA_P07 · Foreign matter</t>
        </is>
      </c>
      <c r="N129" s="189" t="inlineStr">
        <is>
          <t>—</t>
        </is>
      </c>
      <c r="O129" s="182" t="inlineStr">
        <is>
          <t>ППК26062, (11.05.2026) [CNP]</t>
        </is>
      </c>
      <c r="P129" s="182" t="inlineStr">
        <is>
          <t>(assigned on issue)</t>
        </is>
      </c>
      <c r="Q129" s="189" t="inlineStr">
        <is>
          <t>—</t>
        </is>
      </c>
      <c r="R129" s="182" t="inlineStr">
        <is>
          <t>P060302|FM|I</t>
        </is>
      </c>
      <c r="S129" s="192" t="inlineStr">
        <is>
          <t>registered — preliminary date, QC sets the real date at issue</t>
        </is>
      </c>
    </row>
    <row r="130">
      <c r="A130" s="182">
        <f>IF(C130="yes",COUNT(A$1:A129)+1,"")</f>
        <v/>
      </c>
      <c r="B130" s="181">
        <f>IF(A130="","— at issue —","iCoA-PP_26-"&amp;TEXT(A130,"000"))</f>
        <v/>
      </c>
      <c r="C130" s="188" t="inlineStr">
        <is>
          <t>yes</t>
        </is>
      </c>
      <c r="D130" s="183">
        <f>IF(A130="","",E130)</f>
        <v/>
      </c>
      <c r="E130" s="183">
        <f>IF(AND(C130="yes",ISNUMBER(G130)),MAX(DATE(2026,5,11),G130),"")</f>
        <v/>
      </c>
      <c r="F130" s="183">
        <f>IFERROR(INDEX('Batch Dates'!$F:$F,MATCH(J130,'Batch Dates'!$C:$C,0)),IFERROR(INDEX('Batch Dates'!$F:$F,MATCH(I130,'Batch Dates'!$B:$B,0)),""))</f>
        <v/>
      </c>
      <c r="G130" s="183">
        <f>IFERROR(INDEX('Batch Dates'!$G:$G,MATCH(J130,'Batch Dates'!$C:$C,0)),IFERROR(INDEX('Batch Dates'!$G:$G,MATCH(I130,'Batch Dates'!$B:$B,0)),""))</f>
        <v/>
      </c>
      <c r="H130" s="182" t="inlineStr">
        <is>
          <t>initial release</t>
        </is>
      </c>
      <c r="I130" s="181" t="inlineStr">
        <is>
          <t>JD012601＊</t>
        </is>
      </c>
      <c r="J130" s="182" t="inlineStr">
        <is>
          <t>P060312</t>
        </is>
      </c>
      <c r="K130" s="182" t="inlineStr">
        <is>
          <t>Jelly Donutz</t>
        </is>
      </c>
      <c r="L130" s="182" t="inlineStr">
        <is>
          <t>Ident A + Ident B</t>
        </is>
      </c>
      <c r="M130" s="182" t="inlineStr">
        <is>
          <t>iCoA_P01-02 · Appearance &amp; Identification A/B</t>
        </is>
      </c>
      <c r="N130" s="189" t="inlineStr">
        <is>
          <t>—</t>
        </is>
      </c>
      <c r="O130" s="182" t="inlineStr">
        <is>
          <t>ППК26064, (11.05.2026) [CNP]</t>
        </is>
      </c>
      <c r="P130" s="182" t="inlineStr">
        <is>
          <t>(assigned on issue)</t>
        </is>
      </c>
      <c r="Q130" s="189" t="inlineStr">
        <is>
          <t>—</t>
        </is>
      </c>
      <c r="R130" s="182" t="inlineStr">
        <is>
          <t>P060312|AB|I</t>
        </is>
      </c>
      <c r="S130" s="192" t="inlineStr">
        <is>
          <t>registered — preliminary date, QC sets the real date at issue</t>
        </is>
      </c>
    </row>
    <row r="131">
      <c r="A131" s="182">
        <f>IF(C131="yes",COUNT(A$1:A130)+1,"")</f>
        <v/>
      </c>
      <c r="B131" s="181">
        <f>IF(A131="","— at issue —","iCoA-PP_26-"&amp;TEXT(A131,"000"))</f>
        <v/>
      </c>
      <c r="C131" s="188" t="inlineStr">
        <is>
          <t>yes</t>
        </is>
      </c>
      <c r="D131" s="183">
        <f>IF(A131="","",E131)</f>
        <v/>
      </c>
      <c r="E131" s="183">
        <f>IF(AND(C131="yes",ISNUMBER(G131)),MAX(DATE(2026,5,11),G131),"")</f>
        <v/>
      </c>
      <c r="F131" s="183">
        <f>IFERROR(INDEX('Batch Dates'!$F:$F,MATCH(J131,'Batch Dates'!$C:$C,0)),IFERROR(INDEX('Batch Dates'!$F:$F,MATCH(I131,'Batch Dates'!$B:$B,0)),""))</f>
        <v/>
      </c>
      <c r="G131" s="183">
        <f>IFERROR(INDEX('Batch Dates'!$G:$G,MATCH(J131,'Batch Dates'!$C:$C,0)),IFERROR(INDEX('Batch Dates'!$G:$G,MATCH(I131,'Batch Dates'!$B:$B,0)),""))</f>
        <v/>
      </c>
      <c r="H131" s="182" t="inlineStr">
        <is>
          <t>initial release</t>
        </is>
      </c>
      <c r="I131" s="181" t="inlineStr">
        <is>
          <t>JD012601＊</t>
        </is>
      </c>
      <c r="J131" s="182" t="inlineStr">
        <is>
          <t>P060312</t>
        </is>
      </c>
      <c r="K131" s="182" t="inlineStr">
        <is>
          <t>Jelly Donutz</t>
        </is>
      </c>
      <c r="L131" s="182" t="inlineStr">
        <is>
          <t>Foreign matter</t>
        </is>
      </c>
      <c r="M131" s="182" t="inlineStr">
        <is>
          <t>iCoA_P07 · Foreign matter</t>
        </is>
      </c>
      <c r="N131" s="189" t="inlineStr">
        <is>
          <t>—</t>
        </is>
      </c>
      <c r="O131" s="182" t="inlineStr">
        <is>
          <t>ППК26064, (11.05.2026) [CNP]</t>
        </is>
      </c>
      <c r="P131" s="182" t="inlineStr">
        <is>
          <t>(assigned on issue)</t>
        </is>
      </c>
      <c r="Q131" s="189" t="inlineStr">
        <is>
          <t>—</t>
        </is>
      </c>
      <c r="R131" s="182" t="inlineStr">
        <is>
          <t>P060312|FM|I</t>
        </is>
      </c>
      <c r="S131" s="192" t="inlineStr">
        <is>
          <t>registered — preliminary date, QC sets the real date at issue</t>
        </is>
      </c>
    </row>
    <row r="132">
      <c r="A132" s="182">
        <f>IF(C132="yes",COUNT(A$1:A131)+1,"")</f>
        <v/>
      </c>
      <c r="B132" s="181">
        <f>IF(A132="","— at issue —","iCoA-PP_26-"&amp;TEXT(A132,"000"))</f>
        <v/>
      </c>
      <c r="C132" s="188" t="inlineStr">
        <is>
          <t>yes</t>
        </is>
      </c>
      <c r="D132" s="183">
        <f>IF(A132="","",E132)</f>
        <v/>
      </c>
      <c r="E132" s="183">
        <f>IF(AND(C132="yes",ISNUMBER(G132)),MAX(DATE(2026,5,11),G132),"")</f>
        <v/>
      </c>
      <c r="F132" s="183">
        <f>IFERROR(INDEX('Batch Dates'!$F:$F,MATCH(J132,'Batch Dates'!$C:$C,0)),IFERROR(INDEX('Batch Dates'!$F:$F,MATCH(I132,'Batch Dates'!$B:$B,0)),""))</f>
        <v/>
      </c>
      <c r="G132" s="183">
        <f>IFERROR(INDEX('Batch Dates'!$G:$G,MATCH(J132,'Batch Dates'!$C:$C,0)),IFERROR(INDEX('Batch Dates'!$G:$G,MATCH(I132,'Batch Dates'!$B:$B,0)),""))</f>
        <v/>
      </c>
      <c r="H132" s="182" t="inlineStr">
        <is>
          <t>initial release</t>
        </is>
      </c>
      <c r="I132" s="181" t="inlineStr">
        <is>
          <t>CC012601/1</t>
        </is>
      </c>
      <c r="J132" s="182" t="inlineStr">
        <is>
          <t>P060332</t>
        </is>
      </c>
      <c r="K132" s="182" t="inlineStr"/>
      <c r="L132" s="182" t="inlineStr">
        <is>
          <t>Ident A + Ident B</t>
        </is>
      </c>
      <c r="M132" s="182" t="inlineStr">
        <is>
          <t>iCoA_P01-02 · Appearance &amp; Identification A/B</t>
        </is>
      </c>
      <c r="N132" s="189" t="inlineStr">
        <is>
          <t>—</t>
        </is>
      </c>
      <c r="O132" s="182" t="inlineStr">
        <is>
          <t>197-6-K-26, (07.08.2026) [FHM-K]</t>
        </is>
      </c>
      <c r="P132" s="182" t="inlineStr">
        <is>
          <t>— not in the issuance plan —</t>
        </is>
      </c>
      <c r="Q132" s="189" t="inlineStr">
        <is>
          <t>—</t>
        </is>
      </c>
      <c r="R132" s="182" t="inlineStr">
        <is>
          <t>P060332|AB|I</t>
        </is>
      </c>
      <c r="S132" s="192" t="inlineStr">
        <is>
          <t>registered — preliminary date, QC sets the real date at issue</t>
        </is>
      </c>
    </row>
    <row r="133">
      <c r="A133" s="182">
        <f>IF(C133="yes",COUNT(A$1:A132)+1,"")</f>
        <v/>
      </c>
      <c r="B133" s="181">
        <f>IF(A133="","— at issue —","iCoA-PP_26-"&amp;TEXT(A133,"000"))</f>
        <v/>
      </c>
      <c r="C133" s="188" t="inlineStr">
        <is>
          <t>yes</t>
        </is>
      </c>
      <c r="D133" s="183">
        <f>IF(A133="","",E133)</f>
        <v/>
      </c>
      <c r="E133" s="183">
        <f>IF(AND(C133="yes",ISNUMBER(G133)),MAX(DATE(2026,5,11),G133),"")</f>
        <v/>
      </c>
      <c r="F133" s="183">
        <f>IFERROR(INDEX('Batch Dates'!$F:$F,MATCH(J133,'Batch Dates'!$C:$C,0)),IFERROR(INDEX('Batch Dates'!$F:$F,MATCH(I133,'Batch Dates'!$B:$B,0)),""))</f>
        <v/>
      </c>
      <c r="G133" s="183">
        <f>IFERROR(INDEX('Batch Dates'!$G:$G,MATCH(J133,'Batch Dates'!$C:$C,0)),IFERROR(INDEX('Batch Dates'!$G:$G,MATCH(I133,'Batch Dates'!$B:$B,0)),""))</f>
        <v/>
      </c>
      <c r="H133" s="182" t="inlineStr">
        <is>
          <t>initial release</t>
        </is>
      </c>
      <c r="I133" s="181" t="inlineStr">
        <is>
          <t>CC012601/1</t>
        </is>
      </c>
      <c r="J133" s="182" t="inlineStr">
        <is>
          <t>P060332</t>
        </is>
      </c>
      <c r="K133" s="182" t="inlineStr"/>
      <c r="L133" s="182" t="inlineStr">
        <is>
          <t>Foreign matter</t>
        </is>
      </c>
      <c r="M133" s="182" t="inlineStr">
        <is>
          <t>iCoA_P07 · Foreign matter</t>
        </is>
      </c>
      <c r="N133" s="189" t="inlineStr">
        <is>
          <t>—</t>
        </is>
      </c>
      <c r="O133" s="182" t="inlineStr">
        <is>
          <t>197-6-K-26, (07.08.2026) [FHM-K]</t>
        </is>
      </c>
      <c r="P133" s="182" t="inlineStr">
        <is>
          <t>— not in the issuance plan —</t>
        </is>
      </c>
      <c r="Q133" s="189" t="inlineStr">
        <is>
          <t>—</t>
        </is>
      </c>
      <c r="R133" s="182" t="inlineStr">
        <is>
          <t>P060332|FM|I</t>
        </is>
      </c>
      <c r="S133" s="192" t="inlineStr">
        <is>
          <t>registered — preliminary date, QC sets the real date at issue</t>
        </is>
      </c>
    </row>
    <row r="134">
      <c r="A134" s="182">
        <f>IF(C134="yes",COUNT(A$1:A133)+1,"")</f>
        <v/>
      </c>
      <c r="B134" s="181">
        <f>IF(A134="","— at issue —","iCoA-PP_26-"&amp;TEXT(A134,"000"))</f>
        <v/>
      </c>
      <c r="C134" s="188" t="inlineStr">
        <is>
          <t>yes</t>
        </is>
      </c>
      <c r="D134" s="183">
        <f>IF(A134="","",E134)</f>
        <v/>
      </c>
      <c r="E134" s="183">
        <f>IF(AND(C134="yes",ISNUMBER(G134)),MAX(DATE(2026,5,11),G134),"")</f>
        <v/>
      </c>
      <c r="F134" s="183">
        <f>IFERROR(INDEX('Batch Dates'!$F:$F,MATCH(J134,'Batch Dates'!$C:$C,0)),IFERROR(INDEX('Batch Dates'!$F:$F,MATCH(I134,'Batch Dates'!$B:$B,0)),""))</f>
        <v/>
      </c>
      <c r="G134" s="183">
        <f>IFERROR(INDEX('Batch Dates'!$G:$G,MATCH(J134,'Batch Dates'!$C:$C,0)),IFERROR(INDEX('Batch Dates'!$G:$G,MATCH(I134,'Batch Dates'!$B:$B,0)),""))</f>
        <v/>
      </c>
      <c r="H134" s="182" t="inlineStr">
        <is>
          <t>initial release</t>
        </is>
      </c>
      <c r="I134" s="181" t="inlineStr">
        <is>
          <t>FB012601_1</t>
        </is>
      </c>
      <c r="J134" s="182" t="inlineStr">
        <is>
          <t>P060322</t>
        </is>
      </c>
      <c r="K134" s="182" t="inlineStr">
        <is>
          <t>Fat Bastard</t>
        </is>
      </c>
      <c r="L134" s="182" t="inlineStr">
        <is>
          <t>Ident A + Ident B</t>
        </is>
      </c>
      <c r="M134" s="182" t="inlineStr">
        <is>
          <t>iCoA_P01-02 · Appearance &amp; Identification A/B</t>
        </is>
      </c>
      <c r="N134" s="189" t="inlineStr">
        <is>
          <t>—</t>
        </is>
      </c>
      <c r="O134" s="182" t="inlineStr">
        <is>
          <t>ППК26067, (11.05.2026) [CNP]</t>
        </is>
      </c>
      <c r="P134" s="182" t="inlineStr">
        <is>
          <t>CoQ-PP-2026-0019</t>
        </is>
      </c>
      <c r="Q134" s="182" t="inlineStr">
        <is>
          <t>iCoA-PP-2026-0019</t>
        </is>
      </c>
      <c r="R134" s="182" t="inlineStr">
        <is>
          <t>P060322|AB|I</t>
        </is>
      </c>
      <c r="S134" s="192" t="inlineStr">
        <is>
          <t>registered — preliminary date, QC sets the real date at issue</t>
        </is>
      </c>
    </row>
    <row r="135">
      <c r="A135" s="182">
        <f>IF(C135="yes",COUNT(A$1:A134)+1,"")</f>
        <v/>
      </c>
      <c r="B135" s="181">
        <f>IF(A135="","— at issue —","iCoA-PP_26-"&amp;TEXT(A135,"000"))</f>
        <v/>
      </c>
      <c r="C135" s="188" t="inlineStr">
        <is>
          <t>yes</t>
        </is>
      </c>
      <c r="D135" s="183">
        <f>IF(A135="","",E135)</f>
        <v/>
      </c>
      <c r="E135" s="183">
        <f>IF(AND(C135="yes",ISNUMBER(G135)),MAX(DATE(2026,5,11),G135),"")</f>
        <v/>
      </c>
      <c r="F135" s="183">
        <f>IFERROR(INDEX('Batch Dates'!$F:$F,MATCH(J135,'Batch Dates'!$C:$C,0)),IFERROR(INDEX('Batch Dates'!$F:$F,MATCH(I135,'Batch Dates'!$B:$B,0)),""))</f>
        <v/>
      </c>
      <c r="G135" s="183">
        <f>IFERROR(INDEX('Batch Dates'!$G:$G,MATCH(J135,'Batch Dates'!$C:$C,0)),IFERROR(INDEX('Batch Dates'!$G:$G,MATCH(I135,'Batch Dates'!$B:$B,0)),""))</f>
        <v/>
      </c>
      <c r="H135" s="182" t="inlineStr">
        <is>
          <t>initial release</t>
        </is>
      </c>
      <c r="I135" s="181" t="inlineStr">
        <is>
          <t>FB012601_1</t>
        </is>
      </c>
      <c r="J135" s="182" t="inlineStr">
        <is>
          <t>P060322</t>
        </is>
      </c>
      <c r="K135" s="182" t="inlineStr">
        <is>
          <t>Fat Bastard</t>
        </is>
      </c>
      <c r="L135" s="182" t="inlineStr">
        <is>
          <t>Foreign matter</t>
        </is>
      </c>
      <c r="M135" s="182" t="inlineStr">
        <is>
          <t>iCoA_P07 · Foreign matter</t>
        </is>
      </c>
      <c r="N135" s="189" t="inlineStr">
        <is>
          <t>—</t>
        </is>
      </c>
      <c r="O135" s="182" t="inlineStr">
        <is>
          <t>ППК26067, (11.05.2026) [CNP]</t>
        </is>
      </c>
      <c r="P135" s="182" t="inlineStr">
        <is>
          <t>CoQ-PP-2026-0019</t>
        </is>
      </c>
      <c r="Q135" s="182" t="inlineStr">
        <is>
          <t>iCoA-PP-2026-0019</t>
        </is>
      </c>
      <c r="R135" s="182" t="inlineStr">
        <is>
          <t>P060322|FM|I</t>
        </is>
      </c>
      <c r="S135" s="192" t="inlineStr">
        <is>
          <t>registered — preliminary date, QC sets the real date at issue</t>
        </is>
      </c>
    </row>
    <row r="136">
      <c r="A136" s="182">
        <f>IF(C136="yes",COUNT(A$1:A135)+1,"")</f>
        <v/>
      </c>
      <c r="B136" s="181">
        <f>IF(A136="","— at issue —","iCoA-PP_26-"&amp;TEXT(A136,"000"))</f>
        <v/>
      </c>
      <c r="C136" s="188" t="inlineStr">
        <is>
          <t>yes</t>
        </is>
      </c>
      <c r="D136" s="183">
        <f>IF(A136="","",E136)</f>
        <v/>
      </c>
      <c r="E136" s="183">
        <f>IF(AND(C136="yes",ISNUMBER(G136)),MAX(DATE(2026,5,11),G136),"")</f>
        <v/>
      </c>
      <c r="F136" s="183">
        <f>IFERROR(INDEX('Batch Dates'!$F:$F,MATCH(J136,'Batch Dates'!$C:$C,0)),IFERROR(INDEX('Batch Dates'!$F:$F,MATCH(I136,'Batch Dates'!$B:$B,0)),""))</f>
        <v/>
      </c>
      <c r="G136" s="183">
        <f>IFERROR(INDEX('Batch Dates'!$G:$G,MATCH(J136,'Batch Dates'!$C:$C,0)),IFERROR(INDEX('Batch Dates'!$G:$G,MATCH(I136,'Batch Dates'!$B:$B,0)),""))</f>
        <v/>
      </c>
      <c r="H136" s="182" t="inlineStr">
        <is>
          <t>initial release</t>
        </is>
      </c>
      <c r="I136" s="181" t="inlineStr">
        <is>
          <t>FB012602*</t>
        </is>
      </c>
      <c r="J136" s="182" t="inlineStr">
        <is>
          <t>P060352</t>
        </is>
      </c>
      <c r="K136" s="182" t="inlineStr">
        <is>
          <t>Fat Bastard</t>
        </is>
      </c>
      <c r="L136" s="182" t="inlineStr">
        <is>
          <t>Ident A + Ident B</t>
        </is>
      </c>
      <c r="M136" s="182" t="inlineStr">
        <is>
          <t>iCoA_P01-02 · Appearance &amp; Identification A/B</t>
        </is>
      </c>
      <c r="N136" s="189" t="inlineStr">
        <is>
          <t>—</t>
        </is>
      </c>
      <c r="O136" s="182" t="inlineStr">
        <is>
          <t>197-7-K-26, (07.08.2026) [FHM-K]</t>
        </is>
      </c>
      <c r="P136" s="182" t="inlineStr">
        <is>
          <t>CoQ-PP-2026-0021</t>
        </is>
      </c>
      <c r="Q136" s="182" t="inlineStr">
        <is>
          <t>iCoA-PP-2026-0021</t>
        </is>
      </c>
      <c r="R136" s="182" t="inlineStr">
        <is>
          <t>P060352|AB|I</t>
        </is>
      </c>
      <c r="S136" s="192" t="inlineStr">
        <is>
          <t>registered — preliminary date, QC sets the real date at issue</t>
        </is>
      </c>
    </row>
    <row r="137">
      <c r="A137" s="182">
        <f>IF(C137="yes",COUNT(A$1:A136)+1,"")</f>
        <v/>
      </c>
      <c r="B137" s="181">
        <f>IF(A137="","— at issue —","iCoA-PP_26-"&amp;TEXT(A137,"000"))</f>
        <v/>
      </c>
      <c r="C137" s="188" t="inlineStr">
        <is>
          <t>yes</t>
        </is>
      </c>
      <c r="D137" s="183">
        <f>IF(A137="","",E137)</f>
        <v/>
      </c>
      <c r="E137" s="183">
        <f>IF(AND(C137="yes",ISNUMBER(G137)),MAX(DATE(2026,5,11),G137),"")</f>
        <v/>
      </c>
      <c r="F137" s="183">
        <f>IFERROR(INDEX('Batch Dates'!$F:$F,MATCH(J137,'Batch Dates'!$C:$C,0)),IFERROR(INDEX('Batch Dates'!$F:$F,MATCH(I137,'Batch Dates'!$B:$B,0)),""))</f>
        <v/>
      </c>
      <c r="G137" s="183">
        <f>IFERROR(INDEX('Batch Dates'!$G:$G,MATCH(J137,'Batch Dates'!$C:$C,0)),IFERROR(INDEX('Batch Dates'!$G:$G,MATCH(I137,'Batch Dates'!$B:$B,0)),""))</f>
        <v/>
      </c>
      <c r="H137" s="182" t="inlineStr">
        <is>
          <t>initial release</t>
        </is>
      </c>
      <c r="I137" s="181" t="inlineStr">
        <is>
          <t>FB012602*</t>
        </is>
      </c>
      <c r="J137" s="182" t="inlineStr">
        <is>
          <t>P060352</t>
        </is>
      </c>
      <c r="K137" s="182" t="inlineStr">
        <is>
          <t>Fat Bastard</t>
        </is>
      </c>
      <c r="L137" s="182" t="inlineStr">
        <is>
          <t>Foreign matter</t>
        </is>
      </c>
      <c r="M137" s="182" t="inlineStr">
        <is>
          <t>iCoA_P07 · Foreign matter</t>
        </is>
      </c>
      <c r="N137" s="189" t="inlineStr">
        <is>
          <t>—</t>
        </is>
      </c>
      <c r="O137" s="182" t="inlineStr">
        <is>
          <t>197-7-K-26, (07.08.2026) [FHM-K]</t>
        </is>
      </c>
      <c r="P137" s="182" t="inlineStr">
        <is>
          <t>CoQ-PP-2026-0021</t>
        </is>
      </c>
      <c r="Q137" s="182" t="inlineStr">
        <is>
          <t>iCoA-PP-2026-0021</t>
        </is>
      </c>
      <c r="R137" s="182" t="inlineStr">
        <is>
          <t>P060352|FM|I</t>
        </is>
      </c>
      <c r="S137" s="192" t="inlineStr">
        <is>
          <t>registered — preliminary date, QC sets the real date at issue</t>
        </is>
      </c>
    </row>
    <row r="138">
      <c r="A138" s="182">
        <f>IF(C138="yes",COUNT(A$1:A137)+1,"")</f>
        <v/>
      </c>
      <c r="B138" s="181">
        <f>IF(A138="","— at issue —","iCoA-PP_26-"&amp;TEXT(A138,"000"))</f>
        <v/>
      </c>
      <c r="C138" s="188" t="inlineStr">
        <is>
          <t>yes</t>
        </is>
      </c>
      <c r="D138" s="183">
        <f>IF(A138="","",E138)</f>
        <v/>
      </c>
      <c r="E138" s="183">
        <f>IF(AND(C138="yes",ISNUMBER(G138)),MAX(DATE(2026,5,11),G138),"")</f>
        <v/>
      </c>
      <c r="F138" s="183">
        <f>IFERROR(INDEX('Batch Dates'!$F:$F,MATCH(J138,'Batch Dates'!$C:$C,0)),IFERROR(INDEX('Batch Dates'!$F:$F,MATCH(I138,'Batch Dates'!$B:$B,0)),""))</f>
        <v/>
      </c>
      <c r="G138" s="183">
        <f>IFERROR(INDEX('Batch Dates'!$G:$G,MATCH(J138,'Batch Dates'!$C:$C,0)),IFERROR(INDEX('Batch Dates'!$G:$G,MATCH(I138,'Batch Dates'!$B:$B,0)),""))</f>
        <v/>
      </c>
      <c r="H138" s="182" t="inlineStr">
        <is>
          <t>initial release</t>
        </is>
      </c>
      <c r="I138" s="181" t="inlineStr">
        <is>
          <t>SCR012601* (from the list)</t>
        </is>
      </c>
      <c r="J138" s="182" t="inlineStr">
        <is>
          <t>P060342</t>
        </is>
      </c>
      <c r="K138" s="182" t="inlineStr">
        <is>
          <t>Scrambler</t>
        </is>
      </c>
      <c r="L138" s="182" t="inlineStr">
        <is>
          <t>Ident A + Ident B</t>
        </is>
      </c>
      <c r="M138" s="182" t="inlineStr">
        <is>
          <t>iCoA_P01-02 · Appearance &amp; Identification A/B</t>
        </is>
      </c>
      <c r="N138" s="189" t="inlineStr">
        <is>
          <t>—</t>
        </is>
      </c>
      <c r="O138" s="189" t="inlineStr">
        <is>
          <t>— no cannabinoid certificate —</t>
        </is>
      </c>
      <c r="P138" s="182" t="inlineStr">
        <is>
          <t>— not in the issuance plan —</t>
        </is>
      </c>
      <c r="Q138" s="189" t="inlineStr">
        <is>
          <t>—</t>
        </is>
      </c>
      <c r="R138" s="182" t="inlineStr">
        <is>
          <t>P060342|AB|I</t>
        </is>
      </c>
      <c r="S138" s="192" t="inlineStr">
        <is>
          <t>registered — preliminary date, QC sets the real date at issue</t>
        </is>
      </c>
    </row>
    <row r="139">
      <c r="A139" s="182">
        <f>IF(C139="yes",COUNT(A$1:A138)+1,"")</f>
        <v/>
      </c>
      <c r="B139" s="181">
        <f>IF(A139="","— at issue —","iCoA-PP_26-"&amp;TEXT(A139,"000"))</f>
        <v/>
      </c>
      <c r="C139" s="188" t="inlineStr">
        <is>
          <t>yes</t>
        </is>
      </c>
      <c r="D139" s="183">
        <f>IF(A139="","",E139)</f>
        <v/>
      </c>
      <c r="E139" s="183">
        <f>IF(AND(C139="yes",ISNUMBER(G139)),MAX(DATE(2026,5,11),G139),"")</f>
        <v/>
      </c>
      <c r="F139" s="183">
        <f>IFERROR(INDEX('Batch Dates'!$F:$F,MATCH(J139,'Batch Dates'!$C:$C,0)),IFERROR(INDEX('Batch Dates'!$F:$F,MATCH(I139,'Batch Dates'!$B:$B,0)),""))</f>
        <v/>
      </c>
      <c r="G139" s="183">
        <f>IFERROR(INDEX('Batch Dates'!$G:$G,MATCH(J139,'Batch Dates'!$C:$C,0)),IFERROR(INDEX('Batch Dates'!$G:$G,MATCH(I139,'Batch Dates'!$B:$B,0)),""))</f>
        <v/>
      </c>
      <c r="H139" s="182" t="inlineStr">
        <is>
          <t>initial release</t>
        </is>
      </c>
      <c r="I139" s="181" t="inlineStr">
        <is>
          <t>SCR012601* (from the list)</t>
        </is>
      </c>
      <c r="J139" s="182" t="inlineStr">
        <is>
          <t>P060342</t>
        </is>
      </c>
      <c r="K139" s="182" t="inlineStr">
        <is>
          <t>Scrambler</t>
        </is>
      </c>
      <c r="L139" s="182" t="inlineStr">
        <is>
          <t>Foreign matter</t>
        </is>
      </c>
      <c r="M139" s="182" t="inlineStr">
        <is>
          <t>iCoA_P07 · Foreign matter</t>
        </is>
      </c>
      <c r="N139" s="189" t="inlineStr">
        <is>
          <t>—</t>
        </is>
      </c>
      <c r="O139" s="189" t="inlineStr">
        <is>
          <t>— no cannabinoid certificate —</t>
        </is>
      </c>
      <c r="P139" s="182" t="inlineStr">
        <is>
          <t>— not in the issuance plan —</t>
        </is>
      </c>
      <c r="Q139" s="189" t="inlineStr">
        <is>
          <t>—</t>
        </is>
      </c>
      <c r="R139" s="182" t="inlineStr">
        <is>
          <t>P060342|FM|I</t>
        </is>
      </c>
      <c r="S139" s="192" t="inlineStr">
        <is>
          <t>registered — preliminary date, QC sets the real date at issue</t>
        </is>
      </c>
    </row>
    <row r="140">
      <c r="A140" s="182">
        <f>IF(C140="yes",COUNT(A$1:A139)+1,"")</f>
        <v/>
      </c>
      <c r="B140" s="181">
        <f>IF(A140="","— at issue —","iCoA-PP_26-"&amp;TEXT(A140,"000"))</f>
        <v/>
      </c>
      <c r="C140" s="188" t="inlineStr">
        <is>
          <t>yes</t>
        </is>
      </c>
      <c r="D140" s="183">
        <f>IF(A140="","",E140)</f>
        <v/>
      </c>
      <c r="E140" s="183">
        <f>IF(AND(C140="yes",ISNUMBER(G140)),MAX(DATE(2026,5,11),G140),"")</f>
        <v/>
      </c>
      <c r="F140" s="183">
        <f>IFERROR(INDEX('Batch Dates'!$F:$F,MATCH(J140,'Batch Dates'!$C:$C,0)),IFERROR(INDEX('Batch Dates'!$F:$F,MATCH(I140,'Batch Dates'!$B:$B,0)),""))</f>
        <v/>
      </c>
      <c r="G140" s="183">
        <f>IFERROR(INDEX('Batch Dates'!$G:$G,MATCH(J140,'Batch Dates'!$C:$C,0)),IFERROR(INDEX('Batch Dates'!$G:$G,MATCH(I140,'Batch Dates'!$B:$B,0)),""))</f>
        <v/>
      </c>
      <c r="H140" s="182" t="inlineStr">
        <is>
          <t>initial release</t>
        </is>
      </c>
      <c r="I140" s="181" t="inlineStr">
        <is>
          <t>SCR012603</t>
        </is>
      </c>
      <c r="J140" s="182" t="inlineStr">
        <is>
          <t>P060382</t>
        </is>
      </c>
      <c r="K140" s="182" t="inlineStr">
        <is>
          <t>Scrambler</t>
        </is>
      </c>
      <c r="L140" s="182" t="inlineStr">
        <is>
          <t>Ident A + Ident B</t>
        </is>
      </c>
      <c r="M140" s="182" t="inlineStr">
        <is>
          <t>iCoA_P01-02 · Appearance &amp; Identification A/B</t>
        </is>
      </c>
      <c r="N140" s="189" t="inlineStr">
        <is>
          <t>—</t>
        </is>
      </c>
      <c r="O140" s="182" t="inlineStr">
        <is>
          <t>197-21-K-26, (07.08.2026) [FHM-K]</t>
        </is>
      </c>
      <c r="P140" s="182" t="inlineStr">
        <is>
          <t>CoQ-PP-2026-0026</t>
        </is>
      </c>
      <c r="Q140" s="182" t="inlineStr">
        <is>
          <t>iCoA-PP-2026-0026</t>
        </is>
      </c>
      <c r="R140" s="182" t="inlineStr">
        <is>
          <t>P060382|AB|I</t>
        </is>
      </c>
      <c r="S140" s="192" t="inlineStr">
        <is>
          <t>registered — preliminary date, QC sets the real date at issue</t>
        </is>
      </c>
    </row>
    <row r="141">
      <c r="A141" s="182">
        <f>IF(C141="yes",COUNT(A$1:A140)+1,"")</f>
        <v/>
      </c>
      <c r="B141" s="181">
        <f>IF(A141="","— at issue —","iCoA-PP_26-"&amp;TEXT(A141,"000"))</f>
        <v/>
      </c>
      <c r="C141" s="188" t="inlineStr">
        <is>
          <t>yes</t>
        </is>
      </c>
      <c r="D141" s="183">
        <f>IF(A141="","",E141)</f>
        <v/>
      </c>
      <c r="E141" s="183">
        <f>IF(AND(C141="yes",ISNUMBER(G141)),MAX(DATE(2026,5,11),G141),"")</f>
        <v/>
      </c>
      <c r="F141" s="183">
        <f>IFERROR(INDEX('Batch Dates'!$F:$F,MATCH(J141,'Batch Dates'!$C:$C,0)),IFERROR(INDEX('Batch Dates'!$F:$F,MATCH(I141,'Batch Dates'!$B:$B,0)),""))</f>
        <v/>
      </c>
      <c r="G141" s="183">
        <f>IFERROR(INDEX('Batch Dates'!$G:$G,MATCH(J141,'Batch Dates'!$C:$C,0)),IFERROR(INDEX('Batch Dates'!$G:$G,MATCH(I141,'Batch Dates'!$B:$B,0)),""))</f>
        <v/>
      </c>
      <c r="H141" s="182" t="inlineStr">
        <is>
          <t>initial release</t>
        </is>
      </c>
      <c r="I141" s="181" t="inlineStr">
        <is>
          <t>SCR012603</t>
        </is>
      </c>
      <c r="J141" s="182" t="inlineStr">
        <is>
          <t>P060382</t>
        </is>
      </c>
      <c r="K141" s="182" t="inlineStr">
        <is>
          <t>Scrambler</t>
        </is>
      </c>
      <c r="L141" s="182" t="inlineStr">
        <is>
          <t>Foreign matter</t>
        </is>
      </c>
      <c r="M141" s="182" t="inlineStr">
        <is>
          <t>iCoA_P07 · Foreign matter</t>
        </is>
      </c>
      <c r="N141" s="189" t="inlineStr">
        <is>
          <t>—</t>
        </is>
      </c>
      <c r="O141" s="182" t="inlineStr">
        <is>
          <t>197-21-K-26, (07.08.2026) [FHM-K]</t>
        </is>
      </c>
      <c r="P141" s="182" t="inlineStr">
        <is>
          <t>CoQ-PP-2026-0026</t>
        </is>
      </c>
      <c r="Q141" s="182" t="inlineStr">
        <is>
          <t>iCoA-PP-2026-0026</t>
        </is>
      </c>
      <c r="R141" s="182" t="inlineStr">
        <is>
          <t>P060382|FM|I</t>
        </is>
      </c>
      <c r="S141" s="192" t="inlineStr">
        <is>
          <t>registered — preliminary date, QC sets the real date at issue</t>
        </is>
      </c>
    </row>
    <row r="142">
      <c r="A142" s="182">
        <f>IF(C142="yes",COUNT(A$1:A141)+1,"")</f>
        <v/>
      </c>
      <c r="B142" s="181">
        <f>IF(A142="","— at issue —","iCoA-PP_26-"&amp;TEXT(A142,"000"))</f>
        <v/>
      </c>
      <c r="C142" s="189" t="inlineStr">
        <is>
          <t>no</t>
        </is>
      </c>
      <c r="D142" s="183">
        <f>IF(A142="","",E142)</f>
        <v/>
      </c>
      <c r="E142" s="183">
        <f>IF(AND(C142="yes",ISNUMBER(G142)),MAX(DATE(2026,5,11),G142),"")</f>
        <v/>
      </c>
      <c r="F142" s="183">
        <f>IFERROR(INDEX('Batch Dates'!$F:$F,MATCH(J142,'Batch Dates'!$C:$C,0)),IFERROR(INDEX('Batch Dates'!$F:$F,MATCH(I142,'Batch Dates'!$B:$B,0)),""))</f>
        <v/>
      </c>
      <c r="G142" s="183">
        <f>IFERROR(INDEX('Batch Dates'!$G:$G,MATCH(J142,'Batch Dates'!$C:$C,0)),IFERROR(INDEX('Batch Dates'!$G:$G,MATCH(I142,'Batch Dates'!$B:$B,0)),""))</f>
        <v/>
      </c>
      <c r="H142" s="182" t="inlineStr">
        <is>
          <t>retest — QP campaign</t>
        </is>
      </c>
      <c r="I142" s="181" t="inlineStr">
        <is>
          <t>BSS1024</t>
        </is>
      </c>
      <c r="J142" s="182" t="inlineStr">
        <is>
          <t>N/A — no P batch assigned</t>
        </is>
      </c>
      <c r="K142" s="182" t="inlineStr">
        <is>
          <t>Blue Sunset Sherbet</t>
        </is>
      </c>
      <c r="L142" s="182" t="inlineStr">
        <is>
          <t>Ident A + Ident B</t>
        </is>
      </c>
      <c r="M142" s="182" t="inlineStr">
        <is>
          <t>iCoA_P01-02 · Appearance &amp; Identification A/B</t>
        </is>
      </c>
      <c r="N142" s="189" t="inlineStr">
        <is>
          <t>—</t>
        </is>
      </c>
      <c r="O142" s="182" t="inlineStr">
        <is>
          <t>197-2-K-26, (07.08.2026) [FHM-K]</t>
        </is>
      </c>
      <c r="P142" s="182" t="inlineStr">
        <is>
          <t>CoQ-PP-2026-0027</t>
        </is>
      </c>
      <c r="Q142" s="189" t="inlineStr">
        <is>
          <t>—</t>
        </is>
      </c>
      <c r="R142" s="182" t="inlineStr">
        <is>
          <t>BSS1024|AB|R</t>
        </is>
      </c>
      <c r="S142" s="193" t="inlineStr">
        <is>
          <t>not yet issuable — retest assay on file; identification A and B to test at the retest sampling</t>
        </is>
      </c>
    </row>
    <row r="143">
      <c r="A143" s="182">
        <f>IF(C143="yes",COUNT(A$1:A142)+1,"")</f>
        <v/>
      </c>
      <c r="B143" s="181">
        <f>IF(A143="","— at issue —","iCoA-PP_26-"&amp;TEXT(A143,"000"))</f>
        <v/>
      </c>
      <c r="C143" s="189" t="inlineStr">
        <is>
          <t>no</t>
        </is>
      </c>
      <c r="D143" s="183">
        <f>IF(A143="","",E143)</f>
        <v/>
      </c>
      <c r="E143" s="183">
        <f>IF(AND(C143="yes",ISNUMBER(G143)),MAX(DATE(2026,5,11),G143),"")</f>
        <v/>
      </c>
      <c r="F143" s="183">
        <f>IFERROR(INDEX('Batch Dates'!$F:$F,MATCH(J143,'Batch Dates'!$C:$C,0)),IFERROR(INDEX('Batch Dates'!$F:$F,MATCH(I143,'Batch Dates'!$B:$B,0)),""))</f>
        <v/>
      </c>
      <c r="G143" s="183">
        <f>IFERROR(INDEX('Batch Dates'!$G:$G,MATCH(J143,'Batch Dates'!$C:$C,0)),IFERROR(INDEX('Batch Dates'!$G:$G,MATCH(I143,'Batch Dates'!$B:$B,0)),""))</f>
        <v/>
      </c>
      <c r="H143" s="182" t="inlineStr">
        <is>
          <t>retest — QP campaign</t>
        </is>
      </c>
      <c r="I143" s="181" t="inlineStr">
        <is>
          <t>BSS1024</t>
        </is>
      </c>
      <c r="J143" s="182" t="inlineStr">
        <is>
          <t>N/A — no P batch assigned</t>
        </is>
      </c>
      <c r="K143" s="182" t="inlineStr">
        <is>
          <t>Blue Sunset Sherbet</t>
        </is>
      </c>
      <c r="L143" s="182" t="inlineStr">
        <is>
          <t>Foreign matter</t>
        </is>
      </c>
      <c r="M143" s="182" t="inlineStr">
        <is>
          <t>iCoA_P07 · Foreign matter</t>
        </is>
      </c>
      <c r="N143" s="189" t="inlineStr">
        <is>
          <t>—</t>
        </is>
      </c>
      <c r="O143" s="182" t="inlineStr">
        <is>
          <t>197-2-K-26, (07.08.2026) [FHM-K]</t>
        </is>
      </c>
      <c r="P143" s="182" t="inlineStr">
        <is>
          <t>CoQ-PP-2026-0027</t>
        </is>
      </c>
      <c r="Q143" s="189" t="inlineStr">
        <is>
          <t>—</t>
        </is>
      </c>
      <c r="R143" s="182" t="inlineStr">
        <is>
          <t>BSS1024|FM|R</t>
        </is>
      </c>
      <c r="S143" s="193" t="inlineStr">
        <is>
          <t>not yet issuable — retest assay on file; foreign matter to test at the retest sampling</t>
        </is>
      </c>
    </row>
    <row r="144">
      <c r="A144" s="182">
        <f>IF(C144="yes",COUNT(A$1:A143)+1,"")</f>
        <v/>
      </c>
      <c r="B144" s="181">
        <f>IF(A144="","— at issue —","iCoA-PP_26-"&amp;TEXT(A144,"000"))</f>
        <v/>
      </c>
      <c r="C144" s="189" t="inlineStr">
        <is>
          <t>no</t>
        </is>
      </c>
      <c r="D144" s="183">
        <f>IF(A144="","",E144)</f>
        <v/>
      </c>
      <c r="E144" s="183">
        <f>IF(AND(C144="yes",ISNUMBER(G144)),MAX(DATE(2026,5,11),G144),"")</f>
        <v/>
      </c>
      <c r="F144" s="183">
        <f>IFERROR(INDEX('Batch Dates'!$F:$F,MATCH(J144,'Batch Dates'!$C:$C,0)),IFERROR(INDEX('Batch Dates'!$F:$F,MATCH(I144,'Batch Dates'!$B:$B,0)),""))</f>
        <v/>
      </c>
      <c r="G144" s="183">
        <f>IFERROR(INDEX('Batch Dates'!$G:$G,MATCH(J144,'Batch Dates'!$C:$C,0)),IFERROR(INDEX('Batch Dates'!$G:$G,MATCH(I144,'Batch Dates'!$B:$B,0)),""))</f>
        <v/>
      </c>
      <c r="H144" s="182" t="inlineStr">
        <is>
          <t>retest — QP campaign</t>
        </is>
      </c>
      <c r="I144" s="181" t="inlineStr">
        <is>
          <t>BG1024</t>
        </is>
      </c>
      <c r="J144" s="182" t="inlineStr">
        <is>
          <t>N/A — no P batch assigned</t>
        </is>
      </c>
      <c r="K144" s="182" t="inlineStr">
        <is>
          <t>Blue Gelato</t>
        </is>
      </c>
      <c r="L144" s="182" t="inlineStr">
        <is>
          <t>Ident A + Ident B</t>
        </is>
      </c>
      <c r="M144" s="182" t="inlineStr">
        <is>
          <t>iCoA_P01-02 · Appearance &amp; Identification A/B</t>
        </is>
      </c>
      <c r="N144" s="189" t="inlineStr">
        <is>
          <t>—</t>
        </is>
      </c>
      <c r="O144" s="182" t="inlineStr">
        <is>
          <t>197-1-K-26, (07.08.2026) [FHM-K]</t>
        </is>
      </c>
      <c r="P144" s="182" t="inlineStr">
        <is>
          <t>CoQ-PP-2026-0028</t>
        </is>
      </c>
      <c r="Q144" s="189" t="inlineStr">
        <is>
          <t>—</t>
        </is>
      </c>
      <c r="R144" s="182" t="inlineStr">
        <is>
          <t>BG1024|AB|R</t>
        </is>
      </c>
      <c r="S144" s="193" t="inlineStr">
        <is>
          <t>not yet issuable — retest assay on file; identification A and B to test at the retest sampling</t>
        </is>
      </c>
    </row>
    <row r="145">
      <c r="A145" s="182">
        <f>IF(C145="yes",COUNT(A$1:A144)+1,"")</f>
        <v/>
      </c>
      <c r="B145" s="181">
        <f>IF(A145="","— at issue —","iCoA-PP_26-"&amp;TEXT(A145,"000"))</f>
        <v/>
      </c>
      <c r="C145" s="189" t="inlineStr">
        <is>
          <t>no</t>
        </is>
      </c>
      <c r="D145" s="183">
        <f>IF(A145="","",E145)</f>
        <v/>
      </c>
      <c r="E145" s="183">
        <f>IF(AND(C145="yes",ISNUMBER(G145)),MAX(DATE(2026,5,11),G145),"")</f>
        <v/>
      </c>
      <c r="F145" s="183">
        <f>IFERROR(INDEX('Batch Dates'!$F:$F,MATCH(J145,'Batch Dates'!$C:$C,0)),IFERROR(INDEX('Batch Dates'!$F:$F,MATCH(I145,'Batch Dates'!$B:$B,0)),""))</f>
        <v/>
      </c>
      <c r="G145" s="183">
        <f>IFERROR(INDEX('Batch Dates'!$G:$G,MATCH(J145,'Batch Dates'!$C:$C,0)),IFERROR(INDEX('Batch Dates'!$G:$G,MATCH(I145,'Batch Dates'!$B:$B,0)),""))</f>
        <v/>
      </c>
      <c r="H145" s="182" t="inlineStr">
        <is>
          <t>retest — QP campaign</t>
        </is>
      </c>
      <c r="I145" s="181" t="inlineStr">
        <is>
          <t>BG1024</t>
        </is>
      </c>
      <c r="J145" s="182" t="inlineStr">
        <is>
          <t>N/A — no P batch assigned</t>
        </is>
      </c>
      <c r="K145" s="182" t="inlineStr">
        <is>
          <t>Blue Gelato</t>
        </is>
      </c>
      <c r="L145" s="182" t="inlineStr">
        <is>
          <t>Foreign matter</t>
        </is>
      </c>
      <c r="M145" s="182" t="inlineStr">
        <is>
          <t>iCoA_P07 · Foreign matter</t>
        </is>
      </c>
      <c r="N145" s="189" t="inlineStr">
        <is>
          <t>—</t>
        </is>
      </c>
      <c r="O145" s="182" t="inlineStr">
        <is>
          <t>197-1-K-26, (07.08.2026) [FHM-K]</t>
        </is>
      </c>
      <c r="P145" s="182" t="inlineStr">
        <is>
          <t>CoQ-PP-2026-0028</t>
        </is>
      </c>
      <c r="Q145" s="189" t="inlineStr">
        <is>
          <t>—</t>
        </is>
      </c>
      <c r="R145" s="182" t="inlineStr">
        <is>
          <t>BG1024|FM|R</t>
        </is>
      </c>
      <c r="S145" s="193" t="inlineStr">
        <is>
          <t>not yet issuable — retest assay on file; foreign matter to test at the retest sampling</t>
        </is>
      </c>
    </row>
    <row r="146">
      <c r="A146" s="182">
        <f>IF(C146="yes",COUNT(A$1:A145)+1,"")</f>
        <v/>
      </c>
      <c r="B146" s="181">
        <f>IF(A146="","— at issue —","iCoA-PP_26-"&amp;TEXT(A146,"000"))</f>
        <v/>
      </c>
      <c r="C146" s="189" t="inlineStr">
        <is>
          <t>no</t>
        </is>
      </c>
      <c r="D146" s="183">
        <f>IF(A146="","",E146)</f>
        <v/>
      </c>
      <c r="E146" s="183">
        <f>IF(AND(C146="yes",ISNUMBER(G146)),MAX(DATE(2026,5,11),G146),"")</f>
        <v/>
      </c>
      <c r="F146" s="183">
        <f>IFERROR(INDEX('Batch Dates'!$F:$F,MATCH(J146,'Batch Dates'!$C:$C,0)),IFERROR(INDEX('Batch Dates'!$F:$F,MATCH(I146,'Batch Dates'!$B:$B,0)),""))</f>
        <v/>
      </c>
      <c r="G146" s="183">
        <f>IFERROR(INDEX('Batch Dates'!$G:$G,MATCH(J146,'Batch Dates'!$C:$C,0)),IFERROR(INDEX('Batch Dates'!$G:$G,MATCH(I146,'Batch Dates'!$B:$B,0)),""))</f>
        <v/>
      </c>
      <c r="H146" s="182" t="inlineStr">
        <is>
          <t>retest — QP campaign</t>
        </is>
      </c>
      <c r="I146" s="181" t="inlineStr">
        <is>
          <t>HPA1024</t>
        </is>
      </c>
      <c r="J146" s="182" t="inlineStr">
        <is>
          <t>N/A — no P batch assigned</t>
        </is>
      </c>
      <c r="K146" s="182" t="inlineStr">
        <is>
          <t>HighProAmnesia</t>
        </is>
      </c>
      <c r="L146" s="182" t="inlineStr">
        <is>
          <t>Ident A + Ident B</t>
        </is>
      </c>
      <c r="M146" s="182" t="inlineStr">
        <is>
          <t>iCoA_P01-02 · Appearance &amp; Identification A/B</t>
        </is>
      </c>
      <c r="N146" s="189" t="inlineStr">
        <is>
          <t>—</t>
        </is>
      </c>
      <c r="O146" s="182" t="inlineStr">
        <is>
          <t>197-13-K-26, (07.08.2026) [FHM-K]</t>
        </is>
      </c>
      <c r="P146" s="182" t="inlineStr">
        <is>
          <t>CoQ-PP-2026-0030</t>
        </is>
      </c>
      <c r="Q146" s="189" t="inlineStr">
        <is>
          <t>—</t>
        </is>
      </c>
      <c r="R146" s="182" t="inlineStr">
        <is>
          <t>HPA1024|AB|R</t>
        </is>
      </c>
      <c r="S146" s="193" t="inlineStr">
        <is>
          <t>not yet issuable — retest assay on file; identification A and B to test at the retest sampling</t>
        </is>
      </c>
    </row>
    <row r="147">
      <c r="A147" s="182">
        <f>IF(C147="yes",COUNT(A$1:A146)+1,"")</f>
        <v/>
      </c>
      <c r="B147" s="181">
        <f>IF(A147="","— at issue —","iCoA-PP_26-"&amp;TEXT(A147,"000"))</f>
        <v/>
      </c>
      <c r="C147" s="189" t="inlineStr">
        <is>
          <t>no</t>
        </is>
      </c>
      <c r="D147" s="183">
        <f>IF(A147="","",E147)</f>
        <v/>
      </c>
      <c r="E147" s="183">
        <f>IF(AND(C147="yes",ISNUMBER(G147)),MAX(DATE(2026,5,11),G147),"")</f>
        <v/>
      </c>
      <c r="F147" s="183">
        <f>IFERROR(INDEX('Batch Dates'!$F:$F,MATCH(J147,'Batch Dates'!$C:$C,0)),IFERROR(INDEX('Batch Dates'!$F:$F,MATCH(I147,'Batch Dates'!$B:$B,0)),""))</f>
        <v/>
      </c>
      <c r="G147" s="183">
        <f>IFERROR(INDEX('Batch Dates'!$G:$G,MATCH(J147,'Batch Dates'!$C:$C,0)),IFERROR(INDEX('Batch Dates'!$G:$G,MATCH(I147,'Batch Dates'!$B:$B,0)),""))</f>
        <v/>
      </c>
      <c r="H147" s="182" t="inlineStr">
        <is>
          <t>retest — QP campaign</t>
        </is>
      </c>
      <c r="I147" s="181" t="inlineStr">
        <is>
          <t>HPA1024</t>
        </is>
      </c>
      <c r="J147" s="182" t="inlineStr">
        <is>
          <t>N/A — no P batch assigned</t>
        </is>
      </c>
      <c r="K147" s="182" t="inlineStr">
        <is>
          <t>HighProAmnesia</t>
        </is>
      </c>
      <c r="L147" s="182" t="inlineStr">
        <is>
          <t>Foreign matter</t>
        </is>
      </c>
      <c r="M147" s="182" t="inlineStr">
        <is>
          <t>iCoA_P07 · Foreign matter</t>
        </is>
      </c>
      <c r="N147" s="189" t="inlineStr">
        <is>
          <t>—</t>
        </is>
      </c>
      <c r="O147" s="182" t="inlineStr">
        <is>
          <t>197-13-K-26, (07.08.2026) [FHM-K]</t>
        </is>
      </c>
      <c r="P147" s="182" t="inlineStr">
        <is>
          <t>CoQ-PP-2026-0030</t>
        </is>
      </c>
      <c r="Q147" s="189" t="inlineStr">
        <is>
          <t>—</t>
        </is>
      </c>
      <c r="R147" s="182" t="inlineStr">
        <is>
          <t>HPA1024|FM|R</t>
        </is>
      </c>
      <c r="S147" s="193" t="inlineStr">
        <is>
          <t>not yet issuable — retest assay on file; foreign matter to test at the retest sampling</t>
        </is>
      </c>
    </row>
    <row r="148">
      <c r="A148" s="182">
        <f>IF(C148="yes",COUNT(A$1:A147)+1,"")</f>
        <v/>
      </c>
      <c r="B148" s="181">
        <f>IF(A148="","— at issue —","iCoA-PP_26-"&amp;TEXT(A148,"000"))</f>
        <v/>
      </c>
      <c r="C148" s="189" t="inlineStr">
        <is>
          <t>no</t>
        </is>
      </c>
      <c r="D148" s="183">
        <f>IF(A148="","",E148)</f>
        <v/>
      </c>
      <c r="E148" s="183">
        <f>IF(AND(C148="yes",ISNUMBER(G148)),MAX(DATE(2026,5,11),G148),"")</f>
        <v/>
      </c>
      <c r="F148" s="183">
        <f>IFERROR(INDEX('Batch Dates'!$F:$F,MATCH(J148,'Batch Dates'!$C:$C,0)),IFERROR(INDEX('Batch Dates'!$F:$F,MATCH(I148,'Batch Dates'!$B:$B,0)),""))</f>
        <v/>
      </c>
      <c r="G148" s="183">
        <f>IFERROR(INDEX('Batch Dates'!$G:$G,MATCH(J148,'Batch Dates'!$C:$C,0)),IFERROR(INDEX('Batch Dates'!$G:$G,MATCH(I148,'Batch Dates'!$B:$B,0)),""))</f>
        <v/>
      </c>
      <c r="H148" s="182" t="inlineStr">
        <is>
          <t>retest — QP campaign</t>
        </is>
      </c>
      <c r="I148" s="181" t="inlineStr">
        <is>
          <t>OPM1024</t>
        </is>
      </c>
      <c r="J148" s="182" t="inlineStr">
        <is>
          <t>N/A — no P batch assigned</t>
        </is>
      </c>
      <c r="K148" s="182" t="inlineStr">
        <is>
          <t>OrangePunchMimosa</t>
        </is>
      </c>
      <c r="L148" s="182" t="inlineStr">
        <is>
          <t>Ident A + Ident B</t>
        </is>
      </c>
      <c r="M148" s="182" t="inlineStr">
        <is>
          <t>iCoA_P01-02 · Appearance &amp; Identification A/B</t>
        </is>
      </c>
      <c r="N148" s="189" t="inlineStr">
        <is>
          <t>—</t>
        </is>
      </c>
      <c r="O148" s="182" t="inlineStr">
        <is>
          <t>197-17-K-26, (07.08.2026) [FHM-K]</t>
        </is>
      </c>
      <c r="P148" s="182" t="inlineStr">
        <is>
          <t>CoQ-PP-2026-0031</t>
        </is>
      </c>
      <c r="Q148" s="189" t="inlineStr">
        <is>
          <t>—</t>
        </is>
      </c>
      <c r="R148" s="182" t="inlineStr">
        <is>
          <t>OPM1024|AB|R</t>
        </is>
      </c>
      <c r="S148" s="193" t="inlineStr">
        <is>
          <t>not yet issuable — retest assay on file; identification A and B to test at the retest sampling</t>
        </is>
      </c>
    </row>
    <row r="149">
      <c r="A149" s="182">
        <f>IF(C149="yes",COUNT(A$1:A148)+1,"")</f>
        <v/>
      </c>
      <c r="B149" s="181">
        <f>IF(A149="","— at issue —","iCoA-PP_26-"&amp;TEXT(A149,"000"))</f>
        <v/>
      </c>
      <c r="C149" s="189" t="inlineStr">
        <is>
          <t>no</t>
        </is>
      </c>
      <c r="D149" s="183">
        <f>IF(A149="","",E149)</f>
        <v/>
      </c>
      <c r="E149" s="183">
        <f>IF(AND(C149="yes",ISNUMBER(G149)),MAX(DATE(2026,5,11),G149),"")</f>
        <v/>
      </c>
      <c r="F149" s="183">
        <f>IFERROR(INDEX('Batch Dates'!$F:$F,MATCH(J149,'Batch Dates'!$C:$C,0)),IFERROR(INDEX('Batch Dates'!$F:$F,MATCH(I149,'Batch Dates'!$B:$B,0)),""))</f>
        <v/>
      </c>
      <c r="G149" s="183">
        <f>IFERROR(INDEX('Batch Dates'!$G:$G,MATCH(J149,'Batch Dates'!$C:$C,0)),IFERROR(INDEX('Batch Dates'!$G:$G,MATCH(I149,'Batch Dates'!$B:$B,0)),""))</f>
        <v/>
      </c>
      <c r="H149" s="182" t="inlineStr">
        <is>
          <t>retest — QP campaign</t>
        </is>
      </c>
      <c r="I149" s="181" t="inlineStr">
        <is>
          <t>OPM1024</t>
        </is>
      </c>
      <c r="J149" s="182" t="inlineStr">
        <is>
          <t>N/A — no P batch assigned</t>
        </is>
      </c>
      <c r="K149" s="182" t="inlineStr">
        <is>
          <t>OrangePunchMimosa</t>
        </is>
      </c>
      <c r="L149" s="182" t="inlineStr">
        <is>
          <t>Foreign matter</t>
        </is>
      </c>
      <c r="M149" s="182" t="inlineStr">
        <is>
          <t>iCoA_P07 · Foreign matter</t>
        </is>
      </c>
      <c r="N149" s="189" t="inlineStr">
        <is>
          <t>—</t>
        </is>
      </c>
      <c r="O149" s="182" t="inlineStr">
        <is>
          <t>197-17-K-26, (07.08.2026) [FHM-K]</t>
        </is>
      </c>
      <c r="P149" s="182" t="inlineStr">
        <is>
          <t>CoQ-PP-2026-0031</t>
        </is>
      </c>
      <c r="Q149" s="189" t="inlineStr">
        <is>
          <t>—</t>
        </is>
      </c>
      <c r="R149" s="182" t="inlineStr">
        <is>
          <t>OPM1024|FM|R</t>
        </is>
      </c>
      <c r="S149" s="193" t="inlineStr">
        <is>
          <t>not yet issuable — retest assay on file; foreign matter to test at the retest sampling</t>
        </is>
      </c>
    </row>
    <row r="150">
      <c r="A150" s="182">
        <f>IF(C150="yes",COUNT(A$1:A149)+1,"")</f>
        <v/>
      </c>
      <c r="B150" s="181">
        <f>IF(A150="","— at issue —","iCoA-PP_26-"&amp;TEXT(A150,"000"))</f>
        <v/>
      </c>
      <c r="C150" s="189" t="inlineStr">
        <is>
          <t>no</t>
        </is>
      </c>
      <c r="D150" s="183">
        <f>IF(A150="","",E150)</f>
        <v/>
      </c>
      <c r="E150" s="183">
        <f>IF(AND(C150="yes",ISNUMBER(G150)),MAX(DATE(2026,5,11),G150),"")</f>
        <v/>
      </c>
      <c r="F150" s="183">
        <f>IFERROR(INDEX('Batch Dates'!$F:$F,MATCH(J150,'Batch Dates'!$C:$C,0)),IFERROR(INDEX('Batch Dates'!$F:$F,MATCH(I150,'Batch Dates'!$B:$B,0)),""))</f>
        <v/>
      </c>
      <c r="G150" s="183">
        <f>IFERROR(INDEX('Batch Dates'!$G:$G,MATCH(J150,'Batch Dates'!$C:$C,0)),IFERROR(INDEX('Batch Dates'!$G:$G,MATCH(I150,'Batch Dates'!$B:$B,0)),""))</f>
        <v/>
      </c>
      <c r="H150" s="182" t="inlineStr">
        <is>
          <t>retest — QP campaign</t>
        </is>
      </c>
      <c r="I150" s="181" t="inlineStr">
        <is>
          <t>GP0824_02</t>
        </is>
      </c>
      <c r="J150" s="182" t="inlineStr">
        <is>
          <t>P050022</t>
        </is>
      </c>
      <c r="K150" s="182" t="inlineStr">
        <is>
          <t>Grape Pie</t>
        </is>
      </c>
      <c r="L150" s="182" t="inlineStr">
        <is>
          <t>Ident A + Ident B</t>
        </is>
      </c>
      <c r="M150" s="182" t="inlineStr">
        <is>
          <t>iCoA_P01-02 · Appearance &amp; Identification A/B</t>
        </is>
      </c>
      <c r="N150" s="189" t="inlineStr">
        <is>
          <t>—</t>
        </is>
      </c>
      <c r="O150" s="182" t="inlineStr">
        <is>
          <t>ППК26032, (05.03.2026) [CNP]</t>
        </is>
      </c>
      <c r="P150" s="182" t="inlineStr">
        <is>
          <t>CoQ-PP-2026-0032</t>
        </is>
      </c>
      <c r="Q150" s="189" t="inlineStr">
        <is>
          <t>—</t>
        </is>
      </c>
      <c r="R150" s="182" t="inlineStr">
        <is>
          <t>P050022|AB|R</t>
        </is>
      </c>
      <c r="S150" s="193" t="inlineStr">
        <is>
          <t>not yet issuable — retest assay on file; identification A and B to test at the retest sampling</t>
        </is>
      </c>
    </row>
    <row r="151">
      <c r="A151" s="182">
        <f>IF(C151="yes",COUNT(A$1:A150)+1,"")</f>
        <v/>
      </c>
      <c r="B151" s="181">
        <f>IF(A151="","— at issue —","iCoA-PP_26-"&amp;TEXT(A151,"000"))</f>
        <v/>
      </c>
      <c r="C151" s="189" t="inlineStr">
        <is>
          <t>no</t>
        </is>
      </c>
      <c r="D151" s="183">
        <f>IF(A151="","",E151)</f>
        <v/>
      </c>
      <c r="E151" s="183">
        <f>IF(AND(C151="yes",ISNUMBER(G151)),MAX(DATE(2026,5,11),G151),"")</f>
        <v/>
      </c>
      <c r="F151" s="183">
        <f>IFERROR(INDEX('Batch Dates'!$F:$F,MATCH(J151,'Batch Dates'!$C:$C,0)),IFERROR(INDEX('Batch Dates'!$F:$F,MATCH(I151,'Batch Dates'!$B:$B,0)),""))</f>
        <v/>
      </c>
      <c r="G151" s="183">
        <f>IFERROR(INDEX('Batch Dates'!$G:$G,MATCH(J151,'Batch Dates'!$C:$C,0)),IFERROR(INDEX('Batch Dates'!$G:$G,MATCH(I151,'Batch Dates'!$B:$B,0)),""))</f>
        <v/>
      </c>
      <c r="H151" s="182" t="inlineStr">
        <is>
          <t>retest — QP campaign</t>
        </is>
      </c>
      <c r="I151" s="181" t="inlineStr">
        <is>
          <t>GP0824_02</t>
        </is>
      </c>
      <c r="J151" s="182" t="inlineStr">
        <is>
          <t>P050022</t>
        </is>
      </c>
      <c r="K151" s="182" t="inlineStr">
        <is>
          <t>Grape Pie</t>
        </is>
      </c>
      <c r="L151" s="182" t="inlineStr">
        <is>
          <t>Foreign matter</t>
        </is>
      </c>
      <c r="M151" s="182" t="inlineStr">
        <is>
          <t>iCoA_P07 · Foreign matter</t>
        </is>
      </c>
      <c r="N151" s="189" t="inlineStr">
        <is>
          <t>—</t>
        </is>
      </c>
      <c r="O151" s="182" t="inlineStr">
        <is>
          <t>ППК26032, (05.03.2026) [CNP]</t>
        </is>
      </c>
      <c r="P151" s="182" t="inlineStr">
        <is>
          <t>CoQ-PP-2026-0032</t>
        </is>
      </c>
      <c r="Q151" s="189" t="inlineStr">
        <is>
          <t>—</t>
        </is>
      </c>
      <c r="R151" s="182" t="inlineStr">
        <is>
          <t>P050022|FM|R</t>
        </is>
      </c>
      <c r="S151" s="193" t="inlineStr">
        <is>
          <t>not yet issuable — retest assay on file; foreign matter to test at the retest sampling</t>
        </is>
      </c>
    </row>
    <row r="152">
      <c r="A152" s="182">
        <f>IF(C152="yes",COUNT(A$1:A151)+1,"")</f>
        <v/>
      </c>
      <c r="B152" s="181">
        <f>IF(A152="","— at issue —","iCoA-PP_26-"&amp;TEXT(A152,"000"))</f>
        <v/>
      </c>
      <c r="C152" s="189" t="inlineStr">
        <is>
          <t>no</t>
        </is>
      </c>
      <c r="D152" s="183">
        <f>IF(A152="","",E152)</f>
        <v/>
      </c>
      <c r="E152" s="183">
        <f>IF(AND(C152="yes",ISNUMBER(G152)),MAX(DATE(2026,5,11),G152),"")</f>
        <v/>
      </c>
      <c r="F152" s="183">
        <f>IFERROR(INDEX('Batch Dates'!$F:$F,MATCH(J152,'Batch Dates'!$C:$C,0)),IFERROR(INDEX('Batch Dates'!$F:$F,MATCH(I152,'Batch Dates'!$B:$B,0)),""))</f>
        <v/>
      </c>
      <c r="G152" s="183">
        <f>IFERROR(INDEX('Batch Dates'!$G:$G,MATCH(J152,'Batch Dates'!$C:$C,0)),IFERROR(INDEX('Batch Dates'!$G:$G,MATCH(I152,'Batch Dates'!$B:$B,0)),""))</f>
        <v/>
      </c>
      <c r="H152" s="182" t="inlineStr">
        <is>
          <t>retest — QP campaign</t>
        </is>
      </c>
      <c r="I152" s="181" t="inlineStr">
        <is>
          <t>HPA1024_01</t>
        </is>
      </c>
      <c r="J152" s="182" t="inlineStr">
        <is>
          <t>P050052</t>
        </is>
      </c>
      <c r="K152" s="182" t="inlineStr">
        <is>
          <t>High Pro Amnesia</t>
        </is>
      </c>
      <c r="L152" s="182" t="inlineStr">
        <is>
          <t>Ident A + Ident B</t>
        </is>
      </c>
      <c r="M152" s="182" t="inlineStr">
        <is>
          <t>iCoA_P01-02 · Appearance &amp; Identification A/B</t>
        </is>
      </c>
      <c r="N152" s="189" t="inlineStr">
        <is>
          <t>—</t>
        </is>
      </c>
      <c r="O152" s="182" t="inlineStr">
        <is>
          <t>197-14-K-26, (07.08.2026) [FHM-K]</t>
        </is>
      </c>
      <c r="P152" s="182" t="inlineStr">
        <is>
          <t>CoQ-PP-2026-0034</t>
        </is>
      </c>
      <c r="Q152" s="189" t="inlineStr">
        <is>
          <t>—</t>
        </is>
      </c>
      <c r="R152" s="182" t="inlineStr">
        <is>
          <t>P050052|AB|R</t>
        </is>
      </c>
      <c r="S152" s="193" t="inlineStr">
        <is>
          <t>not yet issuable — retest assay on file; identification A and B to test at the retest sampling</t>
        </is>
      </c>
    </row>
    <row r="153">
      <c r="A153" s="182">
        <f>IF(C153="yes",COUNT(A$1:A152)+1,"")</f>
        <v/>
      </c>
      <c r="B153" s="181">
        <f>IF(A153="","— at issue —","iCoA-PP_26-"&amp;TEXT(A153,"000"))</f>
        <v/>
      </c>
      <c r="C153" s="189" t="inlineStr">
        <is>
          <t>no</t>
        </is>
      </c>
      <c r="D153" s="183">
        <f>IF(A153="","",E153)</f>
        <v/>
      </c>
      <c r="E153" s="183">
        <f>IF(AND(C153="yes",ISNUMBER(G153)),MAX(DATE(2026,5,11),G153),"")</f>
        <v/>
      </c>
      <c r="F153" s="183">
        <f>IFERROR(INDEX('Batch Dates'!$F:$F,MATCH(J153,'Batch Dates'!$C:$C,0)),IFERROR(INDEX('Batch Dates'!$F:$F,MATCH(I153,'Batch Dates'!$B:$B,0)),""))</f>
        <v/>
      </c>
      <c r="G153" s="183">
        <f>IFERROR(INDEX('Batch Dates'!$G:$G,MATCH(J153,'Batch Dates'!$C:$C,0)),IFERROR(INDEX('Batch Dates'!$G:$G,MATCH(I153,'Batch Dates'!$B:$B,0)),""))</f>
        <v/>
      </c>
      <c r="H153" s="182" t="inlineStr">
        <is>
          <t>retest — QP campaign</t>
        </is>
      </c>
      <c r="I153" s="181" t="inlineStr">
        <is>
          <t>HPA1024_01</t>
        </is>
      </c>
      <c r="J153" s="182" t="inlineStr">
        <is>
          <t>P050052</t>
        </is>
      </c>
      <c r="K153" s="182" t="inlineStr">
        <is>
          <t>High Pro Amnesia</t>
        </is>
      </c>
      <c r="L153" s="182" t="inlineStr">
        <is>
          <t>Foreign matter</t>
        </is>
      </c>
      <c r="M153" s="182" t="inlineStr">
        <is>
          <t>iCoA_P07 · Foreign matter</t>
        </is>
      </c>
      <c r="N153" s="189" t="inlineStr">
        <is>
          <t>—</t>
        </is>
      </c>
      <c r="O153" s="182" t="inlineStr">
        <is>
          <t>197-14-K-26, (07.08.2026) [FHM-K]</t>
        </is>
      </c>
      <c r="P153" s="182" t="inlineStr">
        <is>
          <t>CoQ-PP-2026-0034</t>
        </is>
      </c>
      <c r="Q153" s="189" t="inlineStr">
        <is>
          <t>—</t>
        </is>
      </c>
      <c r="R153" s="182" t="inlineStr">
        <is>
          <t>P050052|FM|R</t>
        </is>
      </c>
      <c r="S153" s="193" t="inlineStr">
        <is>
          <t>not yet issuable — retest assay on file; foreign matter to test at the retest sampling</t>
        </is>
      </c>
    </row>
    <row r="154">
      <c r="A154" s="182">
        <f>IF(C154="yes",COUNT(A$1:A153)+1,"")</f>
        <v/>
      </c>
      <c r="B154" s="181">
        <f>IF(A154="","— at issue —","iCoA-PP_26-"&amp;TEXT(A154,"000"))</f>
        <v/>
      </c>
      <c r="C154" s="189" t="inlineStr">
        <is>
          <t>no</t>
        </is>
      </c>
      <c r="D154" s="183">
        <f>IF(A154="","",E154)</f>
        <v/>
      </c>
      <c r="E154" s="183">
        <f>IF(AND(C154="yes",ISNUMBER(G154)),MAX(DATE(2026,5,11),G154),"")</f>
        <v/>
      </c>
      <c r="F154" s="183">
        <f>IFERROR(INDEX('Batch Dates'!$F:$F,MATCH(J154,'Batch Dates'!$C:$C,0)),IFERROR(INDEX('Batch Dates'!$F:$F,MATCH(I154,'Batch Dates'!$B:$B,0)),""))</f>
        <v/>
      </c>
      <c r="G154" s="183">
        <f>IFERROR(INDEX('Batch Dates'!$G:$G,MATCH(J154,'Batch Dates'!$C:$C,0)),IFERROR(INDEX('Batch Dates'!$G:$G,MATCH(I154,'Batch Dates'!$B:$B,0)),""))</f>
        <v/>
      </c>
      <c r="H154" s="182" t="inlineStr">
        <is>
          <t>retest — QP campaign</t>
        </is>
      </c>
      <c r="I154" s="181" t="inlineStr">
        <is>
          <t>OPM1024_02</t>
        </is>
      </c>
      <c r="J154" s="182" t="inlineStr">
        <is>
          <t>P050062</t>
        </is>
      </c>
      <c r="K154" s="182" t="inlineStr">
        <is>
          <t>Orange Punch Mimosa</t>
        </is>
      </c>
      <c r="L154" s="182" t="inlineStr">
        <is>
          <t>Ident A + Ident B</t>
        </is>
      </c>
      <c r="M154" s="182" t="inlineStr">
        <is>
          <t>iCoA_P01-02 · Appearance &amp; Identification A/B</t>
        </is>
      </c>
      <c r="N154" s="189" t="inlineStr">
        <is>
          <t>—</t>
        </is>
      </c>
      <c r="O154" s="182" t="inlineStr">
        <is>
          <t>197-18-K-26, (07.08.2026) [FHM-K]</t>
        </is>
      </c>
      <c r="P154" s="182" t="inlineStr">
        <is>
          <t>CoQ-PP-2026-0035</t>
        </is>
      </c>
      <c r="Q154" s="189" t="inlineStr">
        <is>
          <t>—</t>
        </is>
      </c>
      <c r="R154" s="182" t="inlineStr">
        <is>
          <t>P050062|AB|R</t>
        </is>
      </c>
      <c r="S154" s="193" t="inlineStr">
        <is>
          <t>not yet issuable — retest assay on file; identification A and B to test at the retest sampling</t>
        </is>
      </c>
    </row>
    <row r="155">
      <c r="A155" s="182">
        <f>IF(C155="yes",COUNT(A$1:A154)+1,"")</f>
        <v/>
      </c>
      <c r="B155" s="181">
        <f>IF(A155="","— at issue —","iCoA-PP_26-"&amp;TEXT(A155,"000"))</f>
        <v/>
      </c>
      <c r="C155" s="189" t="inlineStr">
        <is>
          <t>no</t>
        </is>
      </c>
      <c r="D155" s="183">
        <f>IF(A155="","",E155)</f>
        <v/>
      </c>
      <c r="E155" s="183">
        <f>IF(AND(C155="yes",ISNUMBER(G155)),MAX(DATE(2026,5,11),G155),"")</f>
        <v/>
      </c>
      <c r="F155" s="183">
        <f>IFERROR(INDEX('Batch Dates'!$F:$F,MATCH(J155,'Batch Dates'!$C:$C,0)),IFERROR(INDEX('Batch Dates'!$F:$F,MATCH(I155,'Batch Dates'!$B:$B,0)),""))</f>
        <v/>
      </c>
      <c r="G155" s="183">
        <f>IFERROR(INDEX('Batch Dates'!$G:$G,MATCH(J155,'Batch Dates'!$C:$C,0)),IFERROR(INDEX('Batch Dates'!$G:$G,MATCH(I155,'Batch Dates'!$B:$B,0)),""))</f>
        <v/>
      </c>
      <c r="H155" s="182" t="inlineStr">
        <is>
          <t>retest — QP campaign</t>
        </is>
      </c>
      <c r="I155" s="181" t="inlineStr">
        <is>
          <t>OPM1024_02</t>
        </is>
      </c>
      <c r="J155" s="182" t="inlineStr">
        <is>
          <t>P050062</t>
        </is>
      </c>
      <c r="K155" s="182" t="inlineStr">
        <is>
          <t>Orange Punch Mimosa</t>
        </is>
      </c>
      <c r="L155" s="182" t="inlineStr">
        <is>
          <t>Foreign matter</t>
        </is>
      </c>
      <c r="M155" s="182" t="inlineStr">
        <is>
          <t>iCoA_P07 · Foreign matter</t>
        </is>
      </c>
      <c r="N155" s="189" t="inlineStr">
        <is>
          <t>—</t>
        </is>
      </c>
      <c r="O155" s="182" t="inlineStr">
        <is>
          <t>197-18-K-26, (07.08.2026) [FHM-K]</t>
        </is>
      </c>
      <c r="P155" s="182" t="inlineStr">
        <is>
          <t>CoQ-PP-2026-0035</t>
        </is>
      </c>
      <c r="Q155" s="189" t="inlineStr">
        <is>
          <t>—</t>
        </is>
      </c>
      <c r="R155" s="182" t="inlineStr">
        <is>
          <t>P050062|FM|R</t>
        </is>
      </c>
      <c r="S155" s="193" t="inlineStr">
        <is>
          <t>not yet issuable — retest assay on file; foreign matter to test at the retest sampling</t>
        </is>
      </c>
    </row>
    <row r="156">
      <c r="A156" s="182">
        <f>IF(C156="yes",COUNT(A$1:A155)+1,"")</f>
        <v/>
      </c>
      <c r="B156" s="181">
        <f>IF(A156="","— at issue —","iCoA-PP_26-"&amp;TEXT(A156,"000"))</f>
        <v/>
      </c>
      <c r="C156" s="189" t="inlineStr">
        <is>
          <t>no</t>
        </is>
      </c>
      <c r="D156" s="183">
        <f>IF(A156="","",E156)</f>
        <v/>
      </c>
      <c r="E156" s="183">
        <f>IF(AND(C156="yes",ISNUMBER(G156)),MAX(DATE(2026,5,11),G156),"")</f>
        <v/>
      </c>
      <c r="F156" s="183">
        <f>IFERROR(INDEX('Batch Dates'!$F:$F,MATCH(J156,'Batch Dates'!$C:$C,0)),IFERROR(INDEX('Batch Dates'!$F:$F,MATCH(I156,'Batch Dates'!$B:$B,0)),""))</f>
        <v/>
      </c>
      <c r="G156" s="183">
        <f>IFERROR(INDEX('Batch Dates'!$G:$G,MATCH(J156,'Batch Dates'!$C:$C,0)),IFERROR(INDEX('Batch Dates'!$G:$G,MATCH(I156,'Batch Dates'!$B:$B,0)),""))</f>
        <v/>
      </c>
      <c r="H156" s="182" t="inlineStr">
        <is>
          <t>retest — QP campaign</t>
        </is>
      </c>
      <c r="I156" s="181" t="inlineStr">
        <is>
          <t>GP0824_03</t>
        </is>
      </c>
      <c r="J156" s="182" t="inlineStr">
        <is>
          <t>P050072</t>
        </is>
      </c>
      <c r="K156" s="182" t="inlineStr">
        <is>
          <t>Grape Pie</t>
        </is>
      </c>
      <c r="L156" s="182" t="inlineStr">
        <is>
          <t>Ident A + Ident B</t>
        </is>
      </c>
      <c r="M156" s="182" t="inlineStr">
        <is>
          <t>iCoA_P01-02 · Appearance &amp; Identification A/B</t>
        </is>
      </c>
      <c r="N156" s="189" t="inlineStr">
        <is>
          <t>—</t>
        </is>
      </c>
      <c r="O156" s="182" t="inlineStr">
        <is>
          <t>ППК26034, (05.03.2026) [CNP]</t>
        </is>
      </c>
      <c r="P156" s="182" t="inlineStr">
        <is>
          <t>CoQ-PP-2026-0036</t>
        </is>
      </c>
      <c r="Q156" s="189" t="inlineStr">
        <is>
          <t>—</t>
        </is>
      </c>
      <c r="R156" s="182" t="inlineStr">
        <is>
          <t>P050072|AB|R</t>
        </is>
      </c>
      <c r="S156" s="193" t="inlineStr">
        <is>
          <t>not yet issuable — retest assay on file; identification A and B to test at the retest sampling</t>
        </is>
      </c>
    </row>
    <row r="157">
      <c r="A157" s="182">
        <f>IF(C157="yes",COUNT(A$1:A156)+1,"")</f>
        <v/>
      </c>
      <c r="B157" s="181">
        <f>IF(A157="","— at issue —","iCoA-PP_26-"&amp;TEXT(A157,"000"))</f>
        <v/>
      </c>
      <c r="C157" s="189" t="inlineStr">
        <is>
          <t>no</t>
        </is>
      </c>
      <c r="D157" s="183">
        <f>IF(A157="","",E157)</f>
        <v/>
      </c>
      <c r="E157" s="183">
        <f>IF(AND(C157="yes",ISNUMBER(G157)),MAX(DATE(2026,5,11),G157),"")</f>
        <v/>
      </c>
      <c r="F157" s="183">
        <f>IFERROR(INDEX('Batch Dates'!$F:$F,MATCH(J157,'Batch Dates'!$C:$C,0)),IFERROR(INDEX('Batch Dates'!$F:$F,MATCH(I157,'Batch Dates'!$B:$B,0)),""))</f>
        <v/>
      </c>
      <c r="G157" s="183">
        <f>IFERROR(INDEX('Batch Dates'!$G:$G,MATCH(J157,'Batch Dates'!$C:$C,0)),IFERROR(INDEX('Batch Dates'!$G:$G,MATCH(I157,'Batch Dates'!$B:$B,0)),""))</f>
        <v/>
      </c>
      <c r="H157" s="182" t="inlineStr">
        <is>
          <t>retest — QP campaign</t>
        </is>
      </c>
      <c r="I157" s="181" t="inlineStr">
        <is>
          <t>GP0824_03</t>
        </is>
      </c>
      <c r="J157" s="182" t="inlineStr">
        <is>
          <t>P050072</t>
        </is>
      </c>
      <c r="K157" s="182" t="inlineStr">
        <is>
          <t>Grape Pie</t>
        </is>
      </c>
      <c r="L157" s="182" t="inlineStr">
        <is>
          <t>Foreign matter</t>
        </is>
      </c>
      <c r="M157" s="182" t="inlineStr">
        <is>
          <t>iCoA_P07 · Foreign matter</t>
        </is>
      </c>
      <c r="N157" s="189" t="inlineStr">
        <is>
          <t>—</t>
        </is>
      </c>
      <c r="O157" s="182" t="inlineStr">
        <is>
          <t>ППК26034, (05.03.2026) [CNP]</t>
        </is>
      </c>
      <c r="P157" s="182" t="inlineStr">
        <is>
          <t>CoQ-PP-2026-0036</t>
        </is>
      </c>
      <c r="Q157" s="189" t="inlineStr">
        <is>
          <t>—</t>
        </is>
      </c>
      <c r="R157" s="182" t="inlineStr">
        <is>
          <t>P050072|FM|R</t>
        </is>
      </c>
      <c r="S157" s="193" t="inlineStr">
        <is>
          <t>not yet issuable — retest assay on file; foreign matter to test at the retest sampling</t>
        </is>
      </c>
    </row>
    <row r="158">
      <c r="A158" s="182">
        <f>IF(C158="yes",COUNT(A$1:A157)+1,"")</f>
        <v/>
      </c>
      <c r="B158" s="181">
        <f>IF(A158="","— at issue —","iCoA-PP_26-"&amp;TEXT(A158,"000"))</f>
        <v/>
      </c>
      <c r="C158" s="189" t="inlineStr">
        <is>
          <t>no</t>
        </is>
      </c>
      <c r="D158" s="183">
        <f>IF(A158="","",E158)</f>
        <v/>
      </c>
      <c r="E158" s="183">
        <f>IF(AND(C158="yes",ISNUMBER(G158)),MAX(DATE(2026,5,11),G158),"")</f>
        <v/>
      </c>
      <c r="F158" s="183">
        <f>IFERROR(INDEX('Batch Dates'!$F:$F,MATCH(J158,'Batch Dates'!$C:$C,0)),IFERROR(INDEX('Batch Dates'!$F:$F,MATCH(I158,'Batch Dates'!$B:$B,0)),""))</f>
        <v/>
      </c>
      <c r="G158" s="183">
        <f>IFERROR(INDEX('Batch Dates'!$G:$G,MATCH(J158,'Batch Dates'!$C:$C,0)),IFERROR(INDEX('Batch Dates'!$G:$G,MATCH(I158,'Batch Dates'!$B:$B,0)),""))</f>
        <v/>
      </c>
      <c r="H158" s="182" t="inlineStr">
        <is>
          <t>retest — QP campaign</t>
        </is>
      </c>
      <c r="I158" s="181" t="inlineStr">
        <is>
          <t>GG1024_01</t>
        </is>
      </c>
      <c r="J158" s="182" t="inlineStr">
        <is>
          <t>P050092</t>
        </is>
      </c>
      <c r="K158" s="182" t="inlineStr">
        <is>
          <t>Gorilla Glue</t>
        </is>
      </c>
      <c r="L158" s="182" t="inlineStr">
        <is>
          <t>Ident A + Ident B</t>
        </is>
      </c>
      <c r="M158" s="182" t="inlineStr">
        <is>
          <t>iCoA_P01-02 · Appearance &amp; Identification A/B</t>
        </is>
      </c>
      <c r="N158" s="189" t="inlineStr">
        <is>
          <t>—</t>
        </is>
      </c>
      <c r="O158" s="182" t="inlineStr">
        <is>
          <t>197-9-K-26, (07.08.2026) [FHM-K]</t>
        </is>
      </c>
      <c r="P158" s="182" t="inlineStr">
        <is>
          <t>CoQ-PP-2026-0038</t>
        </is>
      </c>
      <c r="Q158" s="189" t="inlineStr">
        <is>
          <t>—</t>
        </is>
      </c>
      <c r="R158" s="182" t="inlineStr">
        <is>
          <t>P050092|AB|R</t>
        </is>
      </c>
      <c r="S158" s="193" t="inlineStr">
        <is>
          <t>not yet issuable — retest assay on file; identification A and B to test at the retest sampling</t>
        </is>
      </c>
    </row>
    <row r="159">
      <c r="A159" s="182">
        <f>IF(C159="yes",COUNT(A$1:A158)+1,"")</f>
        <v/>
      </c>
      <c r="B159" s="181">
        <f>IF(A159="","— at issue —","iCoA-PP_26-"&amp;TEXT(A159,"000"))</f>
        <v/>
      </c>
      <c r="C159" s="189" t="inlineStr">
        <is>
          <t>no</t>
        </is>
      </c>
      <c r="D159" s="183">
        <f>IF(A159="","",E159)</f>
        <v/>
      </c>
      <c r="E159" s="183">
        <f>IF(AND(C159="yes",ISNUMBER(G159)),MAX(DATE(2026,5,11),G159),"")</f>
        <v/>
      </c>
      <c r="F159" s="183">
        <f>IFERROR(INDEX('Batch Dates'!$F:$F,MATCH(J159,'Batch Dates'!$C:$C,0)),IFERROR(INDEX('Batch Dates'!$F:$F,MATCH(I159,'Batch Dates'!$B:$B,0)),""))</f>
        <v/>
      </c>
      <c r="G159" s="183">
        <f>IFERROR(INDEX('Batch Dates'!$G:$G,MATCH(J159,'Batch Dates'!$C:$C,0)),IFERROR(INDEX('Batch Dates'!$G:$G,MATCH(I159,'Batch Dates'!$B:$B,0)),""))</f>
        <v/>
      </c>
      <c r="H159" s="182" t="inlineStr">
        <is>
          <t>retest — QP campaign</t>
        </is>
      </c>
      <c r="I159" s="181" t="inlineStr">
        <is>
          <t>GG1024_01</t>
        </is>
      </c>
      <c r="J159" s="182" t="inlineStr">
        <is>
          <t>P050092</t>
        </is>
      </c>
      <c r="K159" s="182" t="inlineStr">
        <is>
          <t>Gorilla Glue</t>
        </is>
      </c>
      <c r="L159" s="182" t="inlineStr">
        <is>
          <t>Foreign matter</t>
        </is>
      </c>
      <c r="M159" s="182" t="inlineStr">
        <is>
          <t>iCoA_P07 · Foreign matter</t>
        </is>
      </c>
      <c r="N159" s="189" t="inlineStr">
        <is>
          <t>—</t>
        </is>
      </c>
      <c r="O159" s="182" t="inlineStr">
        <is>
          <t>197-9-K-26, (07.08.2026) [FHM-K]</t>
        </is>
      </c>
      <c r="P159" s="182" t="inlineStr">
        <is>
          <t>CoQ-PP-2026-0038</t>
        </is>
      </c>
      <c r="Q159" s="189" t="inlineStr">
        <is>
          <t>—</t>
        </is>
      </c>
      <c r="R159" s="182" t="inlineStr">
        <is>
          <t>P050092|FM|R</t>
        </is>
      </c>
      <c r="S159" s="193" t="inlineStr">
        <is>
          <t>not yet issuable — retest assay on file; foreign matter to test at the retest sampling</t>
        </is>
      </c>
    </row>
    <row r="160">
      <c r="A160" s="182">
        <f>IF(C160="yes",COUNT(A$1:A159)+1,"")</f>
        <v/>
      </c>
      <c r="B160" s="181">
        <f>IF(A160="","— at issue —","iCoA-PP_26-"&amp;TEXT(A160,"000"))</f>
        <v/>
      </c>
      <c r="C160" s="189" t="inlineStr">
        <is>
          <t>no</t>
        </is>
      </c>
      <c r="D160" s="183">
        <f>IF(A160="","",E160)</f>
        <v/>
      </c>
      <c r="E160" s="183">
        <f>IF(AND(C160="yes",ISNUMBER(G160)),MAX(DATE(2026,5,11),G160),"")</f>
        <v/>
      </c>
      <c r="F160" s="183">
        <f>IFERROR(INDEX('Batch Dates'!$F:$F,MATCH(J160,'Batch Dates'!$C:$C,0)),IFERROR(INDEX('Batch Dates'!$F:$F,MATCH(I160,'Batch Dates'!$B:$B,0)),""))</f>
        <v/>
      </c>
      <c r="G160" s="183">
        <f>IFERROR(INDEX('Batch Dates'!$G:$G,MATCH(J160,'Batch Dates'!$C:$C,0)),IFERROR(INDEX('Batch Dates'!$G:$G,MATCH(I160,'Batch Dates'!$B:$B,0)),""))</f>
        <v/>
      </c>
      <c r="H160" s="182" t="inlineStr">
        <is>
          <t>retest — QP campaign</t>
        </is>
      </c>
      <c r="I160" s="181" t="inlineStr">
        <is>
          <t>GP052501</t>
        </is>
      </c>
      <c r="J160" s="182" t="inlineStr">
        <is>
          <t>P050152</t>
        </is>
      </c>
      <c r="K160" s="182" t="inlineStr">
        <is>
          <t>Grape Pie</t>
        </is>
      </c>
      <c r="L160" s="182" t="inlineStr">
        <is>
          <t>Ident A + Ident B</t>
        </is>
      </c>
      <c r="M160" s="182" t="inlineStr">
        <is>
          <t>iCoA_P01-02 · Appearance &amp; Identification A/B</t>
        </is>
      </c>
      <c r="N160" s="189" t="inlineStr">
        <is>
          <t>—</t>
        </is>
      </c>
      <c r="O160" s="182" t="inlineStr">
        <is>
          <t>197-10-K-26, (07.08.2026) [FHM-K]</t>
        </is>
      </c>
      <c r="P160" s="182" t="inlineStr">
        <is>
          <t>CoQ reissue (assigned on issue)</t>
        </is>
      </c>
      <c r="Q160" s="189" t="inlineStr">
        <is>
          <t>—</t>
        </is>
      </c>
      <c r="R160" s="182" t="inlineStr">
        <is>
          <t>P050152|AB|R</t>
        </is>
      </c>
      <c r="S160" s="193" t="inlineStr">
        <is>
          <t>not yet issuable — retest assay on file; identification A and B to test at the retest sampling</t>
        </is>
      </c>
    </row>
    <row r="161">
      <c r="A161" s="182">
        <f>IF(C161="yes",COUNT(A$1:A160)+1,"")</f>
        <v/>
      </c>
      <c r="B161" s="181">
        <f>IF(A161="","— at issue —","iCoA-PP_26-"&amp;TEXT(A161,"000"))</f>
        <v/>
      </c>
      <c r="C161" s="189" t="inlineStr">
        <is>
          <t>no</t>
        </is>
      </c>
      <c r="D161" s="183">
        <f>IF(A161="","",E161)</f>
        <v/>
      </c>
      <c r="E161" s="183">
        <f>IF(AND(C161="yes",ISNUMBER(G161)),MAX(DATE(2026,5,11),G161),"")</f>
        <v/>
      </c>
      <c r="F161" s="183">
        <f>IFERROR(INDEX('Batch Dates'!$F:$F,MATCH(J161,'Batch Dates'!$C:$C,0)),IFERROR(INDEX('Batch Dates'!$F:$F,MATCH(I161,'Batch Dates'!$B:$B,0)),""))</f>
        <v/>
      </c>
      <c r="G161" s="183">
        <f>IFERROR(INDEX('Batch Dates'!$G:$G,MATCH(J161,'Batch Dates'!$C:$C,0)),IFERROR(INDEX('Batch Dates'!$G:$G,MATCH(I161,'Batch Dates'!$B:$B,0)),""))</f>
        <v/>
      </c>
      <c r="H161" s="182" t="inlineStr">
        <is>
          <t>retest — QP campaign</t>
        </is>
      </c>
      <c r="I161" s="181" t="inlineStr">
        <is>
          <t>GP052501</t>
        </is>
      </c>
      <c r="J161" s="182" t="inlineStr">
        <is>
          <t>P050152</t>
        </is>
      </c>
      <c r="K161" s="182" t="inlineStr">
        <is>
          <t>Grape Pie</t>
        </is>
      </c>
      <c r="L161" s="182" t="inlineStr">
        <is>
          <t>Foreign matter</t>
        </is>
      </c>
      <c r="M161" s="182" t="inlineStr">
        <is>
          <t>iCoA_P07 · Foreign matter</t>
        </is>
      </c>
      <c r="N161" s="189" t="inlineStr">
        <is>
          <t>—</t>
        </is>
      </c>
      <c r="O161" s="182" t="inlineStr">
        <is>
          <t>197-10-K-26, (07.08.2026) [FHM-K]</t>
        </is>
      </c>
      <c r="P161" s="182" t="inlineStr">
        <is>
          <t>CoQ reissue (assigned on issue)</t>
        </is>
      </c>
      <c r="Q161" s="189" t="inlineStr">
        <is>
          <t>—</t>
        </is>
      </c>
      <c r="R161" s="182" t="inlineStr">
        <is>
          <t>P050152|FM|R</t>
        </is>
      </c>
      <c r="S161" s="193" t="inlineStr">
        <is>
          <t>not yet issuable — retest assay on file; foreign matter to test at the retest sampling</t>
        </is>
      </c>
    </row>
    <row r="162">
      <c r="A162" s="182">
        <f>IF(C162="yes",COUNT(A$1:A161)+1,"")</f>
        <v/>
      </c>
      <c r="B162" s="181">
        <f>IF(A162="","— at issue —","iCoA-PP_26-"&amp;TEXT(A162,"000"))</f>
        <v/>
      </c>
      <c r="C162" s="189" t="inlineStr">
        <is>
          <t>no</t>
        </is>
      </c>
      <c r="D162" s="183">
        <f>IF(A162="","",E162)</f>
        <v/>
      </c>
      <c r="E162" s="183">
        <f>IF(AND(C162="yes",ISNUMBER(G162)),MAX(DATE(2026,5,11),G162),"")</f>
        <v/>
      </c>
      <c r="F162" s="183">
        <f>IFERROR(INDEX('Batch Dates'!$F:$F,MATCH(J162,'Batch Dates'!$C:$C,0)),IFERROR(INDEX('Batch Dates'!$F:$F,MATCH(I162,'Batch Dates'!$B:$B,0)),""))</f>
        <v/>
      </c>
      <c r="G162" s="183">
        <f>IFERROR(INDEX('Batch Dates'!$G:$G,MATCH(J162,'Batch Dates'!$C:$C,0)),IFERROR(INDEX('Batch Dates'!$G:$G,MATCH(I162,'Batch Dates'!$B:$B,0)),""))</f>
        <v/>
      </c>
      <c r="H162" s="182" t="inlineStr">
        <is>
          <t>retest — QP campaign</t>
        </is>
      </c>
      <c r="I162" s="181" t="inlineStr">
        <is>
          <t>CJ052501/01</t>
        </is>
      </c>
      <c r="J162" s="182" t="inlineStr">
        <is>
          <t>P050162</t>
        </is>
      </c>
      <c r="K162" s="182" t="inlineStr">
        <is>
          <t>Cup Junky</t>
        </is>
      </c>
      <c r="L162" s="182" t="inlineStr">
        <is>
          <t>Ident A + Ident B</t>
        </is>
      </c>
      <c r="M162" s="182" t="inlineStr">
        <is>
          <t>iCoA_P01-02 · Appearance &amp; Identification A/B</t>
        </is>
      </c>
      <c r="N162" s="189" t="inlineStr">
        <is>
          <t>—</t>
        </is>
      </c>
      <c r="O162" s="182" t="inlineStr">
        <is>
          <t>197-3-K-26, (07.08.2026) [FHM-K]</t>
        </is>
      </c>
      <c r="P162" s="182" t="inlineStr">
        <is>
          <t>CoQ reissue (assigned on issue)</t>
        </is>
      </c>
      <c r="Q162" s="189" t="inlineStr">
        <is>
          <t>—</t>
        </is>
      </c>
      <c r="R162" s="182" t="inlineStr">
        <is>
          <t>P050162|AB|R</t>
        </is>
      </c>
      <c r="S162" s="193" t="inlineStr">
        <is>
          <t>not yet issuable — retest assay on file; identification A and B to test at the retest sampling</t>
        </is>
      </c>
    </row>
    <row r="163">
      <c r="A163" s="182">
        <f>IF(C163="yes",COUNT(A$1:A162)+1,"")</f>
        <v/>
      </c>
      <c r="B163" s="181">
        <f>IF(A163="","— at issue —","iCoA-PP_26-"&amp;TEXT(A163,"000"))</f>
        <v/>
      </c>
      <c r="C163" s="189" t="inlineStr">
        <is>
          <t>no</t>
        </is>
      </c>
      <c r="D163" s="183">
        <f>IF(A163="","",E163)</f>
        <v/>
      </c>
      <c r="E163" s="183">
        <f>IF(AND(C163="yes",ISNUMBER(G163)),MAX(DATE(2026,5,11),G163),"")</f>
        <v/>
      </c>
      <c r="F163" s="183">
        <f>IFERROR(INDEX('Batch Dates'!$F:$F,MATCH(J163,'Batch Dates'!$C:$C,0)),IFERROR(INDEX('Batch Dates'!$F:$F,MATCH(I163,'Batch Dates'!$B:$B,0)),""))</f>
        <v/>
      </c>
      <c r="G163" s="183">
        <f>IFERROR(INDEX('Batch Dates'!$G:$G,MATCH(J163,'Batch Dates'!$C:$C,0)),IFERROR(INDEX('Batch Dates'!$G:$G,MATCH(I163,'Batch Dates'!$B:$B,0)),""))</f>
        <v/>
      </c>
      <c r="H163" s="182" t="inlineStr">
        <is>
          <t>retest — QP campaign</t>
        </is>
      </c>
      <c r="I163" s="181" t="inlineStr">
        <is>
          <t>CJ052501/01</t>
        </is>
      </c>
      <c r="J163" s="182" t="inlineStr">
        <is>
          <t>P050162</t>
        </is>
      </c>
      <c r="K163" s="182" t="inlineStr">
        <is>
          <t>Cup Junky</t>
        </is>
      </c>
      <c r="L163" s="182" t="inlineStr">
        <is>
          <t>Foreign matter</t>
        </is>
      </c>
      <c r="M163" s="182" t="inlineStr">
        <is>
          <t>iCoA_P07 · Foreign matter</t>
        </is>
      </c>
      <c r="N163" s="189" t="inlineStr">
        <is>
          <t>—</t>
        </is>
      </c>
      <c r="O163" s="182" t="inlineStr">
        <is>
          <t>197-3-K-26, (07.08.2026) [FHM-K]</t>
        </is>
      </c>
      <c r="P163" s="182" t="inlineStr">
        <is>
          <t>CoQ reissue (assigned on issue)</t>
        </is>
      </c>
      <c r="Q163" s="189" t="inlineStr">
        <is>
          <t>—</t>
        </is>
      </c>
      <c r="R163" s="182" t="inlineStr">
        <is>
          <t>P050162|FM|R</t>
        </is>
      </c>
      <c r="S163" s="193" t="inlineStr">
        <is>
          <t>not yet issuable — retest assay on file; foreign matter to test at the retest sampling</t>
        </is>
      </c>
    </row>
    <row r="164">
      <c r="A164" s="182">
        <f>IF(C164="yes",COUNT(A$1:A163)+1,"")</f>
        <v/>
      </c>
      <c r="B164" s="181">
        <f>IF(A164="","— at issue —","iCoA-PP_26-"&amp;TEXT(A164,"000"))</f>
        <v/>
      </c>
      <c r="C164" s="189" t="inlineStr">
        <is>
          <t>no</t>
        </is>
      </c>
      <c r="D164" s="183">
        <f>IF(A164="","",E164)</f>
        <v/>
      </c>
      <c r="E164" s="183">
        <f>IF(AND(C164="yes",ISNUMBER(G164)),MAX(DATE(2026,5,11),G164),"")</f>
        <v/>
      </c>
      <c r="F164" s="183">
        <f>IFERROR(INDEX('Batch Dates'!$F:$F,MATCH(J164,'Batch Dates'!$C:$C,0)),IFERROR(INDEX('Batch Dates'!$F:$F,MATCH(I164,'Batch Dates'!$B:$B,0)),""))</f>
        <v/>
      </c>
      <c r="G164" s="183">
        <f>IFERROR(INDEX('Batch Dates'!$G:$G,MATCH(J164,'Batch Dates'!$C:$C,0)),IFERROR(INDEX('Batch Dates'!$G:$G,MATCH(I164,'Batch Dates'!$B:$B,0)),""))</f>
        <v/>
      </c>
      <c r="H164" s="182" t="inlineStr">
        <is>
          <t>retest — QP campaign</t>
        </is>
      </c>
      <c r="I164" s="181" t="inlineStr">
        <is>
          <t>GP082501/2</t>
        </is>
      </c>
      <c r="J164" s="182" t="inlineStr">
        <is>
          <t>P050322</t>
        </is>
      </c>
      <c r="K164" s="182" t="inlineStr">
        <is>
          <t>Grape Pie</t>
        </is>
      </c>
      <c r="L164" s="182" t="inlineStr">
        <is>
          <t>Ident A + Ident B</t>
        </is>
      </c>
      <c r="M164" s="182" t="inlineStr">
        <is>
          <t>iCoA_P01-02 · Appearance &amp; Identification A/B</t>
        </is>
      </c>
      <c r="N164" s="189" t="inlineStr">
        <is>
          <t>—</t>
        </is>
      </c>
      <c r="O164" s="182" t="inlineStr">
        <is>
          <t>197-12-K-26, (07.08.2026) [FHM-K]</t>
        </is>
      </c>
      <c r="P164" s="182" t="inlineStr">
        <is>
          <t>CoQ reissue (assigned on issue)</t>
        </is>
      </c>
      <c r="Q164" s="189" t="inlineStr">
        <is>
          <t>—</t>
        </is>
      </c>
      <c r="R164" s="182" t="inlineStr">
        <is>
          <t>P050322|AB|R</t>
        </is>
      </c>
      <c r="S164" s="193" t="inlineStr">
        <is>
          <t>not yet issuable — retest assay on file; identification A and B to test at the retest sampling</t>
        </is>
      </c>
    </row>
    <row r="165">
      <c r="A165" s="182">
        <f>IF(C165="yes",COUNT(A$1:A164)+1,"")</f>
        <v/>
      </c>
      <c r="B165" s="181">
        <f>IF(A165="","— at issue —","iCoA-PP_26-"&amp;TEXT(A165,"000"))</f>
        <v/>
      </c>
      <c r="C165" s="189" t="inlineStr">
        <is>
          <t>no</t>
        </is>
      </c>
      <c r="D165" s="183">
        <f>IF(A165="","",E165)</f>
        <v/>
      </c>
      <c r="E165" s="183">
        <f>IF(AND(C165="yes",ISNUMBER(G165)),MAX(DATE(2026,5,11),G165),"")</f>
        <v/>
      </c>
      <c r="F165" s="183">
        <f>IFERROR(INDEX('Batch Dates'!$F:$F,MATCH(J165,'Batch Dates'!$C:$C,0)),IFERROR(INDEX('Batch Dates'!$F:$F,MATCH(I165,'Batch Dates'!$B:$B,0)),""))</f>
        <v/>
      </c>
      <c r="G165" s="183">
        <f>IFERROR(INDEX('Batch Dates'!$G:$G,MATCH(J165,'Batch Dates'!$C:$C,0)),IFERROR(INDEX('Batch Dates'!$G:$G,MATCH(I165,'Batch Dates'!$B:$B,0)),""))</f>
        <v/>
      </c>
      <c r="H165" s="182" t="inlineStr">
        <is>
          <t>retest — QP campaign</t>
        </is>
      </c>
      <c r="I165" s="181" t="inlineStr">
        <is>
          <t>GP082501/2</t>
        </is>
      </c>
      <c r="J165" s="182" t="inlineStr">
        <is>
          <t>P050322</t>
        </is>
      </c>
      <c r="K165" s="182" t="inlineStr">
        <is>
          <t>Grape Pie</t>
        </is>
      </c>
      <c r="L165" s="182" t="inlineStr">
        <is>
          <t>Foreign matter</t>
        </is>
      </c>
      <c r="M165" s="182" t="inlineStr">
        <is>
          <t>iCoA_P07 · Foreign matter</t>
        </is>
      </c>
      <c r="N165" s="189" t="inlineStr">
        <is>
          <t>—</t>
        </is>
      </c>
      <c r="O165" s="182" t="inlineStr">
        <is>
          <t>197-12-K-26, (07.08.2026) [FHM-K]</t>
        </is>
      </c>
      <c r="P165" s="182" t="inlineStr">
        <is>
          <t>CoQ reissue (assigned on issue)</t>
        </is>
      </c>
      <c r="Q165" s="189" t="inlineStr">
        <is>
          <t>—</t>
        </is>
      </c>
      <c r="R165" s="182" t="inlineStr">
        <is>
          <t>P050322|FM|R</t>
        </is>
      </c>
      <c r="S165" s="193" t="inlineStr">
        <is>
          <t>not yet issuable — retest assay on file; foreign matter to test at the retest sampling</t>
        </is>
      </c>
    </row>
    <row r="166">
      <c r="A166" s="182">
        <f>IF(C166="yes",COUNT(A$1:A165)+1,"")</f>
        <v/>
      </c>
      <c r="B166" s="181">
        <f>IF(A166="","— at issue —","iCoA-PP_26-"&amp;TEXT(A166,"000"))</f>
        <v/>
      </c>
      <c r="C166" s="189" t="inlineStr">
        <is>
          <t>no</t>
        </is>
      </c>
      <c r="D166" s="183">
        <f>IF(A166="","",E166)</f>
        <v/>
      </c>
      <c r="E166" s="183">
        <f>IF(AND(C166="yes",ISNUMBER(G166)),MAX(DATE(2026,5,11),G166),"")</f>
        <v/>
      </c>
      <c r="F166" s="183">
        <f>IFERROR(INDEX('Batch Dates'!$F:$F,MATCH(J166,'Batch Dates'!$C:$C,0)),IFERROR(INDEX('Batch Dates'!$F:$F,MATCH(I166,'Batch Dates'!$B:$B,0)),""))</f>
        <v/>
      </c>
      <c r="G166" s="183">
        <f>IFERROR(INDEX('Batch Dates'!$G:$G,MATCH(J166,'Batch Dates'!$C:$C,0)),IFERROR(INDEX('Batch Dates'!$G:$G,MATCH(I166,'Batch Dates'!$B:$B,0)),""))</f>
        <v/>
      </c>
      <c r="H166" s="182" t="inlineStr">
        <is>
          <t>retest — QP campaign</t>
        </is>
      </c>
      <c r="I166" s="181" t="inlineStr">
        <is>
          <t>CJ062501/2</t>
        </is>
      </c>
      <c r="J166" s="182" t="inlineStr">
        <is>
          <t>P050212</t>
        </is>
      </c>
      <c r="K166" s="182" t="inlineStr">
        <is>
          <t>Cap Junkie</t>
        </is>
      </c>
      <c r="L166" s="182" t="inlineStr">
        <is>
          <t>Ident A + Ident B</t>
        </is>
      </c>
      <c r="M166" s="182" t="inlineStr">
        <is>
          <t>iCoA_P01-02 · Appearance &amp; Identification A/B</t>
        </is>
      </c>
      <c r="N166" s="189" t="inlineStr">
        <is>
          <t>—</t>
        </is>
      </c>
      <c r="O166" s="182" t="inlineStr">
        <is>
          <t>197-4-K-26, (07.08.2026) [FHM-K]</t>
        </is>
      </c>
      <c r="P166" s="182" t="inlineStr">
        <is>
          <t>CoQ reissue (assigned on issue)</t>
        </is>
      </c>
      <c r="Q166" s="189" t="inlineStr">
        <is>
          <t>—</t>
        </is>
      </c>
      <c r="R166" s="182" t="inlineStr">
        <is>
          <t>P050212|AB|R</t>
        </is>
      </c>
      <c r="S166" s="193" t="inlineStr">
        <is>
          <t>not yet issuable — retest assay on file; identification A and B to test at the retest sampling</t>
        </is>
      </c>
    </row>
    <row r="167">
      <c r="A167" s="182">
        <f>IF(C167="yes",COUNT(A$1:A166)+1,"")</f>
        <v/>
      </c>
      <c r="B167" s="181">
        <f>IF(A167="","— at issue —","iCoA-PP_26-"&amp;TEXT(A167,"000"))</f>
        <v/>
      </c>
      <c r="C167" s="189" t="inlineStr">
        <is>
          <t>no</t>
        </is>
      </c>
      <c r="D167" s="183">
        <f>IF(A167="","",E167)</f>
        <v/>
      </c>
      <c r="E167" s="183">
        <f>IF(AND(C167="yes",ISNUMBER(G167)),MAX(DATE(2026,5,11),G167),"")</f>
        <v/>
      </c>
      <c r="F167" s="183">
        <f>IFERROR(INDEX('Batch Dates'!$F:$F,MATCH(J167,'Batch Dates'!$C:$C,0)),IFERROR(INDEX('Batch Dates'!$F:$F,MATCH(I167,'Batch Dates'!$B:$B,0)),""))</f>
        <v/>
      </c>
      <c r="G167" s="183">
        <f>IFERROR(INDEX('Batch Dates'!$G:$G,MATCH(J167,'Batch Dates'!$C:$C,0)),IFERROR(INDEX('Batch Dates'!$G:$G,MATCH(I167,'Batch Dates'!$B:$B,0)),""))</f>
        <v/>
      </c>
      <c r="H167" s="182" t="inlineStr">
        <is>
          <t>retest — QP campaign</t>
        </is>
      </c>
      <c r="I167" s="181" t="inlineStr">
        <is>
          <t>CJ062501/2</t>
        </is>
      </c>
      <c r="J167" s="182" t="inlineStr">
        <is>
          <t>P050212</t>
        </is>
      </c>
      <c r="K167" s="182" t="inlineStr">
        <is>
          <t>Cap Junkie</t>
        </is>
      </c>
      <c r="L167" s="182" t="inlineStr">
        <is>
          <t>Foreign matter</t>
        </is>
      </c>
      <c r="M167" s="182" t="inlineStr">
        <is>
          <t>iCoA_P07 · Foreign matter</t>
        </is>
      </c>
      <c r="N167" s="189" t="inlineStr">
        <is>
          <t>—</t>
        </is>
      </c>
      <c r="O167" s="182" t="inlineStr">
        <is>
          <t>197-4-K-26, (07.08.2026) [FHM-K]</t>
        </is>
      </c>
      <c r="P167" s="182" t="inlineStr">
        <is>
          <t>CoQ reissue (assigned on issue)</t>
        </is>
      </c>
      <c r="Q167" s="189" t="inlineStr">
        <is>
          <t>—</t>
        </is>
      </c>
      <c r="R167" s="182" t="inlineStr">
        <is>
          <t>P050212|FM|R</t>
        </is>
      </c>
      <c r="S167" s="193" t="inlineStr">
        <is>
          <t>not yet issuable — retest assay on file; foreign matter to test at the retest sampling</t>
        </is>
      </c>
    </row>
    <row r="168">
      <c r="A168" s="182">
        <f>IF(C168="yes",COUNT(A$1:A167)+1,"")</f>
        <v/>
      </c>
      <c r="B168" s="181">
        <f>IF(A168="","— at issue —","iCoA-PP_26-"&amp;TEXT(A168,"000"))</f>
        <v/>
      </c>
      <c r="C168" s="189" t="inlineStr">
        <is>
          <t>no</t>
        </is>
      </c>
      <c r="D168" s="183">
        <f>IF(A168="","",E168)</f>
        <v/>
      </c>
      <c r="E168" s="183">
        <f>IF(AND(C168="yes",ISNUMBER(G168)),MAX(DATE(2026,5,11),G168),"")</f>
        <v/>
      </c>
      <c r="F168" s="183">
        <f>IFERROR(INDEX('Batch Dates'!$F:$F,MATCH(J168,'Batch Dates'!$C:$C,0)),IFERROR(INDEX('Batch Dates'!$F:$F,MATCH(I168,'Batch Dates'!$B:$B,0)),""))</f>
        <v/>
      </c>
      <c r="G168" s="183">
        <f>IFERROR(INDEX('Batch Dates'!$G:$G,MATCH(J168,'Batch Dates'!$C:$C,0)),IFERROR(INDEX('Batch Dates'!$G:$G,MATCH(I168,'Batch Dates'!$B:$B,0)),""))</f>
        <v/>
      </c>
      <c r="H168" s="182" t="inlineStr">
        <is>
          <t>retest — QP campaign</t>
        </is>
      </c>
      <c r="I168" s="181" t="inlineStr">
        <is>
          <t>CJ082501/2</t>
        </is>
      </c>
      <c r="J168" s="182" t="inlineStr">
        <is>
          <t>P060032</t>
        </is>
      </c>
      <c r="K168" s="182" t="inlineStr">
        <is>
          <t>Cap Junky</t>
        </is>
      </c>
      <c r="L168" s="182" t="inlineStr">
        <is>
          <t>Ident A + Ident B</t>
        </is>
      </c>
      <c r="M168" s="182" t="inlineStr">
        <is>
          <t>iCoA_P01-02 · Appearance &amp; Identification A/B</t>
        </is>
      </c>
      <c r="N168" s="189" t="inlineStr">
        <is>
          <t>—</t>
        </is>
      </c>
      <c r="O168" s="182" t="inlineStr">
        <is>
          <t>197-5-K-26, (07.08.2026) [FHM-K]</t>
        </is>
      </c>
      <c r="P168" s="182" t="inlineStr">
        <is>
          <t>CoQ reissue (assigned on issue)</t>
        </is>
      </c>
      <c r="Q168" s="189" t="inlineStr">
        <is>
          <t>—</t>
        </is>
      </c>
      <c r="R168" s="182" t="inlineStr">
        <is>
          <t>P060032|AB|R</t>
        </is>
      </c>
      <c r="S168" s="193" t="inlineStr">
        <is>
          <t>not yet issuable — retest assay on file; identification A and B to test at the retest sampling</t>
        </is>
      </c>
    </row>
    <row r="169">
      <c r="A169" s="182">
        <f>IF(C169="yes",COUNT(A$1:A168)+1,"")</f>
        <v/>
      </c>
      <c r="B169" s="181">
        <f>IF(A169="","— at issue —","iCoA-PP_26-"&amp;TEXT(A169,"000"))</f>
        <v/>
      </c>
      <c r="C169" s="189" t="inlineStr">
        <is>
          <t>no</t>
        </is>
      </c>
      <c r="D169" s="183">
        <f>IF(A169="","",E169)</f>
        <v/>
      </c>
      <c r="E169" s="183">
        <f>IF(AND(C169="yes",ISNUMBER(G169)),MAX(DATE(2026,5,11),G169),"")</f>
        <v/>
      </c>
      <c r="F169" s="183">
        <f>IFERROR(INDEX('Batch Dates'!$F:$F,MATCH(J169,'Batch Dates'!$C:$C,0)),IFERROR(INDEX('Batch Dates'!$F:$F,MATCH(I169,'Batch Dates'!$B:$B,0)),""))</f>
        <v/>
      </c>
      <c r="G169" s="183">
        <f>IFERROR(INDEX('Batch Dates'!$G:$G,MATCH(J169,'Batch Dates'!$C:$C,0)),IFERROR(INDEX('Batch Dates'!$G:$G,MATCH(I169,'Batch Dates'!$B:$B,0)),""))</f>
        <v/>
      </c>
      <c r="H169" s="182" t="inlineStr">
        <is>
          <t>retest — QP campaign</t>
        </is>
      </c>
      <c r="I169" s="181" t="inlineStr">
        <is>
          <t>CJ082501/2</t>
        </is>
      </c>
      <c r="J169" s="182" t="inlineStr">
        <is>
          <t>P060032</t>
        </is>
      </c>
      <c r="K169" s="182" t="inlineStr">
        <is>
          <t>Cap Junky</t>
        </is>
      </c>
      <c r="L169" s="182" t="inlineStr">
        <is>
          <t>Foreign matter</t>
        </is>
      </c>
      <c r="M169" s="182" t="inlineStr">
        <is>
          <t>iCoA_P07 · Foreign matter</t>
        </is>
      </c>
      <c r="N169" s="189" t="inlineStr">
        <is>
          <t>—</t>
        </is>
      </c>
      <c r="O169" s="182" t="inlineStr">
        <is>
          <t>197-5-K-26, (07.08.2026) [FHM-K]</t>
        </is>
      </c>
      <c r="P169" s="182" t="inlineStr">
        <is>
          <t>CoQ reissue (assigned on issue)</t>
        </is>
      </c>
      <c r="Q169" s="189" t="inlineStr">
        <is>
          <t>—</t>
        </is>
      </c>
      <c r="R169" s="182" t="inlineStr">
        <is>
          <t>P060032|FM|R</t>
        </is>
      </c>
      <c r="S169" s="193" t="inlineStr">
        <is>
          <t>not yet issuable — retest assay on file; foreign matter to test at the retest sampling</t>
        </is>
      </c>
    </row>
    <row r="170">
      <c r="A170" s="182">
        <f>IF(C170="yes",COUNT(A$1:A169)+1,"")</f>
        <v/>
      </c>
      <c r="B170" s="181">
        <f>IF(A170="","— at issue —","iCoA-PP_26-"&amp;TEXT(A170,"000"))</f>
        <v/>
      </c>
      <c r="C170" s="189" t="inlineStr">
        <is>
          <t>no</t>
        </is>
      </c>
      <c r="D170" s="183">
        <f>IF(A170="","",E170)</f>
        <v/>
      </c>
      <c r="E170" s="183">
        <f>IF(AND(C170="yes",ISNUMBER(G170)),MAX(DATE(2026,5,11),G170),"")</f>
        <v/>
      </c>
      <c r="F170" s="183">
        <f>IFERROR(INDEX('Batch Dates'!$F:$F,MATCH(J170,'Batch Dates'!$C:$C,0)),IFERROR(INDEX('Batch Dates'!$F:$F,MATCH(I170,'Batch Dates'!$B:$B,0)),""))</f>
        <v/>
      </c>
      <c r="G170" s="183">
        <f>IFERROR(INDEX('Batch Dates'!$G:$G,MATCH(J170,'Batch Dates'!$C:$C,0)),IFERROR(INDEX('Batch Dates'!$G:$G,MATCH(I170,'Batch Dates'!$B:$B,0)),""))</f>
        <v/>
      </c>
      <c r="H170" s="182" t="inlineStr">
        <is>
          <t>retest — QP campaign</t>
        </is>
      </c>
      <c r="I170" s="181" t="inlineStr">
        <is>
          <t>PM092501</t>
        </is>
      </c>
      <c r="J170" s="182" t="inlineStr">
        <is>
          <t>P060062</t>
        </is>
      </c>
      <c r="K170" s="182" t="inlineStr">
        <is>
          <t>Permanent Market</t>
        </is>
      </c>
      <c r="L170" s="182" t="inlineStr">
        <is>
          <t>Ident A + Ident B</t>
        </is>
      </c>
      <c r="M170" s="182" t="inlineStr">
        <is>
          <t>iCoA_P01-02 · Appearance &amp; Identification A/B</t>
        </is>
      </c>
      <c r="N170" s="189" t="inlineStr">
        <is>
          <t>—</t>
        </is>
      </c>
      <c r="O170" s="182" t="inlineStr">
        <is>
          <t>197-20-K-26, (07.08.2026) [FHM-K]</t>
        </is>
      </c>
      <c r="P170" s="182" t="inlineStr">
        <is>
          <t>CoQ reissue (assigned on issue)</t>
        </is>
      </c>
      <c r="Q170" s="189" t="inlineStr">
        <is>
          <t>—</t>
        </is>
      </c>
      <c r="R170" s="182" t="inlineStr">
        <is>
          <t>P060062|AB|R</t>
        </is>
      </c>
      <c r="S170" s="193" t="inlineStr">
        <is>
          <t>not yet issuable — retest assay on file; identification A and B to test at the retest sampling</t>
        </is>
      </c>
    </row>
    <row r="171">
      <c r="A171" s="182">
        <f>IF(C171="yes",COUNT(A$1:A170)+1,"")</f>
        <v/>
      </c>
      <c r="B171" s="181">
        <f>IF(A171="","— at issue —","iCoA-PP_26-"&amp;TEXT(A171,"000"))</f>
        <v/>
      </c>
      <c r="C171" s="189" t="inlineStr">
        <is>
          <t>no</t>
        </is>
      </c>
      <c r="D171" s="183">
        <f>IF(A171="","",E171)</f>
        <v/>
      </c>
      <c r="E171" s="183">
        <f>IF(AND(C171="yes",ISNUMBER(G171)),MAX(DATE(2026,5,11),G171),"")</f>
        <v/>
      </c>
      <c r="F171" s="183">
        <f>IFERROR(INDEX('Batch Dates'!$F:$F,MATCH(J171,'Batch Dates'!$C:$C,0)),IFERROR(INDEX('Batch Dates'!$F:$F,MATCH(I171,'Batch Dates'!$B:$B,0)),""))</f>
        <v/>
      </c>
      <c r="G171" s="183">
        <f>IFERROR(INDEX('Batch Dates'!$G:$G,MATCH(J171,'Batch Dates'!$C:$C,0)),IFERROR(INDEX('Batch Dates'!$G:$G,MATCH(I171,'Batch Dates'!$B:$B,0)),""))</f>
        <v/>
      </c>
      <c r="H171" s="182" t="inlineStr">
        <is>
          <t>retest — QP campaign</t>
        </is>
      </c>
      <c r="I171" s="181" t="inlineStr">
        <is>
          <t>PM092501</t>
        </is>
      </c>
      <c r="J171" s="182" t="inlineStr">
        <is>
          <t>P060062</t>
        </is>
      </c>
      <c r="K171" s="182" t="inlineStr">
        <is>
          <t>Permanent Market</t>
        </is>
      </c>
      <c r="L171" s="182" t="inlineStr">
        <is>
          <t>Foreign matter</t>
        </is>
      </c>
      <c r="M171" s="182" t="inlineStr">
        <is>
          <t>iCoA_P07 · Foreign matter</t>
        </is>
      </c>
      <c r="N171" s="189" t="inlineStr">
        <is>
          <t>—</t>
        </is>
      </c>
      <c r="O171" s="182" t="inlineStr">
        <is>
          <t>197-20-K-26, (07.08.2026) [FHM-K]</t>
        </is>
      </c>
      <c r="P171" s="182" t="inlineStr">
        <is>
          <t>CoQ reissue (assigned on issue)</t>
        </is>
      </c>
      <c r="Q171" s="189" t="inlineStr">
        <is>
          <t>—</t>
        </is>
      </c>
      <c r="R171" s="182" t="inlineStr">
        <is>
          <t>P060062|FM|R</t>
        </is>
      </c>
      <c r="S171" s="193" t="inlineStr">
        <is>
          <t>not yet issuable — retest assay on file; foreign matter to test at the retest sampling</t>
        </is>
      </c>
    </row>
    <row r="172">
      <c r="A172" s="182">
        <f>IF(C172="yes",COUNT(A$1:A171)+1,"")</f>
        <v/>
      </c>
      <c r="B172" s="181">
        <f>IF(A172="","— at issue —","iCoA-PP_26-"&amp;TEXT(A172,"000"))</f>
        <v/>
      </c>
      <c r="C172" s="189" t="inlineStr">
        <is>
          <t>no</t>
        </is>
      </c>
      <c r="D172" s="183">
        <f>IF(A172="","",E172)</f>
        <v/>
      </c>
      <c r="E172" s="183">
        <f>IF(AND(C172="yes",ISNUMBER(G172)),MAX(DATE(2026,5,11),G172),"")</f>
        <v/>
      </c>
      <c r="F172" s="183">
        <f>IFERROR(INDEX('Batch Dates'!$F:$F,MATCH(J172,'Batch Dates'!$C:$C,0)),IFERROR(INDEX('Batch Dates'!$F:$F,MATCH(I172,'Batch Dates'!$B:$B,0)),""))</f>
        <v/>
      </c>
      <c r="G172" s="183">
        <f>IFERROR(INDEX('Batch Dates'!$G:$G,MATCH(J172,'Batch Dates'!$C:$C,0)),IFERROR(INDEX('Batch Dates'!$G:$G,MATCH(I172,'Batch Dates'!$B:$B,0)),""))</f>
        <v/>
      </c>
      <c r="H172" s="182" t="inlineStr">
        <is>
          <t>retest — QP campaign</t>
        </is>
      </c>
      <c r="I172" s="181" t="inlineStr">
        <is>
          <t>J31102501</t>
        </is>
      </c>
      <c r="J172" s="182" t="inlineStr">
        <is>
          <t>P060152</t>
        </is>
      </c>
      <c r="K172" s="182" t="inlineStr">
        <is>
          <t>Jokerz 31</t>
        </is>
      </c>
      <c r="L172" s="182" t="inlineStr">
        <is>
          <t>Ident A + Ident B</t>
        </is>
      </c>
      <c r="M172" s="182" t="inlineStr">
        <is>
          <t>iCoA_P01-02 · Appearance &amp; Identification A/B</t>
        </is>
      </c>
      <c r="N172" s="189" t="inlineStr">
        <is>
          <t>—</t>
        </is>
      </c>
      <c r="O172" s="182" t="inlineStr">
        <is>
          <t>197-16-K-26, (07.08.2026) [FHM-K]</t>
        </is>
      </c>
      <c r="P172" s="182" t="inlineStr">
        <is>
          <t>CoQ reissue (assigned on issue)</t>
        </is>
      </c>
      <c r="Q172" s="189" t="inlineStr">
        <is>
          <t>—</t>
        </is>
      </c>
      <c r="R172" s="182" t="inlineStr">
        <is>
          <t>P060152|AB|R</t>
        </is>
      </c>
      <c r="S172" s="193" t="inlineStr">
        <is>
          <t>not yet issuable — retest assay on file; identification A and B to test at the retest sampling</t>
        </is>
      </c>
    </row>
    <row r="173">
      <c r="A173" s="182">
        <f>IF(C173="yes",COUNT(A$1:A172)+1,"")</f>
        <v/>
      </c>
      <c r="B173" s="181">
        <f>IF(A173="","— at issue —","iCoA-PP_26-"&amp;TEXT(A173,"000"))</f>
        <v/>
      </c>
      <c r="C173" s="189" t="inlineStr">
        <is>
          <t>no</t>
        </is>
      </c>
      <c r="D173" s="183">
        <f>IF(A173="","",E173)</f>
        <v/>
      </c>
      <c r="E173" s="183">
        <f>IF(AND(C173="yes",ISNUMBER(G173)),MAX(DATE(2026,5,11),G173),"")</f>
        <v/>
      </c>
      <c r="F173" s="183">
        <f>IFERROR(INDEX('Batch Dates'!$F:$F,MATCH(J173,'Batch Dates'!$C:$C,0)),IFERROR(INDEX('Batch Dates'!$F:$F,MATCH(I173,'Batch Dates'!$B:$B,0)),""))</f>
        <v/>
      </c>
      <c r="G173" s="183">
        <f>IFERROR(INDEX('Batch Dates'!$G:$G,MATCH(J173,'Batch Dates'!$C:$C,0)),IFERROR(INDEX('Batch Dates'!$G:$G,MATCH(I173,'Batch Dates'!$B:$B,0)),""))</f>
        <v/>
      </c>
      <c r="H173" s="182" t="inlineStr">
        <is>
          <t>retest — QP campaign</t>
        </is>
      </c>
      <c r="I173" s="181" t="inlineStr">
        <is>
          <t>J31102501</t>
        </is>
      </c>
      <c r="J173" s="182" t="inlineStr">
        <is>
          <t>P060152</t>
        </is>
      </c>
      <c r="K173" s="182" t="inlineStr">
        <is>
          <t>Jokerz 31</t>
        </is>
      </c>
      <c r="L173" s="182" t="inlineStr">
        <is>
          <t>Foreign matter</t>
        </is>
      </c>
      <c r="M173" s="182" t="inlineStr">
        <is>
          <t>iCoA_P07 · Foreign matter</t>
        </is>
      </c>
      <c r="N173" s="189" t="inlineStr">
        <is>
          <t>—</t>
        </is>
      </c>
      <c r="O173" s="182" t="inlineStr">
        <is>
          <t>197-16-K-26, (07.08.2026) [FHM-K]</t>
        </is>
      </c>
      <c r="P173" s="182" t="inlineStr">
        <is>
          <t>CoQ reissue (assigned on issue)</t>
        </is>
      </c>
      <c r="Q173" s="189" t="inlineStr">
        <is>
          <t>—</t>
        </is>
      </c>
      <c r="R173" s="182" t="inlineStr">
        <is>
          <t>P060152|FM|R</t>
        </is>
      </c>
      <c r="S173" s="193" t="inlineStr">
        <is>
          <t>not yet issuable — retest assay on file; foreign matter to test at the retest sampling</t>
        </is>
      </c>
    </row>
    <row r="174">
      <c r="A174" s="182">
        <f>IF(C174="yes",COUNT(A$1:A173)+1,"")</f>
        <v/>
      </c>
      <c r="B174" s="181">
        <f>IF(A174="","— at issue —","iCoA-PP_26-"&amp;TEXT(A174,"000"))</f>
        <v/>
      </c>
      <c r="C174" s="189" t="inlineStr">
        <is>
          <t>no</t>
        </is>
      </c>
      <c r="D174" s="183">
        <f>IF(A174="","",E174)</f>
        <v/>
      </c>
      <c r="E174" s="183">
        <f>IF(AND(C174="yes",ISNUMBER(G174)),MAX(DATE(2026,5,11),G174),"")</f>
        <v/>
      </c>
      <c r="F174" s="183">
        <f>IFERROR(INDEX('Batch Dates'!$F:$F,MATCH(J174,'Batch Dates'!$C:$C,0)),IFERROR(INDEX('Batch Dates'!$F:$F,MATCH(I174,'Batch Dates'!$B:$B,0)),""))</f>
        <v/>
      </c>
      <c r="G174" s="183">
        <f>IFERROR(INDEX('Batch Dates'!$G:$G,MATCH(J174,'Batch Dates'!$C:$C,0)),IFERROR(INDEX('Batch Dates'!$G:$G,MATCH(I174,'Batch Dates'!$B:$B,0)),""))</f>
        <v/>
      </c>
      <c r="H174" s="182" t="inlineStr">
        <is>
          <t>retest — QP campaign</t>
        </is>
      </c>
      <c r="I174" s="181" t="inlineStr">
        <is>
          <t>JD112501</t>
        </is>
      </c>
      <c r="J174" s="182" t="inlineStr">
        <is>
          <t>P060212</t>
        </is>
      </c>
      <c r="K174" s="182" t="inlineStr">
        <is>
          <t>Jelly Donutz</t>
        </is>
      </c>
      <c r="L174" s="182" t="inlineStr">
        <is>
          <t>Ident A + Ident B</t>
        </is>
      </c>
      <c r="M174" s="182" t="inlineStr">
        <is>
          <t>iCoA_P01-02 · Appearance &amp; Identification A/B</t>
        </is>
      </c>
      <c r="N174" s="189" t="inlineStr">
        <is>
          <t>—</t>
        </is>
      </c>
      <c r="O174" s="182" t="inlineStr">
        <is>
          <t>197-15-K-26, (07.08.2026) [FHM-K]</t>
        </is>
      </c>
      <c r="P174" s="182" t="inlineStr">
        <is>
          <t>CoQ reissue (assigned on issue)</t>
        </is>
      </c>
      <c r="Q174" s="189" t="inlineStr">
        <is>
          <t>—</t>
        </is>
      </c>
      <c r="R174" s="182" t="inlineStr">
        <is>
          <t>P060212|AB|R</t>
        </is>
      </c>
      <c r="S174" s="193" t="inlineStr">
        <is>
          <t>not yet issuable — retest assay on file; identification A and B to test at the retest sampling</t>
        </is>
      </c>
    </row>
    <row r="175">
      <c r="A175" s="182">
        <f>IF(C175="yes",COUNT(A$1:A174)+1,"")</f>
        <v/>
      </c>
      <c r="B175" s="181">
        <f>IF(A175="","— at issue —","iCoA-PP_26-"&amp;TEXT(A175,"000"))</f>
        <v/>
      </c>
      <c r="C175" s="189" t="inlineStr">
        <is>
          <t>no</t>
        </is>
      </c>
      <c r="D175" s="183">
        <f>IF(A175="","",E175)</f>
        <v/>
      </c>
      <c r="E175" s="183">
        <f>IF(AND(C175="yes",ISNUMBER(G175)),MAX(DATE(2026,5,11),G175),"")</f>
        <v/>
      </c>
      <c r="F175" s="183">
        <f>IFERROR(INDEX('Batch Dates'!$F:$F,MATCH(J175,'Batch Dates'!$C:$C,0)),IFERROR(INDEX('Batch Dates'!$F:$F,MATCH(I175,'Batch Dates'!$B:$B,0)),""))</f>
        <v/>
      </c>
      <c r="G175" s="183">
        <f>IFERROR(INDEX('Batch Dates'!$G:$G,MATCH(J175,'Batch Dates'!$C:$C,0)),IFERROR(INDEX('Batch Dates'!$G:$G,MATCH(I175,'Batch Dates'!$B:$B,0)),""))</f>
        <v/>
      </c>
      <c r="H175" s="182" t="inlineStr">
        <is>
          <t>retest — QP campaign</t>
        </is>
      </c>
      <c r="I175" s="181" t="inlineStr">
        <is>
          <t>JD112501</t>
        </is>
      </c>
      <c r="J175" s="182" t="inlineStr">
        <is>
          <t>P060212</t>
        </is>
      </c>
      <c r="K175" s="182" t="inlineStr">
        <is>
          <t>Jelly Donutz</t>
        </is>
      </c>
      <c r="L175" s="182" t="inlineStr">
        <is>
          <t>Foreign matter</t>
        </is>
      </c>
      <c r="M175" s="182" t="inlineStr">
        <is>
          <t>iCoA_P07 · Foreign matter</t>
        </is>
      </c>
      <c r="N175" s="189" t="inlineStr">
        <is>
          <t>—</t>
        </is>
      </c>
      <c r="O175" s="182" t="inlineStr">
        <is>
          <t>197-15-K-26, (07.08.2026) [FHM-K]</t>
        </is>
      </c>
      <c r="P175" s="182" t="inlineStr">
        <is>
          <t>CoQ reissue (assigned on issue)</t>
        </is>
      </c>
      <c r="Q175" s="189" t="inlineStr">
        <is>
          <t>—</t>
        </is>
      </c>
      <c r="R175" s="182" t="inlineStr">
        <is>
          <t>P060212|FM|R</t>
        </is>
      </c>
      <c r="S175" s="193" t="inlineStr">
        <is>
          <t>not yet issuable — retest assay on file; foreign matter to test at the retest sampling</t>
        </is>
      </c>
    </row>
    <row r="176">
      <c r="A176" s="182">
        <f>IF(C176="yes",COUNT(A$1:A175)+1,"")</f>
        <v/>
      </c>
      <c r="B176" s="181">
        <f>IF(A176="","— at issue —","iCoA-PP_26-"&amp;TEXT(A176,"000"))</f>
        <v/>
      </c>
      <c r="C176" s="189" t="inlineStr">
        <is>
          <t>no</t>
        </is>
      </c>
      <c r="D176" s="183">
        <f>IF(A176="","",E176)</f>
        <v/>
      </c>
      <c r="E176" s="183">
        <f>IF(AND(C176="yes",ISNUMBER(G176)),MAX(DATE(2026,5,11),G176),"")</f>
        <v/>
      </c>
      <c r="F176" s="183">
        <f>IFERROR(INDEX('Batch Dates'!$F:$F,MATCH(J176,'Batch Dates'!$C:$C,0)),IFERROR(INDEX('Batch Dates'!$F:$F,MATCH(I176,'Batch Dates'!$B:$B,0)),""))</f>
        <v/>
      </c>
      <c r="G176" s="183">
        <f>IFERROR(INDEX('Batch Dates'!$G:$G,MATCH(J176,'Batch Dates'!$C:$C,0)),IFERROR(INDEX('Batch Dates'!$G:$G,MATCH(I176,'Batch Dates'!$B:$B,0)),""))</f>
        <v/>
      </c>
      <c r="H176" s="182" t="inlineStr">
        <is>
          <t>retest — QP campaign</t>
        </is>
      </c>
      <c r="I176" s="181" t="inlineStr">
        <is>
          <t>OPM122501</t>
        </is>
      </c>
      <c r="J176" s="182" t="inlineStr">
        <is>
          <t>P060242</t>
        </is>
      </c>
      <c r="K176" s="182" t="inlineStr">
        <is>
          <t>Orange Punch Mimosa</t>
        </is>
      </c>
      <c r="L176" s="182" t="inlineStr">
        <is>
          <t>Ident A + Ident B</t>
        </is>
      </c>
      <c r="M176" s="182" t="inlineStr">
        <is>
          <t>iCoA_P01-02 · Appearance &amp; Identification A/B</t>
        </is>
      </c>
      <c r="N176" s="189" t="inlineStr">
        <is>
          <t>—</t>
        </is>
      </c>
      <c r="O176" s="182" t="inlineStr">
        <is>
          <t>197-19-K-26, (07.08.2026) [FHM-K]</t>
        </is>
      </c>
      <c r="P176" s="182" t="inlineStr">
        <is>
          <t>CoQ reissue (assigned on issue)</t>
        </is>
      </c>
      <c r="Q176" s="189" t="inlineStr">
        <is>
          <t>—</t>
        </is>
      </c>
      <c r="R176" s="182" t="inlineStr">
        <is>
          <t>P060242|AB|R</t>
        </is>
      </c>
      <c r="S176" s="193" t="inlineStr">
        <is>
          <t>not yet issuable — retest assay on file; identification A and B to test at the retest sampling</t>
        </is>
      </c>
    </row>
    <row r="177">
      <c r="A177" s="182">
        <f>IF(C177="yes",COUNT(A$1:A176)+1,"")</f>
        <v/>
      </c>
      <c r="B177" s="181">
        <f>IF(A177="","— at issue —","iCoA-PP_26-"&amp;TEXT(A177,"000"))</f>
        <v/>
      </c>
      <c r="C177" s="189" t="inlineStr">
        <is>
          <t>no</t>
        </is>
      </c>
      <c r="D177" s="183">
        <f>IF(A177="","",E177)</f>
        <v/>
      </c>
      <c r="E177" s="183">
        <f>IF(AND(C177="yes",ISNUMBER(G177)),MAX(DATE(2026,5,11),G177),"")</f>
        <v/>
      </c>
      <c r="F177" s="183">
        <f>IFERROR(INDEX('Batch Dates'!$F:$F,MATCH(J177,'Batch Dates'!$C:$C,0)),IFERROR(INDEX('Batch Dates'!$F:$F,MATCH(I177,'Batch Dates'!$B:$B,0)),""))</f>
        <v/>
      </c>
      <c r="G177" s="183">
        <f>IFERROR(INDEX('Batch Dates'!$G:$G,MATCH(J177,'Batch Dates'!$C:$C,0)),IFERROR(INDEX('Batch Dates'!$G:$G,MATCH(I177,'Batch Dates'!$B:$B,0)),""))</f>
        <v/>
      </c>
      <c r="H177" s="182" t="inlineStr">
        <is>
          <t>retest — QP campaign</t>
        </is>
      </c>
      <c r="I177" s="181" t="inlineStr">
        <is>
          <t>OPM122501</t>
        </is>
      </c>
      <c r="J177" s="182" t="inlineStr">
        <is>
          <t>P060242</t>
        </is>
      </c>
      <c r="K177" s="182" t="inlineStr">
        <is>
          <t>Orange Punch Mimosa</t>
        </is>
      </c>
      <c r="L177" s="182" t="inlineStr">
        <is>
          <t>Foreign matter</t>
        </is>
      </c>
      <c r="M177" s="182" t="inlineStr">
        <is>
          <t>iCoA_P07 · Foreign matter</t>
        </is>
      </c>
      <c r="N177" s="189" t="inlineStr">
        <is>
          <t>—</t>
        </is>
      </c>
      <c r="O177" s="182" t="inlineStr">
        <is>
          <t>197-19-K-26, (07.08.2026) [FHM-K]</t>
        </is>
      </c>
      <c r="P177" s="182" t="inlineStr">
        <is>
          <t>CoQ reissue (assigned on issue)</t>
        </is>
      </c>
      <c r="Q177" s="189" t="inlineStr">
        <is>
          <t>—</t>
        </is>
      </c>
      <c r="R177" s="182" t="inlineStr">
        <is>
          <t>P060242|FM|R</t>
        </is>
      </c>
      <c r="S177" s="193" t="inlineStr">
        <is>
          <t>not yet issuable — retest assay on file; foreign matter to test at the retest sampling</t>
        </is>
      </c>
    </row>
    <row r="178">
      <c r="A178" s="182">
        <f>IF(C178="yes",COUNT(A$1:A177)+1,"")</f>
        <v/>
      </c>
      <c r="B178" s="181">
        <f>IF(A178="","— at issue —","iCoA-PP_26-"&amp;TEXT(A178,"000"))</f>
        <v/>
      </c>
      <c r="C178" s="189" t="inlineStr">
        <is>
          <t>no</t>
        </is>
      </c>
      <c r="D178" s="183">
        <f>IF(A178="","",E178)</f>
        <v/>
      </c>
      <c r="E178" s="183">
        <f>IF(AND(C178="yes",ISNUMBER(G178)),MAX(DATE(2026,5,11),G178),"")</f>
        <v/>
      </c>
      <c r="F178" s="183">
        <f>IFERROR(INDEX('Batch Dates'!$F:$F,MATCH(J178,'Batch Dates'!$C:$C,0)),IFERROR(INDEX('Batch Dates'!$F:$F,MATCH(I178,'Batch Dates'!$B:$B,0)),""))</f>
        <v/>
      </c>
      <c r="G178" s="183">
        <f>IFERROR(INDEX('Batch Dates'!$G:$G,MATCH(J178,'Batch Dates'!$C:$C,0)),IFERROR(INDEX('Batch Dates'!$G:$G,MATCH(I178,'Batch Dates'!$B:$B,0)),""))</f>
        <v/>
      </c>
      <c r="H178" s="182" t="inlineStr">
        <is>
          <t>retest — QP campaign</t>
        </is>
      </c>
      <c r="I178" s="181" t="inlineStr">
        <is>
          <t>FB012602*</t>
        </is>
      </c>
      <c r="J178" s="182" t="inlineStr">
        <is>
          <t>P060352</t>
        </is>
      </c>
      <c r="K178" s="182" t="inlineStr">
        <is>
          <t>Fat Bastard</t>
        </is>
      </c>
      <c r="L178" s="182" t="inlineStr">
        <is>
          <t>Ident A + Ident B</t>
        </is>
      </c>
      <c r="M178" s="182" t="inlineStr">
        <is>
          <t>iCoA_P01-02 · Appearance &amp; Identification A/B</t>
        </is>
      </c>
      <c r="N178" s="189" t="inlineStr">
        <is>
          <t>—</t>
        </is>
      </c>
      <c r="O178" s="182" t="inlineStr">
        <is>
          <t>197-7-K-26, (07.08.2026) [FHM-K]</t>
        </is>
      </c>
      <c r="P178" s="182" t="inlineStr">
        <is>
          <t>CoQ reissue (assigned on issue)</t>
        </is>
      </c>
      <c r="Q178" s="189" t="inlineStr">
        <is>
          <t>—</t>
        </is>
      </c>
      <c r="R178" s="182" t="inlineStr">
        <is>
          <t>P060352|AB|R</t>
        </is>
      </c>
      <c r="S178" s="193" t="inlineStr">
        <is>
          <t>not yet issuable — retest assay on file; identification A and B to test at the retest sampling</t>
        </is>
      </c>
    </row>
    <row r="179">
      <c r="A179" s="182">
        <f>IF(C179="yes",COUNT(A$1:A178)+1,"")</f>
        <v/>
      </c>
      <c r="B179" s="181">
        <f>IF(A179="","— at issue —","iCoA-PP_26-"&amp;TEXT(A179,"000"))</f>
        <v/>
      </c>
      <c r="C179" s="189" t="inlineStr">
        <is>
          <t>no</t>
        </is>
      </c>
      <c r="D179" s="183">
        <f>IF(A179="","",E179)</f>
        <v/>
      </c>
      <c r="E179" s="183">
        <f>IF(AND(C179="yes",ISNUMBER(G179)),MAX(DATE(2026,5,11),G179),"")</f>
        <v/>
      </c>
      <c r="F179" s="183">
        <f>IFERROR(INDEX('Batch Dates'!$F:$F,MATCH(J179,'Batch Dates'!$C:$C,0)),IFERROR(INDEX('Batch Dates'!$F:$F,MATCH(I179,'Batch Dates'!$B:$B,0)),""))</f>
        <v/>
      </c>
      <c r="G179" s="183">
        <f>IFERROR(INDEX('Batch Dates'!$G:$G,MATCH(J179,'Batch Dates'!$C:$C,0)),IFERROR(INDEX('Batch Dates'!$G:$G,MATCH(I179,'Batch Dates'!$B:$B,0)),""))</f>
        <v/>
      </c>
      <c r="H179" s="182" t="inlineStr">
        <is>
          <t>retest — QP campaign</t>
        </is>
      </c>
      <c r="I179" s="181" t="inlineStr">
        <is>
          <t>FB012602*</t>
        </is>
      </c>
      <c r="J179" s="182" t="inlineStr">
        <is>
          <t>P060352</t>
        </is>
      </c>
      <c r="K179" s="182" t="inlineStr">
        <is>
          <t>Fat Bastard</t>
        </is>
      </c>
      <c r="L179" s="182" t="inlineStr">
        <is>
          <t>Foreign matter</t>
        </is>
      </c>
      <c r="M179" s="182" t="inlineStr">
        <is>
          <t>iCoA_P07 · Foreign matter</t>
        </is>
      </c>
      <c r="N179" s="189" t="inlineStr">
        <is>
          <t>—</t>
        </is>
      </c>
      <c r="O179" s="182" t="inlineStr">
        <is>
          <t>197-7-K-26, (07.08.2026) [FHM-K]</t>
        </is>
      </c>
      <c r="P179" s="182" t="inlineStr">
        <is>
          <t>CoQ reissue (assigned on issue)</t>
        </is>
      </c>
      <c r="Q179" s="189" t="inlineStr">
        <is>
          <t>—</t>
        </is>
      </c>
      <c r="R179" s="182" t="inlineStr">
        <is>
          <t>P060352|FM|R</t>
        </is>
      </c>
      <c r="S179" s="193" t="inlineStr">
        <is>
          <t>not yet issuable — retest assay on file; foreign matter to test at the retest sampling</t>
        </is>
      </c>
    </row>
    <row r="180">
      <c r="A180" s="182">
        <f>IF(C180="yes",COUNT(A$1:A179)+1,"")</f>
        <v/>
      </c>
      <c r="B180" s="181">
        <f>IF(A180="","— at issue —","iCoA-PP_26-"&amp;TEXT(A180,"000"))</f>
        <v/>
      </c>
      <c r="C180" s="189" t="inlineStr">
        <is>
          <t>no</t>
        </is>
      </c>
      <c r="D180" s="183">
        <f>IF(A180="","",E180)</f>
        <v/>
      </c>
      <c r="E180" s="183">
        <f>IF(AND(C180="yes",ISNUMBER(G180)),MAX(DATE(2026,5,11),G180),"")</f>
        <v/>
      </c>
      <c r="F180" s="183">
        <f>IFERROR(INDEX('Batch Dates'!$F:$F,MATCH(J180,'Batch Dates'!$C:$C,0)),IFERROR(INDEX('Batch Dates'!$F:$F,MATCH(I180,'Batch Dates'!$B:$B,0)),""))</f>
        <v/>
      </c>
      <c r="G180" s="183">
        <f>IFERROR(INDEX('Batch Dates'!$G:$G,MATCH(J180,'Batch Dates'!$C:$C,0)),IFERROR(INDEX('Batch Dates'!$G:$G,MATCH(I180,'Batch Dates'!$B:$B,0)),""))</f>
        <v/>
      </c>
      <c r="H180" s="182" t="inlineStr">
        <is>
          <t>retest — QP campaign</t>
        </is>
      </c>
      <c r="I180" s="181" t="inlineStr">
        <is>
          <t>GG012603</t>
        </is>
      </c>
      <c r="J180" s="182" t="inlineStr">
        <is>
          <t>P060402</t>
        </is>
      </c>
      <c r="K180" s="182" t="inlineStr">
        <is>
          <t>GorillaGlue</t>
        </is>
      </c>
      <c r="L180" s="182" t="inlineStr">
        <is>
          <t>Ident A + Ident B</t>
        </is>
      </c>
      <c r="M180" s="182" t="inlineStr">
        <is>
          <t>iCoA_P01-02 · Appearance &amp; Identification A/B</t>
        </is>
      </c>
      <c r="N180" s="189" t="inlineStr">
        <is>
          <t>—</t>
        </is>
      </c>
      <c r="O180" s="182" t="inlineStr">
        <is>
          <t>197-8-K-26, (07.08.2026) [FHM-K]</t>
        </is>
      </c>
      <c r="P180" s="182" t="inlineStr">
        <is>
          <t>CoQ reissue (assigned on issue)</t>
        </is>
      </c>
      <c r="Q180" s="189" t="inlineStr">
        <is>
          <t>—</t>
        </is>
      </c>
      <c r="R180" s="182" t="inlineStr">
        <is>
          <t>P060402|AB|R</t>
        </is>
      </c>
      <c r="S180" s="193" t="inlineStr">
        <is>
          <t>not yet issuable — retest assay on file; identification A and B to test at the retest sampling</t>
        </is>
      </c>
    </row>
    <row r="181">
      <c r="A181" s="182">
        <f>IF(C181="yes",COUNT(A$1:A180)+1,"")</f>
        <v/>
      </c>
      <c r="B181" s="181">
        <f>IF(A181="","— at issue —","iCoA-PP_26-"&amp;TEXT(A181,"000"))</f>
        <v/>
      </c>
      <c r="C181" s="189" t="inlineStr">
        <is>
          <t>no</t>
        </is>
      </c>
      <c r="D181" s="183">
        <f>IF(A181="","",E181)</f>
        <v/>
      </c>
      <c r="E181" s="183">
        <f>IF(AND(C181="yes",ISNUMBER(G181)),MAX(DATE(2026,5,11),G181),"")</f>
        <v/>
      </c>
      <c r="F181" s="183">
        <f>IFERROR(INDEX('Batch Dates'!$F:$F,MATCH(J181,'Batch Dates'!$C:$C,0)),IFERROR(INDEX('Batch Dates'!$F:$F,MATCH(I181,'Batch Dates'!$B:$B,0)),""))</f>
        <v/>
      </c>
      <c r="G181" s="183">
        <f>IFERROR(INDEX('Batch Dates'!$G:$G,MATCH(J181,'Batch Dates'!$C:$C,0)),IFERROR(INDEX('Batch Dates'!$G:$G,MATCH(I181,'Batch Dates'!$B:$B,0)),""))</f>
        <v/>
      </c>
      <c r="H181" s="182" t="inlineStr">
        <is>
          <t>retest — QP campaign</t>
        </is>
      </c>
      <c r="I181" s="181" t="inlineStr">
        <is>
          <t>GG012603</t>
        </is>
      </c>
      <c r="J181" s="182" t="inlineStr">
        <is>
          <t>P060402</t>
        </is>
      </c>
      <c r="K181" s="182" t="inlineStr">
        <is>
          <t>GorillaGlue</t>
        </is>
      </c>
      <c r="L181" s="182" t="inlineStr">
        <is>
          <t>Foreign matter</t>
        </is>
      </c>
      <c r="M181" s="182" t="inlineStr">
        <is>
          <t>iCoA_P07 · Foreign matter</t>
        </is>
      </c>
      <c r="N181" s="189" t="inlineStr">
        <is>
          <t>—</t>
        </is>
      </c>
      <c r="O181" s="182" t="inlineStr">
        <is>
          <t>197-8-K-26, (07.08.2026) [FHM-K]</t>
        </is>
      </c>
      <c r="P181" s="182" t="inlineStr">
        <is>
          <t>CoQ reissue (assigned on issue)</t>
        </is>
      </c>
      <c r="Q181" s="189" t="inlineStr">
        <is>
          <t>—</t>
        </is>
      </c>
      <c r="R181" s="182" t="inlineStr">
        <is>
          <t>P060402|FM|R</t>
        </is>
      </c>
      <c r="S181" s="193" t="inlineStr">
        <is>
          <t>not yet issuable — retest assay on file; foreign matter to test at the retest sampling</t>
        </is>
      </c>
    </row>
    <row r="182">
      <c r="A182" s="182">
        <f>IF(C182="yes",COUNT(A$1:A181)+1,"")</f>
        <v/>
      </c>
      <c r="B182" s="181">
        <f>IF(A182="","— at issue —","iCoA-PP_26-"&amp;TEXT(A182,"000"))</f>
        <v/>
      </c>
      <c r="C182" s="189" t="inlineStr">
        <is>
          <t>no</t>
        </is>
      </c>
      <c r="D182" s="183">
        <f>IF(A182="","",E182)</f>
        <v/>
      </c>
      <c r="E182" s="183">
        <f>IF(AND(C182="yes",ISNUMBER(G182)),MAX(DATE(2026,5,11),G182),"")</f>
        <v/>
      </c>
      <c r="F182" s="183">
        <f>IFERROR(INDEX('Batch Dates'!$F:$F,MATCH(J182,'Batch Dates'!$C:$C,0)),IFERROR(INDEX('Batch Dates'!$F:$F,MATCH(I182,'Batch Dates'!$B:$B,0)),""))</f>
        <v/>
      </c>
      <c r="G182" s="183">
        <f>IFERROR(INDEX('Batch Dates'!$G:$G,MATCH(J182,'Batch Dates'!$C:$C,0)),IFERROR(INDEX('Batch Dates'!$G:$G,MATCH(I182,'Batch Dates'!$B:$B,0)),""))</f>
        <v/>
      </c>
      <c r="H182" s="182" t="inlineStr">
        <is>
          <t>retest — QP campaign</t>
        </is>
      </c>
      <c r="I182" s="181" t="inlineStr">
        <is>
          <t>SCR012603</t>
        </is>
      </c>
      <c r="J182" s="182" t="inlineStr">
        <is>
          <t>P060382</t>
        </is>
      </c>
      <c r="K182" s="182" t="inlineStr">
        <is>
          <t>Scrambler</t>
        </is>
      </c>
      <c r="L182" s="182" t="inlineStr">
        <is>
          <t>Ident A + Ident B</t>
        </is>
      </c>
      <c r="M182" s="182" t="inlineStr">
        <is>
          <t>iCoA_P01-02 · Appearance &amp; Identification A/B</t>
        </is>
      </c>
      <c r="N182" s="189" t="inlineStr">
        <is>
          <t>—</t>
        </is>
      </c>
      <c r="O182" s="182" t="inlineStr">
        <is>
          <t>197-21-K-26, (07.08.2026) [FHM-K]</t>
        </is>
      </c>
      <c r="P182" s="182" t="inlineStr">
        <is>
          <t>CoQ reissue (assigned on issue)</t>
        </is>
      </c>
      <c r="Q182" s="189" t="inlineStr">
        <is>
          <t>—</t>
        </is>
      </c>
      <c r="R182" s="182" t="inlineStr">
        <is>
          <t>P060382|AB|R</t>
        </is>
      </c>
      <c r="S182" s="193" t="inlineStr">
        <is>
          <t>not yet issuable — retest assay on file; identification A and B to test at the retest sampling</t>
        </is>
      </c>
    </row>
    <row r="183">
      <c r="A183" s="182">
        <f>IF(C183="yes",COUNT(A$1:A182)+1,"")</f>
        <v/>
      </c>
      <c r="B183" s="181">
        <f>IF(A183="","— at issue —","iCoA-PP_26-"&amp;TEXT(A183,"000"))</f>
        <v/>
      </c>
      <c r="C183" s="189" t="inlineStr">
        <is>
          <t>no</t>
        </is>
      </c>
      <c r="D183" s="183">
        <f>IF(A183="","",E183)</f>
        <v/>
      </c>
      <c r="E183" s="183">
        <f>IF(AND(C183="yes",ISNUMBER(G183)),MAX(DATE(2026,5,11),G183),"")</f>
        <v/>
      </c>
      <c r="F183" s="183">
        <f>IFERROR(INDEX('Batch Dates'!$F:$F,MATCH(J183,'Batch Dates'!$C:$C,0)),IFERROR(INDEX('Batch Dates'!$F:$F,MATCH(I183,'Batch Dates'!$B:$B,0)),""))</f>
        <v/>
      </c>
      <c r="G183" s="183">
        <f>IFERROR(INDEX('Batch Dates'!$G:$G,MATCH(J183,'Batch Dates'!$C:$C,0)),IFERROR(INDEX('Batch Dates'!$G:$G,MATCH(I183,'Batch Dates'!$B:$B,0)),""))</f>
        <v/>
      </c>
      <c r="H183" s="182" t="inlineStr">
        <is>
          <t>retest — QP campaign</t>
        </is>
      </c>
      <c r="I183" s="181" t="inlineStr">
        <is>
          <t>SCR012603</t>
        </is>
      </c>
      <c r="J183" s="182" t="inlineStr">
        <is>
          <t>P060382</t>
        </is>
      </c>
      <c r="K183" s="182" t="inlineStr">
        <is>
          <t>Scrambler</t>
        </is>
      </c>
      <c r="L183" s="182" t="inlineStr">
        <is>
          <t>Foreign matter</t>
        </is>
      </c>
      <c r="M183" s="182" t="inlineStr">
        <is>
          <t>iCoA_P07 · Foreign matter</t>
        </is>
      </c>
      <c r="N183" s="189" t="inlineStr">
        <is>
          <t>—</t>
        </is>
      </c>
      <c r="O183" s="182" t="inlineStr">
        <is>
          <t>197-21-K-26, (07.08.2026) [FHM-K]</t>
        </is>
      </c>
      <c r="P183" s="182" t="inlineStr">
        <is>
          <t>CoQ reissue (assigned on issue)</t>
        </is>
      </c>
      <c r="Q183" s="189" t="inlineStr">
        <is>
          <t>—</t>
        </is>
      </c>
      <c r="R183" s="182" t="inlineStr">
        <is>
          <t>P060382|FM|R</t>
        </is>
      </c>
      <c r="S183" s="193" t="inlineStr">
        <is>
          <t>not yet issuable — retest assay on file; foreign matter to test at the retest sampling</t>
        </is>
      </c>
    </row>
    <row r="184">
      <c r="A184" s="182">
        <f>IF(C184="yes",COUNT(A$1:A183)+1,"")</f>
        <v/>
      </c>
      <c r="B184" s="181">
        <f>IF(A184="","— at issue —","iCoA-PP_26-"&amp;TEXT(A184,"000"))</f>
        <v/>
      </c>
      <c r="C184" s="189" t="inlineStr">
        <is>
          <t>no</t>
        </is>
      </c>
      <c r="D184" s="183">
        <f>IF(A184="","",E184)</f>
        <v/>
      </c>
      <c r="E184" s="183">
        <f>IF(AND(C184="yes",ISNUMBER(G184)),MAX(DATE(2026,5,11),G184),"")</f>
        <v/>
      </c>
      <c r="F184" s="183">
        <f>IFERROR(INDEX('Batch Dates'!$F:$F,MATCH(J184,'Batch Dates'!$C:$C,0)),IFERROR(INDEX('Batch Dates'!$F:$F,MATCH(I184,'Batch Dates'!$B:$B,0)),""))</f>
        <v/>
      </c>
      <c r="G184" s="183">
        <f>IFERROR(INDEX('Batch Dates'!$G:$G,MATCH(J184,'Batch Dates'!$C:$C,0)),IFERROR(INDEX('Batch Dates'!$G:$G,MATCH(I184,'Batch Dates'!$B:$B,0)),""))</f>
        <v/>
      </c>
      <c r="H184" s="182" t="inlineStr">
        <is>
          <t>retest — QP campaign</t>
        </is>
      </c>
      <c r="I184" s="181" t="inlineStr">
        <is>
          <t>CJ1024</t>
        </is>
      </c>
      <c r="J184" s="182" t="inlineStr">
        <is>
          <t>N/A — no P batch assigned</t>
        </is>
      </c>
      <c r="K184" s="182" t="inlineStr">
        <is>
          <t>Cap Junky</t>
        </is>
      </c>
      <c r="L184" s="182" t="inlineStr">
        <is>
          <t>Ident A + Ident B</t>
        </is>
      </c>
      <c r="M184" s="182" t="inlineStr">
        <is>
          <t>iCoA_P01-02 · Appearance &amp; Identification A/B</t>
        </is>
      </c>
      <c r="N184" s="189" t="inlineStr">
        <is>
          <t>—</t>
        </is>
      </c>
      <c r="O184" s="189" t="inlineStr">
        <is>
          <t>— retest assay not yet on file —</t>
        </is>
      </c>
      <c r="P184" s="182" t="inlineStr">
        <is>
          <t>CoQ reissue (assigned on issue)</t>
        </is>
      </c>
      <c r="Q184" s="189" t="inlineStr">
        <is>
          <t>—</t>
        </is>
      </c>
      <c r="R184" s="182" t="inlineStr">
        <is>
          <t>CJ1024|AB|R</t>
        </is>
      </c>
      <c r="S184" s="193" t="inlineStr">
        <is>
          <t>not yet issuable — retest assay not yet on file</t>
        </is>
      </c>
    </row>
    <row r="185">
      <c r="A185" s="182">
        <f>IF(C185="yes",COUNT(A$1:A184)+1,"")</f>
        <v/>
      </c>
      <c r="B185" s="181">
        <f>IF(A185="","— at issue —","iCoA-PP_26-"&amp;TEXT(A185,"000"))</f>
        <v/>
      </c>
      <c r="C185" s="189" t="inlineStr">
        <is>
          <t>no</t>
        </is>
      </c>
      <c r="D185" s="183">
        <f>IF(A185="","",E185)</f>
        <v/>
      </c>
      <c r="E185" s="183">
        <f>IF(AND(C185="yes",ISNUMBER(G185)),MAX(DATE(2026,5,11),G185),"")</f>
        <v/>
      </c>
      <c r="F185" s="183">
        <f>IFERROR(INDEX('Batch Dates'!$F:$F,MATCH(J185,'Batch Dates'!$C:$C,0)),IFERROR(INDEX('Batch Dates'!$F:$F,MATCH(I185,'Batch Dates'!$B:$B,0)),""))</f>
        <v/>
      </c>
      <c r="G185" s="183">
        <f>IFERROR(INDEX('Batch Dates'!$G:$G,MATCH(J185,'Batch Dates'!$C:$C,0)),IFERROR(INDEX('Batch Dates'!$G:$G,MATCH(I185,'Batch Dates'!$B:$B,0)),""))</f>
        <v/>
      </c>
      <c r="H185" s="182" t="inlineStr">
        <is>
          <t>retest — QP campaign</t>
        </is>
      </c>
      <c r="I185" s="181" t="inlineStr">
        <is>
          <t>CJ1024</t>
        </is>
      </c>
      <c r="J185" s="182" t="inlineStr">
        <is>
          <t>N/A — no P batch assigned</t>
        </is>
      </c>
      <c r="K185" s="182" t="inlineStr">
        <is>
          <t>Cap Junky</t>
        </is>
      </c>
      <c r="L185" s="182" t="inlineStr">
        <is>
          <t>Foreign matter</t>
        </is>
      </c>
      <c r="M185" s="182" t="inlineStr">
        <is>
          <t>iCoA_P07 · Foreign matter</t>
        </is>
      </c>
      <c r="N185" s="189" t="inlineStr">
        <is>
          <t>—</t>
        </is>
      </c>
      <c r="O185" s="189" t="inlineStr">
        <is>
          <t>— retest assay not yet on file —</t>
        </is>
      </c>
      <c r="P185" s="182" t="inlineStr">
        <is>
          <t>CoQ reissue (assigned on issue)</t>
        </is>
      </c>
      <c r="Q185" s="189" t="inlineStr">
        <is>
          <t>—</t>
        </is>
      </c>
      <c r="R185" s="182" t="inlineStr">
        <is>
          <t>CJ1024|FM|R</t>
        </is>
      </c>
      <c r="S185" s="193" t="inlineStr">
        <is>
          <t>not yet issuable — retest assay not yet on file</t>
        </is>
      </c>
    </row>
    <row r="186">
      <c r="A186" s="182">
        <f>IF(C186="yes",COUNT(A$1:A185)+1,"")</f>
        <v/>
      </c>
      <c r="B186" s="181">
        <f>IF(A186="","— at issue —","iCoA-PP_26-"&amp;TEXT(A186,"000"))</f>
        <v/>
      </c>
      <c r="C186" s="189" t="inlineStr">
        <is>
          <t>no</t>
        </is>
      </c>
      <c r="D186" s="183">
        <f>IF(A186="","",E186)</f>
        <v/>
      </c>
      <c r="E186" s="183">
        <f>IF(AND(C186="yes",ISNUMBER(G186)),MAX(DATE(2026,5,11),G186),"")</f>
        <v/>
      </c>
      <c r="F186" s="183">
        <f>IFERROR(INDEX('Batch Dates'!$F:$F,MATCH(J186,'Batch Dates'!$C:$C,0)),IFERROR(INDEX('Batch Dates'!$F:$F,MATCH(I186,'Batch Dates'!$B:$B,0)),""))</f>
        <v/>
      </c>
      <c r="G186" s="183">
        <f>IFERROR(INDEX('Batch Dates'!$G:$G,MATCH(J186,'Batch Dates'!$C:$C,0)),IFERROR(INDEX('Batch Dates'!$G:$G,MATCH(I186,'Batch Dates'!$B:$B,0)),""))</f>
        <v/>
      </c>
      <c r="H186" s="182" t="inlineStr">
        <is>
          <t>retest — QP campaign</t>
        </is>
      </c>
      <c r="I186" s="181" t="inlineStr">
        <is>
          <t>GG1024</t>
        </is>
      </c>
      <c r="J186" s="182" t="inlineStr">
        <is>
          <t>N/A — no P batch assigned</t>
        </is>
      </c>
      <c r="K186" s="182" t="inlineStr">
        <is>
          <t>Gorilla Glue</t>
        </is>
      </c>
      <c r="L186" s="182" t="inlineStr">
        <is>
          <t>Ident A + Ident B</t>
        </is>
      </c>
      <c r="M186" s="182" t="inlineStr">
        <is>
          <t>iCoA_P01-02 · Appearance &amp; Identification A/B</t>
        </is>
      </c>
      <c r="N186" s="189" t="inlineStr">
        <is>
          <t>—</t>
        </is>
      </c>
      <c r="O186" s="189" t="inlineStr">
        <is>
          <t>— retest assay not yet on file —</t>
        </is>
      </c>
      <c r="P186" s="182" t="inlineStr">
        <is>
          <t>CoQ-PP-2026-0029</t>
        </is>
      </c>
      <c r="Q186" s="189" t="inlineStr">
        <is>
          <t>—</t>
        </is>
      </c>
      <c r="R186" s="182" t="inlineStr">
        <is>
          <t>GG1024|AB|R</t>
        </is>
      </c>
      <c r="S186" s="193" t="inlineStr">
        <is>
          <t>not yet issuable — retest assay not yet on file</t>
        </is>
      </c>
    </row>
    <row r="187">
      <c r="A187" s="182">
        <f>IF(C187="yes",COUNT(A$1:A186)+1,"")</f>
        <v/>
      </c>
      <c r="B187" s="181">
        <f>IF(A187="","— at issue —","iCoA-PP_26-"&amp;TEXT(A187,"000"))</f>
        <v/>
      </c>
      <c r="C187" s="189" t="inlineStr">
        <is>
          <t>no</t>
        </is>
      </c>
      <c r="D187" s="183">
        <f>IF(A187="","",E187)</f>
        <v/>
      </c>
      <c r="E187" s="183">
        <f>IF(AND(C187="yes",ISNUMBER(G187)),MAX(DATE(2026,5,11),G187),"")</f>
        <v/>
      </c>
      <c r="F187" s="183">
        <f>IFERROR(INDEX('Batch Dates'!$F:$F,MATCH(J187,'Batch Dates'!$C:$C,0)),IFERROR(INDEX('Batch Dates'!$F:$F,MATCH(I187,'Batch Dates'!$B:$B,0)),""))</f>
        <v/>
      </c>
      <c r="G187" s="183">
        <f>IFERROR(INDEX('Batch Dates'!$G:$G,MATCH(J187,'Batch Dates'!$C:$C,0)),IFERROR(INDEX('Batch Dates'!$G:$G,MATCH(I187,'Batch Dates'!$B:$B,0)),""))</f>
        <v/>
      </c>
      <c r="H187" s="182" t="inlineStr">
        <is>
          <t>retest — QP campaign</t>
        </is>
      </c>
      <c r="I187" s="181" t="inlineStr">
        <is>
          <t>GG1024</t>
        </is>
      </c>
      <c r="J187" s="182" t="inlineStr">
        <is>
          <t>N/A — no P batch assigned</t>
        </is>
      </c>
      <c r="K187" s="182" t="inlineStr">
        <is>
          <t>Gorilla Glue</t>
        </is>
      </c>
      <c r="L187" s="182" t="inlineStr">
        <is>
          <t>Foreign matter</t>
        </is>
      </c>
      <c r="M187" s="182" t="inlineStr">
        <is>
          <t>iCoA_P07 · Foreign matter</t>
        </is>
      </c>
      <c r="N187" s="189" t="inlineStr">
        <is>
          <t>—</t>
        </is>
      </c>
      <c r="O187" s="189" t="inlineStr">
        <is>
          <t>— retest assay not yet on file —</t>
        </is>
      </c>
      <c r="P187" s="182" t="inlineStr">
        <is>
          <t>CoQ-PP-2026-0029</t>
        </is>
      </c>
      <c r="Q187" s="189" t="inlineStr">
        <is>
          <t>—</t>
        </is>
      </c>
      <c r="R187" s="182" t="inlineStr">
        <is>
          <t>GG1024|FM|R</t>
        </is>
      </c>
      <c r="S187" s="193" t="inlineStr">
        <is>
          <t>not yet issuable — retest assay not yet on file</t>
        </is>
      </c>
    </row>
    <row r="188">
      <c r="A188" s="182">
        <f>IF(C188="yes",COUNT(A$1:A187)+1,"")</f>
        <v/>
      </c>
      <c r="B188" s="181">
        <f>IF(A188="","— at issue —","iCoA-PP_26-"&amp;TEXT(A188,"000"))</f>
        <v/>
      </c>
      <c r="C188" s="189" t="inlineStr">
        <is>
          <t>no</t>
        </is>
      </c>
      <c r="D188" s="183">
        <f>IF(A188="","",E188)</f>
        <v/>
      </c>
      <c r="E188" s="183">
        <f>IF(AND(C188="yes",ISNUMBER(G188)),MAX(DATE(2026,5,11),G188),"")</f>
        <v/>
      </c>
      <c r="F188" s="183">
        <f>IFERROR(INDEX('Batch Dates'!$F:$F,MATCH(J188,'Batch Dates'!$C:$C,0)),IFERROR(INDEX('Batch Dates'!$F:$F,MATCH(I188,'Batch Dates'!$B:$B,0)),""))</f>
        <v/>
      </c>
      <c r="G188" s="183">
        <f>IFERROR(INDEX('Batch Dates'!$G:$G,MATCH(J188,'Batch Dates'!$C:$C,0)),IFERROR(INDEX('Batch Dates'!$G:$G,MATCH(I188,'Batch Dates'!$B:$B,0)),""))</f>
        <v/>
      </c>
      <c r="H188" s="182" t="inlineStr">
        <is>
          <t>retest — QP campaign</t>
        </is>
      </c>
      <c r="I188" s="181" t="inlineStr">
        <is>
          <t>GP0824_01</t>
        </is>
      </c>
      <c r="J188" s="182" t="inlineStr">
        <is>
          <t>P050102</t>
        </is>
      </c>
      <c r="K188" s="182" t="inlineStr">
        <is>
          <t>Grape Pie</t>
        </is>
      </c>
      <c r="L188" s="182" t="inlineStr">
        <is>
          <t>Ident A + Ident B</t>
        </is>
      </c>
      <c r="M188" s="182" t="inlineStr">
        <is>
          <t>iCoA_P01-02 · Appearance &amp; Identification A/B</t>
        </is>
      </c>
      <c r="N188" s="189" t="inlineStr">
        <is>
          <t>—</t>
        </is>
      </c>
      <c r="O188" s="189" t="inlineStr">
        <is>
          <t>— retest assay not yet on file —</t>
        </is>
      </c>
      <c r="P188" s="182" t="inlineStr">
        <is>
          <t>CoQ reissue (assigned on issue)</t>
        </is>
      </c>
      <c r="Q188" s="189" t="inlineStr">
        <is>
          <t>—</t>
        </is>
      </c>
      <c r="R188" s="182" t="inlineStr">
        <is>
          <t>P050102|AB|R</t>
        </is>
      </c>
      <c r="S188" s="193" t="inlineStr">
        <is>
          <t>not yet issuable — retest assay not yet on file</t>
        </is>
      </c>
    </row>
    <row r="189">
      <c r="A189" s="182">
        <f>IF(C189="yes",COUNT(A$1:A188)+1,"")</f>
        <v/>
      </c>
      <c r="B189" s="181">
        <f>IF(A189="","— at issue —","iCoA-PP_26-"&amp;TEXT(A189,"000"))</f>
        <v/>
      </c>
      <c r="C189" s="189" t="inlineStr">
        <is>
          <t>no</t>
        </is>
      </c>
      <c r="D189" s="183">
        <f>IF(A189="","",E189)</f>
        <v/>
      </c>
      <c r="E189" s="183">
        <f>IF(AND(C189="yes",ISNUMBER(G189)),MAX(DATE(2026,5,11),G189),"")</f>
        <v/>
      </c>
      <c r="F189" s="183">
        <f>IFERROR(INDEX('Batch Dates'!$F:$F,MATCH(J189,'Batch Dates'!$C:$C,0)),IFERROR(INDEX('Batch Dates'!$F:$F,MATCH(I189,'Batch Dates'!$B:$B,0)),""))</f>
        <v/>
      </c>
      <c r="G189" s="183">
        <f>IFERROR(INDEX('Batch Dates'!$G:$G,MATCH(J189,'Batch Dates'!$C:$C,0)),IFERROR(INDEX('Batch Dates'!$G:$G,MATCH(I189,'Batch Dates'!$B:$B,0)),""))</f>
        <v/>
      </c>
      <c r="H189" s="182" t="inlineStr">
        <is>
          <t>retest — QP campaign</t>
        </is>
      </c>
      <c r="I189" s="181" t="inlineStr">
        <is>
          <t>GP0824_01</t>
        </is>
      </c>
      <c r="J189" s="182" t="inlineStr">
        <is>
          <t>P050102</t>
        </is>
      </c>
      <c r="K189" s="182" t="inlineStr">
        <is>
          <t>Grape Pie</t>
        </is>
      </c>
      <c r="L189" s="182" t="inlineStr">
        <is>
          <t>Foreign matter</t>
        </is>
      </c>
      <c r="M189" s="182" t="inlineStr">
        <is>
          <t>iCoA_P07 · Foreign matter</t>
        </is>
      </c>
      <c r="N189" s="189" t="inlineStr">
        <is>
          <t>—</t>
        </is>
      </c>
      <c r="O189" s="189" t="inlineStr">
        <is>
          <t>— retest assay not yet on file —</t>
        </is>
      </c>
      <c r="P189" s="182" t="inlineStr">
        <is>
          <t>CoQ reissue (assigned on issue)</t>
        </is>
      </c>
      <c r="Q189" s="189" t="inlineStr">
        <is>
          <t>—</t>
        </is>
      </c>
      <c r="R189" s="182" t="inlineStr">
        <is>
          <t>P050102|FM|R</t>
        </is>
      </c>
      <c r="S189" s="193" t="inlineStr">
        <is>
          <t>not yet issuable — retest assay not yet on file</t>
        </is>
      </c>
    </row>
    <row r="190">
      <c r="A190" s="182">
        <f>IF(C190="yes",COUNT(A$1:A189)+1,"")</f>
        <v/>
      </c>
      <c r="B190" s="181">
        <f>IF(A190="","— at issue —","iCoA-PP_26-"&amp;TEXT(A190,"000"))</f>
        <v/>
      </c>
      <c r="C190" s="189" t="inlineStr">
        <is>
          <t>no</t>
        </is>
      </c>
      <c r="D190" s="183">
        <f>IF(A190="","",E190)</f>
        <v/>
      </c>
      <c r="E190" s="183">
        <f>IF(AND(C190="yes",ISNUMBER(G190)),MAX(DATE(2026,5,11),G190),"")</f>
        <v/>
      </c>
      <c r="F190" s="183">
        <f>IFERROR(INDEX('Batch Dates'!$F:$F,MATCH(J190,'Batch Dates'!$C:$C,0)),IFERROR(INDEX('Batch Dates'!$F:$F,MATCH(I190,'Batch Dates'!$B:$B,0)),""))</f>
        <v/>
      </c>
      <c r="G190" s="183">
        <f>IFERROR(INDEX('Batch Dates'!$G:$G,MATCH(J190,'Batch Dates'!$C:$C,0)),IFERROR(INDEX('Batch Dates'!$G:$G,MATCH(I190,'Batch Dates'!$B:$B,0)),""))</f>
        <v/>
      </c>
      <c r="H190" s="182" t="inlineStr">
        <is>
          <t>retest — QP campaign</t>
        </is>
      </c>
      <c r="I190" s="181" t="inlineStr">
        <is>
          <t>MB0824_04</t>
        </is>
      </c>
      <c r="J190" s="182" t="inlineStr">
        <is>
          <t>P050032</t>
        </is>
      </c>
      <c r="K190" s="182" t="inlineStr">
        <is>
          <t>Motor Breath</t>
        </is>
      </c>
      <c r="L190" s="182" t="inlineStr">
        <is>
          <t>Ident A + Ident B</t>
        </is>
      </c>
      <c r="M190" s="182" t="inlineStr">
        <is>
          <t>iCoA_P01-02 · Appearance &amp; Identification A/B</t>
        </is>
      </c>
      <c r="N190" s="189" t="inlineStr">
        <is>
          <t>—</t>
        </is>
      </c>
      <c r="O190" s="189" t="inlineStr">
        <is>
          <t>— retest assay not yet on file —</t>
        </is>
      </c>
      <c r="P190" s="182" t="inlineStr">
        <is>
          <t>CoQ reissue (assigned on issue)</t>
        </is>
      </c>
      <c r="Q190" s="189" t="inlineStr">
        <is>
          <t>—</t>
        </is>
      </c>
      <c r="R190" s="182" t="inlineStr">
        <is>
          <t>P050032|AB|R</t>
        </is>
      </c>
      <c r="S190" s="193" t="inlineStr">
        <is>
          <t>not yet issuable — retest assay not yet on file</t>
        </is>
      </c>
    </row>
    <row r="191">
      <c r="A191" s="182">
        <f>IF(C191="yes",COUNT(A$1:A190)+1,"")</f>
        <v/>
      </c>
      <c r="B191" s="181">
        <f>IF(A191="","— at issue —","iCoA-PP_26-"&amp;TEXT(A191,"000"))</f>
        <v/>
      </c>
      <c r="C191" s="189" t="inlineStr">
        <is>
          <t>no</t>
        </is>
      </c>
      <c r="D191" s="183">
        <f>IF(A191="","",E191)</f>
        <v/>
      </c>
      <c r="E191" s="183">
        <f>IF(AND(C191="yes",ISNUMBER(G191)),MAX(DATE(2026,5,11),G191),"")</f>
        <v/>
      </c>
      <c r="F191" s="183">
        <f>IFERROR(INDEX('Batch Dates'!$F:$F,MATCH(J191,'Batch Dates'!$C:$C,0)),IFERROR(INDEX('Batch Dates'!$F:$F,MATCH(I191,'Batch Dates'!$B:$B,0)),""))</f>
        <v/>
      </c>
      <c r="G191" s="183">
        <f>IFERROR(INDEX('Batch Dates'!$G:$G,MATCH(J191,'Batch Dates'!$C:$C,0)),IFERROR(INDEX('Batch Dates'!$G:$G,MATCH(I191,'Batch Dates'!$B:$B,0)),""))</f>
        <v/>
      </c>
      <c r="H191" s="182" t="inlineStr">
        <is>
          <t>retest — QP campaign</t>
        </is>
      </c>
      <c r="I191" s="181" t="inlineStr">
        <is>
          <t>MB0824_04</t>
        </is>
      </c>
      <c r="J191" s="182" t="inlineStr">
        <is>
          <t>P050032</t>
        </is>
      </c>
      <c r="K191" s="182" t="inlineStr">
        <is>
          <t>Motor Breath</t>
        </is>
      </c>
      <c r="L191" s="182" t="inlineStr">
        <is>
          <t>Foreign matter</t>
        </is>
      </c>
      <c r="M191" s="182" t="inlineStr">
        <is>
          <t>iCoA_P07 · Foreign matter</t>
        </is>
      </c>
      <c r="N191" s="189" t="inlineStr">
        <is>
          <t>—</t>
        </is>
      </c>
      <c r="O191" s="189" t="inlineStr">
        <is>
          <t>— retest assay not yet on file —</t>
        </is>
      </c>
      <c r="P191" s="182" t="inlineStr">
        <is>
          <t>CoQ reissue (assigned on issue)</t>
        </is>
      </c>
      <c r="Q191" s="189" t="inlineStr">
        <is>
          <t>—</t>
        </is>
      </c>
      <c r="R191" s="182" t="inlineStr">
        <is>
          <t>P050032|FM|R</t>
        </is>
      </c>
      <c r="S191" s="193" t="inlineStr">
        <is>
          <t>not yet issuable — retest assay not yet on file</t>
        </is>
      </c>
    </row>
    <row r="192">
      <c r="A192" s="182">
        <f>IF(C192="yes",COUNT(A$1:A191)+1,"")</f>
        <v/>
      </c>
      <c r="B192" s="181">
        <f>IF(A192="","— at issue —","iCoA-PP_26-"&amp;TEXT(A192,"000"))</f>
        <v/>
      </c>
      <c r="C192" s="189" t="inlineStr">
        <is>
          <t>no</t>
        </is>
      </c>
      <c r="D192" s="183">
        <f>IF(A192="","",E192)</f>
        <v/>
      </c>
      <c r="E192" s="183">
        <f>IF(AND(C192="yes",ISNUMBER(G192)),MAX(DATE(2026,5,11),G192),"")</f>
        <v/>
      </c>
      <c r="F192" s="183">
        <f>IFERROR(INDEX('Batch Dates'!$F:$F,MATCH(J192,'Batch Dates'!$C:$C,0)),IFERROR(INDEX('Batch Dates'!$F:$F,MATCH(I192,'Batch Dates'!$B:$B,0)),""))</f>
        <v/>
      </c>
      <c r="G192" s="183">
        <f>IFERROR(INDEX('Batch Dates'!$G:$G,MATCH(J192,'Batch Dates'!$C:$C,0)),IFERROR(INDEX('Batch Dates'!$G:$G,MATCH(I192,'Batch Dates'!$B:$B,0)),""))</f>
        <v/>
      </c>
      <c r="H192" s="182" t="inlineStr">
        <is>
          <t>retest — QP campaign</t>
        </is>
      </c>
      <c r="I192" s="181" t="inlineStr">
        <is>
          <t>GG1024_02</t>
        </is>
      </c>
      <c r="J192" s="182" t="inlineStr">
        <is>
          <t>P050012</t>
        </is>
      </c>
      <c r="K192" s="182" t="inlineStr">
        <is>
          <t>Gorilla Glue</t>
        </is>
      </c>
      <c r="L192" s="182" t="inlineStr">
        <is>
          <t>Ident A + Ident B</t>
        </is>
      </c>
      <c r="M192" s="182" t="inlineStr">
        <is>
          <t>iCoA_P01-02 · Appearance &amp; Identification A/B</t>
        </is>
      </c>
      <c r="N192" s="189" t="inlineStr">
        <is>
          <t>—</t>
        </is>
      </c>
      <c r="O192" s="189" t="inlineStr">
        <is>
          <t>— retest assay not yet on file —</t>
        </is>
      </c>
      <c r="P192" s="182" t="inlineStr">
        <is>
          <t>CoQ reissue (assigned on issue)</t>
        </is>
      </c>
      <c r="Q192" s="189" t="inlineStr">
        <is>
          <t>—</t>
        </is>
      </c>
      <c r="R192" s="182" t="inlineStr">
        <is>
          <t>P050012|AB|R</t>
        </is>
      </c>
      <c r="S192" s="193" t="inlineStr">
        <is>
          <t>not yet issuable — retest assay not yet on file</t>
        </is>
      </c>
    </row>
    <row r="193">
      <c r="A193" s="182">
        <f>IF(C193="yes",COUNT(A$1:A192)+1,"")</f>
        <v/>
      </c>
      <c r="B193" s="181">
        <f>IF(A193="","— at issue —","iCoA-PP_26-"&amp;TEXT(A193,"000"))</f>
        <v/>
      </c>
      <c r="C193" s="189" t="inlineStr">
        <is>
          <t>no</t>
        </is>
      </c>
      <c r="D193" s="183">
        <f>IF(A193="","",E193)</f>
        <v/>
      </c>
      <c r="E193" s="183">
        <f>IF(AND(C193="yes",ISNUMBER(G193)),MAX(DATE(2026,5,11),G193),"")</f>
        <v/>
      </c>
      <c r="F193" s="183">
        <f>IFERROR(INDEX('Batch Dates'!$F:$F,MATCH(J193,'Batch Dates'!$C:$C,0)),IFERROR(INDEX('Batch Dates'!$F:$F,MATCH(I193,'Batch Dates'!$B:$B,0)),""))</f>
        <v/>
      </c>
      <c r="G193" s="183">
        <f>IFERROR(INDEX('Batch Dates'!$G:$G,MATCH(J193,'Batch Dates'!$C:$C,0)),IFERROR(INDEX('Batch Dates'!$G:$G,MATCH(I193,'Batch Dates'!$B:$B,0)),""))</f>
        <v/>
      </c>
      <c r="H193" s="182" t="inlineStr">
        <is>
          <t>retest — QP campaign</t>
        </is>
      </c>
      <c r="I193" s="181" t="inlineStr">
        <is>
          <t>GG1024_02</t>
        </is>
      </c>
      <c r="J193" s="182" t="inlineStr">
        <is>
          <t>P050012</t>
        </is>
      </c>
      <c r="K193" s="182" t="inlineStr">
        <is>
          <t>Gorilla Glue</t>
        </is>
      </c>
      <c r="L193" s="182" t="inlineStr">
        <is>
          <t>Foreign matter</t>
        </is>
      </c>
      <c r="M193" s="182" t="inlineStr">
        <is>
          <t>iCoA_P07 · Foreign matter</t>
        </is>
      </c>
      <c r="N193" s="189" t="inlineStr">
        <is>
          <t>—</t>
        </is>
      </c>
      <c r="O193" s="189" t="inlineStr">
        <is>
          <t>— retest assay not yet on file —</t>
        </is>
      </c>
      <c r="P193" s="182" t="inlineStr">
        <is>
          <t>CoQ reissue (assigned on issue)</t>
        </is>
      </c>
      <c r="Q193" s="189" t="inlineStr">
        <is>
          <t>—</t>
        </is>
      </c>
      <c r="R193" s="182" t="inlineStr">
        <is>
          <t>P050012|FM|R</t>
        </is>
      </c>
      <c r="S193" s="193" t="inlineStr">
        <is>
          <t>not yet issuable — retest assay not yet on file</t>
        </is>
      </c>
    </row>
    <row r="194">
      <c r="A194" s="182">
        <f>IF(C194="yes",COUNT(A$1:A193)+1,"")</f>
        <v/>
      </c>
      <c r="B194" s="181">
        <f>IF(A194="","— at issue —","iCoA-PP_26-"&amp;TEXT(A194,"000"))</f>
        <v/>
      </c>
      <c r="C194" s="189" t="inlineStr">
        <is>
          <t>no</t>
        </is>
      </c>
      <c r="D194" s="183">
        <f>IF(A194="","",E194)</f>
        <v/>
      </c>
      <c r="E194" s="183">
        <f>IF(AND(C194="yes",ISNUMBER(G194)),MAX(DATE(2026,5,11),G194),"")</f>
        <v/>
      </c>
      <c r="F194" s="183">
        <f>IFERROR(INDEX('Batch Dates'!$F:$F,MATCH(J194,'Batch Dates'!$C:$C,0)),IFERROR(INDEX('Batch Dates'!$F:$F,MATCH(I194,'Batch Dates'!$B:$B,0)),""))</f>
        <v/>
      </c>
      <c r="G194" s="183">
        <f>IFERROR(INDEX('Batch Dates'!$G:$G,MATCH(J194,'Batch Dates'!$C:$C,0)),IFERROR(INDEX('Batch Dates'!$G:$G,MATCH(I194,'Batch Dates'!$B:$B,0)),""))</f>
        <v/>
      </c>
      <c r="H194" s="182" t="inlineStr">
        <is>
          <t>retest — QP campaign</t>
        </is>
      </c>
      <c r="I194" s="181" t="inlineStr">
        <is>
          <t>OMP1024_01</t>
        </is>
      </c>
      <c r="J194" s="182" t="inlineStr">
        <is>
          <t>P050042</t>
        </is>
      </c>
      <c r="K194" s="182" t="inlineStr">
        <is>
          <t>Orange Punch Mimosa</t>
        </is>
      </c>
      <c r="L194" s="182" t="inlineStr">
        <is>
          <t>Ident A + Ident B</t>
        </is>
      </c>
      <c r="M194" s="182" t="inlineStr">
        <is>
          <t>iCoA_P01-02 · Appearance &amp; Identification A/B</t>
        </is>
      </c>
      <c r="N194" s="189" t="inlineStr">
        <is>
          <t>—</t>
        </is>
      </c>
      <c r="O194" s="189" t="inlineStr">
        <is>
          <t>— retest assay not yet on file —</t>
        </is>
      </c>
      <c r="P194" s="182" t="inlineStr">
        <is>
          <t>CoQ-PP-2026-0033</t>
        </is>
      </c>
      <c r="Q194" s="189" t="inlineStr">
        <is>
          <t>—</t>
        </is>
      </c>
      <c r="R194" s="182" t="inlineStr">
        <is>
          <t>P050042|AB|R</t>
        </is>
      </c>
      <c r="S194" s="193" t="inlineStr">
        <is>
          <t>not yet issuable — retest assay not yet on file</t>
        </is>
      </c>
    </row>
    <row r="195">
      <c r="A195" s="182">
        <f>IF(C195="yes",COUNT(A$1:A194)+1,"")</f>
        <v/>
      </c>
      <c r="B195" s="181">
        <f>IF(A195="","— at issue —","iCoA-PP_26-"&amp;TEXT(A195,"000"))</f>
        <v/>
      </c>
      <c r="C195" s="189" t="inlineStr">
        <is>
          <t>no</t>
        </is>
      </c>
      <c r="D195" s="183">
        <f>IF(A195="","",E195)</f>
        <v/>
      </c>
      <c r="E195" s="183">
        <f>IF(AND(C195="yes",ISNUMBER(G195)),MAX(DATE(2026,5,11),G195),"")</f>
        <v/>
      </c>
      <c r="F195" s="183">
        <f>IFERROR(INDEX('Batch Dates'!$F:$F,MATCH(J195,'Batch Dates'!$C:$C,0)),IFERROR(INDEX('Batch Dates'!$F:$F,MATCH(I195,'Batch Dates'!$B:$B,0)),""))</f>
        <v/>
      </c>
      <c r="G195" s="183">
        <f>IFERROR(INDEX('Batch Dates'!$G:$G,MATCH(J195,'Batch Dates'!$C:$C,0)),IFERROR(INDEX('Batch Dates'!$G:$G,MATCH(I195,'Batch Dates'!$B:$B,0)),""))</f>
        <v/>
      </c>
      <c r="H195" s="182" t="inlineStr">
        <is>
          <t>retest — QP campaign</t>
        </is>
      </c>
      <c r="I195" s="181" t="inlineStr">
        <is>
          <t>OMP1024_01</t>
        </is>
      </c>
      <c r="J195" s="182" t="inlineStr">
        <is>
          <t>P050042</t>
        </is>
      </c>
      <c r="K195" s="182" t="inlineStr">
        <is>
          <t>Orange Punch Mimosa</t>
        </is>
      </c>
      <c r="L195" s="182" t="inlineStr">
        <is>
          <t>Foreign matter</t>
        </is>
      </c>
      <c r="M195" s="182" t="inlineStr">
        <is>
          <t>iCoA_P07 · Foreign matter</t>
        </is>
      </c>
      <c r="N195" s="189" t="inlineStr">
        <is>
          <t>—</t>
        </is>
      </c>
      <c r="O195" s="189" t="inlineStr">
        <is>
          <t>— retest assay not yet on file —</t>
        </is>
      </c>
      <c r="P195" s="182" t="inlineStr">
        <is>
          <t>CoQ-PP-2026-0033</t>
        </is>
      </c>
      <c r="Q195" s="189" t="inlineStr">
        <is>
          <t>—</t>
        </is>
      </c>
      <c r="R195" s="182" t="inlineStr">
        <is>
          <t>P050042|FM|R</t>
        </is>
      </c>
      <c r="S195" s="193" t="inlineStr">
        <is>
          <t>not yet issuable — retest assay not yet on file</t>
        </is>
      </c>
    </row>
    <row r="196">
      <c r="A196" s="182">
        <f>IF(C196="yes",COUNT(A$1:A195)+1,"")</f>
        <v/>
      </c>
      <c r="B196" s="181">
        <f>IF(A196="","— at issue —","iCoA-PP_26-"&amp;TEXT(A196,"000"))</f>
        <v/>
      </c>
      <c r="C196" s="189" t="inlineStr">
        <is>
          <t>no</t>
        </is>
      </c>
      <c r="D196" s="183">
        <f>IF(A196="","",E196)</f>
        <v/>
      </c>
      <c r="E196" s="183">
        <f>IF(AND(C196="yes",ISNUMBER(G196)),MAX(DATE(2026,5,11),G196),"")</f>
        <v/>
      </c>
      <c r="F196" s="183">
        <f>IFERROR(INDEX('Batch Dates'!$F:$F,MATCH(J196,'Batch Dates'!$C:$C,0)),IFERROR(INDEX('Batch Dates'!$F:$F,MATCH(I196,'Batch Dates'!$B:$B,0)),""))</f>
        <v/>
      </c>
      <c r="G196" s="183">
        <f>IFERROR(INDEX('Batch Dates'!$G:$G,MATCH(J196,'Batch Dates'!$C:$C,0)),IFERROR(INDEX('Batch Dates'!$G:$G,MATCH(I196,'Batch Dates'!$B:$B,0)),""))</f>
        <v/>
      </c>
      <c r="H196" s="182" t="inlineStr">
        <is>
          <t>retest — QP campaign</t>
        </is>
      </c>
      <c r="I196" s="181" t="inlineStr">
        <is>
          <t>OPM1024_03</t>
        </is>
      </c>
      <c r="J196" s="182" t="inlineStr">
        <is>
          <t>P050082</t>
        </is>
      </c>
      <c r="K196" s="182" t="inlineStr">
        <is>
          <t>Orange Punch Mimosa</t>
        </is>
      </c>
      <c r="L196" s="182" t="inlineStr">
        <is>
          <t>Ident A + Ident B</t>
        </is>
      </c>
      <c r="M196" s="182" t="inlineStr">
        <is>
          <t>iCoA_P01-02 · Appearance &amp; Identification A/B</t>
        </is>
      </c>
      <c r="N196" s="189" t="inlineStr">
        <is>
          <t>—</t>
        </is>
      </c>
      <c r="O196" s="189" t="inlineStr">
        <is>
          <t>— retest assay not yet on file —</t>
        </is>
      </c>
      <c r="P196" s="182" t="inlineStr">
        <is>
          <t>CoQ-PP-2026-0037</t>
        </is>
      </c>
      <c r="Q196" s="189" t="inlineStr">
        <is>
          <t>—</t>
        </is>
      </c>
      <c r="R196" s="182" t="inlineStr">
        <is>
          <t>P050082|AB|R</t>
        </is>
      </c>
      <c r="S196" s="193" t="inlineStr">
        <is>
          <t>not yet issuable — retest assay not yet on file</t>
        </is>
      </c>
    </row>
    <row r="197">
      <c r="A197" s="182">
        <f>IF(C197="yes",COUNT(A$1:A196)+1,"")</f>
        <v/>
      </c>
      <c r="B197" s="181">
        <f>IF(A197="","— at issue —","iCoA-PP_26-"&amp;TEXT(A197,"000"))</f>
        <v/>
      </c>
      <c r="C197" s="189" t="inlineStr">
        <is>
          <t>no</t>
        </is>
      </c>
      <c r="D197" s="183">
        <f>IF(A197="","",E197)</f>
        <v/>
      </c>
      <c r="E197" s="183">
        <f>IF(AND(C197="yes",ISNUMBER(G197)),MAX(DATE(2026,5,11),G197),"")</f>
        <v/>
      </c>
      <c r="F197" s="183">
        <f>IFERROR(INDEX('Batch Dates'!$F:$F,MATCH(J197,'Batch Dates'!$C:$C,0)),IFERROR(INDEX('Batch Dates'!$F:$F,MATCH(I197,'Batch Dates'!$B:$B,0)),""))</f>
        <v/>
      </c>
      <c r="G197" s="183">
        <f>IFERROR(INDEX('Batch Dates'!$G:$G,MATCH(J197,'Batch Dates'!$C:$C,0)),IFERROR(INDEX('Batch Dates'!$G:$G,MATCH(I197,'Batch Dates'!$B:$B,0)),""))</f>
        <v/>
      </c>
      <c r="H197" s="182" t="inlineStr">
        <is>
          <t>retest — QP campaign</t>
        </is>
      </c>
      <c r="I197" s="181" t="inlineStr">
        <is>
          <t>OPM1024_03</t>
        </is>
      </c>
      <c r="J197" s="182" t="inlineStr">
        <is>
          <t>P050082</t>
        </is>
      </c>
      <c r="K197" s="182" t="inlineStr">
        <is>
          <t>Orange Punch Mimosa</t>
        </is>
      </c>
      <c r="L197" s="182" t="inlineStr">
        <is>
          <t>Foreign matter</t>
        </is>
      </c>
      <c r="M197" s="182" t="inlineStr">
        <is>
          <t>iCoA_P07 · Foreign matter</t>
        </is>
      </c>
      <c r="N197" s="189" t="inlineStr">
        <is>
          <t>—</t>
        </is>
      </c>
      <c r="O197" s="189" t="inlineStr">
        <is>
          <t>— retest assay not yet on file —</t>
        </is>
      </c>
      <c r="P197" s="182" t="inlineStr">
        <is>
          <t>CoQ-PP-2026-0037</t>
        </is>
      </c>
      <c r="Q197" s="189" t="inlineStr">
        <is>
          <t>—</t>
        </is>
      </c>
      <c r="R197" s="182" t="inlineStr">
        <is>
          <t>P050082|FM|R</t>
        </is>
      </c>
      <c r="S197" s="193" t="inlineStr">
        <is>
          <t>not yet issuable — retest assay not yet on file</t>
        </is>
      </c>
    </row>
    <row r="198">
      <c r="A198" s="182">
        <f>IF(C198="yes",COUNT(A$1:A197)+1,"")</f>
        <v/>
      </c>
      <c r="B198" s="181">
        <f>IF(A198="","— at issue —","iCoA-PP_26-"&amp;TEXT(A198,"000"))</f>
        <v/>
      </c>
      <c r="C198" s="189" t="inlineStr">
        <is>
          <t>no</t>
        </is>
      </c>
      <c r="D198" s="183">
        <f>IF(A198="","",E198)</f>
        <v/>
      </c>
      <c r="E198" s="183">
        <f>IF(AND(C198="yes",ISNUMBER(G198)),MAX(DATE(2026,5,11),G198),"")</f>
        <v/>
      </c>
      <c r="F198" s="183">
        <f>IFERROR(INDEX('Batch Dates'!$F:$F,MATCH(J198,'Batch Dates'!$C:$C,0)),IFERROR(INDEX('Batch Dates'!$F:$F,MATCH(I198,'Batch Dates'!$B:$B,0)),""))</f>
        <v/>
      </c>
      <c r="G198" s="183">
        <f>IFERROR(INDEX('Batch Dates'!$G:$G,MATCH(J198,'Batch Dates'!$C:$C,0)),IFERROR(INDEX('Batch Dates'!$G:$G,MATCH(I198,'Batch Dates'!$B:$B,0)),""))</f>
        <v/>
      </c>
      <c r="H198" s="182" t="inlineStr">
        <is>
          <t>retest — QP campaign</t>
        </is>
      </c>
      <c r="I198" s="181" t="inlineStr">
        <is>
          <t>MB0824_05</t>
        </is>
      </c>
      <c r="J198" s="182" t="inlineStr">
        <is>
          <t>P050112</t>
        </is>
      </c>
      <c r="K198" s="182" t="inlineStr">
        <is>
          <t>Motor Breath</t>
        </is>
      </c>
      <c r="L198" s="182" t="inlineStr">
        <is>
          <t>Ident A + Ident B</t>
        </is>
      </c>
      <c r="M198" s="182" t="inlineStr">
        <is>
          <t>iCoA_P01-02 · Appearance &amp; Identification A/B</t>
        </is>
      </c>
      <c r="N198" s="189" t="inlineStr">
        <is>
          <t>—</t>
        </is>
      </c>
      <c r="O198" s="189" t="inlineStr">
        <is>
          <t>— retest assay not yet on file —</t>
        </is>
      </c>
      <c r="P198" s="182" t="inlineStr">
        <is>
          <t>CoQ-PP-2026-0039</t>
        </is>
      </c>
      <c r="Q198" s="189" t="inlineStr">
        <is>
          <t>—</t>
        </is>
      </c>
      <c r="R198" s="182" t="inlineStr">
        <is>
          <t>P050112|AB|R</t>
        </is>
      </c>
      <c r="S198" s="193" t="inlineStr">
        <is>
          <t>not yet issuable — retest assay not yet on file</t>
        </is>
      </c>
    </row>
    <row r="199">
      <c r="A199" s="182">
        <f>IF(C199="yes",COUNT(A$1:A198)+1,"")</f>
        <v/>
      </c>
      <c r="B199" s="181">
        <f>IF(A199="","— at issue —","iCoA-PP_26-"&amp;TEXT(A199,"000"))</f>
        <v/>
      </c>
      <c r="C199" s="189" t="inlineStr">
        <is>
          <t>no</t>
        </is>
      </c>
      <c r="D199" s="183">
        <f>IF(A199="","",E199)</f>
        <v/>
      </c>
      <c r="E199" s="183">
        <f>IF(AND(C199="yes",ISNUMBER(G199)),MAX(DATE(2026,5,11),G199),"")</f>
        <v/>
      </c>
      <c r="F199" s="183">
        <f>IFERROR(INDEX('Batch Dates'!$F:$F,MATCH(J199,'Batch Dates'!$C:$C,0)),IFERROR(INDEX('Batch Dates'!$F:$F,MATCH(I199,'Batch Dates'!$B:$B,0)),""))</f>
        <v/>
      </c>
      <c r="G199" s="183">
        <f>IFERROR(INDEX('Batch Dates'!$G:$G,MATCH(J199,'Batch Dates'!$C:$C,0)),IFERROR(INDEX('Batch Dates'!$G:$G,MATCH(I199,'Batch Dates'!$B:$B,0)),""))</f>
        <v/>
      </c>
      <c r="H199" s="182" t="inlineStr">
        <is>
          <t>retest — QP campaign</t>
        </is>
      </c>
      <c r="I199" s="181" t="inlineStr">
        <is>
          <t>MB0824_05</t>
        </is>
      </c>
      <c r="J199" s="182" t="inlineStr">
        <is>
          <t>P050112</t>
        </is>
      </c>
      <c r="K199" s="182" t="inlineStr">
        <is>
          <t>Motor Breath</t>
        </is>
      </c>
      <c r="L199" s="182" t="inlineStr">
        <is>
          <t>Foreign matter</t>
        </is>
      </c>
      <c r="M199" s="182" t="inlineStr">
        <is>
          <t>iCoA_P07 · Foreign matter</t>
        </is>
      </c>
      <c r="N199" s="189" t="inlineStr">
        <is>
          <t>—</t>
        </is>
      </c>
      <c r="O199" s="189" t="inlineStr">
        <is>
          <t>— retest assay not yet on file —</t>
        </is>
      </c>
      <c r="P199" s="182" t="inlineStr">
        <is>
          <t>CoQ-PP-2026-0039</t>
        </is>
      </c>
      <c r="Q199" s="189" t="inlineStr">
        <is>
          <t>—</t>
        </is>
      </c>
      <c r="R199" s="182" t="inlineStr">
        <is>
          <t>P050112|FM|R</t>
        </is>
      </c>
      <c r="S199" s="193" t="inlineStr">
        <is>
          <t>not yet issuable — retest assay not yet on file</t>
        </is>
      </c>
    </row>
    <row r="200">
      <c r="A200" s="182">
        <f>IF(C200="yes",COUNT(A$1:A199)+1,"")</f>
        <v/>
      </c>
      <c r="B200" s="181">
        <f>IF(A200="","— at issue —","iCoA-PP_26-"&amp;TEXT(A200,"000"))</f>
        <v/>
      </c>
      <c r="C200" s="189" t="inlineStr">
        <is>
          <t>no</t>
        </is>
      </c>
      <c r="D200" s="183">
        <f>IF(A200="","",E200)</f>
        <v/>
      </c>
      <c r="E200" s="183">
        <f>IF(AND(C200="yes",ISNUMBER(G200)),MAX(DATE(2026,5,11),G200),"")</f>
        <v/>
      </c>
      <c r="F200" s="183">
        <f>IFERROR(INDEX('Batch Dates'!$F:$F,MATCH(J200,'Batch Dates'!$C:$C,0)),IFERROR(INDEX('Batch Dates'!$F:$F,MATCH(I200,'Batch Dates'!$B:$B,0)),""))</f>
        <v/>
      </c>
      <c r="G200" s="183">
        <f>IFERROR(INDEX('Batch Dates'!$G:$G,MATCH(J200,'Batch Dates'!$C:$C,0)),IFERROR(INDEX('Batch Dates'!$G:$G,MATCH(I200,'Batch Dates'!$B:$B,0)),""))</f>
        <v/>
      </c>
      <c r="H200" s="182" t="inlineStr">
        <is>
          <t>retest — QP campaign</t>
        </is>
      </c>
      <c r="I200" s="181" t="inlineStr">
        <is>
          <t>OPM052501</t>
        </is>
      </c>
      <c r="J200" s="182" t="inlineStr">
        <is>
          <t>P050132</t>
        </is>
      </c>
      <c r="K200" s="182" t="inlineStr">
        <is>
          <t>Orange Punch Mimosa</t>
        </is>
      </c>
      <c r="L200" s="182" t="inlineStr">
        <is>
          <t>Ident A + Ident B</t>
        </is>
      </c>
      <c r="M200" s="182" t="inlineStr">
        <is>
          <t>iCoA_P01-02 · Appearance &amp; Identification A/B</t>
        </is>
      </c>
      <c r="N200" s="189" t="inlineStr">
        <is>
          <t>—</t>
        </is>
      </c>
      <c r="O200" s="189" t="inlineStr">
        <is>
          <t>— retest assay not yet on file —</t>
        </is>
      </c>
      <c r="P200" s="182" t="inlineStr">
        <is>
          <t>CoQ reissue (assigned on issue)</t>
        </is>
      </c>
      <c r="Q200" s="189" t="inlineStr">
        <is>
          <t>—</t>
        </is>
      </c>
      <c r="R200" s="182" t="inlineStr">
        <is>
          <t>P050132|AB|R</t>
        </is>
      </c>
      <c r="S200" s="193" t="inlineStr">
        <is>
          <t>not yet issuable — retest assay not yet on file</t>
        </is>
      </c>
    </row>
    <row r="201">
      <c r="A201" s="182">
        <f>IF(C201="yes",COUNT(A$1:A200)+1,"")</f>
        <v/>
      </c>
      <c r="B201" s="181">
        <f>IF(A201="","— at issue —","iCoA-PP_26-"&amp;TEXT(A201,"000"))</f>
        <v/>
      </c>
      <c r="C201" s="189" t="inlineStr">
        <is>
          <t>no</t>
        </is>
      </c>
      <c r="D201" s="183">
        <f>IF(A201="","",E201)</f>
        <v/>
      </c>
      <c r="E201" s="183">
        <f>IF(AND(C201="yes",ISNUMBER(G201)),MAX(DATE(2026,5,11),G201),"")</f>
        <v/>
      </c>
      <c r="F201" s="183">
        <f>IFERROR(INDEX('Batch Dates'!$F:$F,MATCH(J201,'Batch Dates'!$C:$C,0)),IFERROR(INDEX('Batch Dates'!$F:$F,MATCH(I201,'Batch Dates'!$B:$B,0)),""))</f>
        <v/>
      </c>
      <c r="G201" s="183">
        <f>IFERROR(INDEX('Batch Dates'!$G:$G,MATCH(J201,'Batch Dates'!$C:$C,0)),IFERROR(INDEX('Batch Dates'!$G:$G,MATCH(I201,'Batch Dates'!$B:$B,0)),""))</f>
        <v/>
      </c>
      <c r="H201" s="182" t="inlineStr">
        <is>
          <t>retest — QP campaign</t>
        </is>
      </c>
      <c r="I201" s="181" t="inlineStr">
        <is>
          <t>OPM052501</t>
        </is>
      </c>
      <c r="J201" s="182" t="inlineStr">
        <is>
          <t>P050132</t>
        </is>
      </c>
      <c r="K201" s="182" t="inlineStr">
        <is>
          <t>Orange Punch Mimosa</t>
        </is>
      </c>
      <c r="L201" s="182" t="inlineStr">
        <is>
          <t>Foreign matter</t>
        </is>
      </c>
      <c r="M201" s="182" t="inlineStr">
        <is>
          <t>iCoA_P07 · Foreign matter</t>
        </is>
      </c>
      <c r="N201" s="189" t="inlineStr">
        <is>
          <t>—</t>
        </is>
      </c>
      <c r="O201" s="189" t="inlineStr">
        <is>
          <t>— retest assay not yet on file —</t>
        </is>
      </c>
      <c r="P201" s="182" t="inlineStr">
        <is>
          <t>CoQ reissue (assigned on issue)</t>
        </is>
      </c>
      <c r="Q201" s="189" t="inlineStr">
        <is>
          <t>—</t>
        </is>
      </c>
      <c r="R201" s="182" t="inlineStr">
        <is>
          <t>P050132|FM|R</t>
        </is>
      </c>
      <c r="S201" s="193" t="inlineStr">
        <is>
          <t>not yet issuable — retest assay not yet on file</t>
        </is>
      </c>
    </row>
    <row r="202">
      <c r="A202" s="182">
        <f>IF(C202="yes",COUNT(A$1:A201)+1,"")</f>
        <v/>
      </c>
      <c r="B202" s="181">
        <f>IF(A202="","— at issue —","iCoA-PP_26-"&amp;TEXT(A202,"000"))</f>
        <v/>
      </c>
      <c r="C202" s="189" t="inlineStr">
        <is>
          <t>no</t>
        </is>
      </c>
      <c r="D202" s="183">
        <f>IF(A202="","",E202)</f>
        <v/>
      </c>
      <c r="E202" s="183">
        <f>IF(AND(C202="yes",ISNUMBER(G202)),MAX(DATE(2026,5,11),G202),"")</f>
        <v/>
      </c>
      <c r="F202" s="183">
        <f>IFERROR(INDEX('Batch Dates'!$F:$F,MATCH(J202,'Batch Dates'!$C:$C,0)),IFERROR(INDEX('Batch Dates'!$F:$F,MATCH(I202,'Batch Dates'!$B:$B,0)),""))</f>
        <v/>
      </c>
      <c r="G202" s="183">
        <f>IFERROR(INDEX('Batch Dates'!$G:$G,MATCH(J202,'Batch Dates'!$C:$C,0)),IFERROR(INDEX('Batch Dates'!$G:$G,MATCH(I202,'Batch Dates'!$B:$B,0)),""))</f>
        <v/>
      </c>
      <c r="H202" s="182" t="inlineStr">
        <is>
          <t>retest — QP campaign</t>
        </is>
      </c>
      <c r="I202" s="181" t="inlineStr">
        <is>
          <t>CJ052501/02</t>
        </is>
      </c>
      <c r="J202" s="182" t="inlineStr">
        <is>
          <t>P050172</t>
        </is>
      </c>
      <c r="K202" s="182" t="inlineStr">
        <is>
          <t>Cap Junky</t>
        </is>
      </c>
      <c r="L202" s="182" t="inlineStr">
        <is>
          <t>Ident A + Ident B</t>
        </is>
      </c>
      <c r="M202" s="182" t="inlineStr">
        <is>
          <t>iCoA_P01-02 · Appearance &amp; Identification A/B</t>
        </is>
      </c>
      <c r="N202" s="189" t="inlineStr">
        <is>
          <t>—</t>
        </is>
      </c>
      <c r="O202" s="189" t="inlineStr">
        <is>
          <t>— retest assay not yet on file —</t>
        </is>
      </c>
      <c r="P202" s="182" t="inlineStr">
        <is>
          <t>CoQ reissue (assigned on issue)</t>
        </is>
      </c>
      <c r="Q202" s="189" t="inlineStr">
        <is>
          <t>—</t>
        </is>
      </c>
      <c r="R202" s="182" t="inlineStr">
        <is>
          <t>P050172|AB|R</t>
        </is>
      </c>
      <c r="S202" s="193" t="inlineStr">
        <is>
          <t>not yet issuable — retest assay not yet on file</t>
        </is>
      </c>
    </row>
    <row r="203">
      <c r="A203" s="182">
        <f>IF(C203="yes",COUNT(A$1:A202)+1,"")</f>
        <v/>
      </c>
      <c r="B203" s="181">
        <f>IF(A203="","— at issue —","iCoA-PP_26-"&amp;TEXT(A203,"000"))</f>
        <v/>
      </c>
      <c r="C203" s="189" t="inlineStr">
        <is>
          <t>no</t>
        </is>
      </c>
      <c r="D203" s="183">
        <f>IF(A203="","",E203)</f>
        <v/>
      </c>
      <c r="E203" s="183">
        <f>IF(AND(C203="yes",ISNUMBER(G203)),MAX(DATE(2026,5,11),G203),"")</f>
        <v/>
      </c>
      <c r="F203" s="183">
        <f>IFERROR(INDEX('Batch Dates'!$F:$F,MATCH(J203,'Batch Dates'!$C:$C,0)),IFERROR(INDEX('Batch Dates'!$F:$F,MATCH(I203,'Batch Dates'!$B:$B,0)),""))</f>
        <v/>
      </c>
      <c r="G203" s="183">
        <f>IFERROR(INDEX('Batch Dates'!$G:$G,MATCH(J203,'Batch Dates'!$C:$C,0)),IFERROR(INDEX('Batch Dates'!$G:$G,MATCH(I203,'Batch Dates'!$B:$B,0)),""))</f>
        <v/>
      </c>
      <c r="H203" s="182" t="inlineStr">
        <is>
          <t>retest — QP campaign</t>
        </is>
      </c>
      <c r="I203" s="181" t="inlineStr">
        <is>
          <t>CJ052501/02</t>
        </is>
      </c>
      <c r="J203" s="182" t="inlineStr">
        <is>
          <t>P050172</t>
        </is>
      </c>
      <c r="K203" s="182" t="inlineStr">
        <is>
          <t>Cap Junky</t>
        </is>
      </c>
      <c r="L203" s="182" t="inlineStr">
        <is>
          <t>Foreign matter</t>
        </is>
      </c>
      <c r="M203" s="182" t="inlineStr">
        <is>
          <t>iCoA_P07 · Foreign matter</t>
        </is>
      </c>
      <c r="N203" s="189" t="inlineStr">
        <is>
          <t>—</t>
        </is>
      </c>
      <c r="O203" s="189" t="inlineStr">
        <is>
          <t>— retest assay not yet on file —</t>
        </is>
      </c>
      <c r="P203" s="182" t="inlineStr">
        <is>
          <t>CoQ reissue (assigned on issue)</t>
        </is>
      </c>
      <c r="Q203" s="189" t="inlineStr">
        <is>
          <t>—</t>
        </is>
      </c>
      <c r="R203" s="182" t="inlineStr">
        <is>
          <t>P050172|FM|R</t>
        </is>
      </c>
      <c r="S203" s="193" t="inlineStr">
        <is>
          <t>not yet issuable — retest assay not yet on file</t>
        </is>
      </c>
    </row>
    <row r="204">
      <c r="A204" s="182">
        <f>IF(C204="yes",COUNT(A$1:A203)+1,"")</f>
        <v/>
      </c>
      <c r="B204" s="181">
        <f>IF(A204="","— at issue —","iCoA-PP_26-"&amp;TEXT(A204,"000"))</f>
        <v/>
      </c>
      <c r="C204" s="189" t="inlineStr">
        <is>
          <t>no</t>
        </is>
      </c>
      <c r="D204" s="183">
        <f>IF(A204="","",E204)</f>
        <v/>
      </c>
      <c r="E204" s="183">
        <f>IF(AND(C204="yes",ISNUMBER(G204)),MAX(DATE(2026,5,11),G204),"")</f>
        <v/>
      </c>
      <c r="F204" s="183">
        <f>IFERROR(INDEX('Batch Dates'!$F:$F,MATCH(J204,'Batch Dates'!$C:$C,0)),IFERROR(INDEX('Batch Dates'!$F:$F,MATCH(I204,'Batch Dates'!$B:$B,0)),""))</f>
        <v/>
      </c>
      <c r="G204" s="183">
        <f>IFERROR(INDEX('Batch Dates'!$G:$G,MATCH(J204,'Batch Dates'!$C:$C,0)),IFERROR(INDEX('Batch Dates'!$G:$G,MATCH(I204,'Batch Dates'!$B:$B,0)),""))</f>
        <v/>
      </c>
      <c r="H204" s="182" t="inlineStr">
        <is>
          <t>retest — QP campaign</t>
        </is>
      </c>
      <c r="I204" s="181" t="inlineStr">
        <is>
          <t>HPA052501</t>
        </is>
      </c>
      <c r="J204" s="182" t="inlineStr">
        <is>
          <t>P050182</t>
        </is>
      </c>
      <c r="K204" s="182" t="inlineStr">
        <is>
          <t>High Pro Amnesia</t>
        </is>
      </c>
      <c r="L204" s="182" t="inlineStr">
        <is>
          <t>Ident A + Ident B</t>
        </is>
      </c>
      <c r="M204" s="182" t="inlineStr">
        <is>
          <t>iCoA_P01-02 · Appearance &amp; Identification A/B</t>
        </is>
      </c>
      <c r="N204" s="189" t="inlineStr">
        <is>
          <t>—</t>
        </is>
      </c>
      <c r="O204" s="189" t="inlineStr">
        <is>
          <t>— retest assay not yet on file —</t>
        </is>
      </c>
      <c r="P204" s="182" t="inlineStr">
        <is>
          <t>CoQ reissue (assigned on issue)</t>
        </is>
      </c>
      <c r="Q204" s="189" t="inlineStr">
        <is>
          <t>—</t>
        </is>
      </c>
      <c r="R204" s="182" t="inlineStr">
        <is>
          <t>P050182|AB|R</t>
        </is>
      </c>
      <c r="S204" s="193" t="inlineStr">
        <is>
          <t>not yet issuable — retest assay not yet on file</t>
        </is>
      </c>
    </row>
    <row r="205">
      <c r="A205" s="182">
        <f>IF(C205="yes",COUNT(A$1:A204)+1,"")</f>
        <v/>
      </c>
      <c r="B205" s="181">
        <f>IF(A205="","— at issue —","iCoA-PP_26-"&amp;TEXT(A205,"000"))</f>
        <v/>
      </c>
      <c r="C205" s="189" t="inlineStr">
        <is>
          <t>no</t>
        </is>
      </c>
      <c r="D205" s="183">
        <f>IF(A205="","",E205)</f>
        <v/>
      </c>
      <c r="E205" s="183">
        <f>IF(AND(C205="yes",ISNUMBER(G205)),MAX(DATE(2026,5,11),G205),"")</f>
        <v/>
      </c>
      <c r="F205" s="183">
        <f>IFERROR(INDEX('Batch Dates'!$F:$F,MATCH(J205,'Batch Dates'!$C:$C,0)),IFERROR(INDEX('Batch Dates'!$F:$F,MATCH(I205,'Batch Dates'!$B:$B,0)),""))</f>
        <v/>
      </c>
      <c r="G205" s="183">
        <f>IFERROR(INDEX('Batch Dates'!$G:$G,MATCH(J205,'Batch Dates'!$C:$C,0)),IFERROR(INDEX('Batch Dates'!$G:$G,MATCH(I205,'Batch Dates'!$B:$B,0)),""))</f>
        <v/>
      </c>
      <c r="H205" s="182" t="inlineStr">
        <is>
          <t>retest — QP campaign</t>
        </is>
      </c>
      <c r="I205" s="181" t="inlineStr">
        <is>
          <t>HPA052501</t>
        </is>
      </c>
      <c r="J205" s="182" t="inlineStr">
        <is>
          <t>P050182</t>
        </is>
      </c>
      <c r="K205" s="182" t="inlineStr">
        <is>
          <t>High Pro Amnesia</t>
        </is>
      </c>
      <c r="L205" s="182" t="inlineStr">
        <is>
          <t>Foreign matter</t>
        </is>
      </c>
      <c r="M205" s="182" t="inlineStr">
        <is>
          <t>iCoA_P07 · Foreign matter</t>
        </is>
      </c>
      <c r="N205" s="189" t="inlineStr">
        <is>
          <t>—</t>
        </is>
      </c>
      <c r="O205" s="189" t="inlineStr">
        <is>
          <t>— retest assay not yet on file —</t>
        </is>
      </c>
      <c r="P205" s="182" t="inlineStr">
        <is>
          <t>CoQ reissue (assigned on issue)</t>
        </is>
      </c>
      <c r="Q205" s="189" t="inlineStr">
        <is>
          <t>—</t>
        </is>
      </c>
      <c r="R205" s="182" t="inlineStr">
        <is>
          <t>P050182|FM|R</t>
        </is>
      </c>
      <c r="S205" s="193" t="inlineStr">
        <is>
          <t>not yet issuable — retest assay not yet on file</t>
        </is>
      </c>
    </row>
    <row r="206">
      <c r="A206" s="182">
        <f>IF(C206="yes",COUNT(A$1:A205)+1,"")</f>
        <v/>
      </c>
      <c r="B206" s="181">
        <f>IF(A206="","— at issue —","iCoA-PP_26-"&amp;TEXT(A206,"000"))</f>
        <v/>
      </c>
      <c r="C206" s="189" t="inlineStr">
        <is>
          <t>no</t>
        </is>
      </c>
      <c r="D206" s="183">
        <f>IF(A206="","",E206)</f>
        <v/>
      </c>
      <c r="E206" s="183">
        <f>IF(AND(C206="yes",ISNUMBER(G206)),MAX(DATE(2026,5,11),G206),"")</f>
        <v/>
      </c>
      <c r="F206" s="183">
        <f>IFERROR(INDEX('Batch Dates'!$F:$F,MATCH(J206,'Batch Dates'!$C:$C,0)),IFERROR(INDEX('Batch Dates'!$F:$F,MATCH(I206,'Batch Dates'!$B:$B,0)),""))</f>
        <v/>
      </c>
      <c r="G206" s="183">
        <f>IFERROR(INDEX('Batch Dates'!$G:$G,MATCH(J206,'Batch Dates'!$C:$C,0)),IFERROR(INDEX('Batch Dates'!$G:$G,MATCH(I206,'Batch Dates'!$B:$B,0)),""))</f>
        <v/>
      </c>
      <c r="H206" s="182" t="inlineStr">
        <is>
          <t>retest — QP campaign</t>
        </is>
      </c>
      <c r="I206" s="181" t="inlineStr">
        <is>
          <t>BSS052501</t>
        </is>
      </c>
      <c r="J206" s="182" t="inlineStr">
        <is>
          <t>P050192</t>
        </is>
      </c>
      <c r="K206" s="182" t="inlineStr">
        <is>
          <t>Sleepy Joe</t>
        </is>
      </c>
      <c r="L206" s="182" t="inlineStr">
        <is>
          <t>Ident A + Ident B</t>
        </is>
      </c>
      <c r="M206" s="182" t="inlineStr">
        <is>
          <t>iCoA_P01-02 · Appearance &amp; Identification A/B</t>
        </is>
      </c>
      <c r="N206" s="189" t="inlineStr">
        <is>
          <t>—</t>
        </is>
      </c>
      <c r="O206" s="189" t="inlineStr">
        <is>
          <t>— retest assay not yet on file —</t>
        </is>
      </c>
      <c r="P206" s="182" t="inlineStr">
        <is>
          <t>CoQ reissue (assigned on issue)</t>
        </is>
      </c>
      <c r="Q206" s="189" t="inlineStr">
        <is>
          <t>—</t>
        </is>
      </c>
      <c r="R206" s="182" t="inlineStr">
        <is>
          <t>P050192|AB|R</t>
        </is>
      </c>
      <c r="S206" s="193" t="inlineStr">
        <is>
          <t>not yet issuable — retest assay not yet on file</t>
        </is>
      </c>
    </row>
    <row r="207">
      <c r="A207" s="182">
        <f>IF(C207="yes",COUNT(A$1:A206)+1,"")</f>
        <v/>
      </c>
      <c r="B207" s="181">
        <f>IF(A207="","— at issue —","iCoA-PP_26-"&amp;TEXT(A207,"000"))</f>
        <v/>
      </c>
      <c r="C207" s="189" t="inlineStr">
        <is>
          <t>no</t>
        </is>
      </c>
      <c r="D207" s="183">
        <f>IF(A207="","",E207)</f>
        <v/>
      </c>
      <c r="E207" s="183">
        <f>IF(AND(C207="yes",ISNUMBER(G207)),MAX(DATE(2026,5,11),G207),"")</f>
        <v/>
      </c>
      <c r="F207" s="183">
        <f>IFERROR(INDEX('Batch Dates'!$F:$F,MATCH(J207,'Batch Dates'!$C:$C,0)),IFERROR(INDEX('Batch Dates'!$F:$F,MATCH(I207,'Batch Dates'!$B:$B,0)),""))</f>
        <v/>
      </c>
      <c r="G207" s="183">
        <f>IFERROR(INDEX('Batch Dates'!$G:$G,MATCH(J207,'Batch Dates'!$C:$C,0)),IFERROR(INDEX('Batch Dates'!$G:$G,MATCH(I207,'Batch Dates'!$B:$B,0)),""))</f>
        <v/>
      </c>
      <c r="H207" s="182" t="inlineStr">
        <is>
          <t>retest — QP campaign</t>
        </is>
      </c>
      <c r="I207" s="181" t="inlineStr">
        <is>
          <t>BSS052501</t>
        </is>
      </c>
      <c r="J207" s="182" t="inlineStr">
        <is>
          <t>P050192</t>
        </is>
      </c>
      <c r="K207" s="182" t="inlineStr">
        <is>
          <t>Sleepy Joe</t>
        </is>
      </c>
      <c r="L207" s="182" t="inlineStr">
        <is>
          <t>Foreign matter</t>
        </is>
      </c>
      <c r="M207" s="182" t="inlineStr">
        <is>
          <t>iCoA_P07 · Foreign matter</t>
        </is>
      </c>
      <c r="N207" s="189" t="inlineStr">
        <is>
          <t>—</t>
        </is>
      </c>
      <c r="O207" s="189" t="inlineStr">
        <is>
          <t>— retest assay not yet on file —</t>
        </is>
      </c>
      <c r="P207" s="182" t="inlineStr">
        <is>
          <t>CoQ reissue (assigned on issue)</t>
        </is>
      </c>
      <c r="Q207" s="189" t="inlineStr">
        <is>
          <t>—</t>
        </is>
      </c>
      <c r="R207" s="182" t="inlineStr">
        <is>
          <t>P050192|FM|R</t>
        </is>
      </c>
      <c r="S207" s="193" t="inlineStr">
        <is>
          <t>not yet issuable — retest assay not yet on file</t>
        </is>
      </c>
    </row>
    <row r="208">
      <c r="A208" s="182">
        <f>IF(C208="yes",COUNT(A$1:A207)+1,"")</f>
        <v/>
      </c>
      <c r="B208" s="181">
        <f>IF(A208="","— at issue —","iCoA-PP_26-"&amp;TEXT(A208,"000"))</f>
        <v/>
      </c>
      <c r="C208" s="189" t="inlineStr">
        <is>
          <t>no</t>
        </is>
      </c>
      <c r="D208" s="183">
        <f>IF(A208="","",E208)</f>
        <v/>
      </c>
      <c r="E208" s="183">
        <f>IF(AND(C208="yes",ISNUMBER(G208)),MAX(DATE(2026,5,11),G208),"")</f>
        <v/>
      </c>
      <c r="F208" s="183">
        <f>IFERROR(INDEX('Batch Dates'!$F:$F,MATCH(J208,'Batch Dates'!$C:$C,0)),IFERROR(INDEX('Batch Dates'!$F:$F,MATCH(I208,'Batch Dates'!$B:$B,0)),""))</f>
        <v/>
      </c>
      <c r="G208" s="183">
        <f>IFERROR(INDEX('Batch Dates'!$G:$G,MATCH(J208,'Batch Dates'!$C:$C,0)),IFERROR(INDEX('Batch Dates'!$G:$G,MATCH(I208,'Batch Dates'!$B:$B,0)),""))</f>
        <v/>
      </c>
      <c r="H208" s="182" t="inlineStr">
        <is>
          <t>retest — QP campaign</t>
        </is>
      </c>
      <c r="I208" s="181" t="inlineStr">
        <is>
          <t>CJ062501/1</t>
        </is>
      </c>
      <c r="J208" s="182" t="inlineStr">
        <is>
          <t>P050222</t>
        </is>
      </c>
      <c r="K208" s="182" t="inlineStr">
        <is>
          <t>Cap Junkie</t>
        </is>
      </c>
      <c r="L208" s="182" t="inlineStr">
        <is>
          <t>Ident A + Ident B</t>
        </is>
      </c>
      <c r="M208" s="182" t="inlineStr">
        <is>
          <t>iCoA_P01-02 · Appearance &amp; Identification A/B</t>
        </is>
      </c>
      <c r="N208" s="189" t="inlineStr">
        <is>
          <t>—</t>
        </is>
      </c>
      <c r="O208" s="189" t="inlineStr">
        <is>
          <t>— retest assay not yet on file —</t>
        </is>
      </c>
      <c r="P208" s="182" t="inlineStr">
        <is>
          <t>CoQ reissue (assigned on issue)</t>
        </is>
      </c>
      <c r="Q208" s="189" t="inlineStr">
        <is>
          <t>—</t>
        </is>
      </c>
      <c r="R208" s="182" t="inlineStr">
        <is>
          <t>P050222|AB|R</t>
        </is>
      </c>
      <c r="S208" s="193" t="inlineStr">
        <is>
          <t>not yet issuable — retest assay not yet on file</t>
        </is>
      </c>
    </row>
    <row r="209">
      <c r="A209" s="182">
        <f>IF(C209="yes",COUNT(A$1:A208)+1,"")</f>
        <v/>
      </c>
      <c r="B209" s="181">
        <f>IF(A209="","— at issue —","iCoA-PP_26-"&amp;TEXT(A209,"000"))</f>
        <v/>
      </c>
      <c r="C209" s="189" t="inlineStr">
        <is>
          <t>no</t>
        </is>
      </c>
      <c r="D209" s="183">
        <f>IF(A209="","",E209)</f>
        <v/>
      </c>
      <c r="E209" s="183">
        <f>IF(AND(C209="yes",ISNUMBER(G209)),MAX(DATE(2026,5,11),G209),"")</f>
        <v/>
      </c>
      <c r="F209" s="183">
        <f>IFERROR(INDEX('Batch Dates'!$F:$F,MATCH(J209,'Batch Dates'!$C:$C,0)),IFERROR(INDEX('Batch Dates'!$F:$F,MATCH(I209,'Batch Dates'!$B:$B,0)),""))</f>
        <v/>
      </c>
      <c r="G209" s="183">
        <f>IFERROR(INDEX('Batch Dates'!$G:$G,MATCH(J209,'Batch Dates'!$C:$C,0)),IFERROR(INDEX('Batch Dates'!$G:$G,MATCH(I209,'Batch Dates'!$B:$B,0)),""))</f>
        <v/>
      </c>
      <c r="H209" s="182" t="inlineStr">
        <is>
          <t>retest — QP campaign</t>
        </is>
      </c>
      <c r="I209" s="181" t="inlineStr">
        <is>
          <t>CJ062501/1</t>
        </is>
      </c>
      <c r="J209" s="182" t="inlineStr">
        <is>
          <t>P050222</t>
        </is>
      </c>
      <c r="K209" s="182" t="inlineStr">
        <is>
          <t>Cap Junkie</t>
        </is>
      </c>
      <c r="L209" s="182" t="inlineStr">
        <is>
          <t>Foreign matter</t>
        </is>
      </c>
      <c r="M209" s="182" t="inlineStr">
        <is>
          <t>iCoA_P07 · Foreign matter</t>
        </is>
      </c>
      <c r="N209" s="189" t="inlineStr">
        <is>
          <t>—</t>
        </is>
      </c>
      <c r="O209" s="189" t="inlineStr">
        <is>
          <t>— retest assay not yet on file —</t>
        </is>
      </c>
      <c r="P209" s="182" t="inlineStr">
        <is>
          <t>CoQ reissue (assigned on issue)</t>
        </is>
      </c>
      <c r="Q209" s="189" t="inlineStr">
        <is>
          <t>—</t>
        </is>
      </c>
      <c r="R209" s="182" t="inlineStr">
        <is>
          <t>P050222|FM|R</t>
        </is>
      </c>
      <c r="S209" s="193" t="inlineStr">
        <is>
          <t>not yet issuable — retest assay not yet on file</t>
        </is>
      </c>
    </row>
    <row r="210">
      <c r="A210" s="182">
        <f>IF(C210="yes",COUNT(A$1:A209)+1,"")</f>
        <v/>
      </c>
      <c r="B210" s="181">
        <f>IF(A210="","— at issue —","iCoA-PP_26-"&amp;TEXT(A210,"000"))</f>
        <v/>
      </c>
      <c r="C210" s="189" t="inlineStr">
        <is>
          <t>no</t>
        </is>
      </c>
      <c r="D210" s="183">
        <f>IF(A210="","",E210)</f>
        <v/>
      </c>
      <c r="E210" s="183">
        <f>IF(AND(C210="yes",ISNUMBER(G210)),MAX(DATE(2026,5,11),G210),"")</f>
        <v/>
      </c>
      <c r="F210" s="183">
        <f>IFERROR(INDEX('Batch Dates'!$F:$F,MATCH(J210,'Batch Dates'!$C:$C,0)),IFERROR(INDEX('Batch Dates'!$F:$F,MATCH(I210,'Batch Dates'!$B:$B,0)),""))</f>
        <v/>
      </c>
      <c r="G210" s="183">
        <f>IFERROR(INDEX('Batch Dates'!$G:$G,MATCH(J210,'Batch Dates'!$C:$C,0)),IFERROR(INDEX('Batch Dates'!$G:$G,MATCH(I210,'Batch Dates'!$B:$B,0)),""))</f>
        <v/>
      </c>
      <c r="H210" s="182" t="inlineStr">
        <is>
          <t>retest — QP campaign</t>
        </is>
      </c>
      <c r="I210" s="181" t="inlineStr">
        <is>
          <t>CJ072501</t>
        </is>
      </c>
      <c r="J210" s="182" t="inlineStr">
        <is>
          <t>P050252</t>
        </is>
      </c>
      <c r="K210" s="182" t="inlineStr">
        <is>
          <t>Cap Junky</t>
        </is>
      </c>
      <c r="L210" s="182" t="inlineStr">
        <is>
          <t>Ident A + Ident B</t>
        </is>
      </c>
      <c r="M210" s="182" t="inlineStr">
        <is>
          <t>iCoA_P01-02 · Appearance &amp; Identification A/B</t>
        </is>
      </c>
      <c r="N210" s="189" t="inlineStr">
        <is>
          <t>—</t>
        </is>
      </c>
      <c r="O210" s="189" t="inlineStr">
        <is>
          <t>— retest assay not yet on file —</t>
        </is>
      </c>
      <c r="P210" s="182" t="inlineStr">
        <is>
          <t>CoQ reissue (assigned on issue)</t>
        </is>
      </c>
      <c r="Q210" s="189" t="inlineStr">
        <is>
          <t>—</t>
        </is>
      </c>
      <c r="R210" s="182" t="inlineStr">
        <is>
          <t>P050252|AB|R</t>
        </is>
      </c>
      <c r="S210" s="193" t="inlineStr">
        <is>
          <t>not yet issuable — retest assay not yet on file</t>
        </is>
      </c>
    </row>
    <row r="211">
      <c r="A211" s="182">
        <f>IF(C211="yes",COUNT(A$1:A210)+1,"")</f>
        <v/>
      </c>
      <c r="B211" s="181">
        <f>IF(A211="","— at issue —","iCoA-PP_26-"&amp;TEXT(A211,"000"))</f>
        <v/>
      </c>
      <c r="C211" s="189" t="inlineStr">
        <is>
          <t>no</t>
        </is>
      </c>
      <c r="D211" s="183">
        <f>IF(A211="","",E211)</f>
        <v/>
      </c>
      <c r="E211" s="183">
        <f>IF(AND(C211="yes",ISNUMBER(G211)),MAX(DATE(2026,5,11),G211),"")</f>
        <v/>
      </c>
      <c r="F211" s="183">
        <f>IFERROR(INDEX('Batch Dates'!$F:$F,MATCH(J211,'Batch Dates'!$C:$C,0)),IFERROR(INDEX('Batch Dates'!$F:$F,MATCH(I211,'Batch Dates'!$B:$B,0)),""))</f>
        <v/>
      </c>
      <c r="G211" s="183">
        <f>IFERROR(INDEX('Batch Dates'!$G:$G,MATCH(J211,'Batch Dates'!$C:$C,0)),IFERROR(INDEX('Batch Dates'!$G:$G,MATCH(I211,'Batch Dates'!$B:$B,0)),""))</f>
        <v/>
      </c>
      <c r="H211" s="182" t="inlineStr">
        <is>
          <t>retest — QP campaign</t>
        </is>
      </c>
      <c r="I211" s="181" t="inlineStr">
        <is>
          <t>CJ072501</t>
        </is>
      </c>
      <c r="J211" s="182" t="inlineStr">
        <is>
          <t>P050252</t>
        </is>
      </c>
      <c r="K211" s="182" t="inlineStr">
        <is>
          <t>Cap Junky</t>
        </is>
      </c>
      <c r="L211" s="182" t="inlineStr">
        <is>
          <t>Foreign matter</t>
        </is>
      </c>
      <c r="M211" s="182" t="inlineStr">
        <is>
          <t>iCoA_P07 · Foreign matter</t>
        </is>
      </c>
      <c r="N211" s="189" t="inlineStr">
        <is>
          <t>—</t>
        </is>
      </c>
      <c r="O211" s="189" t="inlineStr">
        <is>
          <t>— retest assay not yet on file —</t>
        </is>
      </c>
      <c r="P211" s="182" t="inlineStr">
        <is>
          <t>CoQ reissue (assigned on issue)</t>
        </is>
      </c>
      <c r="Q211" s="189" t="inlineStr">
        <is>
          <t>—</t>
        </is>
      </c>
      <c r="R211" s="182" t="inlineStr">
        <is>
          <t>P050252|FM|R</t>
        </is>
      </c>
      <c r="S211" s="193" t="inlineStr">
        <is>
          <t>not yet issuable — retest assay not yet on file</t>
        </is>
      </c>
    </row>
    <row r="212">
      <c r="A212" s="182">
        <f>IF(C212="yes",COUNT(A$1:A211)+1,"")</f>
        <v/>
      </c>
      <c r="B212" s="181">
        <f>IF(A212="","— at issue —","iCoA-PP_26-"&amp;TEXT(A212,"000"))</f>
        <v/>
      </c>
      <c r="C212" s="189" t="inlineStr">
        <is>
          <t>no</t>
        </is>
      </c>
      <c r="D212" s="183">
        <f>IF(A212="","",E212)</f>
        <v/>
      </c>
      <c r="E212" s="183">
        <f>IF(AND(C212="yes",ISNUMBER(G212)),MAX(DATE(2026,5,11),G212),"")</f>
        <v/>
      </c>
      <c r="F212" s="183">
        <f>IFERROR(INDEX('Batch Dates'!$F:$F,MATCH(J212,'Batch Dates'!$C:$C,0)),IFERROR(INDEX('Batch Dates'!$F:$F,MATCH(I212,'Batch Dates'!$B:$B,0)),""))</f>
        <v/>
      </c>
      <c r="G212" s="183">
        <f>IFERROR(INDEX('Batch Dates'!$G:$G,MATCH(J212,'Batch Dates'!$C:$C,0)),IFERROR(INDEX('Batch Dates'!$G:$G,MATCH(I212,'Batch Dates'!$B:$B,0)),""))</f>
        <v/>
      </c>
      <c r="H212" s="182" t="inlineStr">
        <is>
          <t>retest — QP campaign</t>
        </is>
      </c>
      <c r="I212" s="181" t="inlineStr">
        <is>
          <t>WC072501</t>
        </is>
      </c>
      <c r="J212" s="182" t="inlineStr">
        <is>
          <t>P050262</t>
        </is>
      </c>
      <c r="K212" s="182" t="inlineStr">
        <is>
          <t>Wedding Crusher</t>
        </is>
      </c>
      <c r="L212" s="182" t="inlineStr">
        <is>
          <t>Ident A + Ident B</t>
        </is>
      </c>
      <c r="M212" s="182" t="inlineStr">
        <is>
          <t>iCoA_P01-02 · Appearance &amp; Identification A/B</t>
        </is>
      </c>
      <c r="N212" s="189" t="inlineStr">
        <is>
          <t>—</t>
        </is>
      </c>
      <c r="O212" s="189" t="inlineStr">
        <is>
          <t>— retest assay not yet on file —</t>
        </is>
      </c>
      <c r="P212" s="182" t="inlineStr">
        <is>
          <t>CoQ reissue (assigned on issue)</t>
        </is>
      </c>
      <c r="Q212" s="189" t="inlineStr">
        <is>
          <t>—</t>
        </is>
      </c>
      <c r="R212" s="182" t="inlineStr">
        <is>
          <t>P050262|AB|R</t>
        </is>
      </c>
      <c r="S212" s="193" t="inlineStr">
        <is>
          <t>not yet issuable — retest assay not yet on file</t>
        </is>
      </c>
    </row>
    <row r="213">
      <c r="A213" s="182">
        <f>IF(C213="yes",COUNT(A$1:A212)+1,"")</f>
        <v/>
      </c>
      <c r="B213" s="181">
        <f>IF(A213="","— at issue —","iCoA-PP_26-"&amp;TEXT(A213,"000"))</f>
        <v/>
      </c>
      <c r="C213" s="189" t="inlineStr">
        <is>
          <t>no</t>
        </is>
      </c>
      <c r="D213" s="183">
        <f>IF(A213="","",E213)</f>
        <v/>
      </c>
      <c r="E213" s="183">
        <f>IF(AND(C213="yes",ISNUMBER(G213)),MAX(DATE(2026,5,11),G213),"")</f>
        <v/>
      </c>
      <c r="F213" s="183">
        <f>IFERROR(INDEX('Batch Dates'!$F:$F,MATCH(J213,'Batch Dates'!$C:$C,0)),IFERROR(INDEX('Batch Dates'!$F:$F,MATCH(I213,'Batch Dates'!$B:$B,0)),""))</f>
        <v/>
      </c>
      <c r="G213" s="183">
        <f>IFERROR(INDEX('Batch Dates'!$G:$G,MATCH(J213,'Batch Dates'!$C:$C,0)),IFERROR(INDEX('Batch Dates'!$G:$G,MATCH(I213,'Batch Dates'!$B:$B,0)),""))</f>
        <v/>
      </c>
      <c r="H213" s="182" t="inlineStr">
        <is>
          <t>retest — QP campaign</t>
        </is>
      </c>
      <c r="I213" s="181" t="inlineStr">
        <is>
          <t>WC072501</t>
        </is>
      </c>
      <c r="J213" s="182" t="inlineStr">
        <is>
          <t>P050262</t>
        </is>
      </c>
      <c r="K213" s="182" t="inlineStr">
        <is>
          <t>Wedding Crusher</t>
        </is>
      </c>
      <c r="L213" s="182" t="inlineStr">
        <is>
          <t>Foreign matter</t>
        </is>
      </c>
      <c r="M213" s="182" t="inlineStr">
        <is>
          <t>iCoA_P07 · Foreign matter</t>
        </is>
      </c>
      <c r="N213" s="189" t="inlineStr">
        <is>
          <t>—</t>
        </is>
      </c>
      <c r="O213" s="189" t="inlineStr">
        <is>
          <t>— retest assay not yet on file —</t>
        </is>
      </c>
      <c r="P213" s="182" t="inlineStr">
        <is>
          <t>CoQ reissue (assigned on issue)</t>
        </is>
      </c>
      <c r="Q213" s="189" t="inlineStr">
        <is>
          <t>—</t>
        </is>
      </c>
      <c r="R213" s="182" t="inlineStr">
        <is>
          <t>P050262|FM|R</t>
        </is>
      </c>
      <c r="S213" s="193" t="inlineStr">
        <is>
          <t>not yet issuable — retest assay not yet on file</t>
        </is>
      </c>
    </row>
    <row r="214">
      <c r="A214" s="182">
        <f>IF(C214="yes",COUNT(A$1:A213)+1,"")</f>
        <v/>
      </c>
      <c r="B214" s="181">
        <f>IF(A214="","— at issue —","iCoA-PP_26-"&amp;TEXT(A214,"000"))</f>
        <v/>
      </c>
      <c r="C214" s="189" t="inlineStr">
        <is>
          <t>no</t>
        </is>
      </c>
      <c r="D214" s="183">
        <f>IF(A214="","",E214)</f>
        <v/>
      </c>
      <c r="E214" s="183">
        <f>IF(AND(C214="yes",ISNUMBER(G214)),MAX(DATE(2026,5,11),G214),"")</f>
        <v/>
      </c>
      <c r="F214" s="183">
        <f>IFERROR(INDEX('Batch Dates'!$F:$F,MATCH(J214,'Batch Dates'!$C:$C,0)),IFERROR(INDEX('Batch Dates'!$F:$F,MATCH(I214,'Batch Dates'!$B:$B,0)),""))</f>
        <v/>
      </c>
      <c r="G214" s="183">
        <f>IFERROR(INDEX('Batch Dates'!$G:$G,MATCH(J214,'Batch Dates'!$C:$C,0)),IFERROR(INDEX('Batch Dates'!$G:$G,MATCH(I214,'Batch Dates'!$B:$B,0)),""))</f>
        <v/>
      </c>
      <c r="H214" s="182" t="inlineStr">
        <is>
          <t>retest — QP campaign</t>
        </is>
      </c>
      <c r="I214" s="181" t="inlineStr">
        <is>
          <t>CLE072501</t>
        </is>
      </c>
      <c r="J214" s="182" t="inlineStr">
        <is>
          <t>P050282</t>
        </is>
      </c>
      <c r="K214" s="182" t="inlineStr">
        <is>
          <t>Clemosa a bud</t>
        </is>
      </c>
      <c r="L214" s="182" t="inlineStr">
        <is>
          <t>Ident A + Ident B</t>
        </is>
      </c>
      <c r="M214" s="182" t="inlineStr">
        <is>
          <t>iCoA_P01-02 · Appearance &amp; Identification A/B</t>
        </is>
      </c>
      <c r="N214" s="189" t="inlineStr">
        <is>
          <t>—</t>
        </is>
      </c>
      <c r="O214" s="189" t="inlineStr">
        <is>
          <t>— retest assay not yet on file —</t>
        </is>
      </c>
      <c r="P214" s="182" t="inlineStr">
        <is>
          <t>CoQ reissue (assigned on issue)</t>
        </is>
      </c>
      <c r="Q214" s="189" t="inlineStr">
        <is>
          <t>—</t>
        </is>
      </c>
      <c r="R214" s="182" t="inlineStr">
        <is>
          <t>P050282|AB|R</t>
        </is>
      </c>
      <c r="S214" s="193" t="inlineStr">
        <is>
          <t>not yet issuable — retest assay not yet on file</t>
        </is>
      </c>
    </row>
    <row r="215">
      <c r="A215" s="182">
        <f>IF(C215="yes",COUNT(A$1:A214)+1,"")</f>
        <v/>
      </c>
      <c r="B215" s="181">
        <f>IF(A215="","— at issue —","iCoA-PP_26-"&amp;TEXT(A215,"000"))</f>
        <v/>
      </c>
      <c r="C215" s="189" t="inlineStr">
        <is>
          <t>no</t>
        </is>
      </c>
      <c r="D215" s="183">
        <f>IF(A215="","",E215)</f>
        <v/>
      </c>
      <c r="E215" s="183">
        <f>IF(AND(C215="yes",ISNUMBER(G215)),MAX(DATE(2026,5,11),G215),"")</f>
        <v/>
      </c>
      <c r="F215" s="183">
        <f>IFERROR(INDEX('Batch Dates'!$F:$F,MATCH(J215,'Batch Dates'!$C:$C,0)),IFERROR(INDEX('Batch Dates'!$F:$F,MATCH(I215,'Batch Dates'!$B:$B,0)),""))</f>
        <v/>
      </c>
      <c r="G215" s="183">
        <f>IFERROR(INDEX('Batch Dates'!$G:$G,MATCH(J215,'Batch Dates'!$C:$C,0)),IFERROR(INDEX('Batch Dates'!$G:$G,MATCH(I215,'Batch Dates'!$B:$B,0)),""))</f>
        <v/>
      </c>
      <c r="H215" s="182" t="inlineStr">
        <is>
          <t>retest — QP campaign</t>
        </is>
      </c>
      <c r="I215" s="181" t="inlineStr">
        <is>
          <t>CLE072501</t>
        </is>
      </c>
      <c r="J215" s="182" t="inlineStr">
        <is>
          <t>P050282</t>
        </is>
      </c>
      <c r="K215" s="182" t="inlineStr">
        <is>
          <t>Clemosa a bud</t>
        </is>
      </c>
      <c r="L215" s="182" t="inlineStr">
        <is>
          <t>Foreign matter</t>
        </is>
      </c>
      <c r="M215" s="182" t="inlineStr">
        <is>
          <t>iCoA_P07 · Foreign matter</t>
        </is>
      </c>
      <c r="N215" s="189" t="inlineStr">
        <is>
          <t>—</t>
        </is>
      </c>
      <c r="O215" s="189" t="inlineStr">
        <is>
          <t>— retest assay not yet on file —</t>
        </is>
      </c>
      <c r="P215" s="182" t="inlineStr">
        <is>
          <t>CoQ reissue (assigned on issue)</t>
        </is>
      </c>
      <c r="Q215" s="189" t="inlineStr">
        <is>
          <t>—</t>
        </is>
      </c>
      <c r="R215" s="182" t="inlineStr">
        <is>
          <t>P050282|FM|R</t>
        </is>
      </c>
      <c r="S215" s="193" t="inlineStr">
        <is>
          <t>not yet issuable — retest assay not yet on file</t>
        </is>
      </c>
    </row>
    <row r="216">
      <c r="A216" s="182">
        <f>IF(C216="yes",COUNT(A$1:A215)+1,"")</f>
        <v/>
      </c>
      <c r="B216" s="181">
        <f>IF(A216="","— at issue —","iCoA-PP_26-"&amp;TEXT(A216,"000"))</f>
        <v/>
      </c>
      <c r="C216" s="189" t="inlineStr">
        <is>
          <t>no</t>
        </is>
      </c>
      <c r="D216" s="183">
        <f>IF(A216="","",E216)</f>
        <v/>
      </c>
      <c r="E216" s="183">
        <f>IF(AND(C216="yes",ISNUMBER(G216)),MAX(DATE(2026,5,11),G216),"")</f>
        <v/>
      </c>
      <c r="F216" s="183">
        <f>IFERROR(INDEX('Batch Dates'!$F:$F,MATCH(J216,'Batch Dates'!$C:$C,0)),IFERROR(INDEX('Batch Dates'!$F:$F,MATCH(I216,'Batch Dates'!$B:$B,0)),""))</f>
        <v/>
      </c>
      <c r="G216" s="183">
        <f>IFERROR(INDEX('Batch Dates'!$G:$G,MATCH(J216,'Batch Dates'!$C:$C,0)),IFERROR(INDEX('Batch Dates'!$G:$G,MATCH(I216,'Batch Dates'!$B:$B,0)),""))</f>
        <v/>
      </c>
      <c r="H216" s="182" t="inlineStr">
        <is>
          <t>retest — QP campaign</t>
        </is>
      </c>
      <c r="I216" s="181" t="inlineStr">
        <is>
          <t>GP072501/2</t>
        </is>
      </c>
      <c r="J216" s="182" t="inlineStr">
        <is>
          <t>P050302</t>
        </is>
      </c>
      <c r="K216" s="182" t="inlineStr">
        <is>
          <t>Grape Pie</t>
        </is>
      </c>
      <c r="L216" s="182" t="inlineStr">
        <is>
          <t>Ident A + Ident B</t>
        </is>
      </c>
      <c r="M216" s="182" t="inlineStr">
        <is>
          <t>iCoA_P01-02 · Appearance &amp; Identification A/B</t>
        </is>
      </c>
      <c r="N216" s="189" t="inlineStr">
        <is>
          <t>—</t>
        </is>
      </c>
      <c r="O216" s="189" t="inlineStr">
        <is>
          <t>— retest assay not yet on file —</t>
        </is>
      </c>
      <c r="P216" s="182" t="inlineStr">
        <is>
          <t>CoQ reissue (assigned on issue)</t>
        </is>
      </c>
      <c r="Q216" s="189" t="inlineStr">
        <is>
          <t>—</t>
        </is>
      </c>
      <c r="R216" s="182" t="inlineStr">
        <is>
          <t>P050302|AB|R</t>
        </is>
      </c>
      <c r="S216" s="193" t="inlineStr">
        <is>
          <t>not yet issuable — retest assay not yet on file</t>
        </is>
      </c>
    </row>
    <row r="217">
      <c r="A217" s="182">
        <f>IF(C217="yes",COUNT(A$1:A216)+1,"")</f>
        <v/>
      </c>
      <c r="B217" s="181">
        <f>IF(A217="","— at issue —","iCoA-PP_26-"&amp;TEXT(A217,"000"))</f>
        <v/>
      </c>
      <c r="C217" s="189" t="inlineStr">
        <is>
          <t>no</t>
        </is>
      </c>
      <c r="D217" s="183">
        <f>IF(A217="","",E217)</f>
        <v/>
      </c>
      <c r="E217" s="183">
        <f>IF(AND(C217="yes",ISNUMBER(G217)),MAX(DATE(2026,5,11),G217),"")</f>
        <v/>
      </c>
      <c r="F217" s="183">
        <f>IFERROR(INDEX('Batch Dates'!$F:$F,MATCH(J217,'Batch Dates'!$C:$C,0)),IFERROR(INDEX('Batch Dates'!$F:$F,MATCH(I217,'Batch Dates'!$B:$B,0)),""))</f>
        <v/>
      </c>
      <c r="G217" s="183">
        <f>IFERROR(INDEX('Batch Dates'!$G:$G,MATCH(J217,'Batch Dates'!$C:$C,0)),IFERROR(INDEX('Batch Dates'!$G:$G,MATCH(I217,'Batch Dates'!$B:$B,0)),""))</f>
        <v/>
      </c>
      <c r="H217" s="182" t="inlineStr">
        <is>
          <t>retest — QP campaign</t>
        </is>
      </c>
      <c r="I217" s="181" t="inlineStr">
        <is>
          <t>GP072501/2</t>
        </is>
      </c>
      <c r="J217" s="182" t="inlineStr">
        <is>
          <t>P050302</t>
        </is>
      </c>
      <c r="K217" s="182" t="inlineStr">
        <is>
          <t>Grape Pie</t>
        </is>
      </c>
      <c r="L217" s="182" t="inlineStr">
        <is>
          <t>Foreign matter</t>
        </is>
      </c>
      <c r="M217" s="182" t="inlineStr">
        <is>
          <t>iCoA_P07 · Foreign matter</t>
        </is>
      </c>
      <c r="N217" s="189" t="inlineStr">
        <is>
          <t>—</t>
        </is>
      </c>
      <c r="O217" s="189" t="inlineStr">
        <is>
          <t>— retest assay not yet on file —</t>
        </is>
      </c>
      <c r="P217" s="182" t="inlineStr">
        <is>
          <t>CoQ reissue (assigned on issue)</t>
        </is>
      </c>
      <c r="Q217" s="189" t="inlineStr">
        <is>
          <t>—</t>
        </is>
      </c>
      <c r="R217" s="182" t="inlineStr">
        <is>
          <t>P050302|FM|R</t>
        </is>
      </c>
      <c r="S217" s="193" t="inlineStr">
        <is>
          <t>not yet issuable — retest assay not yet on file</t>
        </is>
      </c>
    </row>
    <row r="218">
      <c r="A218" s="182">
        <f>IF(C218="yes",COUNT(A$1:A217)+1,"")</f>
        <v/>
      </c>
      <c r="B218" s="181">
        <f>IF(A218="","— at issue —","iCoA-PP_26-"&amp;TEXT(A218,"000"))</f>
        <v/>
      </c>
      <c r="C218" s="189" t="inlineStr">
        <is>
          <t>no</t>
        </is>
      </c>
      <c r="D218" s="183">
        <f>IF(A218="","",E218)</f>
        <v/>
      </c>
      <c r="E218" s="183">
        <f>IF(AND(C218="yes",ISNUMBER(G218)),MAX(DATE(2026,5,11),G218),"")</f>
        <v/>
      </c>
      <c r="F218" s="183">
        <f>IFERROR(INDEX('Batch Dates'!$F:$F,MATCH(J218,'Batch Dates'!$C:$C,0)),IFERROR(INDEX('Batch Dates'!$F:$F,MATCH(I218,'Batch Dates'!$B:$B,0)),""))</f>
        <v/>
      </c>
      <c r="G218" s="183">
        <f>IFERROR(INDEX('Batch Dates'!$G:$G,MATCH(J218,'Batch Dates'!$C:$C,0)),IFERROR(INDEX('Batch Dates'!$G:$G,MATCH(I218,'Batch Dates'!$B:$B,0)),""))</f>
        <v/>
      </c>
      <c r="H218" s="182" t="inlineStr">
        <is>
          <t>retest — QP campaign</t>
        </is>
      </c>
      <c r="I218" s="181" t="inlineStr">
        <is>
          <t>GP082501/1</t>
        </is>
      </c>
      <c r="J218" s="182" t="inlineStr">
        <is>
          <t>P050312</t>
        </is>
      </c>
      <c r="K218" s="182" t="inlineStr">
        <is>
          <t>Grape Pie</t>
        </is>
      </c>
      <c r="L218" s="182" t="inlineStr">
        <is>
          <t>Ident A + Ident B</t>
        </is>
      </c>
      <c r="M218" s="182" t="inlineStr">
        <is>
          <t>iCoA_P01-02 · Appearance &amp; Identification A/B</t>
        </is>
      </c>
      <c r="N218" s="189" t="inlineStr">
        <is>
          <t>—</t>
        </is>
      </c>
      <c r="O218" s="189" t="inlineStr">
        <is>
          <t>— retest assay not yet on file —</t>
        </is>
      </c>
      <c r="P218" s="182" t="inlineStr">
        <is>
          <t>CoQ reissue (assigned on issue)</t>
        </is>
      </c>
      <c r="Q218" s="189" t="inlineStr">
        <is>
          <t>—</t>
        </is>
      </c>
      <c r="R218" s="182" t="inlineStr">
        <is>
          <t>P050312|AB|R</t>
        </is>
      </c>
      <c r="S218" s="193" t="inlineStr">
        <is>
          <t>not yet issuable — retest assay not yet on file</t>
        </is>
      </c>
    </row>
    <row r="219">
      <c r="A219" s="182">
        <f>IF(C219="yes",COUNT(A$1:A218)+1,"")</f>
        <v/>
      </c>
      <c r="B219" s="181">
        <f>IF(A219="","— at issue —","iCoA-PP_26-"&amp;TEXT(A219,"000"))</f>
        <v/>
      </c>
      <c r="C219" s="189" t="inlineStr">
        <is>
          <t>no</t>
        </is>
      </c>
      <c r="D219" s="183">
        <f>IF(A219="","",E219)</f>
        <v/>
      </c>
      <c r="E219" s="183">
        <f>IF(AND(C219="yes",ISNUMBER(G219)),MAX(DATE(2026,5,11),G219),"")</f>
        <v/>
      </c>
      <c r="F219" s="183">
        <f>IFERROR(INDEX('Batch Dates'!$F:$F,MATCH(J219,'Batch Dates'!$C:$C,0)),IFERROR(INDEX('Batch Dates'!$F:$F,MATCH(I219,'Batch Dates'!$B:$B,0)),""))</f>
        <v/>
      </c>
      <c r="G219" s="183">
        <f>IFERROR(INDEX('Batch Dates'!$G:$G,MATCH(J219,'Batch Dates'!$C:$C,0)),IFERROR(INDEX('Batch Dates'!$G:$G,MATCH(I219,'Batch Dates'!$B:$B,0)),""))</f>
        <v/>
      </c>
      <c r="H219" s="182" t="inlineStr">
        <is>
          <t>retest — QP campaign</t>
        </is>
      </c>
      <c r="I219" s="181" t="inlineStr">
        <is>
          <t>GP082501/1</t>
        </is>
      </c>
      <c r="J219" s="182" t="inlineStr">
        <is>
          <t>P050312</t>
        </is>
      </c>
      <c r="K219" s="182" t="inlineStr">
        <is>
          <t>Grape Pie</t>
        </is>
      </c>
      <c r="L219" s="182" t="inlineStr">
        <is>
          <t>Foreign matter</t>
        </is>
      </c>
      <c r="M219" s="182" t="inlineStr">
        <is>
          <t>iCoA_P07 · Foreign matter</t>
        </is>
      </c>
      <c r="N219" s="189" t="inlineStr">
        <is>
          <t>—</t>
        </is>
      </c>
      <c r="O219" s="189" t="inlineStr">
        <is>
          <t>— retest assay not yet on file —</t>
        </is>
      </c>
      <c r="P219" s="182" t="inlineStr">
        <is>
          <t>CoQ reissue (assigned on issue)</t>
        </is>
      </c>
      <c r="Q219" s="189" t="inlineStr">
        <is>
          <t>—</t>
        </is>
      </c>
      <c r="R219" s="182" t="inlineStr">
        <is>
          <t>P050312|FM|R</t>
        </is>
      </c>
      <c r="S219" s="193" t="inlineStr">
        <is>
          <t>not yet issuable — retest assay not yet on file</t>
        </is>
      </c>
    </row>
    <row r="220">
      <c r="A220" s="182">
        <f>IF(C220="yes",COUNT(A$1:A219)+1,"")</f>
        <v/>
      </c>
      <c r="B220" s="181">
        <f>IF(A220="","— at issue —","iCoA-PP_26-"&amp;TEXT(A220,"000"))</f>
        <v/>
      </c>
      <c r="C220" s="189" t="inlineStr">
        <is>
          <t>no</t>
        </is>
      </c>
      <c r="D220" s="183">
        <f>IF(A220="","",E220)</f>
        <v/>
      </c>
      <c r="E220" s="183">
        <f>IF(AND(C220="yes",ISNUMBER(G220)),MAX(DATE(2026,5,11),G220),"")</f>
        <v/>
      </c>
      <c r="F220" s="183">
        <f>IFERROR(INDEX('Batch Dates'!$F:$F,MATCH(J220,'Batch Dates'!$C:$C,0)),IFERROR(INDEX('Batch Dates'!$F:$F,MATCH(I220,'Batch Dates'!$B:$B,0)),""))</f>
        <v/>
      </c>
      <c r="G220" s="183">
        <f>IFERROR(INDEX('Batch Dates'!$G:$G,MATCH(J220,'Batch Dates'!$C:$C,0)),IFERROR(INDEX('Batch Dates'!$G:$G,MATCH(I220,'Batch Dates'!$B:$B,0)),""))</f>
        <v/>
      </c>
      <c r="H220" s="182" t="inlineStr">
        <is>
          <t>retest — QP campaign</t>
        </is>
      </c>
      <c r="I220" s="181" t="inlineStr">
        <is>
          <t>WC082501</t>
        </is>
      </c>
      <c r="J220" s="182" t="inlineStr">
        <is>
          <t>P060012</t>
        </is>
      </c>
      <c r="K220" s="182" t="inlineStr">
        <is>
          <t>Wedding Crasher</t>
        </is>
      </c>
      <c r="L220" s="182" t="inlineStr">
        <is>
          <t>Ident A + Ident B</t>
        </is>
      </c>
      <c r="M220" s="182" t="inlineStr">
        <is>
          <t>iCoA_P01-02 · Appearance &amp; Identification A/B</t>
        </is>
      </c>
      <c r="N220" s="189" t="inlineStr">
        <is>
          <t>—</t>
        </is>
      </c>
      <c r="O220" s="189" t="inlineStr">
        <is>
          <t>— retest assay not yet on file —</t>
        </is>
      </c>
      <c r="P220" s="182" t="inlineStr">
        <is>
          <t>CoQ reissue (assigned on issue)</t>
        </is>
      </c>
      <c r="Q220" s="189" t="inlineStr">
        <is>
          <t>—</t>
        </is>
      </c>
      <c r="R220" s="182" t="inlineStr">
        <is>
          <t>P060012|AB|R</t>
        </is>
      </c>
      <c r="S220" s="193" t="inlineStr">
        <is>
          <t>not yet issuable — retest assay not yet on file</t>
        </is>
      </c>
    </row>
    <row r="221">
      <c r="A221" s="182">
        <f>IF(C221="yes",COUNT(A$1:A220)+1,"")</f>
        <v/>
      </c>
      <c r="B221" s="181">
        <f>IF(A221="","— at issue —","iCoA-PP_26-"&amp;TEXT(A221,"000"))</f>
        <v/>
      </c>
      <c r="C221" s="189" t="inlineStr">
        <is>
          <t>no</t>
        </is>
      </c>
      <c r="D221" s="183">
        <f>IF(A221="","",E221)</f>
        <v/>
      </c>
      <c r="E221" s="183">
        <f>IF(AND(C221="yes",ISNUMBER(G221)),MAX(DATE(2026,5,11),G221),"")</f>
        <v/>
      </c>
      <c r="F221" s="183">
        <f>IFERROR(INDEX('Batch Dates'!$F:$F,MATCH(J221,'Batch Dates'!$C:$C,0)),IFERROR(INDEX('Batch Dates'!$F:$F,MATCH(I221,'Batch Dates'!$B:$B,0)),""))</f>
        <v/>
      </c>
      <c r="G221" s="183">
        <f>IFERROR(INDEX('Batch Dates'!$G:$G,MATCH(J221,'Batch Dates'!$C:$C,0)),IFERROR(INDEX('Batch Dates'!$G:$G,MATCH(I221,'Batch Dates'!$B:$B,0)),""))</f>
        <v/>
      </c>
      <c r="H221" s="182" t="inlineStr">
        <is>
          <t>retest — QP campaign</t>
        </is>
      </c>
      <c r="I221" s="181" t="inlineStr">
        <is>
          <t>WC082501</t>
        </is>
      </c>
      <c r="J221" s="182" t="inlineStr">
        <is>
          <t>P060012</t>
        </is>
      </c>
      <c r="K221" s="182" t="inlineStr">
        <is>
          <t>Wedding Crasher</t>
        </is>
      </c>
      <c r="L221" s="182" t="inlineStr">
        <is>
          <t>Foreign matter</t>
        </is>
      </c>
      <c r="M221" s="182" t="inlineStr">
        <is>
          <t>iCoA_P07 · Foreign matter</t>
        </is>
      </c>
      <c r="N221" s="189" t="inlineStr">
        <is>
          <t>—</t>
        </is>
      </c>
      <c r="O221" s="189" t="inlineStr">
        <is>
          <t>— retest assay not yet on file —</t>
        </is>
      </c>
      <c r="P221" s="182" t="inlineStr">
        <is>
          <t>CoQ reissue (assigned on issue)</t>
        </is>
      </c>
      <c r="Q221" s="189" t="inlineStr">
        <is>
          <t>—</t>
        </is>
      </c>
      <c r="R221" s="182" t="inlineStr">
        <is>
          <t>P060012|FM|R</t>
        </is>
      </c>
      <c r="S221" s="193" t="inlineStr">
        <is>
          <t>not yet issuable — retest assay not yet on file</t>
        </is>
      </c>
    </row>
    <row r="222">
      <c r="A222" s="182">
        <f>IF(C222="yes",COUNT(A$1:A221)+1,"")</f>
        <v/>
      </c>
      <c r="B222" s="181">
        <f>IF(A222="","— at issue —","iCoA-PP_26-"&amp;TEXT(A222,"000"))</f>
        <v/>
      </c>
      <c r="C222" s="189" t="inlineStr">
        <is>
          <t>no</t>
        </is>
      </c>
      <c r="D222" s="183">
        <f>IF(A222="","",E222)</f>
        <v/>
      </c>
      <c r="E222" s="183">
        <f>IF(AND(C222="yes",ISNUMBER(G222)),MAX(DATE(2026,5,11),G222),"")</f>
        <v/>
      </c>
      <c r="F222" s="183">
        <f>IFERROR(INDEX('Batch Dates'!$F:$F,MATCH(J222,'Batch Dates'!$C:$C,0)),IFERROR(INDEX('Batch Dates'!$F:$F,MATCH(I222,'Batch Dates'!$B:$B,0)),""))</f>
        <v/>
      </c>
      <c r="G222" s="183">
        <f>IFERROR(INDEX('Batch Dates'!$G:$G,MATCH(J222,'Batch Dates'!$C:$C,0)),IFERROR(INDEX('Batch Dates'!$G:$G,MATCH(I222,'Batch Dates'!$B:$B,0)),""))</f>
        <v/>
      </c>
      <c r="H222" s="182" t="inlineStr">
        <is>
          <t>retest — QP campaign</t>
        </is>
      </c>
      <c r="I222" s="181" t="inlineStr">
        <is>
          <t>CJ082501/1</t>
        </is>
      </c>
      <c r="J222" s="182" t="inlineStr">
        <is>
          <t>P060022</t>
        </is>
      </c>
      <c r="K222" s="182" t="inlineStr">
        <is>
          <t>Cap Junky</t>
        </is>
      </c>
      <c r="L222" s="182" t="inlineStr">
        <is>
          <t>Ident A + Ident B</t>
        </is>
      </c>
      <c r="M222" s="182" t="inlineStr">
        <is>
          <t>iCoA_P01-02 · Appearance &amp; Identification A/B</t>
        </is>
      </c>
      <c r="N222" s="189" t="inlineStr">
        <is>
          <t>—</t>
        </is>
      </c>
      <c r="O222" s="189" t="inlineStr">
        <is>
          <t>— retest assay not yet on file —</t>
        </is>
      </c>
      <c r="P222" s="182" t="inlineStr">
        <is>
          <t>CoQ reissue (assigned on issue)</t>
        </is>
      </c>
      <c r="Q222" s="189" t="inlineStr">
        <is>
          <t>—</t>
        </is>
      </c>
      <c r="R222" s="182" t="inlineStr">
        <is>
          <t>P060022|AB|R</t>
        </is>
      </c>
      <c r="S222" s="193" t="inlineStr">
        <is>
          <t>not yet issuable — retest assay not yet on file</t>
        </is>
      </c>
    </row>
    <row r="223">
      <c r="A223" s="182">
        <f>IF(C223="yes",COUNT(A$1:A222)+1,"")</f>
        <v/>
      </c>
      <c r="B223" s="181">
        <f>IF(A223="","— at issue —","iCoA-PP_26-"&amp;TEXT(A223,"000"))</f>
        <v/>
      </c>
      <c r="C223" s="189" t="inlineStr">
        <is>
          <t>no</t>
        </is>
      </c>
      <c r="D223" s="183">
        <f>IF(A223="","",E223)</f>
        <v/>
      </c>
      <c r="E223" s="183">
        <f>IF(AND(C223="yes",ISNUMBER(G223)),MAX(DATE(2026,5,11),G223),"")</f>
        <v/>
      </c>
      <c r="F223" s="183">
        <f>IFERROR(INDEX('Batch Dates'!$F:$F,MATCH(J223,'Batch Dates'!$C:$C,0)),IFERROR(INDEX('Batch Dates'!$F:$F,MATCH(I223,'Batch Dates'!$B:$B,0)),""))</f>
        <v/>
      </c>
      <c r="G223" s="183">
        <f>IFERROR(INDEX('Batch Dates'!$G:$G,MATCH(J223,'Batch Dates'!$C:$C,0)),IFERROR(INDEX('Batch Dates'!$G:$G,MATCH(I223,'Batch Dates'!$B:$B,0)),""))</f>
        <v/>
      </c>
      <c r="H223" s="182" t="inlineStr">
        <is>
          <t>retest — QP campaign</t>
        </is>
      </c>
      <c r="I223" s="181" t="inlineStr">
        <is>
          <t>CJ082501/1</t>
        </is>
      </c>
      <c r="J223" s="182" t="inlineStr">
        <is>
          <t>P060022</t>
        </is>
      </c>
      <c r="K223" s="182" t="inlineStr">
        <is>
          <t>Cap Junky</t>
        </is>
      </c>
      <c r="L223" s="182" t="inlineStr">
        <is>
          <t>Foreign matter</t>
        </is>
      </c>
      <c r="M223" s="182" t="inlineStr">
        <is>
          <t>iCoA_P07 · Foreign matter</t>
        </is>
      </c>
      <c r="N223" s="189" t="inlineStr">
        <is>
          <t>—</t>
        </is>
      </c>
      <c r="O223" s="189" t="inlineStr">
        <is>
          <t>— retest assay not yet on file —</t>
        </is>
      </c>
      <c r="P223" s="182" t="inlineStr">
        <is>
          <t>CoQ reissue (assigned on issue)</t>
        </is>
      </c>
      <c r="Q223" s="189" t="inlineStr">
        <is>
          <t>—</t>
        </is>
      </c>
      <c r="R223" s="182" t="inlineStr">
        <is>
          <t>P060022|FM|R</t>
        </is>
      </c>
      <c r="S223" s="193" t="inlineStr">
        <is>
          <t>not yet issuable — retest assay not yet on file</t>
        </is>
      </c>
    </row>
    <row r="224">
      <c r="A224" s="182">
        <f>IF(C224="yes",COUNT(A$1:A223)+1,"")</f>
        <v/>
      </c>
      <c r="B224" s="181">
        <f>IF(A224="","— at issue —","iCoA-PP_26-"&amp;TEXT(A224,"000"))</f>
        <v/>
      </c>
      <c r="C224" s="189" t="inlineStr">
        <is>
          <t>no</t>
        </is>
      </c>
      <c r="D224" s="183">
        <f>IF(A224="","",E224)</f>
        <v/>
      </c>
      <c r="E224" s="183">
        <f>IF(AND(C224="yes",ISNUMBER(G224)),MAX(DATE(2026,5,11),G224),"")</f>
        <v/>
      </c>
      <c r="F224" s="183">
        <f>IFERROR(INDEX('Batch Dates'!$F:$F,MATCH(J224,'Batch Dates'!$C:$C,0)),IFERROR(INDEX('Batch Dates'!$F:$F,MATCH(I224,'Batch Dates'!$B:$B,0)),""))</f>
        <v/>
      </c>
      <c r="G224" s="183">
        <f>IFERROR(INDEX('Batch Dates'!$G:$G,MATCH(J224,'Batch Dates'!$C:$C,0)),IFERROR(INDEX('Batch Dates'!$G:$G,MATCH(I224,'Batch Dates'!$B:$B,0)),""))</f>
        <v/>
      </c>
      <c r="H224" s="182" t="inlineStr">
        <is>
          <t>retest — QP campaign</t>
        </is>
      </c>
      <c r="I224" s="181" t="inlineStr">
        <is>
          <t>GP072501/1</t>
        </is>
      </c>
      <c r="J224" s="182" t="inlineStr">
        <is>
          <t>P050292</t>
        </is>
      </c>
      <c r="K224" s="182" t="inlineStr">
        <is>
          <t>Grape Pie</t>
        </is>
      </c>
      <c r="L224" s="182" t="inlineStr">
        <is>
          <t>Ident A + Ident B</t>
        </is>
      </c>
      <c r="M224" s="182" t="inlineStr">
        <is>
          <t>iCoA_P01-02 · Appearance &amp; Identification A/B</t>
        </is>
      </c>
      <c r="N224" s="189" t="inlineStr">
        <is>
          <t>—</t>
        </is>
      </c>
      <c r="O224" s="189" t="inlineStr">
        <is>
          <t>— retest assay not yet on file —</t>
        </is>
      </c>
      <c r="P224" s="182" t="inlineStr">
        <is>
          <t>CoQ reissue (assigned on issue)</t>
        </is>
      </c>
      <c r="Q224" s="189" t="inlineStr">
        <is>
          <t>—</t>
        </is>
      </c>
      <c r="R224" s="182" t="inlineStr">
        <is>
          <t>P050292|AB|R</t>
        </is>
      </c>
      <c r="S224" s="193" t="inlineStr">
        <is>
          <t>not yet issuable — retest assay not yet on file</t>
        </is>
      </c>
    </row>
    <row r="225">
      <c r="A225" s="182">
        <f>IF(C225="yes",COUNT(A$1:A224)+1,"")</f>
        <v/>
      </c>
      <c r="B225" s="181">
        <f>IF(A225="","— at issue —","iCoA-PP_26-"&amp;TEXT(A225,"000"))</f>
        <v/>
      </c>
      <c r="C225" s="189" t="inlineStr">
        <is>
          <t>no</t>
        </is>
      </c>
      <c r="D225" s="183">
        <f>IF(A225="","",E225)</f>
        <v/>
      </c>
      <c r="E225" s="183">
        <f>IF(AND(C225="yes",ISNUMBER(G225)),MAX(DATE(2026,5,11),G225),"")</f>
        <v/>
      </c>
      <c r="F225" s="183">
        <f>IFERROR(INDEX('Batch Dates'!$F:$F,MATCH(J225,'Batch Dates'!$C:$C,0)),IFERROR(INDEX('Batch Dates'!$F:$F,MATCH(I225,'Batch Dates'!$B:$B,0)),""))</f>
        <v/>
      </c>
      <c r="G225" s="183">
        <f>IFERROR(INDEX('Batch Dates'!$G:$G,MATCH(J225,'Batch Dates'!$C:$C,0)),IFERROR(INDEX('Batch Dates'!$G:$G,MATCH(I225,'Batch Dates'!$B:$B,0)),""))</f>
        <v/>
      </c>
      <c r="H225" s="182" t="inlineStr">
        <is>
          <t>retest — QP campaign</t>
        </is>
      </c>
      <c r="I225" s="181" t="inlineStr">
        <is>
          <t>GP072501/1</t>
        </is>
      </c>
      <c r="J225" s="182" t="inlineStr">
        <is>
          <t>P050292</t>
        </is>
      </c>
      <c r="K225" s="182" t="inlineStr">
        <is>
          <t>Grape Pie</t>
        </is>
      </c>
      <c r="L225" s="182" t="inlineStr">
        <is>
          <t>Foreign matter</t>
        </is>
      </c>
      <c r="M225" s="182" t="inlineStr">
        <is>
          <t>iCoA_P07 · Foreign matter</t>
        </is>
      </c>
      <c r="N225" s="189" t="inlineStr">
        <is>
          <t>—</t>
        </is>
      </c>
      <c r="O225" s="189" t="inlineStr">
        <is>
          <t>— retest assay not yet on file —</t>
        </is>
      </c>
      <c r="P225" s="182" t="inlineStr">
        <is>
          <t>CoQ reissue (assigned on issue)</t>
        </is>
      </c>
      <c r="Q225" s="189" t="inlineStr">
        <is>
          <t>—</t>
        </is>
      </c>
      <c r="R225" s="182" t="inlineStr">
        <is>
          <t>P050292|FM|R</t>
        </is>
      </c>
      <c r="S225" s="193" t="inlineStr">
        <is>
          <t>not yet issuable — retest assay not yet on file</t>
        </is>
      </c>
    </row>
    <row r="226">
      <c r="A226" s="182">
        <f>IF(C226="yes",COUNT(A$1:A225)+1,"")</f>
        <v/>
      </c>
      <c r="B226" s="181">
        <f>IF(A226="","— at issue —","iCoA-PP_26-"&amp;TEXT(A226,"000"))</f>
        <v/>
      </c>
      <c r="C226" s="189" t="inlineStr">
        <is>
          <t>no</t>
        </is>
      </c>
      <c r="D226" s="183">
        <f>IF(A226="","",E226)</f>
        <v/>
      </c>
      <c r="E226" s="183">
        <f>IF(AND(C226="yes",ISNUMBER(G226)),MAX(DATE(2026,5,11),G226),"")</f>
        <v/>
      </c>
      <c r="F226" s="183">
        <f>IFERROR(INDEX('Batch Dates'!$F:$F,MATCH(J226,'Batch Dates'!$C:$C,0)),IFERROR(INDEX('Batch Dates'!$F:$F,MATCH(I226,'Batch Dates'!$B:$B,0)),""))</f>
        <v/>
      </c>
      <c r="G226" s="183">
        <f>IFERROR(INDEX('Batch Dates'!$G:$G,MATCH(J226,'Batch Dates'!$C:$C,0)),IFERROR(INDEX('Batch Dates'!$G:$G,MATCH(I226,'Batch Dates'!$B:$B,0)),""))</f>
        <v/>
      </c>
      <c r="H226" s="182" t="inlineStr">
        <is>
          <t>retest — QP campaign</t>
        </is>
      </c>
      <c r="I226" s="181" t="inlineStr">
        <is>
          <t>PM072501</t>
        </is>
      </c>
      <c r="J226" s="182" t="inlineStr">
        <is>
          <t>P050272</t>
        </is>
      </c>
      <c r="K226" s="182" t="inlineStr">
        <is>
          <t>Permanent Marker</t>
        </is>
      </c>
      <c r="L226" s="182" t="inlineStr">
        <is>
          <t>Ident A + Ident B</t>
        </is>
      </c>
      <c r="M226" s="182" t="inlineStr">
        <is>
          <t>iCoA_P01-02 · Appearance &amp; Identification A/B</t>
        </is>
      </c>
      <c r="N226" s="189" t="inlineStr">
        <is>
          <t>—</t>
        </is>
      </c>
      <c r="O226" s="189" t="inlineStr">
        <is>
          <t>— retest assay not yet on file —</t>
        </is>
      </c>
      <c r="P226" s="182" t="inlineStr">
        <is>
          <t>CoQ reissue (assigned on issue)</t>
        </is>
      </c>
      <c r="Q226" s="189" t="inlineStr">
        <is>
          <t>—</t>
        </is>
      </c>
      <c r="R226" s="182" t="inlineStr">
        <is>
          <t>P050272|AB|R</t>
        </is>
      </c>
      <c r="S226" s="193" t="inlineStr">
        <is>
          <t>not yet issuable — retest assay not yet on file</t>
        </is>
      </c>
    </row>
    <row r="227">
      <c r="A227" s="182">
        <f>IF(C227="yes",COUNT(A$1:A226)+1,"")</f>
        <v/>
      </c>
      <c r="B227" s="181">
        <f>IF(A227="","— at issue —","iCoA-PP_26-"&amp;TEXT(A227,"000"))</f>
        <v/>
      </c>
      <c r="C227" s="189" t="inlineStr">
        <is>
          <t>no</t>
        </is>
      </c>
      <c r="D227" s="183">
        <f>IF(A227="","",E227)</f>
        <v/>
      </c>
      <c r="E227" s="183">
        <f>IF(AND(C227="yes",ISNUMBER(G227)),MAX(DATE(2026,5,11),G227),"")</f>
        <v/>
      </c>
      <c r="F227" s="183">
        <f>IFERROR(INDEX('Batch Dates'!$F:$F,MATCH(J227,'Batch Dates'!$C:$C,0)),IFERROR(INDEX('Batch Dates'!$F:$F,MATCH(I227,'Batch Dates'!$B:$B,0)),""))</f>
        <v/>
      </c>
      <c r="G227" s="183">
        <f>IFERROR(INDEX('Batch Dates'!$G:$G,MATCH(J227,'Batch Dates'!$C:$C,0)),IFERROR(INDEX('Batch Dates'!$G:$G,MATCH(I227,'Batch Dates'!$B:$B,0)),""))</f>
        <v/>
      </c>
      <c r="H227" s="182" t="inlineStr">
        <is>
          <t>retest — QP campaign</t>
        </is>
      </c>
      <c r="I227" s="181" t="inlineStr">
        <is>
          <t>PM072501</t>
        </is>
      </c>
      <c r="J227" s="182" t="inlineStr">
        <is>
          <t>P050272</t>
        </is>
      </c>
      <c r="K227" s="182" t="inlineStr">
        <is>
          <t>Permanent Marker</t>
        </is>
      </c>
      <c r="L227" s="182" t="inlineStr">
        <is>
          <t>Foreign matter</t>
        </is>
      </c>
      <c r="M227" s="182" t="inlineStr">
        <is>
          <t>iCoA_P07 · Foreign matter</t>
        </is>
      </c>
      <c r="N227" s="189" t="inlineStr">
        <is>
          <t>—</t>
        </is>
      </c>
      <c r="O227" s="189" t="inlineStr">
        <is>
          <t>— retest assay not yet on file —</t>
        </is>
      </c>
      <c r="P227" s="182" t="inlineStr">
        <is>
          <t>CoQ reissue (assigned on issue)</t>
        </is>
      </c>
      <c r="Q227" s="189" t="inlineStr">
        <is>
          <t>—</t>
        </is>
      </c>
      <c r="R227" s="182" t="inlineStr">
        <is>
          <t>P050272|FM|R</t>
        </is>
      </c>
      <c r="S227" s="193" t="inlineStr">
        <is>
          <t>not yet issuable — retest assay not yet on file</t>
        </is>
      </c>
    </row>
    <row r="228">
      <c r="A228" s="182">
        <f>IF(C228="yes",COUNT(A$1:A227)+1,"")</f>
        <v/>
      </c>
      <c r="B228" s="181">
        <f>IF(A228="","— at issue —","iCoA-PP_26-"&amp;TEXT(A228,"000"))</f>
        <v/>
      </c>
      <c r="C228" s="189" t="inlineStr">
        <is>
          <t>no</t>
        </is>
      </c>
      <c r="D228" s="183">
        <f>IF(A228="","",E228)</f>
        <v/>
      </c>
      <c r="E228" s="183">
        <f>IF(AND(C228="yes",ISNUMBER(G228)),MAX(DATE(2026,5,11),G228),"")</f>
        <v/>
      </c>
      <c r="F228" s="183">
        <f>IFERROR(INDEX('Batch Dates'!$F:$F,MATCH(J228,'Batch Dates'!$C:$C,0)),IFERROR(INDEX('Batch Dates'!$F:$F,MATCH(I228,'Batch Dates'!$B:$B,0)),""))</f>
        <v/>
      </c>
      <c r="G228" s="183">
        <f>IFERROR(INDEX('Batch Dates'!$G:$G,MATCH(J228,'Batch Dates'!$C:$C,0)),IFERROR(INDEX('Batch Dates'!$G:$G,MATCH(I228,'Batch Dates'!$B:$B,0)),""))</f>
        <v/>
      </c>
      <c r="H228" s="182" t="inlineStr">
        <is>
          <t>retest — QP campaign</t>
        </is>
      </c>
      <c r="I228" s="181" t="inlineStr">
        <is>
          <t>OPM092501</t>
        </is>
      </c>
      <c r="J228" s="182" t="inlineStr">
        <is>
          <t>P060042</t>
        </is>
      </c>
      <c r="K228" s="182" t="inlineStr">
        <is>
          <t>Orange Punch Mimosa</t>
        </is>
      </c>
      <c r="L228" s="182" t="inlineStr">
        <is>
          <t>Ident A + Ident B</t>
        </is>
      </c>
      <c r="M228" s="182" t="inlineStr">
        <is>
          <t>iCoA_P01-02 · Appearance &amp; Identification A/B</t>
        </is>
      </c>
      <c r="N228" s="189" t="inlineStr">
        <is>
          <t>—</t>
        </is>
      </c>
      <c r="O228" s="189" t="inlineStr">
        <is>
          <t>— retest assay not yet on file —</t>
        </is>
      </c>
      <c r="P228" s="182" t="inlineStr">
        <is>
          <t>CoQ reissue (assigned on issue)</t>
        </is>
      </c>
      <c r="Q228" s="189" t="inlineStr">
        <is>
          <t>—</t>
        </is>
      </c>
      <c r="R228" s="182" t="inlineStr">
        <is>
          <t>P060042|AB|R</t>
        </is>
      </c>
      <c r="S228" s="193" t="inlineStr">
        <is>
          <t>not yet issuable — retest assay not yet on file</t>
        </is>
      </c>
    </row>
    <row r="229">
      <c r="A229" s="182">
        <f>IF(C229="yes",COUNT(A$1:A228)+1,"")</f>
        <v/>
      </c>
      <c r="B229" s="181">
        <f>IF(A229="","— at issue —","iCoA-PP_26-"&amp;TEXT(A229,"000"))</f>
        <v/>
      </c>
      <c r="C229" s="189" t="inlineStr">
        <is>
          <t>no</t>
        </is>
      </c>
      <c r="D229" s="183">
        <f>IF(A229="","",E229)</f>
        <v/>
      </c>
      <c r="E229" s="183">
        <f>IF(AND(C229="yes",ISNUMBER(G229)),MAX(DATE(2026,5,11),G229),"")</f>
        <v/>
      </c>
      <c r="F229" s="183">
        <f>IFERROR(INDEX('Batch Dates'!$F:$F,MATCH(J229,'Batch Dates'!$C:$C,0)),IFERROR(INDEX('Batch Dates'!$F:$F,MATCH(I229,'Batch Dates'!$B:$B,0)),""))</f>
        <v/>
      </c>
      <c r="G229" s="183">
        <f>IFERROR(INDEX('Batch Dates'!$G:$G,MATCH(J229,'Batch Dates'!$C:$C,0)),IFERROR(INDEX('Batch Dates'!$G:$G,MATCH(I229,'Batch Dates'!$B:$B,0)),""))</f>
        <v/>
      </c>
      <c r="H229" s="182" t="inlineStr">
        <is>
          <t>retest — QP campaign</t>
        </is>
      </c>
      <c r="I229" s="181" t="inlineStr">
        <is>
          <t>OPM092501</t>
        </is>
      </c>
      <c r="J229" s="182" t="inlineStr">
        <is>
          <t>P060042</t>
        </is>
      </c>
      <c r="K229" s="182" t="inlineStr">
        <is>
          <t>Orange Punch Mimosa</t>
        </is>
      </c>
      <c r="L229" s="182" t="inlineStr">
        <is>
          <t>Foreign matter</t>
        </is>
      </c>
      <c r="M229" s="182" t="inlineStr">
        <is>
          <t>iCoA_P07 · Foreign matter</t>
        </is>
      </c>
      <c r="N229" s="189" t="inlineStr">
        <is>
          <t>—</t>
        </is>
      </c>
      <c r="O229" s="189" t="inlineStr">
        <is>
          <t>— retest assay not yet on file —</t>
        </is>
      </c>
      <c r="P229" s="182" t="inlineStr">
        <is>
          <t>CoQ reissue (assigned on issue)</t>
        </is>
      </c>
      <c r="Q229" s="189" t="inlineStr">
        <is>
          <t>—</t>
        </is>
      </c>
      <c r="R229" s="182" t="inlineStr">
        <is>
          <t>P060042|FM|R</t>
        </is>
      </c>
      <c r="S229" s="193" t="inlineStr">
        <is>
          <t>not yet issuable — retest assay not yet on file</t>
        </is>
      </c>
    </row>
    <row r="230">
      <c r="A230" s="182">
        <f>IF(C230="yes",COUNT(A$1:A229)+1,"")</f>
        <v/>
      </c>
      <c r="B230" s="181">
        <f>IF(A230="","— at issue —","iCoA-PP_26-"&amp;TEXT(A230,"000"))</f>
        <v/>
      </c>
      <c r="C230" s="189" t="inlineStr">
        <is>
          <t>no</t>
        </is>
      </c>
      <c r="D230" s="183">
        <f>IF(A230="","",E230)</f>
        <v/>
      </c>
      <c r="E230" s="183">
        <f>IF(AND(C230="yes",ISNUMBER(G230)),MAX(DATE(2026,5,11),G230),"")</f>
        <v/>
      </c>
      <c r="F230" s="183">
        <f>IFERROR(INDEX('Batch Dates'!$F:$F,MATCH(J230,'Batch Dates'!$C:$C,0)),IFERROR(INDEX('Batch Dates'!$F:$F,MATCH(I230,'Batch Dates'!$B:$B,0)),""))</f>
        <v/>
      </c>
      <c r="G230" s="183">
        <f>IFERROR(INDEX('Batch Dates'!$G:$G,MATCH(J230,'Batch Dates'!$C:$C,0)),IFERROR(INDEX('Batch Dates'!$G:$G,MATCH(I230,'Batch Dates'!$B:$B,0)),""))</f>
        <v/>
      </c>
      <c r="H230" s="182" t="inlineStr">
        <is>
          <t>retest — QP campaign</t>
        </is>
      </c>
      <c r="I230" s="181" t="inlineStr">
        <is>
          <t>CJ092501</t>
        </is>
      </c>
      <c r="J230" s="182" t="inlineStr">
        <is>
          <t>P060072</t>
        </is>
      </c>
      <c r="K230" s="182" t="inlineStr">
        <is>
          <t>Cap Junky</t>
        </is>
      </c>
      <c r="L230" s="182" t="inlineStr">
        <is>
          <t>Ident A + Ident B</t>
        </is>
      </c>
      <c r="M230" s="182" t="inlineStr">
        <is>
          <t>iCoA_P01-02 · Appearance &amp; Identification A/B</t>
        </is>
      </c>
      <c r="N230" s="189" t="inlineStr">
        <is>
          <t>—</t>
        </is>
      </c>
      <c r="O230" s="189" t="inlineStr">
        <is>
          <t>— retest assay not yet on file —</t>
        </is>
      </c>
      <c r="P230" s="182" t="inlineStr">
        <is>
          <t>CoQ reissue (assigned on issue)</t>
        </is>
      </c>
      <c r="Q230" s="189" t="inlineStr">
        <is>
          <t>—</t>
        </is>
      </c>
      <c r="R230" s="182" t="inlineStr">
        <is>
          <t>P060072|AB|R</t>
        </is>
      </c>
      <c r="S230" s="193" t="inlineStr">
        <is>
          <t>not yet issuable — retest assay not yet on file</t>
        </is>
      </c>
    </row>
    <row r="231">
      <c r="A231" s="182">
        <f>IF(C231="yes",COUNT(A$1:A230)+1,"")</f>
        <v/>
      </c>
      <c r="B231" s="181">
        <f>IF(A231="","— at issue —","iCoA-PP_26-"&amp;TEXT(A231,"000"))</f>
        <v/>
      </c>
      <c r="C231" s="189" t="inlineStr">
        <is>
          <t>no</t>
        </is>
      </c>
      <c r="D231" s="183">
        <f>IF(A231="","",E231)</f>
        <v/>
      </c>
      <c r="E231" s="183">
        <f>IF(AND(C231="yes",ISNUMBER(G231)),MAX(DATE(2026,5,11),G231),"")</f>
        <v/>
      </c>
      <c r="F231" s="183">
        <f>IFERROR(INDEX('Batch Dates'!$F:$F,MATCH(J231,'Batch Dates'!$C:$C,0)),IFERROR(INDEX('Batch Dates'!$F:$F,MATCH(I231,'Batch Dates'!$B:$B,0)),""))</f>
        <v/>
      </c>
      <c r="G231" s="183">
        <f>IFERROR(INDEX('Batch Dates'!$G:$G,MATCH(J231,'Batch Dates'!$C:$C,0)),IFERROR(INDEX('Batch Dates'!$G:$G,MATCH(I231,'Batch Dates'!$B:$B,0)),""))</f>
        <v/>
      </c>
      <c r="H231" s="182" t="inlineStr">
        <is>
          <t>retest — QP campaign</t>
        </is>
      </c>
      <c r="I231" s="181" t="inlineStr">
        <is>
          <t>CJ092501</t>
        </is>
      </c>
      <c r="J231" s="182" t="inlineStr">
        <is>
          <t>P060072</t>
        </is>
      </c>
      <c r="K231" s="182" t="inlineStr">
        <is>
          <t>Cap Junky</t>
        </is>
      </c>
      <c r="L231" s="182" t="inlineStr">
        <is>
          <t>Foreign matter</t>
        </is>
      </c>
      <c r="M231" s="182" t="inlineStr">
        <is>
          <t>iCoA_P07 · Foreign matter</t>
        </is>
      </c>
      <c r="N231" s="189" t="inlineStr">
        <is>
          <t>—</t>
        </is>
      </c>
      <c r="O231" s="189" t="inlineStr">
        <is>
          <t>— retest assay not yet on file —</t>
        </is>
      </c>
      <c r="P231" s="182" t="inlineStr">
        <is>
          <t>CoQ reissue (assigned on issue)</t>
        </is>
      </c>
      <c r="Q231" s="189" t="inlineStr">
        <is>
          <t>—</t>
        </is>
      </c>
      <c r="R231" s="182" t="inlineStr">
        <is>
          <t>P060072|FM|R</t>
        </is>
      </c>
      <c r="S231" s="193" t="inlineStr">
        <is>
          <t>not yet issuable — retest assay not yet on file</t>
        </is>
      </c>
    </row>
    <row r="232">
      <c r="A232" s="182">
        <f>IF(C232="yes",COUNT(A$1:A231)+1,"")</f>
        <v/>
      </c>
      <c r="B232" s="181">
        <f>IF(A232="","— at issue —","iCoA-PP_26-"&amp;TEXT(A232,"000"))</f>
        <v/>
      </c>
      <c r="C232" s="189" t="inlineStr">
        <is>
          <t>no</t>
        </is>
      </c>
      <c r="D232" s="183">
        <f>IF(A232="","",E232)</f>
        <v/>
      </c>
      <c r="E232" s="183">
        <f>IF(AND(C232="yes",ISNUMBER(G232)),MAX(DATE(2026,5,11),G232),"")</f>
        <v/>
      </c>
      <c r="F232" s="183">
        <f>IFERROR(INDEX('Batch Dates'!$F:$F,MATCH(J232,'Batch Dates'!$C:$C,0)),IFERROR(INDEX('Batch Dates'!$F:$F,MATCH(I232,'Batch Dates'!$B:$B,0)),""))</f>
        <v/>
      </c>
      <c r="G232" s="183">
        <f>IFERROR(INDEX('Batch Dates'!$G:$G,MATCH(J232,'Batch Dates'!$C:$C,0)),IFERROR(INDEX('Batch Dates'!$G:$G,MATCH(I232,'Batch Dates'!$B:$B,0)),""))</f>
        <v/>
      </c>
      <c r="H232" s="182" t="inlineStr">
        <is>
          <t>retest — QP campaign</t>
        </is>
      </c>
      <c r="I232" s="181" t="inlineStr">
        <is>
          <t>SJ0925021</t>
        </is>
      </c>
      <c r="J232" s="182" t="inlineStr">
        <is>
          <t>P060082</t>
        </is>
      </c>
      <c r="K232" s="182" t="inlineStr"/>
      <c r="L232" s="182" t="inlineStr">
        <is>
          <t>Ident A + Ident B</t>
        </is>
      </c>
      <c r="M232" s="182" t="inlineStr">
        <is>
          <t>iCoA_P01-02 · Appearance &amp; Identification A/B</t>
        </is>
      </c>
      <c r="N232" s="189" t="inlineStr">
        <is>
          <t>—</t>
        </is>
      </c>
      <c r="O232" s="189" t="inlineStr">
        <is>
          <t>— retest assay not yet on file —</t>
        </is>
      </c>
      <c r="P232" s="182" t="inlineStr">
        <is>
          <t>CoQ reissue (assigned on issue)</t>
        </is>
      </c>
      <c r="Q232" s="189" t="inlineStr">
        <is>
          <t>—</t>
        </is>
      </c>
      <c r="R232" s="182" t="inlineStr">
        <is>
          <t>P060082|AB|R</t>
        </is>
      </c>
      <c r="S232" s="193" t="inlineStr">
        <is>
          <t>not yet issuable — retest assay not yet on file</t>
        </is>
      </c>
    </row>
    <row r="233">
      <c r="A233" s="182">
        <f>IF(C233="yes",COUNT(A$1:A232)+1,"")</f>
        <v/>
      </c>
      <c r="B233" s="181">
        <f>IF(A233="","— at issue —","iCoA-PP_26-"&amp;TEXT(A233,"000"))</f>
        <v/>
      </c>
      <c r="C233" s="189" t="inlineStr">
        <is>
          <t>no</t>
        </is>
      </c>
      <c r="D233" s="183">
        <f>IF(A233="","",E233)</f>
        <v/>
      </c>
      <c r="E233" s="183">
        <f>IF(AND(C233="yes",ISNUMBER(G233)),MAX(DATE(2026,5,11),G233),"")</f>
        <v/>
      </c>
      <c r="F233" s="183">
        <f>IFERROR(INDEX('Batch Dates'!$F:$F,MATCH(J233,'Batch Dates'!$C:$C,0)),IFERROR(INDEX('Batch Dates'!$F:$F,MATCH(I233,'Batch Dates'!$B:$B,0)),""))</f>
        <v/>
      </c>
      <c r="G233" s="183">
        <f>IFERROR(INDEX('Batch Dates'!$G:$G,MATCH(J233,'Batch Dates'!$C:$C,0)),IFERROR(INDEX('Batch Dates'!$G:$G,MATCH(I233,'Batch Dates'!$B:$B,0)),""))</f>
        <v/>
      </c>
      <c r="H233" s="182" t="inlineStr">
        <is>
          <t>retest — QP campaign</t>
        </is>
      </c>
      <c r="I233" s="181" t="inlineStr">
        <is>
          <t>SJ0925021</t>
        </is>
      </c>
      <c r="J233" s="182" t="inlineStr">
        <is>
          <t>P060082</t>
        </is>
      </c>
      <c r="K233" s="182" t="inlineStr"/>
      <c r="L233" s="182" t="inlineStr">
        <is>
          <t>Foreign matter</t>
        </is>
      </c>
      <c r="M233" s="182" t="inlineStr">
        <is>
          <t>iCoA_P07 · Foreign matter</t>
        </is>
      </c>
      <c r="N233" s="189" t="inlineStr">
        <is>
          <t>—</t>
        </is>
      </c>
      <c r="O233" s="189" t="inlineStr">
        <is>
          <t>— retest assay not yet on file —</t>
        </is>
      </c>
      <c r="P233" s="182" t="inlineStr">
        <is>
          <t>CoQ reissue (assigned on issue)</t>
        </is>
      </c>
      <c r="Q233" s="189" t="inlineStr">
        <is>
          <t>—</t>
        </is>
      </c>
      <c r="R233" s="182" t="inlineStr">
        <is>
          <t>P060082|FM|R</t>
        </is>
      </c>
      <c r="S233" s="193" t="inlineStr">
        <is>
          <t>not yet issuable — retest assay not yet on file</t>
        </is>
      </c>
    </row>
    <row r="234">
      <c r="A234" s="182">
        <f>IF(C234="yes",COUNT(A$1:A233)+1,"")</f>
        <v/>
      </c>
      <c r="B234" s="181">
        <f>IF(A234="","— at issue —","iCoA-PP_26-"&amp;TEXT(A234,"000"))</f>
        <v/>
      </c>
      <c r="C234" s="189" t="inlineStr">
        <is>
          <t>no</t>
        </is>
      </c>
      <c r="D234" s="183">
        <f>IF(A234="","",E234)</f>
        <v/>
      </c>
      <c r="E234" s="183">
        <f>IF(AND(C234="yes",ISNUMBER(G234)),MAX(DATE(2026,5,11),G234),"")</f>
        <v/>
      </c>
      <c r="F234" s="183">
        <f>IFERROR(INDEX('Batch Dates'!$F:$F,MATCH(J234,'Batch Dates'!$C:$C,0)),IFERROR(INDEX('Batch Dates'!$F:$F,MATCH(I234,'Batch Dates'!$B:$B,0)),""))</f>
        <v/>
      </c>
      <c r="G234" s="183">
        <f>IFERROR(INDEX('Batch Dates'!$G:$G,MATCH(J234,'Batch Dates'!$C:$C,0)),IFERROR(INDEX('Batch Dates'!$G:$G,MATCH(I234,'Batch Dates'!$B:$B,0)),""))</f>
        <v/>
      </c>
      <c r="H234" s="182" t="inlineStr">
        <is>
          <t>retest — QP campaign</t>
        </is>
      </c>
      <c r="I234" s="181" t="inlineStr">
        <is>
          <t>GP092501</t>
        </is>
      </c>
      <c r="J234" s="182" t="inlineStr">
        <is>
          <t>P060092</t>
        </is>
      </c>
      <c r="K234" s="182" t="inlineStr">
        <is>
          <t>Grape Pie</t>
        </is>
      </c>
      <c r="L234" s="182" t="inlineStr">
        <is>
          <t>Ident A + Ident B</t>
        </is>
      </c>
      <c r="M234" s="182" t="inlineStr">
        <is>
          <t>iCoA_P01-02 · Appearance &amp; Identification A/B</t>
        </is>
      </c>
      <c r="N234" s="189" t="inlineStr">
        <is>
          <t>—</t>
        </is>
      </c>
      <c r="O234" s="189" t="inlineStr">
        <is>
          <t>— retest assay not yet on file —</t>
        </is>
      </c>
      <c r="P234" s="182" t="inlineStr">
        <is>
          <t>CoQ reissue (assigned on issue)</t>
        </is>
      </c>
      <c r="Q234" s="189" t="inlineStr">
        <is>
          <t>—</t>
        </is>
      </c>
      <c r="R234" s="182" t="inlineStr">
        <is>
          <t>P060092|AB|R</t>
        </is>
      </c>
      <c r="S234" s="193" t="inlineStr">
        <is>
          <t>not yet issuable — retest assay not yet on file</t>
        </is>
      </c>
    </row>
    <row r="235">
      <c r="A235" s="182">
        <f>IF(C235="yes",COUNT(A$1:A234)+1,"")</f>
        <v/>
      </c>
      <c r="B235" s="181">
        <f>IF(A235="","— at issue —","iCoA-PP_26-"&amp;TEXT(A235,"000"))</f>
        <v/>
      </c>
      <c r="C235" s="189" t="inlineStr">
        <is>
          <t>no</t>
        </is>
      </c>
      <c r="D235" s="183">
        <f>IF(A235="","",E235)</f>
        <v/>
      </c>
      <c r="E235" s="183">
        <f>IF(AND(C235="yes",ISNUMBER(G235)),MAX(DATE(2026,5,11),G235),"")</f>
        <v/>
      </c>
      <c r="F235" s="183">
        <f>IFERROR(INDEX('Batch Dates'!$F:$F,MATCH(J235,'Batch Dates'!$C:$C,0)),IFERROR(INDEX('Batch Dates'!$F:$F,MATCH(I235,'Batch Dates'!$B:$B,0)),""))</f>
        <v/>
      </c>
      <c r="G235" s="183">
        <f>IFERROR(INDEX('Batch Dates'!$G:$G,MATCH(J235,'Batch Dates'!$C:$C,0)),IFERROR(INDEX('Batch Dates'!$G:$G,MATCH(I235,'Batch Dates'!$B:$B,0)),""))</f>
        <v/>
      </c>
      <c r="H235" s="182" t="inlineStr">
        <is>
          <t>retest — QP campaign</t>
        </is>
      </c>
      <c r="I235" s="181" t="inlineStr">
        <is>
          <t>GP092501</t>
        </is>
      </c>
      <c r="J235" s="182" t="inlineStr">
        <is>
          <t>P060092</t>
        </is>
      </c>
      <c r="K235" s="182" t="inlineStr">
        <is>
          <t>Grape Pie</t>
        </is>
      </c>
      <c r="L235" s="182" t="inlineStr">
        <is>
          <t>Foreign matter</t>
        </is>
      </c>
      <c r="M235" s="182" t="inlineStr">
        <is>
          <t>iCoA_P07 · Foreign matter</t>
        </is>
      </c>
      <c r="N235" s="189" t="inlineStr">
        <is>
          <t>—</t>
        </is>
      </c>
      <c r="O235" s="189" t="inlineStr">
        <is>
          <t>— retest assay not yet on file —</t>
        </is>
      </c>
      <c r="P235" s="182" t="inlineStr">
        <is>
          <t>CoQ reissue (assigned on issue)</t>
        </is>
      </c>
      <c r="Q235" s="189" t="inlineStr">
        <is>
          <t>—</t>
        </is>
      </c>
      <c r="R235" s="182" t="inlineStr">
        <is>
          <t>P060092|FM|R</t>
        </is>
      </c>
      <c r="S235" s="193" t="inlineStr">
        <is>
          <t>not yet issuable — retest assay not yet on file</t>
        </is>
      </c>
    </row>
    <row r="236">
      <c r="A236" s="182">
        <f>IF(C236="yes",COUNT(A$1:A235)+1,"")</f>
        <v/>
      </c>
      <c r="B236" s="181">
        <f>IF(A236="","— at issue —","iCoA-PP_26-"&amp;TEXT(A236,"000"))</f>
        <v/>
      </c>
      <c r="C236" s="189" t="inlineStr">
        <is>
          <t>no</t>
        </is>
      </c>
      <c r="D236" s="183">
        <f>IF(A236="","",E236)</f>
        <v/>
      </c>
      <c r="E236" s="183">
        <f>IF(AND(C236="yes",ISNUMBER(G236)),MAX(DATE(2026,5,11),G236),"")</f>
        <v/>
      </c>
      <c r="F236" s="183">
        <f>IFERROR(INDEX('Batch Dates'!$F:$F,MATCH(J236,'Batch Dates'!$C:$C,0)),IFERROR(INDEX('Batch Dates'!$F:$F,MATCH(I236,'Batch Dates'!$B:$B,0)),""))</f>
        <v/>
      </c>
      <c r="G236" s="183">
        <f>IFERROR(INDEX('Batch Dates'!$G:$G,MATCH(J236,'Batch Dates'!$C:$C,0)),IFERROR(INDEX('Batch Dates'!$G:$G,MATCH(I236,'Batch Dates'!$B:$B,0)),""))</f>
        <v/>
      </c>
      <c r="H236" s="182" t="inlineStr">
        <is>
          <t>retest — QP campaign</t>
        </is>
      </c>
      <c r="I236" s="181" t="inlineStr">
        <is>
          <t>AB092501</t>
        </is>
      </c>
      <c r="J236" s="182" t="inlineStr">
        <is>
          <t>P060052</t>
        </is>
      </c>
      <c r="K236" s="182" t="inlineStr">
        <is>
          <t>Apple and Banana</t>
        </is>
      </c>
      <c r="L236" s="182" t="inlineStr">
        <is>
          <t>Ident A + Ident B</t>
        </is>
      </c>
      <c r="M236" s="182" t="inlineStr">
        <is>
          <t>iCoA_P01-02 · Appearance &amp; Identification A/B</t>
        </is>
      </c>
      <c r="N236" s="189" t="inlineStr">
        <is>
          <t>—</t>
        </is>
      </c>
      <c r="O236" s="189" t="inlineStr">
        <is>
          <t>— retest assay not yet on file —</t>
        </is>
      </c>
      <c r="P236" s="182" t="inlineStr">
        <is>
          <t>CoQ reissue (assigned on issue)</t>
        </is>
      </c>
      <c r="Q236" s="189" t="inlineStr">
        <is>
          <t>—</t>
        </is>
      </c>
      <c r="R236" s="182" t="inlineStr">
        <is>
          <t>P060052|AB|R</t>
        </is>
      </c>
      <c r="S236" s="193" t="inlineStr">
        <is>
          <t>not yet issuable — retest assay not yet on file</t>
        </is>
      </c>
    </row>
    <row r="237">
      <c r="A237" s="182">
        <f>IF(C237="yes",COUNT(A$1:A236)+1,"")</f>
        <v/>
      </c>
      <c r="B237" s="181">
        <f>IF(A237="","— at issue —","iCoA-PP_26-"&amp;TEXT(A237,"000"))</f>
        <v/>
      </c>
      <c r="C237" s="189" t="inlineStr">
        <is>
          <t>no</t>
        </is>
      </c>
      <c r="D237" s="183">
        <f>IF(A237="","",E237)</f>
        <v/>
      </c>
      <c r="E237" s="183">
        <f>IF(AND(C237="yes",ISNUMBER(G237)),MAX(DATE(2026,5,11),G237),"")</f>
        <v/>
      </c>
      <c r="F237" s="183">
        <f>IFERROR(INDEX('Batch Dates'!$F:$F,MATCH(J237,'Batch Dates'!$C:$C,0)),IFERROR(INDEX('Batch Dates'!$F:$F,MATCH(I237,'Batch Dates'!$B:$B,0)),""))</f>
        <v/>
      </c>
      <c r="G237" s="183">
        <f>IFERROR(INDEX('Batch Dates'!$G:$G,MATCH(J237,'Batch Dates'!$C:$C,0)),IFERROR(INDEX('Batch Dates'!$G:$G,MATCH(I237,'Batch Dates'!$B:$B,0)),""))</f>
        <v/>
      </c>
      <c r="H237" s="182" t="inlineStr">
        <is>
          <t>retest — QP campaign</t>
        </is>
      </c>
      <c r="I237" s="181" t="inlineStr">
        <is>
          <t>AB092501</t>
        </is>
      </c>
      <c r="J237" s="182" t="inlineStr">
        <is>
          <t>P060052</t>
        </is>
      </c>
      <c r="K237" s="182" t="inlineStr">
        <is>
          <t>Apple and Banana</t>
        </is>
      </c>
      <c r="L237" s="182" t="inlineStr">
        <is>
          <t>Foreign matter</t>
        </is>
      </c>
      <c r="M237" s="182" t="inlineStr">
        <is>
          <t>iCoA_P07 · Foreign matter</t>
        </is>
      </c>
      <c r="N237" s="189" t="inlineStr">
        <is>
          <t>—</t>
        </is>
      </c>
      <c r="O237" s="189" t="inlineStr">
        <is>
          <t>— retest assay not yet on file —</t>
        </is>
      </c>
      <c r="P237" s="182" t="inlineStr">
        <is>
          <t>CoQ reissue (assigned on issue)</t>
        </is>
      </c>
      <c r="Q237" s="189" t="inlineStr">
        <is>
          <t>—</t>
        </is>
      </c>
      <c r="R237" s="182" t="inlineStr">
        <is>
          <t>P060052|FM|R</t>
        </is>
      </c>
      <c r="S237" s="193" t="inlineStr">
        <is>
          <t>not yet issuable — retest assay not yet on file</t>
        </is>
      </c>
    </row>
    <row r="238">
      <c r="A238" s="182">
        <f>IF(C238="yes",COUNT(A$1:A237)+1,"")</f>
        <v/>
      </c>
      <c r="B238" s="181">
        <f>IF(A238="","— at issue —","iCoA-PP_26-"&amp;TEXT(A238,"000"))</f>
        <v/>
      </c>
      <c r="C238" s="189" t="inlineStr">
        <is>
          <t>no</t>
        </is>
      </c>
      <c r="D238" s="183">
        <f>IF(A238="","",E238)</f>
        <v/>
      </c>
      <c r="E238" s="183">
        <f>IF(AND(C238="yes",ISNUMBER(G238)),MAX(DATE(2026,5,11),G238),"")</f>
        <v/>
      </c>
      <c r="F238" s="183">
        <f>IFERROR(INDEX('Batch Dates'!$F:$F,MATCH(J238,'Batch Dates'!$C:$C,0)),IFERROR(INDEX('Batch Dates'!$F:$F,MATCH(I238,'Batch Dates'!$B:$B,0)),""))</f>
        <v/>
      </c>
      <c r="G238" s="183">
        <f>IFERROR(INDEX('Batch Dates'!$G:$G,MATCH(J238,'Batch Dates'!$C:$C,0)),IFERROR(INDEX('Batch Dates'!$G:$G,MATCH(I238,'Batch Dates'!$B:$B,0)),""))</f>
        <v/>
      </c>
      <c r="H238" s="182" t="inlineStr">
        <is>
          <t>retest — QP campaign</t>
        </is>
      </c>
      <c r="I238" s="181" t="inlineStr">
        <is>
          <t>SJ102501</t>
        </is>
      </c>
      <c r="J238" s="182" t="inlineStr">
        <is>
          <t>P060162</t>
        </is>
      </c>
      <c r="K238" s="182" t="inlineStr">
        <is>
          <t>Sleepy Joe</t>
        </is>
      </c>
      <c r="L238" s="182" t="inlineStr">
        <is>
          <t>Ident A + Ident B</t>
        </is>
      </c>
      <c r="M238" s="182" t="inlineStr">
        <is>
          <t>iCoA_P01-02 · Appearance &amp; Identification A/B</t>
        </is>
      </c>
      <c r="N238" s="189" t="inlineStr">
        <is>
          <t>—</t>
        </is>
      </c>
      <c r="O238" s="189" t="inlineStr">
        <is>
          <t>— retest assay not yet on file —</t>
        </is>
      </c>
      <c r="P238" s="182" t="inlineStr">
        <is>
          <t>CoQ reissue (assigned on issue)</t>
        </is>
      </c>
      <c r="Q238" s="189" t="inlineStr">
        <is>
          <t>—</t>
        </is>
      </c>
      <c r="R238" s="182" t="inlineStr">
        <is>
          <t>P060162|AB|R</t>
        </is>
      </c>
      <c r="S238" s="193" t="inlineStr">
        <is>
          <t>not yet issuable — retest assay not yet on file</t>
        </is>
      </c>
    </row>
    <row r="239">
      <c r="A239" s="182">
        <f>IF(C239="yes",COUNT(A$1:A238)+1,"")</f>
        <v/>
      </c>
      <c r="B239" s="181">
        <f>IF(A239="","— at issue —","iCoA-PP_26-"&amp;TEXT(A239,"000"))</f>
        <v/>
      </c>
      <c r="C239" s="189" t="inlineStr">
        <is>
          <t>no</t>
        </is>
      </c>
      <c r="D239" s="183">
        <f>IF(A239="","",E239)</f>
        <v/>
      </c>
      <c r="E239" s="183">
        <f>IF(AND(C239="yes",ISNUMBER(G239)),MAX(DATE(2026,5,11),G239),"")</f>
        <v/>
      </c>
      <c r="F239" s="183">
        <f>IFERROR(INDEX('Batch Dates'!$F:$F,MATCH(J239,'Batch Dates'!$C:$C,0)),IFERROR(INDEX('Batch Dates'!$F:$F,MATCH(I239,'Batch Dates'!$B:$B,0)),""))</f>
        <v/>
      </c>
      <c r="G239" s="183">
        <f>IFERROR(INDEX('Batch Dates'!$G:$G,MATCH(J239,'Batch Dates'!$C:$C,0)),IFERROR(INDEX('Batch Dates'!$G:$G,MATCH(I239,'Batch Dates'!$B:$B,0)),""))</f>
        <v/>
      </c>
      <c r="H239" s="182" t="inlineStr">
        <is>
          <t>retest — QP campaign</t>
        </is>
      </c>
      <c r="I239" s="181" t="inlineStr">
        <is>
          <t>SJ102501</t>
        </is>
      </c>
      <c r="J239" s="182" t="inlineStr">
        <is>
          <t>P060162</t>
        </is>
      </c>
      <c r="K239" s="182" t="inlineStr">
        <is>
          <t>Sleepy Joe</t>
        </is>
      </c>
      <c r="L239" s="182" t="inlineStr">
        <is>
          <t>Foreign matter</t>
        </is>
      </c>
      <c r="M239" s="182" t="inlineStr">
        <is>
          <t>iCoA_P07 · Foreign matter</t>
        </is>
      </c>
      <c r="N239" s="189" t="inlineStr">
        <is>
          <t>—</t>
        </is>
      </c>
      <c r="O239" s="189" t="inlineStr">
        <is>
          <t>— retest assay not yet on file —</t>
        </is>
      </c>
      <c r="P239" s="182" t="inlineStr">
        <is>
          <t>CoQ reissue (assigned on issue)</t>
        </is>
      </c>
      <c r="Q239" s="189" t="inlineStr">
        <is>
          <t>—</t>
        </is>
      </c>
      <c r="R239" s="182" t="inlineStr">
        <is>
          <t>P060162|FM|R</t>
        </is>
      </c>
      <c r="S239" s="193" t="inlineStr">
        <is>
          <t>not yet issuable — retest assay not yet on file</t>
        </is>
      </c>
    </row>
    <row r="240">
      <c r="A240" s="182">
        <f>IF(C240="yes",COUNT(A$1:A239)+1,"")</f>
        <v/>
      </c>
      <c r="B240" s="181">
        <f>IF(A240="","— at issue —","iCoA-PP_26-"&amp;TEXT(A240,"000"))</f>
        <v/>
      </c>
      <c r="C240" s="189" t="inlineStr">
        <is>
          <t>no</t>
        </is>
      </c>
      <c r="D240" s="183">
        <f>IF(A240="","",E240)</f>
        <v/>
      </c>
      <c r="E240" s="183">
        <f>IF(AND(C240="yes",ISNUMBER(G240)),MAX(DATE(2026,5,11),G240),"")</f>
        <v/>
      </c>
      <c r="F240" s="183">
        <f>IFERROR(INDEX('Batch Dates'!$F:$F,MATCH(J240,'Batch Dates'!$C:$C,0)),IFERROR(INDEX('Batch Dates'!$F:$F,MATCH(I240,'Batch Dates'!$B:$B,0)),""))</f>
        <v/>
      </c>
      <c r="G240" s="183">
        <f>IFERROR(INDEX('Batch Dates'!$G:$G,MATCH(J240,'Batch Dates'!$C:$C,0)),IFERROR(INDEX('Batch Dates'!$G:$G,MATCH(I240,'Batch Dates'!$B:$B,0)),""))</f>
        <v/>
      </c>
      <c r="H240" s="182" t="inlineStr">
        <is>
          <t>retest — QP campaign</t>
        </is>
      </c>
      <c r="I240" s="181" t="inlineStr">
        <is>
          <t>SJ112501</t>
        </is>
      </c>
      <c r="J240" s="182" t="inlineStr">
        <is>
          <t>P060192</t>
        </is>
      </c>
      <c r="K240" s="182" t="inlineStr">
        <is>
          <t>Sleepy Joy</t>
        </is>
      </c>
      <c r="L240" s="182" t="inlineStr">
        <is>
          <t>Ident A + Ident B</t>
        </is>
      </c>
      <c r="M240" s="182" t="inlineStr">
        <is>
          <t>iCoA_P01-02 · Appearance &amp; Identification A/B</t>
        </is>
      </c>
      <c r="N240" s="189" t="inlineStr">
        <is>
          <t>—</t>
        </is>
      </c>
      <c r="O240" s="189" t="inlineStr">
        <is>
          <t>— retest assay not yet on file —</t>
        </is>
      </c>
      <c r="P240" s="182" t="inlineStr">
        <is>
          <t>CoQ reissue (assigned on issue)</t>
        </is>
      </c>
      <c r="Q240" s="189" t="inlineStr">
        <is>
          <t>—</t>
        </is>
      </c>
      <c r="R240" s="182" t="inlineStr">
        <is>
          <t>P060192|AB|R</t>
        </is>
      </c>
      <c r="S240" s="193" t="inlineStr">
        <is>
          <t>not yet issuable — retest assay not yet on file</t>
        </is>
      </c>
    </row>
    <row r="241">
      <c r="A241" s="182">
        <f>IF(C241="yes",COUNT(A$1:A240)+1,"")</f>
        <v/>
      </c>
      <c r="B241" s="181">
        <f>IF(A241="","— at issue —","iCoA-PP_26-"&amp;TEXT(A241,"000"))</f>
        <v/>
      </c>
      <c r="C241" s="189" t="inlineStr">
        <is>
          <t>no</t>
        </is>
      </c>
      <c r="D241" s="183">
        <f>IF(A241="","",E241)</f>
        <v/>
      </c>
      <c r="E241" s="183">
        <f>IF(AND(C241="yes",ISNUMBER(G241)),MAX(DATE(2026,5,11),G241),"")</f>
        <v/>
      </c>
      <c r="F241" s="183">
        <f>IFERROR(INDEX('Batch Dates'!$F:$F,MATCH(J241,'Batch Dates'!$C:$C,0)),IFERROR(INDEX('Batch Dates'!$F:$F,MATCH(I241,'Batch Dates'!$B:$B,0)),""))</f>
        <v/>
      </c>
      <c r="G241" s="183">
        <f>IFERROR(INDEX('Batch Dates'!$G:$G,MATCH(J241,'Batch Dates'!$C:$C,0)),IFERROR(INDEX('Batch Dates'!$G:$G,MATCH(I241,'Batch Dates'!$B:$B,0)),""))</f>
        <v/>
      </c>
      <c r="H241" s="182" t="inlineStr">
        <is>
          <t>retest — QP campaign</t>
        </is>
      </c>
      <c r="I241" s="181" t="inlineStr">
        <is>
          <t>SJ112501</t>
        </is>
      </c>
      <c r="J241" s="182" t="inlineStr">
        <is>
          <t>P060192</t>
        </is>
      </c>
      <c r="K241" s="182" t="inlineStr">
        <is>
          <t>Sleepy Joy</t>
        </is>
      </c>
      <c r="L241" s="182" t="inlineStr">
        <is>
          <t>Foreign matter</t>
        </is>
      </c>
      <c r="M241" s="182" t="inlineStr">
        <is>
          <t>iCoA_P07 · Foreign matter</t>
        </is>
      </c>
      <c r="N241" s="189" t="inlineStr">
        <is>
          <t>—</t>
        </is>
      </c>
      <c r="O241" s="189" t="inlineStr">
        <is>
          <t>— retest assay not yet on file —</t>
        </is>
      </c>
      <c r="P241" s="182" t="inlineStr">
        <is>
          <t>CoQ reissue (assigned on issue)</t>
        </is>
      </c>
      <c r="Q241" s="189" t="inlineStr">
        <is>
          <t>—</t>
        </is>
      </c>
      <c r="R241" s="182" t="inlineStr">
        <is>
          <t>P060192|FM|R</t>
        </is>
      </c>
      <c r="S241" s="193" t="inlineStr">
        <is>
          <t>not yet issuable — retest assay not yet on file</t>
        </is>
      </c>
    </row>
    <row r="242">
      <c r="A242" s="182">
        <f>IF(C242="yes",COUNT(A$1:A241)+1,"")</f>
        <v/>
      </c>
      <c r="B242" s="181">
        <f>IF(A242="","— at issue —","iCoA-PP_26-"&amp;TEXT(A242,"000"))</f>
        <v/>
      </c>
      <c r="C242" s="189" t="inlineStr">
        <is>
          <t>no</t>
        </is>
      </c>
      <c r="D242" s="183">
        <f>IF(A242="","",E242)</f>
        <v/>
      </c>
      <c r="E242" s="183">
        <f>IF(AND(C242="yes",ISNUMBER(G242)),MAX(DATE(2026,5,11),G242),"")</f>
        <v/>
      </c>
      <c r="F242" s="183">
        <f>IFERROR(INDEX('Batch Dates'!$F:$F,MATCH(J242,'Batch Dates'!$C:$C,0)),IFERROR(INDEX('Batch Dates'!$F:$F,MATCH(I242,'Batch Dates'!$B:$B,0)),""))</f>
        <v/>
      </c>
      <c r="G242" s="183">
        <f>IFERROR(INDEX('Batch Dates'!$G:$G,MATCH(J242,'Batch Dates'!$C:$C,0)),IFERROR(INDEX('Batch Dates'!$G:$G,MATCH(I242,'Batch Dates'!$B:$B,0)),""))</f>
        <v/>
      </c>
      <c r="H242" s="182" t="inlineStr">
        <is>
          <t>retest — QP campaign</t>
        </is>
      </c>
      <c r="I242" s="181" t="inlineStr">
        <is>
          <t>OPM112501</t>
        </is>
      </c>
      <c r="J242" s="182" t="inlineStr">
        <is>
          <t>P060222</t>
        </is>
      </c>
      <c r="K242" s="182" t="inlineStr">
        <is>
          <t>Orange Punch Mimosa</t>
        </is>
      </c>
      <c r="L242" s="182" t="inlineStr">
        <is>
          <t>Ident A + Ident B</t>
        </is>
      </c>
      <c r="M242" s="182" t="inlineStr">
        <is>
          <t>iCoA_P01-02 · Appearance &amp; Identification A/B</t>
        </is>
      </c>
      <c r="N242" s="189" t="inlineStr">
        <is>
          <t>—</t>
        </is>
      </c>
      <c r="O242" s="189" t="inlineStr">
        <is>
          <t>— retest assay not yet on file —</t>
        </is>
      </c>
      <c r="P242" s="182" t="inlineStr">
        <is>
          <t>CoQ reissue (assigned on issue)</t>
        </is>
      </c>
      <c r="Q242" s="189" t="inlineStr">
        <is>
          <t>—</t>
        </is>
      </c>
      <c r="R242" s="182" t="inlineStr">
        <is>
          <t>P060222|AB|R</t>
        </is>
      </c>
      <c r="S242" s="193" t="inlineStr">
        <is>
          <t>not yet issuable — retest assay not yet on file</t>
        </is>
      </c>
    </row>
    <row r="243">
      <c r="A243" s="182">
        <f>IF(C243="yes",COUNT(A$1:A242)+1,"")</f>
        <v/>
      </c>
      <c r="B243" s="181">
        <f>IF(A243="","— at issue —","iCoA-PP_26-"&amp;TEXT(A243,"000"))</f>
        <v/>
      </c>
      <c r="C243" s="189" t="inlineStr">
        <is>
          <t>no</t>
        </is>
      </c>
      <c r="D243" s="183">
        <f>IF(A243="","",E243)</f>
        <v/>
      </c>
      <c r="E243" s="183">
        <f>IF(AND(C243="yes",ISNUMBER(G243)),MAX(DATE(2026,5,11),G243),"")</f>
        <v/>
      </c>
      <c r="F243" s="183">
        <f>IFERROR(INDEX('Batch Dates'!$F:$F,MATCH(J243,'Batch Dates'!$C:$C,0)),IFERROR(INDEX('Batch Dates'!$F:$F,MATCH(I243,'Batch Dates'!$B:$B,0)),""))</f>
        <v/>
      </c>
      <c r="G243" s="183">
        <f>IFERROR(INDEX('Batch Dates'!$G:$G,MATCH(J243,'Batch Dates'!$C:$C,0)),IFERROR(INDEX('Batch Dates'!$G:$G,MATCH(I243,'Batch Dates'!$B:$B,0)),""))</f>
        <v/>
      </c>
      <c r="H243" s="182" t="inlineStr">
        <is>
          <t>retest — QP campaign</t>
        </is>
      </c>
      <c r="I243" s="181" t="inlineStr">
        <is>
          <t>OPM112501</t>
        </is>
      </c>
      <c r="J243" s="182" t="inlineStr">
        <is>
          <t>P060222</t>
        </is>
      </c>
      <c r="K243" s="182" t="inlineStr">
        <is>
          <t>Orange Punch Mimosa</t>
        </is>
      </c>
      <c r="L243" s="182" t="inlineStr">
        <is>
          <t>Foreign matter</t>
        </is>
      </c>
      <c r="M243" s="182" t="inlineStr">
        <is>
          <t>iCoA_P07 · Foreign matter</t>
        </is>
      </c>
      <c r="N243" s="189" t="inlineStr">
        <is>
          <t>—</t>
        </is>
      </c>
      <c r="O243" s="189" t="inlineStr">
        <is>
          <t>— retest assay not yet on file —</t>
        </is>
      </c>
      <c r="P243" s="182" t="inlineStr">
        <is>
          <t>CoQ reissue (assigned on issue)</t>
        </is>
      </c>
      <c r="Q243" s="189" t="inlineStr">
        <is>
          <t>—</t>
        </is>
      </c>
      <c r="R243" s="182" t="inlineStr">
        <is>
          <t>P060222|FM|R</t>
        </is>
      </c>
      <c r="S243" s="193" t="inlineStr">
        <is>
          <t>not yet issuable — retest assay not yet on file</t>
        </is>
      </c>
    </row>
    <row r="244">
      <c r="A244" s="182">
        <f>IF(C244="yes",COUNT(A$1:A243)+1,"")</f>
        <v/>
      </c>
      <c r="B244" s="181">
        <f>IF(A244="","— at issue —","iCoA-PP_26-"&amp;TEXT(A244,"000"))</f>
        <v/>
      </c>
      <c r="C244" s="189" t="inlineStr">
        <is>
          <t>no</t>
        </is>
      </c>
      <c r="D244" s="183">
        <f>IF(A244="","",E244)</f>
        <v/>
      </c>
      <c r="E244" s="183">
        <f>IF(AND(C244="yes",ISNUMBER(G244)),MAX(DATE(2026,5,11),G244),"")</f>
        <v/>
      </c>
      <c r="F244" s="183">
        <f>IFERROR(INDEX('Batch Dates'!$F:$F,MATCH(J244,'Batch Dates'!$C:$C,0)),IFERROR(INDEX('Batch Dates'!$F:$F,MATCH(I244,'Batch Dates'!$B:$B,0)),""))</f>
        <v/>
      </c>
      <c r="G244" s="183">
        <f>IFERROR(INDEX('Batch Dates'!$G:$G,MATCH(J244,'Batch Dates'!$C:$C,0)),IFERROR(INDEX('Batch Dates'!$G:$G,MATCH(I244,'Batch Dates'!$B:$B,0)),""))</f>
        <v/>
      </c>
      <c r="H244" s="182" t="inlineStr">
        <is>
          <t>retest — QP campaign</t>
        </is>
      </c>
      <c r="I244" s="181" t="inlineStr">
        <is>
          <t>KC102501</t>
        </is>
      </c>
      <c r="J244" s="182" t="inlineStr">
        <is>
          <t>P060172</t>
        </is>
      </c>
      <c r="K244" s="182" t="inlineStr">
        <is>
          <t>Kush Crasher</t>
        </is>
      </c>
      <c r="L244" s="182" t="inlineStr">
        <is>
          <t>Ident A + Ident B</t>
        </is>
      </c>
      <c r="M244" s="182" t="inlineStr">
        <is>
          <t>iCoA_P01-02 · Appearance &amp; Identification A/B</t>
        </is>
      </c>
      <c r="N244" s="189" t="inlineStr">
        <is>
          <t>—</t>
        </is>
      </c>
      <c r="O244" s="189" t="inlineStr">
        <is>
          <t>— retest assay not yet on file —</t>
        </is>
      </c>
      <c r="P244" s="182" t="inlineStr">
        <is>
          <t>CoQ reissue (assigned on issue)</t>
        </is>
      </c>
      <c r="Q244" s="189" t="inlineStr">
        <is>
          <t>—</t>
        </is>
      </c>
      <c r="R244" s="182" t="inlineStr">
        <is>
          <t>P060172|AB|R</t>
        </is>
      </c>
      <c r="S244" s="193" t="inlineStr">
        <is>
          <t>not yet issuable — retest assay not yet on file</t>
        </is>
      </c>
    </row>
    <row r="245">
      <c r="A245" s="182">
        <f>IF(C245="yes",COUNT(A$1:A244)+1,"")</f>
        <v/>
      </c>
      <c r="B245" s="181">
        <f>IF(A245="","— at issue —","iCoA-PP_26-"&amp;TEXT(A245,"000"))</f>
        <v/>
      </c>
      <c r="C245" s="189" t="inlineStr">
        <is>
          <t>no</t>
        </is>
      </c>
      <c r="D245" s="183">
        <f>IF(A245="","",E245)</f>
        <v/>
      </c>
      <c r="E245" s="183">
        <f>IF(AND(C245="yes",ISNUMBER(G245)),MAX(DATE(2026,5,11),G245),"")</f>
        <v/>
      </c>
      <c r="F245" s="183">
        <f>IFERROR(INDEX('Batch Dates'!$F:$F,MATCH(J245,'Batch Dates'!$C:$C,0)),IFERROR(INDEX('Batch Dates'!$F:$F,MATCH(I245,'Batch Dates'!$B:$B,0)),""))</f>
        <v/>
      </c>
      <c r="G245" s="183">
        <f>IFERROR(INDEX('Batch Dates'!$G:$G,MATCH(J245,'Batch Dates'!$C:$C,0)),IFERROR(INDEX('Batch Dates'!$G:$G,MATCH(I245,'Batch Dates'!$B:$B,0)),""))</f>
        <v/>
      </c>
      <c r="H245" s="182" t="inlineStr">
        <is>
          <t>retest — QP campaign</t>
        </is>
      </c>
      <c r="I245" s="181" t="inlineStr">
        <is>
          <t>KC102501</t>
        </is>
      </c>
      <c r="J245" s="182" t="inlineStr">
        <is>
          <t>P060172</t>
        </is>
      </c>
      <c r="K245" s="182" t="inlineStr">
        <is>
          <t>Kush Crasher</t>
        </is>
      </c>
      <c r="L245" s="182" t="inlineStr">
        <is>
          <t>Foreign matter</t>
        </is>
      </c>
      <c r="M245" s="182" t="inlineStr">
        <is>
          <t>iCoA_P07 · Foreign matter</t>
        </is>
      </c>
      <c r="N245" s="189" t="inlineStr">
        <is>
          <t>—</t>
        </is>
      </c>
      <c r="O245" s="189" t="inlineStr">
        <is>
          <t>— retest assay not yet on file —</t>
        </is>
      </c>
      <c r="P245" s="182" t="inlineStr">
        <is>
          <t>CoQ reissue (assigned on issue)</t>
        </is>
      </c>
      <c r="Q245" s="189" t="inlineStr">
        <is>
          <t>—</t>
        </is>
      </c>
      <c r="R245" s="182" t="inlineStr">
        <is>
          <t>P060172|FM|R</t>
        </is>
      </c>
      <c r="S245" s="193" t="inlineStr">
        <is>
          <t>not yet issuable — retest assay not yet on file</t>
        </is>
      </c>
    </row>
    <row r="246">
      <c r="A246" s="182">
        <f>IF(C246="yes",COUNT(A$1:A245)+1,"")</f>
        <v/>
      </c>
      <c r="B246" s="181">
        <f>IF(A246="","— at issue —","iCoA-PP_26-"&amp;TEXT(A246,"000"))</f>
        <v/>
      </c>
      <c r="C246" s="189" t="inlineStr">
        <is>
          <t>no</t>
        </is>
      </c>
      <c r="D246" s="183">
        <f>IF(A246="","",E246)</f>
        <v/>
      </c>
      <c r="E246" s="183">
        <f>IF(AND(C246="yes",ISNUMBER(G246)),MAX(DATE(2026,5,11),G246),"")</f>
        <v/>
      </c>
      <c r="F246" s="183">
        <f>IFERROR(INDEX('Batch Dates'!$F:$F,MATCH(J246,'Batch Dates'!$C:$C,0)),IFERROR(INDEX('Batch Dates'!$F:$F,MATCH(I246,'Batch Dates'!$B:$B,0)),""))</f>
        <v/>
      </c>
      <c r="G246" s="183">
        <f>IFERROR(INDEX('Batch Dates'!$G:$G,MATCH(J246,'Batch Dates'!$C:$C,0)),IFERROR(INDEX('Batch Dates'!$G:$G,MATCH(I246,'Batch Dates'!$B:$B,0)),""))</f>
        <v/>
      </c>
      <c r="H246" s="182" t="inlineStr">
        <is>
          <t>retest — QP campaign</t>
        </is>
      </c>
      <c r="I246" s="181" t="inlineStr">
        <is>
          <t>GRC102501</t>
        </is>
      </c>
      <c r="J246" s="182" t="inlineStr">
        <is>
          <t>P060182</t>
        </is>
      </c>
      <c r="K246" s="182" t="inlineStr">
        <is>
          <t>Graps &amp; Creme</t>
        </is>
      </c>
      <c r="L246" s="182" t="inlineStr">
        <is>
          <t>Ident A + Ident B</t>
        </is>
      </c>
      <c r="M246" s="182" t="inlineStr">
        <is>
          <t>iCoA_P01-02 · Appearance &amp; Identification A/B</t>
        </is>
      </c>
      <c r="N246" s="189" t="inlineStr">
        <is>
          <t>—</t>
        </is>
      </c>
      <c r="O246" s="189" t="inlineStr">
        <is>
          <t>— retest assay not yet on file —</t>
        </is>
      </c>
      <c r="P246" s="182" t="inlineStr">
        <is>
          <t>CoQ reissue (assigned on issue)</t>
        </is>
      </c>
      <c r="Q246" s="189" t="inlineStr">
        <is>
          <t>—</t>
        </is>
      </c>
      <c r="R246" s="182" t="inlineStr">
        <is>
          <t>P060182|AB|R</t>
        </is>
      </c>
      <c r="S246" s="193" t="inlineStr">
        <is>
          <t>not yet issuable — retest assay not yet on file</t>
        </is>
      </c>
    </row>
    <row r="247">
      <c r="A247" s="182">
        <f>IF(C247="yes",COUNT(A$1:A246)+1,"")</f>
        <v/>
      </c>
      <c r="B247" s="181">
        <f>IF(A247="","— at issue —","iCoA-PP_26-"&amp;TEXT(A247,"000"))</f>
        <v/>
      </c>
      <c r="C247" s="189" t="inlineStr">
        <is>
          <t>no</t>
        </is>
      </c>
      <c r="D247" s="183">
        <f>IF(A247="","",E247)</f>
        <v/>
      </c>
      <c r="E247" s="183">
        <f>IF(AND(C247="yes",ISNUMBER(G247)),MAX(DATE(2026,5,11),G247),"")</f>
        <v/>
      </c>
      <c r="F247" s="183">
        <f>IFERROR(INDEX('Batch Dates'!$F:$F,MATCH(J247,'Batch Dates'!$C:$C,0)),IFERROR(INDEX('Batch Dates'!$F:$F,MATCH(I247,'Batch Dates'!$B:$B,0)),""))</f>
        <v/>
      </c>
      <c r="G247" s="183">
        <f>IFERROR(INDEX('Batch Dates'!$G:$G,MATCH(J247,'Batch Dates'!$C:$C,0)),IFERROR(INDEX('Batch Dates'!$G:$G,MATCH(I247,'Batch Dates'!$B:$B,0)),""))</f>
        <v/>
      </c>
      <c r="H247" s="182" t="inlineStr">
        <is>
          <t>retest — QP campaign</t>
        </is>
      </c>
      <c r="I247" s="181" t="inlineStr">
        <is>
          <t>GRC102501</t>
        </is>
      </c>
      <c r="J247" s="182" t="inlineStr">
        <is>
          <t>P060182</t>
        </is>
      </c>
      <c r="K247" s="182" t="inlineStr">
        <is>
          <t>Graps &amp; Creme</t>
        </is>
      </c>
      <c r="L247" s="182" t="inlineStr">
        <is>
          <t>Foreign matter</t>
        </is>
      </c>
      <c r="M247" s="182" t="inlineStr">
        <is>
          <t>iCoA_P07 · Foreign matter</t>
        </is>
      </c>
      <c r="N247" s="189" t="inlineStr">
        <is>
          <t>—</t>
        </is>
      </c>
      <c r="O247" s="189" t="inlineStr">
        <is>
          <t>— retest assay not yet on file —</t>
        </is>
      </c>
      <c r="P247" s="182" t="inlineStr">
        <is>
          <t>CoQ reissue (assigned on issue)</t>
        </is>
      </c>
      <c r="Q247" s="189" t="inlineStr">
        <is>
          <t>—</t>
        </is>
      </c>
      <c r="R247" s="182" t="inlineStr">
        <is>
          <t>P060182|FM|R</t>
        </is>
      </c>
      <c r="S247" s="193" t="inlineStr">
        <is>
          <t>not yet issuable — retest assay not yet on file</t>
        </is>
      </c>
    </row>
    <row r="248">
      <c r="A248" s="182">
        <f>IF(C248="yes",COUNT(A$1:A247)+1,"")</f>
        <v/>
      </c>
      <c r="B248" s="181">
        <f>IF(A248="","— at issue —","iCoA-PP_26-"&amp;TEXT(A248,"000"))</f>
        <v/>
      </c>
      <c r="C248" s="189" t="inlineStr">
        <is>
          <t>no</t>
        </is>
      </c>
      <c r="D248" s="183">
        <f>IF(A248="","",E248)</f>
        <v/>
      </c>
      <c r="E248" s="183">
        <f>IF(AND(C248="yes",ISNUMBER(G248)),MAX(DATE(2026,5,11),G248),"")</f>
        <v/>
      </c>
      <c r="F248" s="183">
        <f>IFERROR(INDEX('Batch Dates'!$F:$F,MATCH(J248,'Batch Dates'!$C:$C,0)),IFERROR(INDEX('Batch Dates'!$F:$F,MATCH(I248,'Batch Dates'!$B:$B,0)),""))</f>
        <v/>
      </c>
      <c r="G248" s="183">
        <f>IFERROR(INDEX('Batch Dates'!$G:$G,MATCH(J248,'Batch Dates'!$C:$C,0)),IFERROR(INDEX('Batch Dates'!$G:$G,MATCH(I248,'Batch Dates'!$B:$B,0)),""))</f>
        <v/>
      </c>
      <c r="H248" s="182" t="inlineStr">
        <is>
          <t>retest — QP campaign</t>
        </is>
      </c>
      <c r="I248" s="181" t="inlineStr">
        <is>
          <t>J31112501</t>
        </is>
      </c>
      <c r="J248" s="182" t="inlineStr">
        <is>
          <t>P060202</t>
        </is>
      </c>
      <c r="K248" s="182" t="inlineStr">
        <is>
          <t>Jokerz 31</t>
        </is>
      </c>
      <c r="L248" s="182" t="inlineStr">
        <is>
          <t>Ident A + Ident B</t>
        </is>
      </c>
      <c r="M248" s="182" t="inlineStr">
        <is>
          <t>iCoA_P01-02 · Appearance &amp; Identification A/B</t>
        </is>
      </c>
      <c r="N248" s="189" t="inlineStr">
        <is>
          <t>—</t>
        </is>
      </c>
      <c r="O248" s="189" t="inlineStr">
        <is>
          <t>— retest assay not yet on file —</t>
        </is>
      </c>
      <c r="P248" s="182" t="inlineStr">
        <is>
          <t>CoQ reissue (assigned on issue)</t>
        </is>
      </c>
      <c r="Q248" s="189" t="inlineStr">
        <is>
          <t>—</t>
        </is>
      </c>
      <c r="R248" s="182" t="inlineStr">
        <is>
          <t>P060202|AB|R</t>
        </is>
      </c>
      <c r="S248" s="193" t="inlineStr">
        <is>
          <t>not yet issuable — retest assay not yet on file</t>
        </is>
      </c>
    </row>
    <row r="249">
      <c r="A249" s="182">
        <f>IF(C249="yes",COUNT(A$1:A248)+1,"")</f>
        <v/>
      </c>
      <c r="B249" s="181">
        <f>IF(A249="","— at issue —","iCoA-PP_26-"&amp;TEXT(A249,"000"))</f>
        <v/>
      </c>
      <c r="C249" s="189" t="inlineStr">
        <is>
          <t>no</t>
        </is>
      </c>
      <c r="D249" s="183">
        <f>IF(A249="","",E249)</f>
        <v/>
      </c>
      <c r="E249" s="183">
        <f>IF(AND(C249="yes",ISNUMBER(G249)),MAX(DATE(2026,5,11),G249),"")</f>
        <v/>
      </c>
      <c r="F249" s="183">
        <f>IFERROR(INDEX('Batch Dates'!$F:$F,MATCH(J249,'Batch Dates'!$C:$C,0)),IFERROR(INDEX('Batch Dates'!$F:$F,MATCH(I249,'Batch Dates'!$B:$B,0)),""))</f>
        <v/>
      </c>
      <c r="G249" s="183">
        <f>IFERROR(INDEX('Batch Dates'!$G:$G,MATCH(J249,'Batch Dates'!$C:$C,0)),IFERROR(INDEX('Batch Dates'!$G:$G,MATCH(I249,'Batch Dates'!$B:$B,0)),""))</f>
        <v/>
      </c>
      <c r="H249" s="182" t="inlineStr">
        <is>
          <t>retest — QP campaign</t>
        </is>
      </c>
      <c r="I249" s="181" t="inlineStr">
        <is>
          <t>J31112501</t>
        </is>
      </c>
      <c r="J249" s="182" t="inlineStr">
        <is>
          <t>P060202</t>
        </is>
      </c>
      <c r="K249" s="182" t="inlineStr">
        <is>
          <t>Jokerz 31</t>
        </is>
      </c>
      <c r="L249" s="182" t="inlineStr">
        <is>
          <t>Foreign matter</t>
        </is>
      </c>
      <c r="M249" s="182" t="inlineStr">
        <is>
          <t>iCoA_P07 · Foreign matter</t>
        </is>
      </c>
      <c r="N249" s="189" t="inlineStr">
        <is>
          <t>—</t>
        </is>
      </c>
      <c r="O249" s="189" t="inlineStr">
        <is>
          <t>— retest assay not yet on file —</t>
        </is>
      </c>
      <c r="P249" s="182" t="inlineStr">
        <is>
          <t>CoQ reissue (assigned on issue)</t>
        </is>
      </c>
      <c r="Q249" s="189" t="inlineStr">
        <is>
          <t>—</t>
        </is>
      </c>
      <c r="R249" s="182" t="inlineStr">
        <is>
          <t>P060202|FM|R</t>
        </is>
      </c>
      <c r="S249" s="193" t="inlineStr">
        <is>
          <t>not yet issuable — retest assay not yet on file</t>
        </is>
      </c>
    </row>
    <row r="250">
      <c r="A250" s="182">
        <f>IF(C250="yes",COUNT(A$1:A249)+1,"")</f>
        <v/>
      </c>
      <c r="B250" s="181">
        <f>IF(A250="","— at issue —","iCoA-PP_26-"&amp;TEXT(A250,"000"))</f>
        <v/>
      </c>
      <c r="C250" s="189" t="inlineStr">
        <is>
          <t>no</t>
        </is>
      </c>
      <c r="D250" s="183">
        <f>IF(A250="","",E250)</f>
        <v/>
      </c>
      <c r="E250" s="183">
        <f>IF(AND(C250="yes",ISNUMBER(G250)),MAX(DATE(2026,5,11),G250),"")</f>
        <v/>
      </c>
      <c r="F250" s="183">
        <f>IFERROR(INDEX('Batch Dates'!$F:$F,MATCH(J250,'Batch Dates'!$C:$C,0)),IFERROR(INDEX('Batch Dates'!$F:$F,MATCH(I250,'Batch Dates'!$B:$B,0)),""))</f>
        <v/>
      </c>
      <c r="G250" s="183">
        <f>IFERROR(INDEX('Batch Dates'!$G:$G,MATCH(J250,'Batch Dates'!$C:$C,0)),IFERROR(INDEX('Batch Dates'!$G:$G,MATCH(I250,'Batch Dates'!$B:$B,0)),""))</f>
        <v/>
      </c>
      <c r="H250" s="182" t="inlineStr">
        <is>
          <t>retest — QP campaign</t>
        </is>
      </c>
      <c r="I250" s="181" t="inlineStr">
        <is>
          <t>JD112501＊</t>
        </is>
      </c>
      <c r="J250" s="182" t="inlineStr">
        <is>
          <t>N/A — no P batch assigned</t>
        </is>
      </c>
      <c r="K250" s="182" t="inlineStr">
        <is>
          <t>Jelly Donutz</t>
        </is>
      </c>
      <c r="L250" s="182" t="inlineStr">
        <is>
          <t>Ident A + Ident B</t>
        </is>
      </c>
      <c r="M250" s="182" t="inlineStr">
        <is>
          <t>iCoA_P01-02 · Appearance &amp; Identification A/B</t>
        </is>
      </c>
      <c r="N250" s="189" t="inlineStr">
        <is>
          <t>—</t>
        </is>
      </c>
      <c r="O250" s="189" t="inlineStr">
        <is>
          <t>— retest assay not yet on file —</t>
        </is>
      </c>
      <c r="P250" s="182" t="inlineStr">
        <is>
          <t>CoQ reissue (assigned on issue)</t>
        </is>
      </c>
      <c r="Q250" s="189" t="inlineStr">
        <is>
          <t>—</t>
        </is>
      </c>
      <c r="R250" s="182" t="inlineStr">
        <is>
          <t>JD112501|AB|R</t>
        </is>
      </c>
      <c r="S250" s="193" t="inlineStr">
        <is>
          <t>not yet issuable — retest assay not yet on file</t>
        </is>
      </c>
    </row>
    <row r="251">
      <c r="A251" s="182">
        <f>IF(C251="yes",COUNT(A$1:A250)+1,"")</f>
        <v/>
      </c>
      <c r="B251" s="181">
        <f>IF(A251="","— at issue —","iCoA-PP_26-"&amp;TEXT(A251,"000"))</f>
        <v/>
      </c>
      <c r="C251" s="189" t="inlineStr">
        <is>
          <t>no</t>
        </is>
      </c>
      <c r="D251" s="183">
        <f>IF(A251="","",E251)</f>
        <v/>
      </c>
      <c r="E251" s="183">
        <f>IF(AND(C251="yes",ISNUMBER(G251)),MAX(DATE(2026,5,11),G251),"")</f>
        <v/>
      </c>
      <c r="F251" s="183">
        <f>IFERROR(INDEX('Batch Dates'!$F:$F,MATCH(J251,'Batch Dates'!$C:$C,0)),IFERROR(INDEX('Batch Dates'!$F:$F,MATCH(I251,'Batch Dates'!$B:$B,0)),""))</f>
        <v/>
      </c>
      <c r="G251" s="183">
        <f>IFERROR(INDEX('Batch Dates'!$G:$G,MATCH(J251,'Batch Dates'!$C:$C,0)),IFERROR(INDEX('Batch Dates'!$G:$G,MATCH(I251,'Batch Dates'!$B:$B,0)),""))</f>
        <v/>
      </c>
      <c r="H251" s="182" t="inlineStr">
        <is>
          <t>retest — QP campaign</t>
        </is>
      </c>
      <c r="I251" s="181" t="inlineStr">
        <is>
          <t>JD112501＊</t>
        </is>
      </c>
      <c r="J251" s="182" t="inlineStr">
        <is>
          <t>N/A — no P batch assigned</t>
        </is>
      </c>
      <c r="K251" s="182" t="inlineStr">
        <is>
          <t>Jelly Donutz</t>
        </is>
      </c>
      <c r="L251" s="182" t="inlineStr">
        <is>
          <t>Foreign matter</t>
        </is>
      </c>
      <c r="M251" s="182" t="inlineStr">
        <is>
          <t>iCoA_P07 · Foreign matter</t>
        </is>
      </c>
      <c r="N251" s="189" t="inlineStr">
        <is>
          <t>—</t>
        </is>
      </c>
      <c r="O251" s="189" t="inlineStr">
        <is>
          <t>— retest assay not yet on file —</t>
        </is>
      </c>
      <c r="P251" s="182" t="inlineStr">
        <is>
          <t>CoQ reissue (assigned on issue)</t>
        </is>
      </c>
      <c r="Q251" s="189" t="inlineStr">
        <is>
          <t>—</t>
        </is>
      </c>
      <c r="R251" s="182" t="inlineStr">
        <is>
          <t>JD112501|FM|R</t>
        </is>
      </c>
      <c r="S251" s="193" t="inlineStr">
        <is>
          <t>not yet issuable — retest assay not yet on file</t>
        </is>
      </c>
    </row>
    <row r="252">
      <c r="A252" s="182">
        <f>IF(C252="yes",COUNT(A$1:A251)+1,"")</f>
        <v/>
      </c>
      <c r="B252" s="181">
        <f>IF(A252="","— at issue —","iCoA-PP_26-"&amp;TEXT(A252,"000"))</f>
        <v/>
      </c>
      <c r="C252" s="189" t="inlineStr">
        <is>
          <t>no</t>
        </is>
      </c>
      <c r="D252" s="183">
        <f>IF(A252="","",E252)</f>
        <v/>
      </c>
      <c r="E252" s="183">
        <f>IF(AND(C252="yes",ISNUMBER(G252)),MAX(DATE(2026,5,11),G252),"")</f>
        <v/>
      </c>
      <c r="F252" s="183">
        <f>IFERROR(INDEX('Batch Dates'!$F:$F,MATCH(J252,'Batch Dates'!$C:$C,0)),IFERROR(INDEX('Batch Dates'!$F:$F,MATCH(I252,'Batch Dates'!$B:$B,0)),""))</f>
        <v/>
      </c>
      <c r="G252" s="183">
        <f>IFERROR(INDEX('Batch Dates'!$G:$G,MATCH(J252,'Batch Dates'!$C:$C,0)),IFERROR(INDEX('Batch Dates'!$G:$G,MATCH(I252,'Batch Dates'!$B:$B,0)),""))</f>
        <v/>
      </c>
      <c r="H252" s="182" t="inlineStr">
        <is>
          <t>retest — QP campaign</t>
        </is>
      </c>
      <c r="I252" s="181" t="inlineStr">
        <is>
          <t>J31122501</t>
        </is>
      </c>
      <c r="J252" s="182" t="inlineStr">
        <is>
          <t>P060262</t>
        </is>
      </c>
      <c r="K252" s="182" t="inlineStr">
        <is>
          <t>Jokerz 31</t>
        </is>
      </c>
      <c r="L252" s="182" t="inlineStr">
        <is>
          <t>Ident A + Ident B</t>
        </is>
      </c>
      <c r="M252" s="182" t="inlineStr">
        <is>
          <t>iCoA_P01-02 · Appearance &amp; Identification A/B</t>
        </is>
      </c>
      <c r="N252" s="189" t="inlineStr">
        <is>
          <t>—</t>
        </is>
      </c>
      <c r="O252" s="189" t="inlineStr">
        <is>
          <t>— retest assay not yet on file —</t>
        </is>
      </c>
      <c r="P252" s="182" t="inlineStr">
        <is>
          <t>CoQ reissue (assigned on issue)</t>
        </is>
      </c>
      <c r="Q252" s="189" t="inlineStr">
        <is>
          <t>—</t>
        </is>
      </c>
      <c r="R252" s="182" t="inlineStr">
        <is>
          <t>P060262|AB|R</t>
        </is>
      </c>
      <c r="S252" s="193" t="inlineStr">
        <is>
          <t>not yet issuable — retest assay not yet on file</t>
        </is>
      </c>
    </row>
    <row r="253">
      <c r="A253" s="182">
        <f>IF(C253="yes",COUNT(A$1:A252)+1,"")</f>
        <v/>
      </c>
      <c r="B253" s="181">
        <f>IF(A253="","— at issue —","iCoA-PP_26-"&amp;TEXT(A253,"000"))</f>
        <v/>
      </c>
      <c r="C253" s="189" t="inlineStr">
        <is>
          <t>no</t>
        </is>
      </c>
      <c r="D253" s="183">
        <f>IF(A253="","",E253)</f>
        <v/>
      </c>
      <c r="E253" s="183">
        <f>IF(AND(C253="yes",ISNUMBER(G253)),MAX(DATE(2026,5,11),G253),"")</f>
        <v/>
      </c>
      <c r="F253" s="183">
        <f>IFERROR(INDEX('Batch Dates'!$F:$F,MATCH(J253,'Batch Dates'!$C:$C,0)),IFERROR(INDEX('Batch Dates'!$F:$F,MATCH(I253,'Batch Dates'!$B:$B,0)),""))</f>
        <v/>
      </c>
      <c r="G253" s="183">
        <f>IFERROR(INDEX('Batch Dates'!$G:$G,MATCH(J253,'Batch Dates'!$C:$C,0)),IFERROR(INDEX('Batch Dates'!$G:$G,MATCH(I253,'Batch Dates'!$B:$B,0)),""))</f>
        <v/>
      </c>
      <c r="H253" s="182" t="inlineStr">
        <is>
          <t>retest — QP campaign</t>
        </is>
      </c>
      <c r="I253" s="181" t="inlineStr">
        <is>
          <t>J31122501</t>
        </is>
      </c>
      <c r="J253" s="182" t="inlineStr">
        <is>
          <t>P060262</t>
        </is>
      </c>
      <c r="K253" s="182" t="inlineStr">
        <is>
          <t>Jokerz 31</t>
        </is>
      </c>
      <c r="L253" s="182" t="inlineStr">
        <is>
          <t>Foreign matter</t>
        </is>
      </c>
      <c r="M253" s="182" t="inlineStr">
        <is>
          <t>iCoA_P07 · Foreign matter</t>
        </is>
      </c>
      <c r="N253" s="189" t="inlineStr">
        <is>
          <t>—</t>
        </is>
      </c>
      <c r="O253" s="189" t="inlineStr">
        <is>
          <t>— retest assay not yet on file —</t>
        </is>
      </c>
      <c r="P253" s="182" t="inlineStr">
        <is>
          <t>CoQ reissue (assigned on issue)</t>
        </is>
      </c>
      <c r="Q253" s="189" t="inlineStr">
        <is>
          <t>—</t>
        </is>
      </c>
      <c r="R253" s="182" t="inlineStr">
        <is>
          <t>P060262|FM|R</t>
        </is>
      </c>
      <c r="S253" s="193" t="inlineStr">
        <is>
          <t>not yet issuable — retest assay not yet on file</t>
        </is>
      </c>
    </row>
    <row r="254">
      <c r="A254" s="182">
        <f>IF(C254="yes",COUNT(A$1:A253)+1,"")</f>
        <v/>
      </c>
      <c r="B254" s="181">
        <f>IF(A254="","— at issue —","iCoA-PP_26-"&amp;TEXT(A254,"000"))</f>
        <v/>
      </c>
      <c r="C254" s="189" t="inlineStr">
        <is>
          <t>no</t>
        </is>
      </c>
      <c r="D254" s="183">
        <f>IF(A254="","",E254)</f>
        <v/>
      </c>
      <c r="E254" s="183">
        <f>IF(AND(C254="yes",ISNUMBER(G254)),MAX(DATE(2026,5,11),G254),"")</f>
        <v/>
      </c>
      <c r="F254" s="183">
        <f>IFERROR(INDEX('Batch Dates'!$F:$F,MATCH(J254,'Batch Dates'!$C:$C,0)),IFERROR(INDEX('Batch Dates'!$F:$F,MATCH(I254,'Batch Dates'!$B:$B,0)),""))</f>
        <v/>
      </c>
      <c r="G254" s="183">
        <f>IFERROR(INDEX('Batch Dates'!$G:$G,MATCH(J254,'Batch Dates'!$C:$C,0)),IFERROR(INDEX('Batch Dates'!$G:$G,MATCH(I254,'Batch Dates'!$B:$B,0)),""))</f>
        <v/>
      </c>
      <c r="H254" s="182" t="inlineStr">
        <is>
          <t>retest — QP campaign</t>
        </is>
      </c>
      <c r="I254" s="181" t="inlineStr">
        <is>
          <t>PM112501</t>
        </is>
      </c>
      <c r="J254" s="182" t="inlineStr">
        <is>
          <t>P060232</t>
        </is>
      </c>
      <c r="K254" s="182" t="inlineStr">
        <is>
          <t>Permanent Market</t>
        </is>
      </c>
      <c r="L254" s="182" t="inlineStr">
        <is>
          <t>Ident A + Ident B</t>
        </is>
      </c>
      <c r="M254" s="182" t="inlineStr">
        <is>
          <t>iCoA_P01-02 · Appearance &amp; Identification A/B</t>
        </is>
      </c>
      <c r="N254" s="189" t="inlineStr">
        <is>
          <t>—</t>
        </is>
      </c>
      <c r="O254" s="189" t="inlineStr">
        <is>
          <t>— retest assay not yet on file —</t>
        </is>
      </c>
      <c r="P254" s="182" t="inlineStr">
        <is>
          <t>CoQ reissue (assigned on issue)</t>
        </is>
      </c>
      <c r="Q254" s="189" t="inlineStr">
        <is>
          <t>—</t>
        </is>
      </c>
      <c r="R254" s="182" t="inlineStr">
        <is>
          <t>P060232|AB|R</t>
        </is>
      </c>
      <c r="S254" s="193" t="inlineStr">
        <is>
          <t>not yet issuable — retest assay not yet on file</t>
        </is>
      </c>
    </row>
    <row r="255">
      <c r="A255" s="182">
        <f>IF(C255="yes",COUNT(A$1:A254)+1,"")</f>
        <v/>
      </c>
      <c r="B255" s="181">
        <f>IF(A255="","— at issue —","iCoA-PP_26-"&amp;TEXT(A255,"000"))</f>
        <v/>
      </c>
      <c r="C255" s="189" t="inlineStr">
        <is>
          <t>no</t>
        </is>
      </c>
      <c r="D255" s="183">
        <f>IF(A255="","",E255)</f>
        <v/>
      </c>
      <c r="E255" s="183">
        <f>IF(AND(C255="yes",ISNUMBER(G255)),MAX(DATE(2026,5,11),G255),"")</f>
        <v/>
      </c>
      <c r="F255" s="183">
        <f>IFERROR(INDEX('Batch Dates'!$F:$F,MATCH(J255,'Batch Dates'!$C:$C,0)),IFERROR(INDEX('Batch Dates'!$F:$F,MATCH(I255,'Batch Dates'!$B:$B,0)),""))</f>
        <v/>
      </c>
      <c r="G255" s="183">
        <f>IFERROR(INDEX('Batch Dates'!$G:$G,MATCH(J255,'Batch Dates'!$C:$C,0)),IFERROR(INDEX('Batch Dates'!$G:$G,MATCH(I255,'Batch Dates'!$B:$B,0)),""))</f>
        <v/>
      </c>
      <c r="H255" s="182" t="inlineStr">
        <is>
          <t>retest — QP campaign</t>
        </is>
      </c>
      <c r="I255" s="181" t="inlineStr">
        <is>
          <t>PM112501</t>
        </is>
      </c>
      <c r="J255" s="182" t="inlineStr">
        <is>
          <t>P060232</t>
        </is>
      </c>
      <c r="K255" s="182" t="inlineStr">
        <is>
          <t>Permanent Market</t>
        </is>
      </c>
      <c r="L255" s="182" t="inlineStr">
        <is>
          <t>Foreign matter</t>
        </is>
      </c>
      <c r="M255" s="182" t="inlineStr">
        <is>
          <t>iCoA_P07 · Foreign matter</t>
        </is>
      </c>
      <c r="N255" s="189" t="inlineStr">
        <is>
          <t>—</t>
        </is>
      </c>
      <c r="O255" s="189" t="inlineStr">
        <is>
          <t>— retest assay not yet on file —</t>
        </is>
      </c>
      <c r="P255" s="182" t="inlineStr">
        <is>
          <t>CoQ reissue (assigned on issue)</t>
        </is>
      </c>
      <c r="Q255" s="189" t="inlineStr">
        <is>
          <t>—</t>
        </is>
      </c>
      <c r="R255" s="182" t="inlineStr">
        <is>
          <t>P060232|FM|R</t>
        </is>
      </c>
      <c r="S255" s="193" t="inlineStr">
        <is>
          <t>not yet issuable — retest assay not yet on file</t>
        </is>
      </c>
    </row>
    <row r="256">
      <c r="A256" s="182">
        <f>IF(C256="yes",COUNT(A$1:A255)+1,"")</f>
        <v/>
      </c>
      <c r="B256" s="181">
        <f>IF(A256="","— at issue —","iCoA-PP_26-"&amp;TEXT(A256,"000"))</f>
        <v/>
      </c>
      <c r="C256" s="189" t="inlineStr">
        <is>
          <t>no</t>
        </is>
      </c>
      <c r="D256" s="183">
        <f>IF(A256="","",E256)</f>
        <v/>
      </c>
      <c r="E256" s="183">
        <f>IF(AND(C256="yes",ISNUMBER(G256)),MAX(DATE(2026,5,11),G256),"")</f>
        <v/>
      </c>
      <c r="F256" s="183">
        <f>IFERROR(INDEX('Batch Dates'!$F:$F,MATCH(J256,'Batch Dates'!$C:$C,0)),IFERROR(INDEX('Batch Dates'!$F:$F,MATCH(I256,'Batch Dates'!$B:$B,0)),""))</f>
        <v/>
      </c>
      <c r="G256" s="183">
        <f>IFERROR(INDEX('Batch Dates'!$G:$G,MATCH(J256,'Batch Dates'!$C:$C,0)),IFERROR(INDEX('Batch Dates'!$G:$G,MATCH(I256,'Batch Dates'!$B:$B,0)),""))</f>
        <v/>
      </c>
      <c r="H256" s="182" t="inlineStr">
        <is>
          <t>retest — QP campaign</t>
        </is>
      </c>
      <c r="I256" s="181" t="inlineStr">
        <is>
          <t>CC112501</t>
        </is>
      </c>
      <c r="J256" s="182" t="inlineStr">
        <is>
          <t>P060272</t>
        </is>
      </c>
      <c r="K256" s="182" t="inlineStr">
        <is>
          <t>Cash Cow</t>
        </is>
      </c>
      <c r="L256" s="182" t="inlineStr">
        <is>
          <t>Ident A + Ident B</t>
        </is>
      </c>
      <c r="M256" s="182" t="inlineStr">
        <is>
          <t>iCoA_P01-02 · Appearance &amp; Identification A/B</t>
        </is>
      </c>
      <c r="N256" s="189" t="inlineStr">
        <is>
          <t>—</t>
        </is>
      </c>
      <c r="O256" s="189" t="inlineStr">
        <is>
          <t>— retest assay not yet on file —</t>
        </is>
      </c>
      <c r="P256" s="182" t="inlineStr">
        <is>
          <t>CoQ reissue (assigned on issue)</t>
        </is>
      </c>
      <c r="Q256" s="189" t="inlineStr">
        <is>
          <t>—</t>
        </is>
      </c>
      <c r="R256" s="182" t="inlineStr">
        <is>
          <t>P060272|AB|R</t>
        </is>
      </c>
      <c r="S256" s="193" t="inlineStr">
        <is>
          <t>not yet issuable — retest assay not yet on file</t>
        </is>
      </c>
    </row>
    <row r="257">
      <c r="A257" s="182">
        <f>IF(C257="yes",COUNT(A$1:A256)+1,"")</f>
        <v/>
      </c>
      <c r="B257" s="181">
        <f>IF(A257="","— at issue —","iCoA-PP_26-"&amp;TEXT(A257,"000"))</f>
        <v/>
      </c>
      <c r="C257" s="189" t="inlineStr">
        <is>
          <t>no</t>
        </is>
      </c>
      <c r="D257" s="183">
        <f>IF(A257="","",E257)</f>
        <v/>
      </c>
      <c r="E257" s="183">
        <f>IF(AND(C257="yes",ISNUMBER(G257)),MAX(DATE(2026,5,11),G257),"")</f>
        <v/>
      </c>
      <c r="F257" s="183">
        <f>IFERROR(INDEX('Batch Dates'!$F:$F,MATCH(J257,'Batch Dates'!$C:$C,0)),IFERROR(INDEX('Batch Dates'!$F:$F,MATCH(I257,'Batch Dates'!$B:$B,0)),""))</f>
        <v/>
      </c>
      <c r="G257" s="183">
        <f>IFERROR(INDEX('Batch Dates'!$G:$G,MATCH(J257,'Batch Dates'!$C:$C,0)),IFERROR(INDEX('Batch Dates'!$G:$G,MATCH(I257,'Batch Dates'!$B:$B,0)),""))</f>
        <v/>
      </c>
      <c r="H257" s="182" t="inlineStr">
        <is>
          <t>retest — QP campaign</t>
        </is>
      </c>
      <c r="I257" s="181" t="inlineStr">
        <is>
          <t>CC112501</t>
        </is>
      </c>
      <c r="J257" s="182" t="inlineStr">
        <is>
          <t>P060272</t>
        </is>
      </c>
      <c r="K257" s="182" t="inlineStr">
        <is>
          <t>Cash Cow</t>
        </is>
      </c>
      <c r="L257" s="182" t="inlineStr">
        <is>
          <t>Foreign matter</t>
        </is>
      </c>
      <c r="M257" s="182" t="inlineStr">
        <is>
          <t>iCoA_P07 · Foreign matter</t>
        </is>
      </c>
      <c r="N257" s="189" t="inlineStr">
        <is>
          <t>—</t>
        </is>
      </c>
      <c r="O257" s="189" t="inlineStr">
        <is>
          <t>— retest assay not yet on file —</t>
        </is>
      </c>
      <c r="P257" s="182" t="inlineStr">
        <is>
          <t>CoQ reissue (assigned on issue)</t>
        </is>
      </c>
      <c r="Q257" s="189" t="inlineStr">
        <is>
          <t>—</t>
        </is>
      </c>
      <c r="R257" s="182" t="inlineStr">
        <is>
          <t>P060272|FM|R</t>
        </is>
      </c>
      <c r="S257" s="193" t="inlineStr">
        <is>
          <t>not yet issuable — retest assay not yet on file</t>
        </is>
      </c>
    </row>
    <row r="258">
      <c r="A258" s="182">
        <f>IF(C258="yes",COUNT(A$1:A257)+1,"")</f>
        <v/>
      </c>
      <c r="B258" s="181">
        <f>IF(A258="","— at issue —","iCoA-PP_26-"&amp;TEXT(A258,"000"))</f>
        <v/>
      </c>
      <c r="C258" s="189" t="inlineStr">
        <is>
          <t>no</t>
        </is>
      </c>
      <c r="D258" s="183">
        <f>IF(A258="","",E258)</f>
        <v/>
      </c>
      <c r="E258" s="183">
        <f>IF(AND(C258="yes",ISNUMBER(G258)),MAX(DATE(2026,5,11),G258),"")</f>
        <v/>
      </c>
      <c r="F258" s="183">
        <f>IFERROR(INDEX('Batch Dates'!$F:$F,MATCH(J258,'Batch Dates'!$C:$C,0)),IFERROR(INDEX('Batch Dates'!$F:$F,MATCH(I258,'Batch Dates'!$B:$B,0)),""))</f>
        <v/>
      </c>
      <c r="G258" s="183">
        <f>IFERROR(INDEX('Batch Dates'!$G:$G,MATCH(J258,'Batch Dates'!$C:$C,0)),IFERROR(INDEX('Batch Dates'!$G:$G,MATCH(I258,'Batch Dates'!$B:$B,0)),""))</f>
        <v/>
      </c>
      <c r="H258" s="182" t="inlineStr">
        <is>
          <t>retest — QP campaign</t>
        </is>
      </c>
      <c r="I258" s="181" t="inlineStr">
        <is>
          <t>FB112501</t>
        </is>
      </c>
      <c r="J258" s="182" t="inlineStr">
        <is>
          <t>P060292</t>
        </is>
      </c>
      <c r="K258" s="182" t="inlineStr">
        <is>
          <t>Fat Bastard</t>
        </is>
      </c>
      <c r="L258" s="182" t="inlineStr">
        <is>
          <t>Ident A + Ident B</t>
        </is>
      </c>
      <c r="M258" s="182" t="inlineStr">
        <is>
          <t>iCoA_P01-02 · Appearance &amp; Identification A/B</t>
        </is>
      </c>
      <c r="N258" s="189" t="inlineStr">
        <is>
          <t>—</t>
        </is>
      </c>
      <c r="O258" s="189" t="inlineStr">
        <is>
          <t>— retest assay not yet on file —</t>
        </is>
      </c>
      <c r="P258" s="182" t="inlineStr">
        <is>
          <t>CoQ reissue (assigned on issue)</t>
        </is>
      </c>
      <c r="Q258" s="189" t="inlineStr">
        <is>
          <t>—</t>
        </is>
      </c>
      <c r="R258" s="182" t="inlineStr">
        <is>
          <t>P060292|AB|R</t>
        </is>
      </c>
      <c r="S258" s="193" t="inlineStr">
        <is>
          <t>not yet issuable — retest assay not yet on file</t>
        </is>
      </c>
    </row>
    <row r="259">
      <c r="A259" s="182">
        <f>IF(C259="yes",COUNT(A$1:A258)+1,"")</f>
        <v/>
      </c>
      <c r="B259" s="181">
        <f>IF(A259="","— at issue —","iCoA-PP_26-"&amp;TEXT(A259,"000"))</f>
        <v/>
      </c>
      <c r="C259" s="189" t="inlineStr">
        <is>
          <t>no</t>
        </is>
      </c>
      <c r="D259" s="183">
        <f>IF(A259="","",E259)</f>
        <v/>
      </c>
      <c r="E259" s="183">
        <f>IF(AND(C259="yes",ISNUMBER(G259)),MAX(DATE(2026,5,11),G259),"")</f>
        <v/>
      </c>
      <c r="F259" s="183">
        <f>IFERROR(INDEX('Batch Dates'!$F:$F,MATCH(J259,'Batch Dates'!$C:$C,0)),IFERROR(INDEX('Batch Dates'!$F:$F,MATCH(I259,'Batch Dates'!$B:$B,0)),""))</f>
        <v/>
      </c>
      <c r="G259" s="183">
        <f>IFERROR(INDEX('Batch Dates'!$G:$G,MATCH(J259,'Batch Dates'!$C:$C,0)),IFERROR(INDEX('Batch Dates'!$G:$G,MATCH(I259,'Batch Dates'!$B:$B,0)),""))</f>
        <v/>
      </c>
      <c r="H259" s="182" t="inlineStr">
        <is>
          <t>retest — QP campaign</t>
        </is>
      </c>
      <c r="I259" s="181" t="inlineStr">
        <is>
          <t>FB112501</t>
        </is>
      </c>
      <c r="J259" s="182" t="inlineStr">
        <is>
          <t>P060292</t>
        </is>
      </c>
      <c r="K259" s="182" t="inlineStr">
        <is>
          <t>Fat Bastard</t>
        </is>
      </c>
      <c r="L259" s="182" t="inlineStr">
        <is>
          <t>Foreign matter</t>
        </is>
      </c>
      <c r="M259" s="182" t="inlineStr">
        <is>
          <t>iCoA_P07 · Foreign matter</t>
        </is>
      </c>
      <c r="N259" s="189" t="inlineStr">
        <is>
          <t>—</t>
        </is>
      </c>
      <c r="O259" s="189" t="inlineStr">
        <is>
          <t>— retest assay not yet on file —</t>
        </is>
      </c>
      <c r="P259" s="182" t="inlineStr">
        <is>
          <t>CoQ reissue (assigned on issue)</t>
        </is>
      </c>
      <c r="Q259" s="189" t="inlineStr">
        <is>
          <t>—</t>
        </is>
      </c>
      <c r="R259" s="182" t="inlineStr">
        <is>
          <t>P060292|FM|R</t>
        </is>
      </c>
      <c r="S259" s="193" t="inlineStr">
        <is>
          <t>not yet issuable — retest assay not yet on file</t>
        </is>
      </c>
    </row>
    <row r="260">
      <c r="A260" s="182">
        <f>IF(C260="yes",COUNT(A$1:A259)+1,"")</f>
        <v/>
      </c>
      <c r="B260" s="181">
        <f>IF(A260="","— at issue —","iCoA-PP_26-"&amp;TEXT(A260,"000"))</f>
        <v/>
      </c>
      <c r="C260" s="189" t="inlineStr">
        <is>
          <t>no</t>
        </is>
      </c>
      <c r="D260" s="183">
        <f>IF(A260="","",E260)</f>
        <v/>
      </c>
      <c r="E260" s="183">
        <f>IF(AND(C260="yes",ISNUMBER(G260)),MAX(DATE(2026,5,11),G260),"")</f>
        <v/>
      </c>
      <c r="F260" s="183">
        <f>IFERROR(INDEX('Batch Dates'!$F:$F,MATCH(J260,'Batch Dates'!$C:$C,0)),IFERROR(INDEX('Batch Dates'!$F:$F,MATCH(I260,'Batch Dates'!$B:$B,0)),""))</f>
        <v/>
      </c>
      <c r="G260" s="183">
        <f>IFERROR(INDEX('Batch Dates'!$G:$G,MATCH(J260,'Batch Dates'!$C:$C,0)),IFERROR(INDEX('Batch Dates'!$G:$G,MATCH(I260,'Batch Dates'!$B:$B,0)),""))</f>
        <v/>
      </c>
      <c r="H260" s="182" t="inlineStr">
        <is>
          <t>retest — QP campaign</t>
        </is>
      </c>
      <c r="I260" s="181" t="inlineStr">
        <is>
          <t>GG012601＊</t>
        </is>
      </c>
      <c r="J260" s="182" t="inlineStr">
        <is>
          <t>P060302</t>
        </is>
      </c>
      <c r="K260" s="182" t="inlineStr">
        <is>
          <t>Gorilla Glue</t>
        </is>
      </c>
      <c r="L260" s="182" t="inlineStr">
        <is>
          <t>Ident A + Ident B</t>
        </is>
      </c>
      <c r="M260" s="182" t="inlineStr">
        <is>
          <t>iCoA_P01-02 · Appearance &amp; Identification A/B</t>
        </is>
      </c>
      <c r="N260" s="189" t="inlineStr">
        <is>
          <t>—</t>
        </is>
      </c>
      <c r="O260" s="189" t="inlineStr">
        <is>
          <t>— retest assay not yet on file —</t>
        </is>
      </c>
      <c r="P260" s="182" t="inlineStr">
        <is>
          <t>CoQ reissue (assigned on issue)</t>
        </is>
      </c>
      <c r="Q260" s="189" t="inlineStr">
        <is>
          <t>—</t>
        </is>
      </c>
      <c r="R260" s="182" t="inlineStr">
        <is>
          <t>P060302|AB|R</t>
        </is>
      </c>
      <c r="S260" s="193" t="inlineStr">
        <is>
          <t>not yet issuable — retest assay not yet on file</t>
        </is>
      </c>
    </row>
    <row r="261">
      <c r="A261" s="182">
        <f>IF(C261="yes",COUNT(A$1:A260)+1,"")</f>
        <v/>
      </c>
      <c r="B261" s="181">
        <f>IF(A261="","— at issue —","iCoA-PP_26-"&amp;TEXT(A261,"000"))</f>
        <v/>
      </c>
      <c r="C261" s="189" t="inlineStr">
        <is>
          <t>no</t>
        </is>
      </c>
      <c r="D261" s="183">
        <f>IF(A261="","",E261)</f>
        <v/>
      </c>
      <c r="E261" s="183">
        <f>IF(AND(C261="yes",ISNUMBER(G261)),MAX(DATE(2026,5,11),G261),"")</f>
        <v/>
      </c>
      <c r="F261" s="183">
        <f>IFERROR(INDEX('Batch Dates'!$F:$F,MATCH(J261,'Batch Dates'!$C:$C,0)),IFERROR(INDEX('Batch Dates'!$F:$F,MATCH(I261,'Batch Dates'!$B:$B,0)),""))</f>
        <v/>
      </c>
      <c r="G261" s="183">
        <f>IFERROR(INDEX('Batch Dates'!$G:$G,MATCH(J261,'Batch Dates'!$C:$C,0)),IFERROR(INDEX('Batch Dates'!$G:$G,MATCH(I261,'Batch Dates'!$B:$B,0)),""))</f>
        <v/>
      </c>
      <c r="H261" s="182" t="inlineStr">
        <is>
          <t>retest — QP campaign</t>
        </is>
      </c>
      <c r="I261" s="181" t="inlineStr">
        <is>
          <t>GG012601＊</t>
        </is>
      </c>
      <c r="J261" s="182" t="inlineStr">
        <is>
          <t>P060302</t>
        </is>
      </c>
      <c r="K261" s="182" t="inlineStr">
        <is>
          <t>Gorilla Glue</t>
        </is>
      </c>
      <c r="L261" s="182" t="inlineStr">
        <is>
          <t>Foreign matter</t>
        </is>
      </c>
      <c r="M261" s="182" t="inlineStr">
        <is>
          <t>iCoA_P07 · Foreign matter</t>
        </is>
      </c>
      <c r="N261" s="189" t="inlineStr">
        <is>
          <t>—</t>
        </is>
      </c>
      <c r="O261" s="189" t="inlineStr">
        <is>
          <t>— retest assay not yet on file —</t>
        </is>
      </c>
      <c r="P261" s="182" t="inlineStr">
        <is>
          <t>CoQ reissue (assigned on issue)</t>
        </is>
      </c>
      <c r="Q261" s="189" t="inlineStr">
        <is>
          <t>—</t>
        </is>
      </c>
      <c r="R261" s="182" t="inlineStr">
        <is>
          <t>P060302|FM|R</t>
        </is>
      </c>
      <c r="S261" s="193" t="inlineStr">
        <is>
          <t>not yet issuable — retest assay not yet on file</t>
        </is>
      </c>
    </row>
    <row r="262">
      <c r="A262" s="182">
        <f>IF(C262="yes",COUNT(A$1:A261)+1,"")</f>
        <v/>
      </c>
      <c r="B262" s="181">
        <f>IF(A262="","— at issue —","iCoA-PP_26-"&amp;TEXT(A262,"000"))</f>
        <v/>
      </c>
      <c r="C262" s="189" t="inlineStr">
        <is>
          <t>no</t>
        </is>
      </c>
      <c r="D262" s="183">
        <f>IF(A262="","",E262)</f>
        <v/>
      </c>
      <c r="E262" s="183">
        <f>IF(AND(C262="yes",ISNUMBER(G262)),MAX(DATE(2026,5,11),G262),"")</f>
        <v/>
      </c>
      <c r="F262" s="183">
        <f>IFERROR(INDEX('Batch Dates'!$F:$F,MATCH(J262,'Batch Dates'!$C:$C,0)),IFERROR(INDEX('Batch Dates'!$F:$F,MATCH(I262,'Batch Dates'!$B:$B,0)),""))</f>
        <v/>
      </c>
      <c r="G262" s="183">
        <f>IFERROR(INDEX('Batch Dates'!$G:$G,MATCH(J262,'Batch Dates'!$C:$C,0)),IFERROR(INDEX('Batch Dates'!$G:$G,MATCH(I262,'Batch Dates'!$B:$B,0)),""))</f>
        <v/>
      </c>
      <c r="H262" s="182" t="inlineStr">
        <is>
          <t>retest — QP campaign</t>
        </is>
      </c>
      <c r="I262" s="181" t="inlineStr">
        <is>
          <t>GG112501</t>
        </is>
      </c>
      <c r="J262" s="182" t="inlineStr">
        <is>
          <t>P060252</t>
        </is>
      </c>
      <c r="K262" s="182" t="inlineStr">
        <is>
          <t>Gorilla Glue</t>
        </is>
      </c>
      <c r="L262" s="182" t="inlineStr">
        <is>
          <t>Ident A + Ident B</t>
        </is>
      </c>
      <c r="M262" s="182" t="inlineStr">
        <is>
          <t>iCoA_P01-02 · Appearance &amp; Identification A/B</t>
        </is>
      </c>
      <c r="N262" s="189" t="inlineStr">
        <is>
          <t>—</t>
        </is>
      </c>
      <c r="O262" s="189" t="inlineStr">
        <is>
          <t>— retest assay not yet on file —</t>
        </is>
      </c>
      <c r="P262" s="182" t="inlineStr">
        <is>
          <t>CoQ reissue (assigned on issue)</t>
        </is>
      </c>
      <c r="Q262" s="189" t="inlineStr">
        <is>
          <t>—</t>
        </is>
      </c>
      <c r="R262" s="182" t="inlineStr">
        <is>
          <t>P060252|AB|R</t>
        </is>
      </c>
      <c r="S262" s="193" t="inlineStr">
        <is>
          <t>not yet issuable — retest assay not yet on file</t>
        </is>
      </c>
    </row>
    <row r="263">
      <c r="A263" s="182">
        <f>IF(C263="yes",COUNT(A$1:A262)+1,"")</f>
        <v/>
      </c>
      <c r="B263" s="181">
        <f>IF(A263="","— at issue —","iCoA-PP_26-"&amp;TEXT(A263,"000"))</f>
        <v/>
      </c>
      <c r="C263" s="189" t="inlineStr">
        <is>
          <t>no</t>
        </is>
      </c>
      <c r="D263" s="183">
        <f>IF(A263="","",E263)</f>
        <v/>
      </c>
      <c r="E263" s="183">
        <f>IF(AND(C263="yes",ISNUMBER(G263)),MAX(DATE(2026,5,11),G263),"")</f>
        <v/>
      </c>
      <c r="F263" s="183">
        <f>IFERROR(INDEX('Batch Dates'!$F:$F,MATCH(J263,'Batch Dates'!$C:$C,0)),IFERROR(INDEX('Batch Dates'!$F:$F,MATCH(I263,'Batch Dates'!$B:$B,0)),""))</f>
        <v/>
      </c>
      <c r="G263" s="183">
        <f>IFERROR(INDEX('Batch Dates'!$G:$G,MATCH(J263,'Batch Dates'!$C:$C,0)),IFERROR(INDEX('Batch Dates'!$G:$G,MATCH(I263,'Batch Dates'!$B:$B,0)),""))</f>
        <v/>
      </c>
      <c r="H263" s="182" t="inlineStr">
        <is>
          <t>retest — QP campaign</t>
        </is>
      </c>
      <c r="I263" s="181" t="inlineStr">
        <is>
          <t>GG112501</t>
        </is>
      </c>
      <c r="J263" s="182" t="inlineStr">
        <is>
          <t>P060252</t>
        </is>
      </c>
      <c r="K263" s="182" t="inlineStr">
        <is>
          <t>Gorilla Glue</t>
        </is>
      </c>
      <c r="L263" s="182" t="inlineStr">
        <is>
          <t>Foreign matter</t>
        </is>
      </c>
      <c r="M263" s="182" t="inlineStr">
        <is>
          <t>iCoA_P07 · Foreign matter</t>
        </is>
      </c>
      <c r="N263" s="189" t="inlineStr">
        <is>
          <t>—</t>
        </is>
      </c>
      <c r="O263" s="189" t="inlineStr">
        <is>
          <t>— retest assay not yet on file —</t>
        </is>
      </c>
      <c r="P263" s="182" t="inlineStr">
        <is>
          <t>CoQ reissue (assigned on issue)</t>
        </is>
      </c>
      <c r="Q263" s="189" t="inlineStr">
        <is>
          <t>—</t>
        </is>
      </c>
      <c r="R263" s="182" t="inlineStr">
        <is>
          <t>P060252|FM|R</t>
        </is>
      </c>
      <c r="S263" s="193" t="inlineStr">
        <is>
          <t>not yet issuable — retest assay not yet on file</t>
        </is>
      </c>
    </row>
    <row r="264">
      <c r="A264" s="182">
        <f>IF(C264="yes",COUNT(A$1:A263)+1,"")</f>
        <v/>
      </c>
      <c r="B264" s="181">
        <f>IF(A264="","— at issue —","iCoA-PP_26-"&amp;TEXT(A264,"000"))</f>
        <v/>
      </c>
      <c r="C264" s="189" t="inlineStr">
        <is>
          <t>no</t>
        </is>
      </c>
      <c r="D264" s="183">
        <f>IF(A264="","",E264)</f>
        <v/>
      </c>
      <c r="E264" s="183">
        <f>IF(AND(C264="yes",ISNUMBER(G264)),MAX(DATE(2026,5,11),G264),"")</f>
        <v/>
      </c>
      <c r="F264" s="183">
        <f>IFERROR(INDEX('Batch Dates'!$F:$F,MATCH(J264,'Batch Dates'!$C:$C,0)),IFERROR(INDEX('Batch Dates'!$F:$F,MATCH(I264,'Batch Dates'!$B:$B,0)),""))</f>
        <v/>
      </c>
      <c r="G264" s="183">
        <f>IFERROR(INDEX('Batch Dates'!$G:$G,MATCH(J264,'Batch Dates'!$C:$C,0)),IFERROR(INDEX('Batch Dates'!$G:$G,MATCH(I264,'Batch Dates'!$B:$B,0)),""))</f>
        <v/>
      </c>
      <c r="H264" s="182" t="inlineStr">
        <is>
          <t>retest — QP campaign</t>
        </is>
      </c>
      <c r="I264" s="181" t="inlineStr">
        <is>
          <t>GP062501</t>
        </is>
      </c>
      <c r="J264" s="182" t="inlineStr">
        <is>
          <t>P050202</t>
        </is>
      </c>
      <c r="K264" s="182" t="inlineStr">
        <is>
          <t>Grape Pie</t>
        </is>
      </c>
      <c r="L264" s="182" t="inlineStr">
        <is>
          <t>Ident A + Ident B</t>
        </is>
      </c>
      <c r="M264" s="182" t="inlineStr">
        <is>
          <t>iCoA_P01-02 · Appearance &amp; Identification A/B</t>
        </is>
      </c>
      <c r="N264" s="189" t="inlineStr">
        <is>
          <t>—</t>
        </is>
      </c>
      <c r="O264" s="189" t="inlineStr">
        <is>
          <t>— retest assay not yet on file —</t>
        </is>
      </c>
      <c r="P264" s="182" t="inlineStr">
        <is>
          <t>CoQ reissue (assigned on issue)</t>
        </is>
      </c>
      <c r="Q264" s="189" t="inlineStr">
        <is>
          <t>—</t>
        </is>
      </c>
      <c r="R264" s="182" t="inlineStr">
        <is>
          <t>P050202|AB|R</t>
        </is>
      </c>
      <c r="S264" s="193" t="inlineStr">
        <is>
          <t>not yet issuable — retest assay not yet on file</t>
        </is>
      </c>
    </row>
    <row r="265">
      <c r="A265" s="182">
        <f>IF(C265="yes",COUNT(A$1:A264)+1,"")</f>
        <v/>
      </c>
      <c r="B265" s="181">
        <f>IF(A265="","— at issue —","iCoA-PP_26-"&amp;TEXT(A265,"000"))</f>
        <v/>
      </c>
      <c r="C265" s="189" t="inlineStr">
        <is>
          <t>no</t>
        </is>
      </c>
      <c r="D265" s="183">
        <f>IF(A265="","",E265)</f>
        <v/>
      </c>
      <c r="E265" s="183">
        <f>IF(AND(C265="yes",ISNUMBER(G265)),MAX(DATE(2026,5,11),G265),"")</f>
        <v/>
      </c>
      <c r="F265" s="183">
        <f>IFERROR(INDEX('Batch Dates'!$F:$F,MATCH(J265,'Batch Dates'!$C:$C,0)),IFERROR(INDEX('Batch Dates'!$F:$F,MATCH(I265,'Batch Dates'!$B:$B,0)),""))</f>
        <v/>
      </c>
      <c r="G265" s="183">
        <f>IFERROR(INDEX('Batch Dates'!$G:$G,MATCH(J265,'Batch Dates'!$C:$C,0)),IFERROR(INDEX('Batch Dates'!$G:$G,MATCH(I265,'Batch Dates'!$B:$B,0)),""))</f>
        <v/>
      </c>
      <c r="H265" s="182" t="inlineStr">
        <is>
          <t>retest — QP campaign</t>
        </is>
      </c>
      <c r="I265" s="181" t="inlineStr">
        <is>
          <t>GP062501</t>
        </is>
      </c>
      <c r="J265" s="182" t="inlineStr">
        <is>
          <t>P050202</t>
        </is>
      </c>
      <c r="K265" s="182" t="inlineStr">
        <is>
          <t>Grape Pie</t>
        </is>
      </c>
      <c r="L265" s="182" t="inlineStr">
        <is>
          <t>Foreign matter</t>
        </is>
      </c>
      <c r="M265" s="182" t="inlineStr">
        <is>
          <t>iCoA_P07 · Foreign matter</t>
        </is>
      </c>
      <c r="N265" s="189" t="inlineStr">
        <is>
          <t>—</t>
        </is>
      </c>
      <c r="O265" s="189" t="inlineStr">
        <is>
          <t>— retest assay not yet on file —</t>
        </is>
      </c>
      <c r="P265" s="182" t="inlineStr">
        <is>
          <t>CoQ reissue (assigned on issue)</t>
        </is>
      </c>
      <c r="Q265" s="189" t="inlineStr">
        <is>
          <t>—</t>
        </is>
      </c>
      <c r="R265" s="182" t="inlineStr">
        <is>
          <t>P050202|FM|R</t>
        </is>
      </c>
      <c r="S265" s="193" t="inlineStr">
        <is>
          <t>not yet issuable — retest assay not yet on file</t>
        </is>
      </c>
    </row>
    <row r="266">
      <c r="A266" s="182">
        <f>IF(C266="yes",COUNT(A$1:A265)+1,"")</f>
        <v/>
      </c>
      <c r="B266" s="181">
        <f>IF(A266="","— at issue —","iCoA-PP_26-"&amp;TEXT(A266,"000"))</f>
        <v/>
      </c>
      <c r="C266" s="189" t="inlineStr">
        <is>
          <t>no</t>
        </is>
      </c>
      <c r="D266" s="183">
        <f>IF(A266="","",E266)</f>
        <v/>
      </c>
      <c r="E266" s="183">
        <f>IF(AND(C266="yes",ISNUMBER(G266)),MAX(DATE(2026,5,11),G266),"")</f>
        <v/>
      </c>
      <c r="F266" s="183">
        <f>IFERROR(INDEX('Batch Dates'!$F:$F,MATCH(J266,'Batch Dates'!$C:$C,0)),IFERROR(INDEX('Batch Dates'!$F:$F,MATCH(I266,'Batch Dates'!$B:$B,0)),""))</f>
        <v/>
      </c>
      <c r="G266" s="183">
        <f>IFERROR(INDEX('Batch Dates'!$G:$G,MATCH(J266,'Batch Dates'!$C:$C,0)),IFERROR(INDEX('Batch Dates'!$G:$G,MATCH(I266,'Batch Dates'!$B:$B,0)),""))</f>
        <v/>
      </c>
      <c r="H266" s="182" t="inlineStr">
        <is>
          <t>retest — QP campaign</t>
        </is>
      </c>
      <c r="I266" s="181" t="inlineStr">
        <is>
          <t>JD012601＊</t>
        </is>
      </c>
      <c r="J266" s="182" t="inlineStr">
        <is>
          <t>P060312</t>
        </is>
      </c>
      <c r="K266" s="182" t="inlineStr">
        <is>
          <t>Jelly Donutz</t>
        </is>
      </c>
      <c r="L266" s="182" t="inlineStr">
        <is>
          <t>Ident A + Ident B</t>
        </is>
      </c>
      <c r="M266" s="182" t="inlineStr">
        <is>
          <t>iCoA_P01-02 · Appearance &amp; Identification A/B</t>
        </is>
      </c>
      <c r="N266" s="189" t="inlineStr">
        <is>
          <t>—</t>
        </is>
      </c>
      <c r="O266" s="189" t="inlineStr">
        <is>
          <t>— retest assay not yet on file —</t>
        </is>
      </c>
      <c r="P266" s="182" t="inlineStr">
        <is>
          <t>CoQ reissue (assigned on issue)</t>
        </is>
      </c>
      <c r="Q266" s="189" t="inlineStr">
        <is>
          <t>—</t>
        </is>
      </c>
      <c r="R266" s="182" t="inlineStr">
        <is>
          <t>P060312|AB|R</t>
        </is>
      </c>
      <c r="S266" s="193" t="inlineStr">
        <is>
          <t>not yet issuable — retest assay not yet on file</t>
        </is>
      </c>
    </row>
    <row r="267">
      <c r="A267" s="182">
        <f>IF(C267="yes",COUNT(A$1:A266)+1,"")</f>
        <v/>
      </c>
      <c r="B267" s="181">
        <f>IF(A267="","— at issue —","iCoA-PP_26-"&amp;TEXT(A267,"000"))</f>
        <v/>
      </c>
      <c r="C267" s="189" t="inlineStr">
        <is>
          <t>no</t>
        </is>
      </c>
      <c r="D267" s="183">
        <f>IF(A267="","",E267)</f>
        <v/>
      </c>
      <c r="E267" s="183">
        <f>IF(AND(C267="yes",ISNUMBER(G267)),MAX(DATE(2026,5,11),G267),"")</f>
        <v/>
      </c>
      <c r="F267" s="183">
        <f>IFERROR(INDEX('Batch Dates'!$F:$F,MATCH(J267,'Batch Dates'!$C:$C,0)),IFERROR(INDEX('Batch Dates'!$F:$F,MATCH(I267,'Batch Dates'!$B:$B,0)),""))</f>
        <v/>
      </c>
      <c r="G267" s="183">
        <f>IFERROR(INDEX('Batch Dates'!$G:$G,MATCH(J267,'Batch Dates'!$C:$C,0)),IFERROR(INDEX('Batch Dates'!$G:$G,MATCH(I267,'Batch Dates'!$B:$B,0)),""))</f>
        <v/>
      </c>
      <c r="H267" s="182" t="inlineStr">
        <is>
          <t>retest — QP campaign</t>
        </is>
      </c>
      <c r="I267" s="181" t="inlineStr">
        <is>
          <t>JD012601＊</t>
        </is>
      </c>
      <c r="J267" s="182" t="inlineStr">
        <is>
          <t>P060312</t>
        </is>
      </c>
      <c r="K267" s="182" t="inlineStr">
        <is>
          <t>Jelly Donutz</t>
        </is>
      </c>
      <c r="L267" s="182" t="inlineStr">
        <is>
          <t>Foreign matter</t>
        </is>
      </c>
      <c r="M267" s="182" t="inlineStr">
        <is>
          <t>iCoA_P07 · Foreign matter</t>
        </is>
      </c>
      <c r="N267" s="189" t="inlineStr">
        <is>
          <t>—</t>
        </is>
      </c>
      <c r="O267" s="189" t="inlineStr">
        <is>
          <t>— retest assay not yet on file —</t>
        </is>
      </c>
      <c r="P267" s="182" t="inlineStr">
        <is>
          <t>CoQ reissue (assigned on issue)</t>
        </is>
      </c>
      <c r="Q267" s="189" t="inlineStr">
        <is>
          <t>—</t>
        </is>
      </c>
      <c r="R267" s="182" t="inlineStr">
        <is>
          <t>P060312|FM|R</t>
        </is>
      </c>
      <c r="S267" s="193" t="inlineStr">
        <is>
          <t>not yet issuable — retest assay not yet on file</t>
        </is>
      </c>
    </row>
    <row r="268">
      <c r="A268" s="182">
        <f>IF(C268="yes",COUNT(A$1:A267)+1,"")</f>
        <v/>
      </c>
      <c r="B268" s="181">
        <f>IF(A268="","— at issue —","iCoA-PP_26-"&amp;TEXT(A268,"000"))</f>
        <v/>
      </c>
      <c r="C268" s="189" t="inlineStr">
        <is>
          <t>no</t>
        </is>
      </c>
      <c r="D268" s="183">
        <f>IF(A268="","",E268)</f>
        <v/>
      </c>
      <c r="E268" s="183">
        <f>IF(AND(C268="yes",ISNUMBER(G268)),MAX(DATE(2026,5,11),G268),"")</f>
        <v/>
      </c>
      <c r="F268" s="183">
        <f>IFERROR(INDEX('Batch Dates'!$F:$F,MATCH(J268,'Batch Dates'!$C:$C,0)),IFERROR(INDEX('Batch Dates'!$F:$F,MATCH(I268,'Batch Dates'!$B:$B,0)),""))</f>
        <v/>
      </c>
      <c r="G268" s="183">
        <f>IFERROR(INDEX('Batch Dates'!$G:$G,MATCH(J268,'Batch Dates'!$C:$C,0)),IFERROR(INDEX('Batch Dates'!$G:$G,MATCH(I268,'Batch Dates'!$B:$B,0)),""))</f>
        <v/>
      </c>
      <c r="H268" s="182" t="inlineStr">
        <is>
          <t>retest — QP campaign</t>
        </is>
      </c>
      <c r="I268" s="181" t="inlineStr">
        <is>
          <t>SCR112501</t>
        </is>
      </c>
      <c r="J268" s="182" t="inlineStr">
        <is>
          <t>P060282</t>
        </is>
      </c>
      <c r="K268" s="182" t="inlineStr">
        <is>
          <t>Scrambler</t>
        </is>
      </c>
      <c r="L268" s="182" t="inlineStr">
        <is>
          <t>Ident A + Ident B</t>
        </is>
      </c>
      <c r="M268" s="182" t="inlineStr">
        <is>
          <t>iCoA_P01-02 · Appearance &amp; Identification A/B</t>
        </is>
      </c>
      <c r="N268" s="189" t="inlineStr">
        <is>
          <t>—</t>
        </is>
      </c>
      <c r="O268" s="189" t="inlineStr">
        <is>
          <t>— retest assay not yet on file —</t>
        </is>
      </c>
      <c r="P268" s="182" t="inlineStr">
        <is>
          <t>CoQ reissue (assigned on issue)</t>
        </is>
      </c>
      <c r="Q268" s="189" t="inlineStr">
        <is>
          <t>—</t>
        </is>
      </c>
      <c r="R268" s="182" t="inlineStr">
        <is>
          <t>P060282|AB|R</t>
        </is>
      </c>
      <c r="S268" s="193" t="inlineStr">
        <is>
          <t>not yet issuable — retest assay not yet on file</t>
        </is>
      </c>
    </row>
    <row r="269">
      <c r="A269" s="182">
        <f>IF(C269="yes",COUNT(A$1:A268)+1,"")</f>
        <v/>
      </c>
      <c r="B269" s="181">
        <f>IF(A269="","— at issue —","iCoA-PP_26-"&amp;TEXT(A269,"000"))</f>
        <v/>
      </c>
      <c r="C269" s="189" t="inlineStr">
        <is>
          <t>no</t>
        </is>
      </c>
      <c r="D269" s="183">
        <f>IF(A269="","",E269)</f>
        <v/>
      </c>
      <c r="E269" s="183">
        <f>IF(AND(C269="yes",ISNUMBER(G269)),MAX(DATE(2026,5,11),G269),"")</f>
        <v/>
      </c>
      <c r="F269" s="183">
        <f>IFERROR(INDEX('Batch Dates'!$F:$F,MATCH(J269,'Batch Dates'!$C:$C,0)),IFERROR(INDEX('Batch Dates'!$F:$F,MATCH(I269,'Batch Dates'!$B:$B,0)),""))</f>
        <v/>
      </c>
      <c r="G269" s="183">
        <f>IFERROR(INDEX('Batch Dates'!$G:$G,MATCH(J269,'Batch Dates'!$C:$C,0)),IFERROR(INDEX('Batch Dates'!$G:$G,MATCH(I269,'Batch Dates'!$B:$B,0)),""))</f>
        <v/>
      </c>
      <c r="H269" s="182" t="inlineStr">
        <is>
          <t>retest — QP campaign</t>
        </is>
      </c>
      <c r="I269" s="181" t="inlineStr">
        <is>
          <t>SCR112501</t>
        </is>
      </c>
      <c r="J269" s="182" t="inlineStr">
        <is>
          <t>P060282</t>
        </is>
      </c>
      <c r="K269" s="182" t="inlineStr">
        <is>
          <t>Scrambler</t>
        </is>
      </c>
      <c r="L269" s="182" t="inlineStr">
        <is>
          <t>Foreign matter</t>
        </is>
      </c>
      <c r="M269" s="182" t="inlineStr">
        <is>
          <t>iCoA_P07 · Foreign matter</t>
        </is>
      </c>
      <c r="N269" s="189" t="inlineStr">
        <is>
          <t>—</t>
        </is>
      </c>
      <c r="O269" s="189" t="inlineStr">
        <is>
          <t>— retest assay not yet on file —</t>
        </is>
      </c>
      <c r="P269" s="182" t="inlineStr">
        <is>
          <t>CoQ reissue (assigned on issue)</t>
        </is>
      </c>
      <c r="Q269" s="189" t="inlineStr">
        <is>
          <t>—</t>
        </is>
      </c>
      <c r="R269" s="182" t="inlineStr">
        <is>
          <t>P060282|FM|R</t>
        </is>
      </c>
      <c r="S269" s="193" t="inlineStr">
        <is>
          <t>not yet issuable — retest assay not yet on file</t>
        </is>
      </c>
    </row>
    <row r="270">
      <c r="A270" s="182">
        <f>IF(C270="yes",COUNT(A$1:A269)+1,"")</f>
        <v/>
      </c>
      <c r="B270" s="181">
        <f>IF(A270="","— at issue —","iCoA-PP_26-"&amp;TEXT(A270,"000"))</f>
        <v/>
      </c>
      <c r="C270" s="189" t="inlineStr">
        <is>
          <t>no</t>
        </is>
      </c>
      <c r="D270" s="183">
        <f>IF(A270="","",E270)</f>
        <v/>
      </c>
      <c r="E270" s="183">
        <f>IF(AND(C270="yes",ISNUMBER(G270)),MAX(DATE(2026,5,11),G270),"")</f>
        <v/>
      </c>
      <c r="F270" s="183">
        <f>IFERROR(INDEX('Batch Dates'!$F:$F,MATCH(J270,'Batch Dates'!$C:$C,0)),IFERROR(INDEX('Batch Dates'!$F:$F,MATCH(I270,'Batch Dates'!$B:$B,0)),""))</f>
        <v/>
      </c>
      <c r="G270" s="183">
        <f>IFERROR(INDEX('Batch Dates'!$G:$G,MATCH(J270,'Batch Dates'!$C:$C,0)),IFERROR(INDEX('Batch Dates'!$G:$G,MATCH(I270,'Batch Dates'!$B:$B,0)),""))</f>
        <v/>
      </c>
      <c r="H270" s="182" t="inlineStr">
        <is>
          <t>retest — QP campaign</t>
        </is>
      </c>
      <c r="I270" s="181" t="inlineStr">
        <is>
          <t>FB012601_1</t>
        </is>
      </c>
      <c r="J270" s="182" t="inlineStr">
        <is>
          <t>P060322</t>
        </is>
      </c>
      <c r="K270" s="182" t="inlineStr">
        <is>
          <t>Fat Bastard</t>
        </is>
      </c>
      <c r="L270" s="182" t="inlineStr">
        <is>
          <t>Ident A + Ident B</t>
        </is>
      </c>
      <c r="M270" s="182" t="inlineStr">
        <is>
          <t>iCoA_P01-02 · Appearance &amp; Identification A/B</t>
        </is>
      </c>
      <c r="N270" s="189" t="inlineStr">
        <is>
          <t>—</t>
        </is>
      </c>
      <c r="O270" s="189" t="inlineStr">
        <is>
          <t>— retest assay not yet on file —</t>
        </is>
      </c>
      <c r="P270" s="182" t="inlineStr">
        <is>
          <t>CoQ reissue (assigned on issue)</t>
        </is>
      </c>
      <c r="Q270" s="189" t="inlineStr">
        <is>
          <t>—</t>
        </is>
      </c>
      <c r="R270" s="182" t="inlineStr">
        <is>
          <t>P060322|AB|R</t>
        </is>
      </c>
      <c r="S270" s="193" t="inlineStr">
        <is>
          <t>not yet issuable — retest assay not yet on file</t>
        </is>
      </c>
    </row>
    <row r="271">
      <c r="A271" s="182">
        <f>IF(C271="yes",COUNT(A$1:A270)+1,"")</f>
        <v/>
      </c>
      <c r="B271" s="181">
        <f>IF(A271="","— at issue —","iCoA-PP_26-"&amp;TEXT(A271,"000"))</f>
        <v/>
      </c>
      <c r="C271" s="189" t="inlineStr">
        <is>
          <t>no</t>
        </is>
      </c>
      <c r="D271" s="183">
        <f>IF(A271="","",E271)</f>
        <v/>
      </c>
      <c r="E271" s="183">
        <f>IF(AND(C271="yes",ISNUMBER(G271)),MAX(DATE(2026,5,11),G271),"")</f>
        <v/>
      </c>
      <c r="F271" s="183">
        <f>IFERROR(INDEX('Batch Dates'!$F:$F,MATCH(J271,'Batch Dates'!$C:$C,0)),IFERROR(INDEX('Batch Dates'!$F:$F,MATCH(I271,'Batch Dates'!$B:$B,0)),""))</f>
        <v/>
      </c>
      <c r="G271" s="183">
        <f>IFERROR(INDEX('Batch Dates'!$G:$G,MATCH(J271,'Batch Dates'!$C:$C,0)),IFERROR(INDEX('Batch Dates'!$G:$G,MATCH(I271,'Batch Dates'!$B:$B,0)),""))</f>
        <v/>
      </c>
      <c r="H271" s="182" t="inlineStr">
        <is>
          <t>retest — QP campaign</t>
        </is>
      </c>
      <c r="I271" s="181" t="inlineStr">
        <is>
          <t>FB012601_1</t>
        </is>
      </c>
      <c r="J271" s="182" t="inlineStr">
        <is>
          <t>P060322</t>
        </is>
      </c>
      <c r="K271" s="182" t="inlineStr">
        <is>
          <t>Fat Bastard</t>
        </is>
      </c>
      <c r="L271" s="182" t="inlineStr">
        <is>
          <t>Foreign matter</t>
        </is>
      </c>
      <c r="M271" s="182" t="inlineStr">
        <is>
          <t>iCoA_P07 · Foreign matter</t>
        </is>
      </c>
      <c r="N271" s="189" t="inlineStr">
        <is>
          <t>—</t>
        </is>
      </c>
      <c r="O271" s="189" t="inlineStr">
        <is>
          <t>— retest assay not yet on file —</t>
        </is>
      </c>
      <c r="P271" s="182" t="inlineStr">
        <is>
          <t>CoQ reissue (assigned on issue)</t>
        </is>
      </c>
      <c r="Q271" s="189" t="inlineStr">
        <is>
          <t>—</t>
        </is>
      </c>
      <c r="R271" s="182" t="inlineStr">
        <is>
          <t>P060322|FM|R</t>
        </is>
      </c>
      <c r="S271" s="193" t="inlineStr">
        <is>
          <t>not yet issuable — retest assay not yet on file</t>
        </is>
      </c>
    </row>
    <row r="272">
      <c r="A272" s="182">
        <f>IF(C272="yes",COUNT(A$1:A271)+1,"")</f>
        <v/>
      </c>
      <c r="B272" s="181">
        <f>IF(A272="","— at issue —","iCoA-PP_26-"&amp;TEXT(A272,"000"))</f>
        <v/>
      </c>
      <c r="C272" s="189" t="inlineStr">
        <is>
          <t>no</t>
        </is>
      </c>
      <c r="D272" s="183">
        <f>IF(A272="","",E272)</f>
        <v/>
      </c>
      <c r="E272" s="183">
        <f>IF(AND(C272="yes",ISNUMBER(G272)),MAX(DATE(2026,5,11),G272),"")</f>
        <v/>
      </c>
      <c r="F272" s="183">
        <f>IFERROR(INDEX('Batch Dates'!$F:$F,MATCH(J272,'Batch Dates'!$C:$C,0)),IFERROR(INDEX('Batch Dates'!$F:$F,MATCH(I272,'Batch Dates'!$B:$B,0)),""))</f>
        <v/>
      </c>
      <c r="G272" s="183">
        <f>IFERROR(INDEX('Batch Dates'!$G:$G,MATCH(J272,'Batch Dates'!$C:$C,0)),IFERROR(INDEX('Batch Dates'!$G:$G,MATCH(I272,'Batch Dates'!$B:$B,0)),""))</f>
        <v/>
      </c>
      <c r="H272" s="182" t="inlineStr">
        <is>
          <t>retest — QP campaign</t>
        </is>
      </c>
      <c r="I272" s="181" t="inlineStr">
        <is>
          <t>JD012603</t>
        </is>
      </c>
      <c r="J272" s="182" t="inlineStr">
        <is>
          <t>P060362</t>
        </is>
      </c>
      <c r="K272" s="182" t="inlineStr"/>
      <c r="L272" s="182" t="inlineStr">
        <is>
          <t>Ident A + Ident B</t>
        </is>
      </c>
      <c r="M272" s="182" t="inlineStr">
        <is>
          <t>iCoA_P01-02 · Appearance &amp; Identification A/B</t>
        </is>
      </c>
      <c r="N272" s="189" t="inlineStr">
        <is>
          <t>—</t>
        </is>
      </c>
      <c r="O272" s="189" t="inlineStr">
        <is>
          <t>— retest assay not yet on file —</t>
        </is>
      </c>
      <c r="P272" s="182" t="inlineStr">
        <is>
          <t>CoQ reissue (assigned on issue)</t>
        </is>
      </c>
      <c r="Q272" s="189" t="inlineStr">
        <is>
          <t>—</t>
        </is>
      </c>
      <c r="R272" s="182" t="inlineStr">
        <is>
          <t>P060362|AB|R</t>
        </is>
      </c>
      <c r="S272" s="193" t="inlineStr">
        <is>
          <t>not yet issuable — retest assay not yet on file</t>
        </is>
      </c>
    </row>
    <row r="273">
      <c r="A273" s="182">
        <f>IF(C273="yes",COUNT(A$1:A272)+1,"")</f>
        <v/>
      </c>
      <c r="B273" s="181">
        <f>IF(A273="","— at issue —","iCoA-PP_26-"&amp;TEXT(A273,"000"))</f>
        <v/>
      </c>
      <c r="C273" s="189" t="inlineStr">
        <is>
          <t>no</t>
        </is>
      </c>
      <c r="D273" s="183">
        <f>IF(A273="","",E273)</f>
        <v/>
      </c>
      <c r="E273" s="183">
        <f>IF(AND(C273="yes",ISNUMBER(G273)),MAX(DATE(2026,5,11),G273),"")</f>
        <v/>
      </c>
      <c r="F273" s="183">
        <f>IFERROR(INDEX('Batch Dates'!$F:$F,MATCH(J273,'Batch Dates'!$C:$C,0)),IFERROR(INDEX('Batch Dates'!$F:$F,MATCH(I273,'Batch Dates'!$B:$B,0)),""))</f>
        <v/>
      </c>
      <c r="G273" s="183">
        <f>IFERROR(INDEX('Batch Dates'!$G:$G,MATCH(J273,'Batch Dates'!$C:$C,0)),IFERROR(INDEX('Batch Dates'!$G:$G,MATCH(I273,'Batch Dates'!$B:$B,0)),""))</f>
        <v/>
      </c>
      <c r="H273" s="182" t="inlineStr">
        <is>
          <t>retest — QP campaign</t>
        </is>
      </c>
      <c r="I273" s="181" t="inlineStr">
        <is>
          <t>JD012603</t>
        </is>
      </c>
      <c r="J273" s="182" t="inlineStr">
        <is>
          <t>P060362</t>
        </is>
      </c>
      <c r="K273" s="182" t="inlineStr"/>
      <c r="L273" s="182" t="inlineStr">
        <is>
          <t>Foreign matter</t>
        </is>
      </c>
      <c r="M273" s="182" t="inlineStr">
        <is>
          <t>iCoA_P07 · Foreign matter</t>
        </is>
      </c>
      <c r="N273" s="189" t="inlineStr">
        <is>
          <t>—</t>
        </is>
      </c>
      <c r="O273" s="189" t="inlineStr">
        <is>
          <t>— retest assay not yet on file —</t>
        </is>
      </c>
      <c r="P273" s="182" t="inlineStr">
        <is>
          <t>CoQ reissue (assigned on issue)</t>
        </is>
      </c>
      <c r="Q273" s="189" t="inlineStr">
        <is>
          <t>—</t>
        </is>
      </c>
      <c r="R273" s="182" t="inlineStr">
        <is>
          <t>P060362|FM|R</t>
        </is>
      </c>
      <c r="S273" s="193" t="inlineStr">
        <is>
          <t>not yet issuable — retest assay not yet on file</t>
        </is>
      </c>
    </row>
    <row r="274">
      <c r="A274" s="182">
        <f>IF(C274="yes",COUNT(A$1:A273)+1,"")</f>
        <v/>
      </c>
      <c r="B274" s="181">
        <f>IF(A274="","— at issue —","iCoA-PP_26-"&amp;TEXT(A274,"000"))</f>
        <v/>
      </c>
      <c r="C274" s="189" t="inlineStr">
        <is>
          <t>no</t>
        </is>
      </c>
      <c r="D274" s="183">
        <f>IF(A274="","",E274)</f>
        <v/>
      </c>
      <c r="E274" s="183">
        <f>IF(AND(C274="yes",ISNUMBER(G274)),MAX(DATE(2026,5,11),G274),"")</f>
        <v/>
      </c>
      <c r="F274" s="183">
        <f>IFERROR(INDEX('Batch Dates'!$F:$F,MATCH(J274,'Batch Dates'!$C:$C,0)),IFERROR(INDEX('Batch Dates'!$F:$F,MATCH(I274,'Batch Dates'!$B:$B,0)),""))</f>
        <v/>
      </c>
      <c r="G274" s="183">
        <f>IFERROR(INDEX('Batch Dates'!$G:$G,MATCH(J274,'Batch Dates'!$C:$C,0)),IFERROR(INDEX('Batch Dates'!$G:$G,MATCH(I274,'Batch Dates'!$B:$B,0)),""))</f>
        <v/>
      </c>
      <c r="H274" s="182" t="inlineStr">
        <is>
          <t>retest — QP campaign</t>
        </is>
      </c>
      <c r="I274" s="181" t="inlineStr">
        <is>
          <t>JD012603</t>
        </is>
      </c>
      <c r="J274" s="182" t="inlineStr">
        <is>
          <t>P060422</t>
        </is>
      </c>
      <c r="K274" s="182" t="inlineStr"/>
      <c r="L274" s="182" t="inlineStr">
        <is>
          <t>Ident A + Ident B</t>
        </is>
      </c>
      <c r="M274" s="182" t="inlineStr">
        <is>
          <t>iCoA_P01-02 · Appearance &amp; Identification A/B</t>
        </is>
      </c>
      <c r="N274" s="189" t="inlineStr">
        <is>
          <t>—</t>
        </is>
      </c>
      <c r="O274" s="189" t="inlineStr">
        <is>
          <t>— retest assay not yet on file —</t>
        </is>
      </c>
      <c r="P274" s="182" t="inlineStr">
        <is>
          <t>CoQ reissue (assigned on issue)</t>
        </is>
      </c>
      <c r="Q274" s="189" t="inlineStr">
        <is>
          <t>—</t>
        </is>
      </c>
      <c r="R274" s="182" t="inlineStr">
        <is>
          <t>P060422|AB|R</t>
        </is>
      </c>
      <c r="S274" s="193" t="inlineStr">
        <is>
          <t>not yet issuable — retest assay not yet on file</t>
        </is>
      </c>
    </row>
    <row r="275">
      <c r="A275" s="182">
        <f>IF(C275="yes",COUNT(A$1:A274)+1,"")</f>
        <v/>
      </c>
      <c r="B275" s="181">
        <f>IF(A275="","— at issue —","iCoA-PP_26-"&amp;TEXT(A275,"000"))</f>
        <v/>
      </c>
      <c r="C275" s="189" t="inlineStr">
        <is>
          <t>no</t>
        </is>
      </c>
      <c r="D275" s="183">
        <f>IF(A275="","",E275)</f>
        <v/>
      </c>
      <c r="E275" s="183">
        <f>IF(AND(C275="yes",ISNUMBER(G275)),MAX(DATE(2026,5,11),G275),"")</f>
        <v/>
      </c>
      <c r="F275" s="183">
        <f>IFERROR(INDEX('Batch Dates'!$F:$F,MATCH(J275,'Batch Dates'!$C:$C,0)),IFERROR(INDEX('Batch Dates'!$F:$F,MATCH(I275,'Batch Dates'!$B:$B,0)),""))</f>
        <v/>
      </c>
      <c r="G275" s="183">
        <f>IFERROR(INDEX('Batch Dates'!$G:$G,MATCH(J275,'Batch Dates'!$C:$C,0)),IFERROR(INDEX('Batch Dates'!$G:$G,MATCH(I275,'Batch Dates'!$B:$B,0)),""))</f>
        <v/>
      </c>
      <c r="H275" s="182" t="inlineStr">
        <is>
          <t>retest — QP campaign</t>
        </is>
      </c>
      <c r="I275" s="181" t="inlineStr">
        <is>
          <t>JD012603</t>
        </is>
      </c>
      <c r="J275" s="182" t="inlineStr">
        <is>
          <t>P060422</t>
        </is>
      </c>
      <c r="K275" s="182" t="inlineStr"/>
      <c r="L275" s="182" t="inlineStr">
        <is>
          <t>Foreign matter</t>
        </is>
      </c>
      <c r="M275" s="182" t="inlineStr">
        <is>
          <t>iCoA_P07 · Foreign matter</t>
        </is>
      </c>
      <c r="N275" s="189" t="inlineStr">
        <is>
          <t>—</t>
        </is>
      </c>
      <c r="O275" s="189" t="inlineStr">
        <is>
          <t>— retest assay not yet on file —</t>
        </is>
      </c>
      <c r="P275" s="182" t="inlineStr">
        <is>
          <t>CoQ reissue (assigned on issue)</t>
        </is>
      </c>
      <c r="Q275" s="189" t="inlineStr">
        <is>
          <t>—</t>
        </is>
      </c>
      <c r="R275" s="182" t="inlineStr">
        <is>
          <t>P060422|FM|R</t>
        </is>
      </c>
      <c r="S275" s="193" t="inlineStr">
        <is>
          <t>not yet issuable — retest assay not yet on file</t>
        </is>
      </c>
    </row>
    <row r="276">
      <c r="A276" s="182">
        <f>IF(C276="yes",COUNT(A$1:A275)+1,"")</f>
        <v/>
      </c>
      <c r="B276" s="181">
        <f>IF(A276="","— at issue —","iCoA-PP_26-"&amp;TEXT(A276,"000"))</f>
        <v/>
      </c>
      <c r="C276" s="189" t="inlineStr">
        <is>
          <t>no</t>
        </is>
      </c>
      <c r="D276" s="183">
        <f>IF(A276="","",E276)</f>
        <v/>
      </c>
      <c r="E276" s="183">
        <f>IF(AND(C276="yes",ISNUMBER(G276)),MAX(DATE(2026,5,11),G276),"")</f>
        <v/>
      </c>
      <c r="F276" s="183">
        <f>IFERROR(INDEX('Batch Dates'!$F:$F,MATCH(J276,'Batch Dates'!$C:$C,0)),IFERROR(INDEX('Batch Dates'!$F:$F,MATCH(I276,'Batch Dates'!$B:$B,0)),""))</f>
        <v/>
      </c>
      <c r="G276" s="183">
        <f>IFERROR(INDEX('Batch Dates'!$G:$G,MATCH(J276,'Batch Dates'!$C:$C,0)),IFERROR(INDEX('Batch Dates'!$G:$G,MATCH(I276,'Batch Dates'!$B:$B,0)),""))</f>
        <v/>
      </c>
      <c r="H276" s="182" t="inlineStr">
        <is>
          <t>retest — QP campaign</t>
        </is>
      </c>
      <c r="I276" s="181" t="inlineStr">
        <is>
          <t>JD012603</t>
        </is>
      </c>
      <c r="J276" s="182" t="inlineStr">
        <is>
          <t>P060412</t>
        </is>
      </c>
      <c r="K276" s="182" t="inlineStr"/>
      <c r="L276" s="182" t="inlineStr">
        <is>
          <t>Ident A + Ident B</t>
        </is>
      </c>
      <c r="M276" s="182" t="inlineStr">
        <is>
          <t>iCoA_P01-02 · Appearance &amp; Identification A/B</t>
        </is>
      </c>
      <c r="N276" s="189" t="inlineStr">
        <is>
          <t>—</t>
        </is>
      </c>
      <c r="O276" s="189" t="inlineStr">
        <is>
          <t>— retest assay not yet on file —</t>
        </is>
      </c>
      <c r="P276" s="182" t="inlineStr">
        <is>
          <t>CoQ reissue (assigned on issue)</t>
        </is>
      </c>
      <c r="Q276" s="189" t="inlineStr">
        <is>
          <t>—</t>
        </is>
      </c>
      <c r="R276" s="182" t="inlineStr">
        <is>
          <t>P060412|AB|R</t>
        </is>
      </c>
      <c r="S276" s="193" t="inlineStr">
        <is>
          <t>not yet issuable — retest assay not yet on file</t>
        </is>
      </c>
    </row>
    <row r="277">
      <c r="A277" s="182">
        <f>IF(C277="yes",COUNT(A$1:A276)+1,"")</f>
        <v/>
      </c>
      <c r="B277" s="181">
        <f>IF(A277="","— at issue —","iCoA-PP_26-"&amp;TEXT(A277,"000"))</f>
        <v/>
      </c>
      <c r="C277" s="189" t="inlineStr">
        <is>
          <t>no</t>
        </is>
      </c>
      <c r="D277" s="183">
        <f>IF(A277="","",E277)</f>
        <v/>
      </c>
      <c r="E277" s="183">
        <f>IF(AND(C277="yes",ISNUMBER(G277)),MAX(DATE(2026,5,11),G277),"")</f>
        <v/>
      </c>
      <c r="F277" s="183">
        <f>IFERROR(INDEX('Batch Dates'!$F:$F,MATCH(J277,'Batch Dates'!$C:$C,0)),IFERROR(INDEX('Batch Dates'!$F:$F,MATCH(I277,'Batch Dates'!$B:$B,0)),""))</f>
        <v/>
      </c>
      <c r="G277" s="183">
        <f>IFERROR(INDEX('Batch Dates'!$G:$G,MATCH(J277,'Batch Dates'!$C:$C,0)),IFERROR(INDEX('Batch Dates'!$G:$G,MATCH(I277,'Batch Dates'!$B:$B,0)),""))</f>
        <v/>
      </c>
      <c r="H277" s="182" t="inlineStr">
        <is>
          <t>retest — QP campaign</t>
        </is>
      </c>
      <c r="I277" s="181" t="inlineStr">
        <is>
          <t>JD012603</t>
        </is>
      </c>
      <c r="J277" s="182" t="inlineStr">
        <is>
          <t>P060412</t>
        </is>
      </c>
      <c r="K277" s="182" t="inlineStr"/>
      <c r="L277" s="182" t="inlineStr">
        <is>
          <t>Foreign matter</t>
        </is>
      </c>
      <c r="M277" s="182" t="inlineStr">
        <is>
          <t>iCoA_P07 · Foreign matter</t>
        </is>
      </c>
      <c r="N277" s="189" t="inlineStr">
        <is>
          <t>—</t>
        </is>
      </c>
      <c r="O277" s="189" t="inlineStr">
        <is>
          <t>— retest assay not yet on file —</t>
        </is>
      </c>
      <c r="P277" s="182" t="inlineStr">
        <is>
          <t>CoQ reissue (assigned on issue)</t>
        </is>
      </c>
      <c r="Q277" s="189" t="inlineStr">
        <is>
          <t>—</t>
        </is>
      </c>
      <c r="R277" s="182" t="inlineStr">
        <is>
          <t>P060412|FM|R</t>
        </is>
      </c>
      <c r="S277" s="193" t="inlineStr">
        <is>
          <t>not yet issuable — retest assay not yet on file</t>
        </is>
      </c>
    </row>
    <row r="278">
      <c r="A278" s="182">
        <f>IF(C278="yes",COUNT(A$1:A277)+1,"")</f>
        <v/>
      </c>
      <c r="B278" s="181">
        <f>IF(A278="","— at issue —","iCoA-PP_26-"&amp;TEXT(A278,"000"))</f>
        <v/>
      </c>
      <c r="C278" s="189" t="inlineStr">
        <is>
          <t>no</t>
        </is>
      </c>
      <c r="D278" s="183">
        <f>IF(A278="","",E278)</f>
        <v/>
      </c>
      <c r="E278" s="183">
        <f>IF(AND(C278="yes",ISNUMBER(G278)),MAX(DATE(2026,5,11),G278),"")</f>
        <v/>
      </c>
      <c r="F278" s="183">
        <f>IFERROR(INDEX('Batch Dates'!$F:$F,MATCH(J278,'Batch Dates'!$C:$C,0)),IFERROR(INDEX('Batch Dates'!$F:$F,MATCH(I278,'Batch Dates'!$B:$B,0)),""))</f>
        <v/>
      </c>
      <c r="G278" s="183">
        <f>IFERROR(INDEX('Batch Dates'!$G:$G,MATCH(J278,'Batch Dates'!$C:$C,0)),IFERROR(INDEX('Batch Dates'!$G:$G,MATCH(I278,'Batch Dates'!$B:$B,0)),""))</f>
        <v/>
      </c>
      <c r="H278" s="182" t="inlineStr">
        <is>
          <t>retest — QP campaign</t>
        </is>
      </c>
      <c r="I278" s="181" t="inlineStr">
        <is>
          <t>FB012603</t>
        </is>
      </c>
      <c r="J278" s="182" t="inlineStr">
        <is>
          <t>P060432</t>
        </is>
      </c>
      <c r="K278" s="182" t="inlineStr">
        <is>
          <t>Fat Bastard</t>
        </is>
      </c>
      <c r="L278" s="182" t="inlineStr">
        <is>
          <t>Ident A + Ident B</t>
        </is>
      </c>
      <c r="M278" s="182" t="inlineStr">
        <is>
          <t>iCoA_P01-02 · Appearance &amp; Identification A/B</t>
        </is>
      </c>
      <c r="N278" s="189" t="inlineStr">
        <is>
          <t>—</t>
        </is>
      </c>
      <c r="O278" s="189" t="inlineStr">
        <is>
          <t>— retest assay not yet on file —</t>
        </is>
      </c>
      <c r="P278" s="182" t="inlineStr">
        <is>
          <t>CoQ reissue (assigned on issue)</t>
        </is>
      </c>
      <c r="Q278" s="189" t="inlineStr">
        <is>
          <t>—</t>
        </is>
      </c>
      <c r="R278" s="182" t="inlineStr">
        <is>
          <t>P060432|AB|R</t>
        </is>
      </c>
      <c r="S278" s="193" t="inlineStr">
        <is>
          <t>not yet issuable — retest assay not yet on file</t>
        </is>
      </c>
    </row>
    <row r="279">
      <c r="A279" s="182">
        <f>IF(C279="yes",COUNT(A$1:A278)+1,"")</f>
        <v/>
      </c>
      <c r="B279" s="181">
        <f>IF(A279="","— at issue —","iCoA-PP_26-"&amp;TEXT(A279,"000"))</f>
        <v/>
      </c>
      <c r="C279" s="189" t="inlineStr">
        <is>
          <t>no</t>
        </is>
      </c>
      <c r="D279" s="183">
        <f>IF(A279="","",E279)</f>
        <v/>
      </c>
      <c r="E279" s="183">
        <f>IF(AND(C279="yes",ISNUMBER(G279)),MAX(DATE(2026,5,11),G279),"")</f>
        <v/>
      </c>
      <c r="F279" s="183">
        <f>IFERROR(INDEX('Batch Dates'!$F:$F,MATCH(J279,'Batch Dates'!$C:$C,0)),IFERROR(INDEX('Batch Dates'!$F:$F,MATCH(I279,'Batch Dates'!$B:$B,0)),""))</f>
        <v/>
      </c>
      <c r="G279" s="183">
        <f>IFERROR(INDEX('Batch Dates'!$G:$G,MATCH(J279,'Batch Dates'!$C:$C,0)),IFERROR(INDEX('Batch Dates'!$G:$G,MATCH(I279,'Batch Dates'!$B:$B,0)),""))</f>
        <v/>
      </c>
      <c r="H279" s="182" t="inlineStr">
        <is>
          <t>retest — QP campaign</t>
        </is>
      </c>
      <c r="I279" s="181" t="inlineStr">
        <is>
          <t>FB012603</t>
        </is>
      </c>
      <c r="J279" s="182" t="inlineStr">
        <is>
          <t>P060432</t>
        </is>
      </c>
      <c r="K279" s="182" t="inlineStr">
        <is>
          <t>Fat Bastard</t>
        </is>
      </c>
      <c r="L279" s="182" t="inlineStr">
        <is>
          <t>Foreign matter</t>
        </is>
      </c>
      <c r="M279" s="182" t="inlineStr">
        <is>
          <t>iCoA_P07 · Foreign matter</t>
        </is>
      </c>
      <c r="N279" s="189" t="inlineStr">
        <is>
          <t>—</t>
        </is>
      </c>
      <c r="O279" s="189" t="inlineStr">
        <is>
          <t>— retest assay not yet on file —</t>
        </is>
      </c>
      <c r="P279" s="182" t="inlineStr">
        <is>
          <t>CoQ reissue (assigned on issue)</t>
        </is>
      </c>
      <c r="Q279" s="189" t="inlineStr">
        <is>
          <t>—</t>
        </is>
      </c>
      <c r="R279" s="182" t="inlineStr">
        <is>
          <t>P060432|FM|R</t>
        </is>
      </c>
      <c r="S279" s="193" t="inlineStr">
        <is>
          <t>not yet issuable — retest assay not yet on file</t>
        </is>
      </c>
    </row>
    <row r="280">
      <c r="A280" s="182">
        <f>IF(C280="yes",COUNT(A$1:A279)+1,"")</f>
        <v/>
      </c>
      <c r="B280" s="181">
        <f>IF(A280="","— at issue —","iCoA-PP_26-"&amp;TEXT(A280,"000"))</f>
        <v/>
      </c>
      <c r="C280" s="189" t="inlineStr">
        <is>
          <t>no</t>
        </is>
      </c>
      <c r="D280" s="183">
        <f>IF(A280="","",E280)</f>
        <v/>
      </c>
      <c r="E280" s="183">
        <f>IF(AND(C280="yes",ISNUMBER(G280)),MAX(DATE(2026,5,11),G280),"")</f>
        <v/>
      </c>
      <c r="F280" s="183">
        <f>IFERROR(INDEX('Batch Dates'!$F:$F,MATCH(J280,'Batch Dates'!$C:$C,0)),IFERROR(INDEX('Batch Dates'!$F:$F,MATCH(I280,'Batch Dates'!$B:$B,0)),""))</f>
        <v/>
      </c>
      <c r="G280" s="183">
        <f>IFERROR(INDEX('Batch Dates'!$G:$G,MATCH(J280,'Batch Dates'!$C:$C,0)),IFERROR(INDEX('Batch Dates'!$G:$G,MATCH(I280,'Batch Dates'!$B:$B,0)),""))</f>
        <v/>
      </c>
      <c r="H280" s="182" t="inlineStr">
        <is>
          <t>retest — QP campaign</t>
        </is>
      </c>
      <c r="I280" s="181" t="inlineStr">
        <is>
          <t>FB012603V</t>
        </is>
      </c>
      <c r="J280" s="182" t="inlineStr">
        <is>
          <t>P060392</t>
        </is>
      </c>
      <c r="K280" s="182" t="inlineStr">
        <is>
          <t>Fat Bastard</t>
        </is>
      </c>
      <c r="L280" s="182" t="inlineStr">
        <is>
          <t>Ident A + Ident B</t>
        </is>
      </c>
      <c r="M280" s="182" t="inlineStr">
        <is>
          <t>iCoA_P01-02 · Appearance &amp; Identification A/B</t>
        </is>
      </c>
      <c r="N280" s="189" t="inlineStr">
        <is>
          <t>—</t>
        </is>
      </c>
      <c r="O280" s="189" t="inlineStr">
        <is>
          <t>— retest assay not yet on file —</t>
        </is>
      </c>
      <c r="P280" s="182" t="inlineStr">
        <is>
          <t>CoQ reissue (assigned on issue)</t>
        </is>
      </c>
      <c r="Q280" s="189" t="inlineStr">
        <is>
          <t>—</t>
        </is>
      </c>
      <c r="R280" s="182" t="inlineStr">
        <is>
          <t>P060392|AB|R</t>
        </is>
      </c>
      <c r="S280" s="193" t="inlineStr">
        <is>
          <t>not yet issuable — retest assay not yet on file</t>
        </is>
      </c>
    </row>
    <row r="281">
      <c r="A281" s="182">
        <f>IF(C281="yes",COUNT(A$1:A280)+1,"")</f>
        <v/>
      </c>
      <c r="B281" s="181">
        <f>IF(A281="","— at issue —","iCoA-PP_26-"&amp;TEXT(A281,"000"))</f>
        <v/>
      </c>
      <c r="C281" s="189" t="inlineStr">
        <is>
          <t>no</t>
        </is>
      </c>
      <c r="D281" s="183">
        <f>IF(A281="","",E281)</f>
        <v/>
      </c>
      <c r="E281" s="183">
        <f>IF(AND(C281="yes",ISNUMBER(G281)),MAX(DATE(2026,5,11),G281),"")</f>
        <v/>
      </c>
      <c r="F281" s="183">
        <f>IFERROR(INDEX('Batch Dates'!$F:$F,MATCH(J281,'Batch Dates'!$C:$C,0)),IFERROR(INDEX('Batch Dates'!$F:$F,MATCH(I281,'Batch Dates'!$B:$B,0)),""))</f>
        <v/>
      </c>
      <c r="G281" s="183">
        <f>IFERROR(INDEX('Batch Dates'!$G:$G,MATCH(J281,'Batch Dates'!$C:$C,0)),IFERROR(INDEX('Batch Dates'!$G:$G,MATCH(I281,'Batch Dates'!$B:$B,0)),""))</f>
        <v/>
      </c>
      <c r="H281" s="182" t="inlineStr">
        <is>
          <t>retest — QP campaign</t>
        </is>
      </c>
      <c r="I281" s="181" t="inlineStr">
        <is>
          <t>FB012603V</t>
        </is>
      </c>
      <c r="J281" s="182" t="inlineStr">
        <is>
          <t>P060392</t>
        </is>
      </c>
      <c r="K281" s="182" t="inlineStr">
        <is>
          <t>Fat Bastard</t>
        </is>
      </c>
      <c r="L281" s="182" t="inlineStr">
        <is>
          <t>Foreign matter</t>
        </is>
      </c>
      <c r="M281" s="182" t="inlineStr">
        <is>
          <t>iCoA_P07 · Foreign matter</t>
        </is>
      </c>
      <c r="N281" s="189" t="inlineStr">
        <is>
          <t>—</t>
        </is>
      </c>
      <c r="O281" s="189" t="inlineStr">
        <is>
          <t>— retest assay not yet on file —</t>
        </is>
      </c>
      <c r="P281" s="182" t="inlineStr">
        <is>
          <t>CoQ reissue (assigned on issue)</t>
        </is>
      </c>
      <c r="Q281" s="189" t="inlineStr">
        <is>
          <t>—</t>
        </is>
      </c>
      <c r="R281" s="182" t="inlineStr">
        <is>
          <t>P060392|FM|R</t>
        </is>
      </c>
      <c r="S281" s="193" t="inlineStr">
        <is>
          <t>not yet issuable — retest assay not yet on file</t>
        </is>
      </c>
    </row>
    <row r="282">
      <c r="A282" s="182">
        <f>IF(C282="yes",COUNT(A$1:A281)+1,"")</f>
        <v/>
      </c>
      <c r="B282" s="181">
        <f>IF(A282="","— at issue —","iCoA-PP_26-"&amp;TEXT(A282,"000"))</f>
        <v/>
      </c>
      <c r="C282" s="189" t="inlineStr">
        <is>
          <t>no</t>
        </is>
      </c>
      <c r="D282" s="183">
        <f>IF(A282="","",E282)</f>
        <v/>
      </c>
      <c r="E282" s="183">
        <f>IF(AND(C282="yes",ISNUMBER(G282)),MAX(DATE(2026,5,11),G282),"")</f>
        <v/>
      </c>
      <c r="F282" s="183">
        <f>IFERROR(INDEX('Batch Dates'!$F:$F,MATCH(J282,'Batch Dates'!$C:$C,0)),IFERROR(INDEX('Batch Dates'!$F:$F,MATCH(I282,'Batch Dates'!$B:$B,0)),""))</f>
        <v/>
      </c>
      <c r="G282" s="183">
        <f>IFERROR(INDEX('Batch Dates'!$G:$G,MATCH(J282,'Batch Dates'!$C:$C,0)),IFERROR(INDEX('Batch Dates'!$G:$G,MATCH(I282,'Batch Dates'!$B:$B,0)),""))</f>
        <v/>
      </c>
      <c r="H282" s="182" t="inlineStr">
        <is>
          <t>retest — QP campaign</t>
        </is>
      </c>
      <c r="I282" s="181" t="inlineStr">
        <is>
          <t>JD022601</t>
        </is>
      </c>
      <c r="J282" s="182" t="inlineStr">
        <is>
          <t>P060482</t>
        </is>
      </c>
      <c r="K282" s="182" t="inlineStr">
        <is>
          <t>JellyDonutz</t>
        </is>
      </c>
      <c r="L282" s="182" t="inlineStr">
        <is>
          <t>Ident A + Ident B</t>
        </is>
      </c>
      <c r="M282" s="182" t="inlineStr">
        <is>
          <t>iCoA_P01-02 · Appearance &amp; Identification A/B</t>
        </is>
      </c>
      <c r="N282" s="189" t="inlineStr">
        <is>
          <t>—</t>
        </is>
      </c>
      <c r="O282" s="189" t="inlineStr">
        <is>
          <t>— retest assay not yet on file —</t>
        </is>
      </c>
      <c r="P282" s="182" t="inlineStr">
        <is>
          <t>CoQ reissue (assigned on issue)</t>
        </is>
      </c>
      <c r="Q282" s="189" t="inlineStr">
        <is>
          <t>—</t>
        </is>
      </c>
      <c r="R282" s="182" t="inlineStr">
        <is>
          <t>P060482|AB|R</t>
        </is>
      </c>
      <c r="S282" s="193" t="inlineStr">
        <is>
          <t>not yet issuable — retest assay not yet on file</t>
        </is>
      </c>
    </row>
    <row r="283">
      <c r="A283" s="182">
        <f>IF(C283="yes",COUNT(A$1:A282)+1,"")</f>
        <v/>
      </c>
      <c r="B283" s="181">
        <f>IF(A283="","— at issue —","iCoA-PP_26-"&amp;TEXT(A283,"000"))</f>
        <v/>
      </c>
      <c r="C283" s="189" t="inlineStr">
        <is>
          <t>no</t>
        </is>
      </c>
      <c r="D283" s="183">
        <f>IF(A283="","",E283)</f>
        <v/>
      </c>
      <c r="E283" s="183">
        <f>IF(AND(C283="yes",ISNUMBER(G283)),MAX(DATE(2026,5,11),G283),"")</f>
        <v/>
      </c>
      <c r="F283" s="183">
        <f>IFERROR(INDEX('Batch Dates'!$F:$F,MATCH(J283,'Batch Dates'!$C:$C,0)),IFERROR(INDEX('Batch Dates'!$F:$F,MATCH(I283,'Batch Dates'!$B:$B,0)),""))</f>
        <v/>
      </c>
      <c r="G283" s="183">
        <f>IFERROR(INDEX('Batch Dates'!$G:$G,MATCH(J283,'Batch Dates'!$C:$C,0)),IFERROR(INDEX('Batch Dates'!$G:$G,MATCH(I283,'Batch Dates'!$B:$B,0)),""))</f>
        <v/>
      </c>
      <c r="H283" s="182" t="inlineStr">
        <is>
          <t>retest — QP campaign</t>
        </is>
      </c>
      <c r="I283" s="181" t="inlineStr">
        <is>
          <t>JD022601</t>
        </is>
      </c>
      <c r="J283" s="182" t="inlineStr">
        <is>
          <t>P060482</t>
        </is>
      </c>
      <c r="K283" s="182" t="inlineStr">
        <is>
          <t>JellyDonutz</t>
        </is>
      </c>
      <c r="L283" s="182" t="inlineStr">
        <is>
          <t>Foreign matter</t>
        </is>
      </c>
      <c r="M283" s="182" t="inlineStr">
        <is>
          <t>iCoA_P07 · Foreign matter</t>
        </is>
      </c>
      <c r="N283" s="189" t="inlineStr">
        <is>
          <t>—</t>
        </is>
      </c>
      <c r="O283" s="189" t="inlineStr">
        <is>
          <t>— retest assay not yet on file —</t>
        </is>
      </c>
      <c r="P283" s="182" t="inlineStr">
        <is>
          <t>CoQ reissue (assigned on issue)</t>
        </is>
      </c>
      <c r="Q283" s="189" t="inlineStr">
        <is>
          <t>—</t>
        </is>
      </c>
      <c r="R283" s="182" t="inlineStr">
        <is>
          <t>P060482|FM|R</t>
        </is>
      </c>
      <c r="S283" s="193" t="inlineStr">
        <is>
          <t>not yet issuable — retest assay not yet on file</t>
        </is>
      </c>
    </row>
    <row r="284">
      <c r="A284" s="182">
        <f>IF(C284="yes",COUNT(A$1:A283)+1,"")</f>
        <v/>
      </c>
      <c r="B284" s="181">
        <f>IF(A284="","— at issue —","iCoA-PP_26-"&amp;TEXT(A284,"000"))</f>
        <v/>
      </c>
      <c r="C284" s="189" t="inlineStr">
        <is>
          <t>no</t>
        </is>
      </c>
      <c r="D284" s="183">
        <f>IF(A284="","",E284)</f>
        <v/>
      </c>
      <c r="E284" s="183">
        <f>IF(AND(C284="yes",ISNUMBER(G284)),MAX(DATE(2026,5,11),G284),"")</f>
        <v/>
      </c>
      <c r="F284" s="183">
        <f>IFERROR(INDEX('Batch Dates'!$F:$F,MATCH(J284,'Batch Dates'!$C:$C,0)),IFERROR(INDEX('Batch Dates'!$F:$F,MATCH(I284,'Batch Dates'!$B:$B,0)),""))</f>
        <v/>
      </c>
      <c r="G284" s="183">
        <f>IFERROR(INDEX('Batch Dates'!$G:$G,MATCH(J284,'Batch Dates'!$C:$C,0)),IFERROR(INDEX('Batch Dates'!$G:$G,MATCH(I284,'Batch Dates'!$B:$B,0)),""))</f>
        <v/>
      </c>
      <c r="H284" s="182" t="inlineStr">
        <is>
          <t>retest — QP campaign</t>
        </is>
      </c>
      <c r="I284" s="181" t="inlineStr">
        <is>
          <t>SCR022601</t>
        </is>
      </c>
      <c r="J284" s="182" t="inlineStr">
        <is>
          <t>P060442</t>
        </is>
      </c>
      <c r="K284" s="182" t="inlineStr">
        <is>
          <t>Scrambler</t>
        </is>
      </c>
      <c r="L284" s="182" t="inlineStr">
        <is>
          <t>Ident A + Ident B</t>
        </is>
      </c>
      <c r="M284" s="182" t="inlineStr">
        <is>
          <t>iCoA_P01-02 · Appearance &amp; Identification A/B</t>
        </is>
      </c>
      <c r="N284" s="189" t="inlineStr">
        <is>
          <t>—</t>
        </is>
      </c>
      <c r="O284" s="189" t="inlineStr">
        <is>
          <t>— retest assay not yet on file —</t>
        </is>
      </c>
      <c r="P284" s="182" t="inlineStr">
        <is>
          <t>CoQ reissue (assigned on issue)</t>
        </is>
      </c>
      <c r="Q284" s="189" t="inlineStr">
        <is>
          <t>—</t>
        </is>
      </c>
      <c r="R284" s="182" t="inlineStr">
        <is>
          <t>P060442|AB|R</t>
        </is>
      </c>
      <c r="S284" s="193" t="inlineStr">
        <is>
          <t>not yet issuable — retest assay not yet on file</t>
        </is>
      </c>
    </row>
    <row r="285">
      <c r="A285" s="182">
        <f>IF(C285="yes",COUNT(A$1:A284)+1,"")</f>
        <v/>
      </c>
      <c r="B285" s="181">
        <f>IF(A285="","— at issue —","iCoA-PP_26-"&amp;TEXT(A285,"000"))</f>
        <v/>
      </c>
      <c r="C285" s="189" t="inlineStr">
        <is>
          <t>no</t>
        </is>
      </c>
      <c r="D285" s="183">
        <f>IF(A285="","",E285)</f>
        <v/>
      </c>
      <c r="E285" s="183">
        <f>IF(AND(C285="yes",ISNUMBER(G285)),MAX(DATE(2026,5,11),G285),"")</f>
        <v/>
      </c>
      <c r="F285" s="183">
        <f>IFERROR(INDEX('Batch Dates'!$F:$F,MATCH(J285,'Batch Dates'!$C:$C,0)),IFERROR(INDEX('Batch Dates'!$F:$F,MATCH(I285,'Batch Dates'!$B:$B,0)),""))</f>
        <v/>
      </c>
      <c r="G285" s="183">
        <f>IFERROR(INDEX('Batch Dates'!$G:$G,MATCH(J285,'Batch Dates'!$C:$C,0)),IFERROR(INDEX('Batch Dates'!$G:$G,MATCH(I285,'Batch Dates'!$B:$B,0)),""))</f>
        <v/>
      </c>
      <c r="H285" s="182" t="inlineStr">
        <is>
          <t>retest — QP campaign</t>
        </is>
      </c>
      <c r="I285" s="181" t="inlineStr">
        <is>
          <t>SCR022601</t>
        </is>
      </c>
      <c r="J285" s="182" t="inlineStr">
        <is>
          <t>P060442</t>
        </is>
      </c>
      <c r="K285" s="182" t="inlineStr">
        <is>
          <t>Scrambler</t>
        </is>
      </c>
      <c r="L285" s="182" t="inlineStr">
        <is>
          <t>Foreign matter</t>
        </is>
      </c>
      <c r="M285" s="182" t="inlineStr">
        <is>
          <t>iCoA_P07 · Foreign matter</t>
        </is>
      </c>
      <c r="N285" s="189" t="inlineStr">
        <is>
          <t>—</t>
        </is>
      </c>
      <c r="O285" s="189" t="inlineStr">
        <is>
          <t>— retest assay not yet on file —</t>
        </is>
      </c>
      <c r="P285" s="182" t="inlineStr">
        <is>
          <t>CoQ reissue (assigned on issue)</t>
        </is>
      </c>
      <c r="Q285" s="189" t="inlineStr">
        <is>
          <t>—</t>
        </is>
      </c>
      <c r="R285" s="182" t="inlineStr">
        <is>
          <t>P060442|FM|R</t>
        </is>
      </c>
      <c r="S285" s="193" t="inlineStr">
        <is>
          <t>not yet issuable — retest assay not yet on file</t>
        </is>
      </c>
    </row>
    <row r="286">
      <c r="A286" s="182">
        <f>IF(C286="yes",COUNT(A$1:A285)+1,"")</f>
        <v/>
      </c>
      <c r="B286" s="181">
        <f>IF(A286="","— at issue —","iCoA-PP_26-"&amp;TEXT(A286,"000"))</f>
        <v/>
      </c>
      <c r="C286" s="189" t="inlineStr">
        <is>
          <t>no</t>
        </is>
      </c>
      <c r="D286" s="183">
        <f>IF(A286="","",E286)</f>
        <v/>
      </c>
      <c r="E286" s="183">
        <f>IF(AND(C286="yes",ISNUMBER(G286)),MAX(DATE(2026,5,11),G286),"")</f>
        <v/>
      </c>
      <c r="F286" s="183">
        <f>IFERROR(INDEX('Batch Dates'!$F:$F,MATCH(J286,'Batch Dates'!$C:$C,0)),IFERROR(INDEX('Batch Dates'!$F:$F,MATCH(I286,'Batch Dates'!$B:$B,0)),""))</f>
        <v/>
      </c>
      <c r="G286" s="183">
        <f>IFERROR(INDEX('Batch Dates'!$G:$G,MATCH(J286,'Batch Dates'!$C:$C,0)),IFERROR(INDEX('Batch Dates'!$G:$G,MATCH(I286,'Batch Dates'!$B:$B,0)),""))</f>
        <v/>
      </c>
      <c r="H286" s="182" t="inlineStr">
        <is>
          <t>retest — QP campaign</t>
        </is>
      </c>
      <c r="I286" s="181" t="inlineStr">
        <is>
          <t>FB032601</t>
        </is>
      </c>
      <c r="J286" s="182" t="inlineStr">
        <is>
          <t>P060452</t>
        </is>
      </c>
      <c r="K286" s="182" t="inlineStr">
        <is>
          <t>FatBastard</t>
        </is>
      </c>
      <c r="L286" s="182" t="inlineStr">
        <is>
          <t>Ident A + Ident B</t>
        </is>
      </c>
      <c r="M286" s="182" t="inlineStr">
        <is>
          <t>iCoA_P01-02 · Appearance &amp; Identification A/B</t>
        </is>
      </c>
      <c r="N286" s="189" t="inlineStr">
        <is>
          <t>—</t>
        </is>
      </c>
      <c r="O286" s="189" t="inlineStr">
        <is>
          <t>— retest assay not yet on file —</t>
        </is>
      </c>
      <c r="P286" s="182" t="inlineStr">
        <is>
          <t>CoQ reissue (assigned on issue)</t>
        </is>
      </c>
      <c r="Q286" s="189" t="inlineStr">
        <is>
          <t>—</t>
        </is>
      </c>
      <c r="R286" s="182" t="inlineStr">
        <is>
          <t>P060452|AB|R</t>
        </is>
      </c>
      <c r="S286" s="193" t="inlineStr">
        <is>
          <t>not yet issuable — retest assay not yet on file</t>
        </is>
      </c>
    </row>
    <row r="287">
      <c r="A287" s="182">
        <f>IF(C287="yes",COUNT(A$1:A286)+1,"")</f>
        <v/>
      </c>
      <c r="B287" s="181">
        <f>IF(A287="","— at issue —","iCoA-PP_26-"&amp;TEXT(A287,"000"))</f>
        <v/>
      </c>
      <c r="C287" s="189" t="inlineStr">
        <is>
          <t>no</t>
        </is>
      </c>
      <c r="D287" s="183">
        <f>IF(A287="","",E287)</f>
        <v/>
      </c>
      <c r="E287" s="183">
        <f>IF(AND(C287="yes",ISNUMBER(G287)),MAX(DATE(2026,5,11),G287),"")</f>
        <v/>
      </c>
      <c r="F287" s="183">
        <f>IFERROR(INDEX('Batch Dates'!$F:$F,MATCH(J287,'Batch Dates'!$C:$C,0)),IFERROR(INDEX('Batch Dates'!$F:$F,MATCH(I287,'Batch Dates'!$B:$B,0)),""))</f>
        <v/>
      </c>
      <c r="G287" s="183">
        <f>IFERROR(INDEX('Batch Dates'!$G:$G,MATCH(J287,'Batch Dates'!$C:$C,0)),IFERROR(INDEX('Batch Dates'!$G:$G,MATCH(I287,'Batch Dates'!$B:$B,0)),""))</f>
        <v/>
      </c>
      <c r="H287" s="182" t="inlineStr">
        <is>
          <t>retest — QP campaign</t>
        </is>
      </c>
      <c r="I287" s="181" t="inlineStr">
        <is>
          <t>FB032601</t>
        </is>
      </c>
      <c r="J287" s="182" t="inlineStr">
        <is>
          <t>P060452</t>
        </is>
      </c>
      <c r="K287" s="182" t="inlineStr">
        <is>
          <t>FatBastard</t>
        </is>
      </c>
      <c r="L287" s="182" t="inlineStr">
        <is>
          <t>Foreign matter</t>
        </is>
      </c>
      <c r="M287" s="182" t="inlineStr">
        <is>
          <t>iCoA_P07 · Foreign matter</t>
        </is>
      </c>
      <c r="N287" s="189" t="inlineStr">
        <is>
          <t>—</t>
        </is>
      </c>
      <c r="O287" s="189" t="inlineStr">
        <is>
          <t>— retest assay not yet on file —</t>
        </is>
      </c>
      <c r="P287" s="182" t="inlineStr">
        <is>
          <t>CoQ reissue (assigned on issue)</t>
        </is>
      </c>
      <c r="Q287" s="189" t="inlineStr">
        <is>
          <t>—</t>
        </is>
      </c>
      <c r="R287" s="182" t="inlineStr">
        <is>
          <t>P060452|FM|R</t>
        </is>
      </c>
      <c r="S287" s="193" t="inlineStr">
        <is>
          <t>not yet issuable — retest assay not yet on file</t>
        </is>
      </c>
    </row>
    <row r="288">
      <c r="A288" s="182">
        <f>IF(C288="yes",COUNT(A$1:A287)+1,"")</f>
        <v/>
      </c>
      <c r="B288" s="181">
        <f>IF(A288="","— at issue —","iCoA-PP_26-"&amp;TEXT(A288,"000"))</f>
        <v/>
      </c>
      <c r="C288" s="189" t="inlineStr">
        <is>
          <t>no</t>
        </is>
      </c>
      <c r="D288" s="183">
        <f>IF(A288="","",E288)</f>
        <v/>
      </c>
      <c r="E288" s="183">
        <f>IF(AND(C288="yes",ISNUMBER(G288)),MAX(DATE(2026,5,11),G288),"")</f>
        <v/>
      </c>
      <c r="F288" s="183">
        <f>IFERROR(INDEX('Batch Dates'!$F:$F,MATCH(J288,'Batch Dates'!$C:$C,0)),IFERROR(INDEX('Batch Dates'!$F:$F,MATCH(I288,'Batch Dates'!$B:$B,0)),""))</f>
        <v/>
      </c>
      <c r="G288" s="183">
        <f>IFERROR(INDEX('Batch Dates'!$G:$G,MATCH(J288,'Batch Dates'!$C:$C,0)),IFERROR(INDEX('Batch Dates'!$G:$G,MATCH(I288,'Batch Dates'!$B:$B,0)),""))</f>
        <v/>
      </c>
      <c r="H288" s="182" t="inlineStr">
        <is>
          <t>retest — QP campaign</t>
        </is>
      </c>
      <c r="I288" s="181" t="inlineStr">
        <is>
          <t>GG032601</t>
        </is>
      </c>
      <c r="J288" s="182" t="inlineStr">
        <is>
          <t>P060462</t>
        </is>
      </c>
      <c r="K288" s="182" t="inlineStr">
        <is>
          <t>GorillaGlue</t>
        </is>
      </c>
      <c r="L288" s="182" t="inlineStr">
        <is>
          <t>Ident A + Ident B</t>
        </is>
      </c>
      <c r="M288" s="182" t="inlineStr">
        <is>
          <t>iCoA_P01-02 · Appearance &amp; Identification A/B</t>
        </is>
      </c>
      <c r="N288" s="189" t="inlineStr">
        <is>
          <t>—</t>
        </is>
      </c>
      <c r="O288" s="189" t="inlineStr">
        <is>
          <t>— retest assay not yet on file —</t>
        </is>
      </c>
      <c r="P288" s="182" t="inlineStr">
        <is>
          <t>CoQ reissue (assigned on issue)</t>
        </is>
      </c>
      <c r="Q288" s="189" t="inlineStr">
        <is>
          <t>—</t>
        </is>
      </c>
      <c r="R288" s="182" t="inlineStr">
        <is>
          <t>P060462|AB|R</t>
        </is>
      </c>
      <c r="S288" s="193" t="inlineStr">
        <is>
          <t>not yet issuable — retest assay not yet on file</t>
        </is>
      </c>
    </row>
    <row r="289">
      <c r="A289" s="182">
        <f>IF(C289="yes",COUNT(A$1:A288)+1,"")</f>
        <v/>
      </c>
      <c r="B289" s="181">
        <f>IF(A289="","— at issue —","iCoA-PP_26-"&amp;TEXT(A289,"000"))</f>
        <v/>
      </c>
      <c r="C289" s="189" t="inlineStr">
        <is>
          <t>no</t>
        </is>
      </c>
      <c r="D289" s="183">
        <f>IF(A289="","",E289)</f>
        <v/>
      </c>
      <c r="E289" s="183">
        <f>IF(AND(C289="yes",ISNUMBER(G289)),MAX(DATE(2026,5,11),G289),"")</f>
        <v/>
      </c>
      <c r="F289" s="183">
        <f>IFERROR(INDEX('Batch Dates'!$F:$F,MATCH(J289,'Batch Dates'!$C:$C,0)),IFERROR(INDEX('Batch Dates'!$F:$F,MATCH(I289,'Batch Dates'!$B:$B,0)),""))</f>
        <v/>
      </c>
      <c r="G289" s="183">
        <f>IFERROR(INDEX('Batch Dates'!$G:$G,MATCH(J289,'Batch Dates'!$C:$C,0)),IFERROR(INDEX('Batch Dates'!$G:$G,MATCH(I289,'Batch Dates'!$B:$B,0)),""))</f>
        <v/>
      </c>
      <c r="H289" s="182" t="inlineStr">
        <is>
          <t>retest — QP campaign</t>
        </is>
      </c>
      <c r="I289" s="181" t="inlineStr">
        <is>
          <t>GG032601</t>
        </is>
      </c>
      <c r="J289" s="182" t="inlineStr">
        <is>
          <t>P060462</t>
        </is>
      </c>
      <c r="K289" s="182" t="inlineStr">
        <is>
          <t>GorillaGlue</t>
        </is>
      </c>
      <c r="L289" s="182" t="inlineStr">
        <is>
          <t>Foreign matter</t>
        </is>
      </c>
      <c r="M289" s="182" t="inlineStr">
        <is>
          <t>iCoA_P07 · Foreign matter</t>
        </is>
      </c>
      <c r="N289" s="189" t="inlineStr">
        <is>
          <t>—</t>
        </is>
      </c>
      <c r="O289" s="189" t="inlineStr">
        <is>
          <t>— retest assay not yet on file —</t>
        </is>
      </c>
      <c r="P289" s="182" t="inlineStr">
        <is>
          <t>CoQ reissue (assigned on issue)</t>
        </is>
      </c>
      <c r="Q289" s="189" t="inlineStr">
        <is>
          <t>—</t>
        </is>
      </c>
      <c r="R289" s="182" t="inlineStr">
        <is>
          <t>P060462|FM|R</t>
        </is>
      </c>
      <c r="S289" s="193" t="inlineStr">
        <is>
          <t>not yet issuable — retest assay not yet on file</t>
        </is>
      </c>
    </row>
    <row r="291" ht="96" customHeight="1" s="70">
      <c r="A291" s="172" t="inlineStr">
        <is>
          <t>Head of QC, 05.09.2026: preliminary iCoA issuance register. Document codes iCoA-PP_26-nnn (nnn = 001 … 999), one series for the year of issue, assigned in the order the certificates can be issued: by the earliest permissible issue date, then by the basis date (the first day of packaging, when the sample is taken). Every printed issue date lies in [11.05.2026 … the day of signing] — the CoQ SOP came into use on 11.05.2026 and no document is post-dated — so the preliminary date is the SOP floor, or the last day of packaging where that is later; QC sets the real date at issue (documents may be issued in batches: one date, sequential numbers). No number is reserved for a row that cannot be issued yet: a lot without a packaging date, a held result, and every retest iCoA (identification A, B and foreign matter are tested at the retest sampling, whose date is not on the desk). Where a CNP certificate reports all three, no iCoA is needed. The plan's references of 31.08.2026 (iCoA-PP-YYYY-NNNN) are superseded by these codes and kept beside them. Identification C is not on the iCoA: the CoQ cites the cannabinoid-assay eCoA named here. TWO CERTIFICATES PER P LOT (05.09.2026): identification A and B on the P01-02 master, foreign matter on the P07 master. FORMULAS: No. counts the issuable rows above it, the code is built from No., the earliest and preliminary dates from the SOP floor and the packaging dates looked up on Batch Dates by P batch (or CU batch); insert a row, set Issuable to yes, and every code beneath moves by one — the iCoA Issuance sheet and the tracker cite the register by KEY, so they follow. Rows are not re-sorted by a formula: a changed date is a manual move.</t>
        </is>
      </c>
    </row>
  </sheetData>
  <mergeCells count="1">
    <mergeCell ref="A291:S29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28"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t>
        </is>
      </c>
      <c r="G2" s="103" t="inlineStr">
        <is>
          <t>G</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t>
        </is>
      </c>
      <c r="G3" s="103" t="inlineStr">
        <is>
          <t>H</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In-house (iCoA)</t>
        </is>
      </c>
      <c r="G4" s="103" t="inlineStr">
        <is>
          <t>I</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J</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K</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L</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t>
        </is>
      </c>
      <c r="G8" s="103" t="inlineStr">
        <is>
          <t>M</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N</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O</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P</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Q</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R</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S</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T</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U</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V</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W</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X</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Y</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Z</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AA</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84</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52</v>
      </c>
      <c r="C5" s="38" t="inlineStr">
        <is>
          <t>62% of batches</t>
        </is>
      </c>
    </row>
    <row r="6" ht="21.75" customHeight="1" s="70">
      <c r="A6" s="39" t="inlineStr">
        <is>
          <t>⚠   PARTIAL  (1–3 missing)</t>
        </is>
      </c>
      <c r="B6" s="42" t="n">
        <v>16</v>
      </c>
      <c r="C6" s="44" t="inlineStr">
        <is>
          <t>19% of batches</t>
        </is>
      </c>
    </row>
    <row r="7" ht="21.75" customHeight="1" s="70">
      <c r="A7" s="46" t="inlineStr">
        <is>
          <t>❌  INCOMPLETE (4+ missing)</t>
        </is>
      </c>
      <c r="B7" s="47" t="n">
        <v>16</v>
      </c>
      <c r="C7" s="50" t="inlineStr">
        <is>
          <t>19%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4</v>
      </c>
      <c r="C10" s="50" t="inlineStr">
        <is>
          <t>(5% of batches missing this)</t>
        </is>
      </c>
    </row>
    <row r="11" ht="21.75" customHeight="1" s="70">
      <c r="A11" s="39" t="inlineStr">
        <is>
          <t>#2  Identification B</t>
        </is>
      </c>
      <c r="B11" s="42" t="n">
        <v>2</v>
      </c>
      <c r="C11" s="44" t="inlineStr">
        <is>
          <t>(2%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4</v>
      </c>
      <c r="C15" s="38" t="inlineStr">
        <is>
          <t>(5% of batches missing this)</t>
        </is>
      </c>
    </row>
    <row r="16" ht="21.75" customHeight="1" s="70">
      <c r="A16" s="46" t="inlineStr">
        <is>
          <t>#7  Foreign Matter</t>
        </is>
      </c>
      <c r="B16" s="47" t="n">
        <v>4</v>
      </c>
      <c r="C16" s="50" t="inlineStr">
        <is>
          <t>(5% of batches missing this)</t>
        </is>
      </c>
    </row>
    <row r="17" ht="21.75" customHeight="1" s="70">
      <c r="A17" s="34" t="inlineStr">
        <is>
          <t>#8  Loss on Drying</t>
        </is>
      </c>
      <c r="B17" s="35" t="n">
        <v>4</v>
      </c>
      <c r="C17" s="38" t="inlineStr">
        <is>
          <t>(5% of batches missing this)</t>
        </is>
      </c>
    </row>
    <row r="18" ht="21.75" customHeight="1" s="70">
      <c r="A18" s="39" t="inlineStr">
        <is>
          <t>#9  Microbiological Purity</t>
        </is>
      </c>
      <c r="B18" s="42" t="n">
        <v>20</v>
      </c>
      <c r="C18" s="44" t="inlineStr">
        <is>
          <t>(24% of batches missing this)</t>
        </is>
      </c>
    </row>
    <row r="19" ht="21.75" customHeight="1" s="70">
      <c r="A19" s="39" t="inlineStr">
        <is>
          <t>#10  Mycotoxins</t>
        </is>
      </c>
      <c r="B19" s="42" t="n">
        <v>23</v>
      </c>
      <c r="C19" s="44" t="inlineStr">
        <is>
          <t>(27% of batches missing this)</t>
        </is>
      </c>
    </row>
    <row r="20" ht="21.75" customHeight="1" s="70">
      <c r="A20" s="39" t="inlineStr">
        <is>
          <t>#11  Heavy Metals</t>
        </is>
      </c>
      <c r="B20" s="42" t="n">
        <v>30</v>
      </c>
      <c r="C20" s="44" t="inlineStr">
        <is>
          <t>(36% of batches missing this)</t>
        </is>
      </c>
    </row>
    <row r="21" ht="21.75" customHeight="1" s="70">
      <c r="A21" s="39" t="inlineStr">
        <is>
          <t>#12  Pesticide Residues</t>
        </is>
      </c>
      <c r="B21" s="42" t="n">
        <v>30</v>
      </c>
      <c r="C21" s="44" t="inlineStr">
        <is>
          <t>(36%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2026-09-05T13:36:44Z</dcterms:modified>
</cp:coreProperties>
</file>